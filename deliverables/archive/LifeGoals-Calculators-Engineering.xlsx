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dex" sheetId="2" state="visible" r:id="rId4"/>
    <sheet name="Assumptions" sheetId="3" state="visible" r:id="rId5"/>
    <sheet name="C01 Borrowing" sheetId="4" state="visible" r:id="rId6"/>
    <sheet name="C02 Mortgage repayment" sheetId="5" state="visible" r:id="rId7"/>
    <sheet name="C03 Deposit" sheetId="6" state="visible" r:id="rId8"/>
    <sheet name="C04 Mortgage overpayment" sheetId="7" state="visible" r:id="rId9"/>
    <sheet name="C05 Interest rate impact" sheetId="8" state="visible" r:id="rId10"/>
    <sheet name="C06 Term comparison" sheetId="9" state="visible" r:id="rId11"/>
    <sheet name="C07 Rent vs buy" sheetId="10" state="visible" r:id="rId12"/>
    <sheet name="C08 Goal planner" sheetId="11" state="visible" r:id="rId13"/>
    <sheet name="C09 Compound growth" sheetId="12" state="visible" r:id="rId14"/>
    <sheet name="C10 Lump sum growth" sheetId="13" state="visible" r:id="rId15"/>
    <sheet name="C11 Emergency fund" sheetId="14" state="visible" r:id="rId16"/>
    <sheet name="C12 Retirement projection" sheetId="15" state="visible" r:id="rId17"/>
    <sheet name="C13 Contribution impact" sheetId="16" state="visible" r:id="rId18"/>
    <sheet name="C14 AVC impact" sheetId="17" state="visible" r:id="rId19"/>
    <sheet name="C15 Will my money last" sheetId="18" state="visible" r:id="rId20"/>
    <sheet name="C16 Drawdown scenarios" sheetId="19" state="visible" r:id="rId21"/>
    <sheet name="C17 Inflation adjusted return" sheetId="20" state="visible" r:id="rId22"/>
    <sheet name="C18 Regular investing" sheetId="21" state="visible" r:id="rId23"/>
    <sheet name="C19 Fees impact" sheetId="22" state="visible" r:id="rId24"/>
    <sheet name="C20 Risk and return" sheetId="23" state="visible" r:id="rId25"/>
    <sheet name="C21 Life cover" sheetId="24" state="visible" r:id="rId26"/>
    <sheet name="C22 Income protection gap" sheetId="25" state="visible" r:id="rId27"/>
    <sheet name="C23 Mortgage protection" sheetId="26" state="visible" r:id="rId28"/>
    <sheet name="C24 Net worth" sheetId="27" state="visible" r:id="rId29"/>
    <sheet name="C25 Monthly surplus" sheetId="28" state="visible" r:id="rId30"/>
    <sheet name="C26 Budget 50 30 20" sheetId="29" state="visible" r:id="rId31"/>
    <sheet name="C27 Debt repayment" sheetId="30" state="visible" r:id="rId32"/>
    <sheet name="C28 Loan repayment" sheetId="31" state="visible" r:id="rId33"/>
    <sheet name="Test cases" sheetId="32" state="visible" r:id="rId34"/>
  </sheets>
  <definedNames>
    <definedName function="false" hidden="true" localSheetId="31" name="_xlnm._FilterDatabase" vbProcedure="false">'Test cases'!$A$1:$L$1980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<sst xmlns="http://schemas.openxmlformats.org/spreadsheetml/2006/main" count="22099" uniqueCount="2643">
  <si>
    <t xml:space="preserve">LifeGoals calculators: engineering workbook</t>
  </si>
  <si>
    <t xml:space="preserve">Version</t>
  </si>
  <si>
    <t xml:space="preserve">Version 1.0 · 1 Oct 2026</t>
  </si>
  <si>
    <t xml:space="preserve">Source file</t>
  </si>
  <si>
    <t xml:space="preserve">LifeGoals-Customer-Journey-Prototype.html (the CALCS array and its helpers fvL, fvA, pmt, payoff, lasts, pensionAt, todayM, inflation via S.infl, the "Adjust for inflation" switch and the Central Bank borrowing rules).</t>
  </si>
  <si>
    <t xml:space="preserve">Purpose</t>
  </si>
  <si>
    <t xml:space="preserve">An exact, cell-by-cell replica of every calculator in the prototype so the tool engineer can build them in the real system. Each calculator sheet reproduces the prototype's run(v) function step by step, with the same rounding, loop caps and edge rules. Every test case on the "Test cases" sheet was computed by running the prototype's own code in a headless browser and matched by this workbook (see calculator-verification-report.md).</t>
  </si>
  <si>
    <t xml:space="preserve">Numbering</t>
  </si>
  <si>
    <t xml:space="preserve">C01 to C28, in the exact order of the CALCS array in the prototype. The same numbers are used in the UI/UX designer's Word spec. Sheet tab = C-number + short name.</t>
  </si>
  <si>
    <t xml:space="preserve">How to read a calculator sheet</t>
  </si>
  <si>
    <t xml:space="preserve">1. INPUTS: the sliders, with unit, default, min, max (slider), max if typed (euro fields accept up to 10× the slider top), step and where the prototype pre-fills the value from. 2. WHAT-IF INPUTS: the "What if…" card, where the tool has one. 3. CONTEXT INPUTS: other state the function reads (a stated repayment, a pension statement, the "Adjust for inflation" switch). 4. CALCULATION: every intermediate step as its own labelled row, with the JS it mirrors. 5. OUTPUTS: exactly the figures the prototype shows; "Value" is the full-precision number, "As shown in the prototype" is the text the customer sees (same rounding and wording rules), blank when the prototype does not show it. 6. Helper tables (to the right, from column K): one row per month or year for every loop in the JS, to the same cap.</t>
  </si>
  <si>
    <t xml:space="preserve">Colour legend</t>
  </si>
  <si>
    <t xml:space="preserve">Blue text = input you can change · Yellow fill = key assumption · Black text = formula · Green text = link to another sheet (the Assumptions sheet) · Green fill = output.</t>
  </si>
  <si>
    <t xml:space="preserve">Percentages</t>
  </si>
  <si>
    <t xml:space="preserve">Stored as fractions (4% = 0.04). The prototype holds most rates as whole percentages (4) and divides by 100; the results are the same.</t>
  </si>
  <si>
    <t xml:space="preserve">Inflation</t>
  </si>
  <si>
    <t xml:space="preserve">The client's own choice (Assumptions!C6 and C7). Default here: chosen, 2% (long-term standard). 3.5% is Ireland today (CSO, May 2026). With C6 = 0 the workbook behaves like the prototype before the client picks a rate (nominal figures, flat withdrawals).</t>
  </si>
  <si>
    <t xml:space="preserve">Growth set</t>
  </si>
  <si>
    <t xml:space="preserve">Standard (default) or Cautious, on Assumptions!C8. Only the pay-rise rate is used inside a calculator (C12); the other rates only pre-fill inputs.</t>
  </si>
  <si>
    <t xml:space="preserve">Rounding</t>
  </si>
  <si>
    <t xml:space="preserve">Money is shown to whole euros as the prototype does (eur(): round the absolute value, then a "−€" sign for negatives). Cells keep full precision. Month counts use yrs(): "N yr(s) M mo", or "M months" under a year.</t>
  </si>
  <si>
    <t xml:space="preserve">Functions used</t>
  </si>
  <si>
    <t xml:space="preserve">Excel 2007-compatible only: IF, AND, MAX, MIN, ABS, INT, MOD, ROUND, POWER, SQRT, SUM, INDEX, MATCH, FIXED. No XLOOKUP, FILTER, SEQUENCE, LET or LAMBDA. PMT/FV/NPER are not used: the annuity is written out so it matches the JS at 0% too, and loops are explicit tables (no closed-form NPER).</t>
  </si>
  <si>
    <t xml:space="preserve">Out of scope</t>
  </si>
  <si>
    <t xml:space="preserve">The main plan cashflow and goal-funding engine (project()) is not in this workbook; it is documented separately.</t>
  </si>
  <si>
    <t xml:space="preserve">Verification</t>
  </si>
  <si>
    <t xml:space="preserve">Test cases sheet: every calculator, at least 4 cases (defaults, low/edge, high, random realistic, plus branch cases). Expected values come from the prototype's own code; the workbook's results were recalculated in LibreOffice and compared (money ±€0.50, rates ±0.0001, counts exact, shown text exact).</t>
  </si>
  <si>
    <t xml:space="preserve">Sheets</t>
  </si>
  <si>
    <t xml:space="preserve">README · Index · Assumptions · C01 Borrowing · C02 Mortgage repayment · C03 Deposit · C04 Mortgage overpayment · C05 Interest rate impact · C06 Term comparison · C07 Rent vs buy · C08 Goal planner · C09 Compound growth · C10 Lump sum growth · C11 Emergency fund · C12 Retirement projection · C13 Contribution impact · C14 AVC impact · C15 Will my money last · C16 Drawdown scenarios · C17 Inflation adjusted return · C18 Regular investing · C19 Fees impact · C20 Risk and return · C21 Life cover · C22 Income protection gap · C23 Mortgage protection · C24 Net worth · C25 Monthly surplus · C26 Budget 50 30 20 · C27 Debt repayment · C28 Loan repayment · Test cases</t>
  </si>
  <si>
    <t xml:space="preserve">Legend samples</t>
  </si>
  <si>
    <t xml:space="preserve">Input</t>
  </si>
  <si>
    <t xml:space="preserve">Key assumption</t>
  </si>
  <si>
    <t xml:space="preserve">Formula</t>
  </si>
  <si>
    <t xml:space="preserve">Cross-sheet link</t>
  </si>
  <si>
    <t xml:space="preserve">C-number</t>
  </si>
  <si>
    <t xml:space="preserve">Sheet</t>
  </si>
  <si>
    <t xml:space="preserve">Category</t>
  </si>
  <si>
    <t xml:space="preserve">Calculator</t>
  </si>
  <si>
    <t xml:space="preserve">Question shown</t>
  </si>
  <si>
    <t xml:space="preserve">Inputs (incl. what-if and context)</t>
  </si>
  <si>
    <t xml:space="preserve">Outputs</t>
  </si>
  <si>
    <t xml:space="preserve">C01</t>
  </si>
  <si>
    <t xml:space="preserve">Home &amp; Mortgage</t>
  </si>
  <si>
    <t xml:space="preserve">How much could I borrow?</t>
  </si>
  <si>
    <t xml:space="preserve">What home price could be within reach?</t>
  </si>
  <si>
    <t xml:space="preserve">Your gross income; Partner income; Deposit saved; First-time buyer (1 = yes, 0 = no); Interest rate; Term; [what-if] Save extra towards deposit</t>
  </si>
  <si>
    <t xml:space="preserve">Homes up to about; Income multiple used (in the sentence); Limit that sets the amount (in the sentence); Borrowing by income (lti×); Borrowing by deposit (90% LTV); Your deposit; Monthly repayment (illustrative); "Add to my plan" goal amount (Buy a home); "Add to my plan" goal years</t>
  </si>
  <si>
    <t xml:space="preserve">C02</t>
  </si>
  <si>
    <t xml:space="preserve">Monthly mortgage repayment</t>
  </si>
  <si>
    <t xml:space="preserve">What would my monthly repayment be?</t>
  </si>
  <si>
    <t xml:space="preserve">Mortgage amount; Interest rate; Term; [what-if] If rates changed by; [context] Stated monthly mortgage repayment (0 = none); [context] Customer has not moved loan, rate or term in this tool (1 = yes)</t>
  </si>
  <si>
    <t xml:space="preserve">Headline: monthly repayment (what-if repayment when dr ≠ 0); What-if: change vs now (in the sentence); Formula repayment (when the stated figure differs by ≥ €5); Repayment now; Change over a year; Mortgage free in (months); Total interest; Total repaid; "Add to my plan" goal amount; "Add to my plan" goal years</t>
  </si>
  <si>
    <t xml:space="preserve">C03</t>
  </si>
  <si>
    <t xml:space="preserve">Deposit calculator</t>
  </si>
  <si>
    <t xml:space="preserve">How long until I have my deposit?</t>
  </si>
  <si>
    <t xml:space="preserve">Home price; Deposit needed; Saved so far; Monthly saving; [what-if] Save extra each month</t>
  </si>
  <si>
    <t xml:space="preserve">Time to your deposit (months); You need (sentence); Saving a month (sentence); Deposit needed; Still to save; "Add to my plan" goal amount (Home deposit); "Add to my plan" goal years</t>
  </si>
  <si>
    <t xml:space="preserve">C04</t>
  </si>
  <si>
    <t xml:space="preserve">Mortgage overpayment</t>
  </si>
  <si>
    <t xml:space="preserve">What if I paid a little extra each month?</t>
  </si>
  <si>
    <t xml:space="preserve">Mortgage balance; Interest rate; Years left; Extra each month; [context] Stated monthly mortgage repayment (0 = none); [context] Customer has not moved balance, rate or years in this tool (1 = yes)</t>
  </si>
  <si>
    <t xml:space="preserve">Mortgage free sooner by (months); Extra a month (sentence); On top of (repayment now, sentence); Mortgage free now in (months); With the extra (months); Interest saved; "Add to my plan" goal amount (Mortgage free); "Add to my plan" goal years</t>
  </si>
  <si>
    <t xml:space="preserve">C05</t>
  </si>
  <si>
    <t xml:space="preserve">Interest-rate impact</t>
  </si>
  <si>
    <t xml:space="preserve">What if my mortgage rate changed?</t>
  </si>
  <si>
    <t xml:space="preserve">Mortgage balance; Current rate; Years left; Rate change; [context] Stated monthly mortgage repayment (0 = none); [context] Customer has not moved balance, rate or years in this tool (1 = yes)</t>
  </si>
  <si>
    <t xml:space="preserve">Monthly change; New rate (sentence); Now; After change; Change over a year</t>
  </si>
  <si>
    <t xml:space="preserve">C06</t>
  </si>
  <si>
    <t xml:space="preserve">Mortgage term comparison</t>
  </si>
  <si>
    <t xml:space="preserve">Shorter or longer term: what is the trade-off?</t>
  </si>
  <si>
    <t xml:space="preserve">Mortgage amount; Interest rate; Term A; Term B</t>
  </si>
  <si>
    <t xml:space="preserve">Interest difference; Shorter term named in the sentence (years); Term A monthly; Term B monthly; Term A total interest; Term B total interest</t>
  </si>
  <si>
    <t xml:space="preserve">C07</t>
  </si>
  <si>
    <t xml:space="preserve">Rent vs buy</t>
  </si>
  <si>
    <t xml:space="preserve">How do renting and buying compare over time?</t>
  </si>
  <si>
    <t xml:space="preserve">Monthly rent; Home price; Deposit; Mortgage rate; Years; House price growth</t>
  </si>
  <si>
    <t xml:space="preserve">Home equity after the years; Rent paid; Interest + upkeep (buying); Home value; "Add to my plan" goal amount (Buy a home); "Add to my plan" goal years</t>
  </si>
  <si>
    <t xml:space="preserve">C08</t>
  </si>
  <si>
    <t xml:space="preserve">Savings &amp; Goals</t>
  </si>
  <si>
    <t xml:space="preserve">Goal planner</t>
  </si>
  <si>
    <t xml:space="preserve">How much a month to reach my goal?</t>
  </si>
  <si>
    <t xml:space="preserve">Goal amount (today's prices); Years until the goal; Already saved; Growth / interest</t>
  </si>
  <si>
    <t xml:space="preserve">Monthly amount (illustrative); Goal in today's prices; Will cost about (in y yrs); Will cost about (sentence); Already saved; Inflation rate quoted (sentence); "Add to my plan" goal amount (My goal); "Add to my plan" goal years</t>
  </si>
  <si>
    <t xml:space="preserve">C09</t>
  </si>
  <si>
    <t xml:space="preserve">Compound growth</t>
  </si>
  <si>
    <t xml:space="preserve">What could regular saving grow into?</t>
  </si>
  <si>
    <t xml:space="preserve">Starting amount; Monthly addition; Growth rate; Years</t>
  </si>
  <si>
    <t xml:space="preserve">Could grow to; Paid in; Illustrative growth; Worth in today's money (prices rising [inflation] a year); Worth about … in today's money (sentence); "Add to my plan" goal amount (Build wealth); "Add to my plan" goal years</t>
  </si>
  <si>
    <t xml:space="preserve">C10</t>
  </si>
  <si>
    <t xml:space="preserve">Investments</t>
  </si>
  <si>
    <t xml:space="preserve">Lump-sum growth</t>
  </si>
  <si>
    <t xml:space="preserve">What could a one-off amount become?</t>
  </si>
  <si>
    <t xml:space="preserve">Amount; Growth rate; Years; Yearly fees; [context] "Adjust for inflation" switch (1 = on)</t>
  </si>
  <si>
    <t xml:space="preserve">Headline figure; Real return a year (sentence); Growth after fees quoted (sentence); Cost of waiting (sentence); If you start today; If you start in 5 years; Worth in today's money (prices rising [inflation] a year); Fees cost; "Add to my plan" goal amount (Build wealth); "Add to my plan" goal years</t>
  </si>
  <si>
    <t xml:space="preserve">C11</t>
  </si>
  <si>
    <t xml:space="preserve">Emergency fund</t>
  </si>
  <si>
    <t xml:space="preserve">How strong is my financial cushion?</t>
  </si>
  <si>
    <t xml:space="preserve">Essential monthly spending; Months you want covered; Easy-access savings</t>
  </si>
  <si>
    <t xml:space="preserve">You currently have (months); Your target is (sentence); You are … away (sentence); Target cushion; Still to build; "Add to my plan" goal amount (Emergency fund); "Add to my plan" goal years</t>
  </si>
  <si>
    <t xml:space="preserve">C12</t>
  </si>
  <si>
    <t xml:space="preserve">Pensions &amp; Retirement</t>
  </si>
  <si>
    <t xml:space="preserve">Retirement projection</t>
  </si>
  <si>
    <t xml:space="preserve">Could your current path fund the retirement you want?</t>
  </si>
  <si>
    <t xml:space="preserve">Your age; Target retirement age; Pension value today; Monthly contributions; Desired yearly income; Other yearly income (e.g. State Pension); Growth after charges; [what-if] Retire later by; [what-if] Save more each month; [what-if] Spend less in retirement (per year); [context] Pension statement projection available (1 = yes); [context] Statement's projected fund; [context] Statement's retirement age; [context] Customer has not moved pot, contributions, growth or age in this tool (1 = yes)</t>
  </si>
  <si>
    <t xml:space="preserve">Projected fund; Illustrative gap of (sentence); Pay rise quoted (sentence); Illustrative target (25 × the income you need); Illustrative gap; Retiring at; Worth in today's money (prices rising [inflation] a year); Your statement projects (age nra); On our assumptions (age ra); "Add to my plan" goal amount (Comfortable retirement); "Add to my plan" goal years</t>
  </si>
  <si>
    <t xml:space="preserve">C13</t>
  </si>
  <si>
    <t xml:space="preserve">Contribution impact</t>
  </si>
  <si>
    <t xml:space="preserve">What difference would a small increase make?</t>
  </si>
  <si>
    <t xml:space="preserve">Salary; Increase contributions by; Years to retirement; Growth assumption; Your tax rate</t>
  </si>
  <si>
    <t xml:space="preserve">Could add to your pension; Extra per month; Cost after tax relief; Worth in today's money (prices rising [inflation] a year); "Add to my plan" goal amount (Boost my pension); "Add to my plan" goal years</t>
  </si>
  <si>
    <t xml:space="preserve">C14</t>
  </si>
  <si>
    <t xml:space="preserve">AVC impact</t>
  </si>
  <si>
    <t xml:space="preserve">What could extra voluntary contributions add?</t>
  </si>
  <si>
    <t xml:space="preserve">AVC per month; Years to retirement; Growth assumption; Your tax rate</t>
  </si>
  <si>
    <t xml:space="preserve">Could add; Each AVC could cost about (sentence); Paid in; Net cost to you; Worth in today's money (prices rising [inflation] a year); "Add to my plan" goal amount (Boost my pension); "Add to my plan" goal years</t>
  </si>
  <si>
    <t xml:space="preserve">C15</t>
  </si>
  <si>
    <t xml:space="preserve">Will my money last?</t>
  </si>
  <si>
    <t xml:space="preserve">How long could my retirement savings last?</t>
  </si>
  <si>
    <t xml:space="preserve">Retirement savings; Yearly withdrawal; Growth assumption</t>
  </si>
  <si>
    <t xml:space="preserve">Could last about (years); Withdrawing a year (sentence); Withdrawals rise with prices at (sentence); Withdrawal rate</t>
  </si>
  <si>
    <t xml:space="preserve">C16</t>
  </si>
  <si>
    <t xml:space="preserve">Retirement drawdown scenarios</t>
  </si>
  <si>
    <t xml:space="preserve">How do different growth rates change things?</t>
  </si>
  <si>
    <t xml:space="preserve">Retirement savings; Yearly withdrawal</t>
  </si>
  <si>
    <t xml:space="preserve">Balanced scenario lasts (years); Cautious (2%); Balanced (4%); Growth (6%); Withdrawals rise with prices at (sentence)</t>
  </si>
  <si>
    <t xml:space="preserve">C17</t>
  </si>
  <si>
    <t xml:space="preserve">Inflation-adjusted return</t>
  </si>
  <si>
    <t xml:space="preserve">What is my money really worth in future?</t>
  </si>
  <si>
    <t xml:space="preserve">Amount; Nominal return; Years</t>
  </si>
  <si>
    <t xml:space="preserve">Headline figure; Future value; Real return a year; Value in today's money; Real return (sentence, 1 dp)</t>
  </si>
  <si>
    <t xml:space="preserve">C18</t>
  </si>
  <si>
    <t xml:space="preserve">Regular investing</t>
  </si>
  <si>
    <t xml:space="preserve">What could investing monthly build?</t>
  </si>
  <si>
    <t xml:space="preserve">Monthly amount; Years; Growth assumption; Yearly fees; [context] "Adjust for inflation" switch (1 = on)</t>
  </si>
  <si>
    <t xml:space="preserve">Headline figure; Real return a year (sentence); Growth after fees quoted (sentence); Fees quoted (sentence); Fees could cost (sentence); Paid in; Before fees; Fees cost; Worth in today's money (prices rising [inflation] a year); "Add to my plan" goal amount (Build wealth); "Add to my plan" goal years</t>
  </si>
  <si>
    <t xml:space="preserve">C19</t>
  </si>
  <si>
    <t xml:space="preserve">Fees impact</t>
  </si>
  <si>
    <t xml:space="preserve">How much do fees really cost over time?</t>
  </si>
  <si>
    <t xml:space="preserve">Amount invested; Years; Growth before fees; Fee A; Fee B</t>
  </si>
  <si>
    <t xml:space="preserve">Difference; Fee difference quoted (sentence); With fee A; With fee B</t>
  </si>
  <si>
    <t xml:space="preserve">C20</t>
  </si>
  <si>
    <t xml:space="preserve">Risk &amp; return simulator</t>
  </si>
  <si>
    <t xml:space="preserve">What range of outcomes might each style have?</t>
  </si>
  <si>
    <t xml:space="preserve">Amount; Years; Style: 1 Cautious · 2 Balanced · 3 Growth</t>
  </si>
  <si>
    <t xml:space="preserve">Middle outcome (headline); A difficult year could see a fall of (sentence, %); Weaker outcome; Middle outcome; Stronger outcome</t>
  </si>
  <si>
    <t xml:space="preserve">C21</t>
  </si>
  <si>
    <t xml:space="preserve">Protection</t>
  </si>
  <si>
    <t xml:space="preserve">Life cover estimator</t>
  </si>
  <si>
    <t xml:space="preserve">How much cover might my family need?</t>
  </si>
  <si>
    <t xml:space="preserve">Your yearly income; Years your family would need support; Mortgage balance; Other debts; Savings &amp; investments; Existing cover (incl. work)</t>
  </si>
  <si>
    <t xml:space="preserve">Illustrative cover gap; Income replacement (60%); Debts to clear; Existing cover + savings; "Add to my plan" goal amount (Protect my family); "Add to my plan" goal years</t>
  </si>
  <si>
    <t xml:space="preserve">C22</t>
  </si>
  <si>
    <t xml:space="preserve">Income protection gap</t>
  </si>
  <si>
    <t xml:space="preserve">How long could I cope if I couldn't work?</t>
  </si>
  <si>
    <t xml:space="preserve">Essential monthly spending; Months of sick pay from work; Easy-access savings</t>
  </si>
  <si>
    <t xml:space="preserve">You could cope for about (months); Gap a month afterwards (sentence); Sick pay; Savings would cover; "Add to my plan" goal amount (Protect my income); "Add to my plan" goal years</t>
  </si>
  <si>
    <t xml:space="preserve">C23</t>
  </si>
  <si>
    <t xml:space="preserve">Mortgage protection</t>
  </si>
  <si>
    <t xml:space="preserve">What cover would clear my mortgage?</t>
  </si>
  <si>
    <t xml:space="preserve">Mortgage balance; Interest rate; Years left; [context] Stated monthly mortgage repayment (0 = none); [context] Customer has not moved balance, rate or years in this tool (1 = yes)</t>
  </si>
  <si>
    <t xml:space="preserve">Cover needed today; Repaying a month (sentence); In 5 years; In 10 years; In 15 years</t>
  </si>
  <si>
    <t xml:space="preserve">C24</t>
  </si>
  <si>
    <t xml:space="preserve">Everyday Money</t>
  </si>
  <si>
    <t xml:space="preserve">Net worth</t>
  </si>
  <si>
    <t xml:space="preserve">What am I worth, all in?</t>
  </si>
  <si>
    <t xml:space="preserve">Savings; Investments; Pensions; Property value; Mortgage; Other loans</t>
  </si>
  <si>
    <t xml:space="preserve">Your net worth; You own; You owe</t>
  </si>
  <si>
    <t xml:space="preserve">C25</t>
  </si>
  <si>
    <t xml:space="preserve">Monthly surplus</t>
  </si>
  <si>
    <t xml:space="preserve">What is left at the end of the month?</t>
  </si>
  <si>
    <t xml:space="preserve">Take-home pay per month; Essentials (rent/mortgage, bills, food); Lifestyle spending; Debt repayments</t>
  </si>
  <si>
    <t xml:space="preserve">Monthly surplus; % of take-home free for goals (sentence); Take-home; Going out; "Add to my plan" goal amount (Save my surplus); "Add to my plan" goal years</t>
  </si>
  <si>
    <t xml:space="preserve">C26</t>
  </si>
  <si>
    <t xml:space="preserve">Budget (50/30/20)</t>
  </si>
  <si>
    <t xml:space="preserve">A simple way to split your pay</t>
  </si>
  <si>
    <t xml:space="preserve">Take-home pay per month</t>
  </si>
  <si>
    <t xml:space="preserve">Save each month; Needs (50%); Wants (30%); Savings &amp; debt (20%)</t>
  </si>
  <si>
    <t xml:space="preserve">C27</t>
  </si>
  <si>
    <t xml:space="preserve">Debt repayment</t>
  </si>
  <si>
    <t xml:space="preserve">How fast can I clear my debt?</t>
  </si>
  <si>
    <t xml:space="preserve">Balance; Interest (APR); Monthly payment; [what-if] Pay extra each month</t>
  </si>
  <si>
    <t xml:space="preserve">Debt free in (months); You would pay about … in interest (sentence); Total interest; "Add to my plan" goal amount (Debt free); "Add to my plan" goal years</t>
  </si>
  <si>
    <t xml:space="preserve">C28</t>
  </si>
  <si>
    <t xml:space="preserve">Loan repayment</t>
  </si>
  <si>
    <t xml:space="preserve">What would a loan cost me?</t>
  </si>
  <si>
    <t xml:space="preserve">Loan amount; Interest (APR); Years</t>
  </si>
  <si>
    <t xml:space="preserve">Monthly repayment; Total interest (sentence); Total repaid</t>
  </si>
  <si>
    <t xml:space="preserve">Assumptions and constants used by the calculators</t>
  </si>
  <si>
    <t xml:space="preserve">Every rate, rule and constant a calculator uses sits in its own cell here and is referenced by the calculator sheets (green text there = a link to this sheet). Blue text on yellow = a key assumption you can change. Black = formula.</t>
  </si>
  <si>
    <t xml:space="preserve">CLIENT'S CHOICES (change these; every calculator sheet links here)</t>
  </si>
  <si>
    <t xml:space="preserve">Key</t>
  </si>
  <si>
    <t xml:space="preserve">Assumption</t>
  </si>
  <si>
    <t xml:space="preserve">Value</t>
  </si>
  <si>
    <t xml:space="preserve">Unit</t>
  </si>
  <si>
    <t xml:space="preserve">Source / note</t>
  </si>
  <si>
    <t xml:space="preserve">infl_on</t>
  </si>
  <si>
    <t xml:space="preserve">Client has chosen an inflation rate (1 = yes, 0 = not chosen yet)</t>
  </si>
  <si>
    <t xml:space="preserve">flag</t>
  </si>
  <si>
    <t xml:space="preserve">Prototype state S.infl (null until the client picks). While 0, tools show nominal figures and prompt "Pick an inflation rate"; withdrawals stay flat.</t>
  </si>
  <si>
    <t xml:space="preserve">infl</t>
  </si>
  <si>
    <t xml:space="preserve">Inflation rate (the client's choice)</t>
  </si>
  <si>
    <t xml:space="preserve">%</t>
  </si>
  <si>
    <t xml:space="preserve">Client's choice (S.infl): 2% = long-term standard; 3.5% = Ireland today (LifeGoals-Customer-Journey-Prototype.html: INFL_IE, CSO May 2026); or "Other" 0–10%. Default here 2%.</t>
  </si>
  <si>
    <t xml:space="preserve">set</t>
  </si>
  <si>
    <t xml:space="preserve">Growth assumptions set (Standard or Cautious)</t>
  </si>
  <si>
    <t xml:space="preserve">Standard</t>
  </si>
  <si>
    <t xml:space="preserve">text</t>
  </si>
  <si>
    <t xml:space="preserve">Client's choice (S.assume): Standard (default) or Cautious (the Financial Planner's set). AS_SETS in the prototype.</t>
  </si>
  <si>
    <t xml:space="preserve">INFLATION REFERENCE</t>
  </si>
  <si>
    <t xml:space="preserve">infl_std</t>
  </si>
  <si>
    <t xml:space="preserve">Long-term standard inflation (also the internal fallback before the client chooses)</t>
  </si>
  <si>
    <t xml:space="preserve">INFL_STD = 0.02: planners' long-term standard (2% a year).</t>
  </si>
  <si>
    <t xml:space="preserve">infl_ie</t>
  </si>
  <si>
    <t xml:space="preserve">Ireland inflation today</t>
  </si>
  <si>
    <t xml:space="preserve">INFL_IE = 0.035: Ireland today, CSO, May 2026 (INFL_SRC).</t>
  </si>
  <si>
    <t xml:space="preserve">infl_eff</t>
  </si>
  <si>
    <t xml:space="preserve">Inflation used in calculations (AS.infl)</t>
  </si>
  <si>
    <t xml:space="preserve">applyAssume(): AS.infl = S.infl if chosen, else INFL_STD.</t>
  </si>
  <si>
    <t xml:space="preserve">GROWTH ASSUMPTIONS BY SET (AS_SETS)</t>
  </si>
  <si>
    <t xml:space="preserve">Rate</t>
  </si>
  <si>
    <t xml:space="preserve">Cautious</t>
  </si>
  <si>
    <t xml:space="preserve">Active (selected set)</t>
  </si>
  <si>
    <t xml:space="preserve">wage</t>
  </si>
  <si>
    <t xml:space="preserve">Pay rises a year (retirement tool: contributions rise with pay)</t>
  </si>
  <si>
    <t xml:space="preserve">LifeGoals-Customer-Journey-Prototype.html: AS_SETS.standard.wage / AS_SETS.cautious.wage</t>
  </si>
  <si>
    <t xml:space="preserve">cash</t>
  </si>
  <si>
    <t xml:space="preserve">Cash savings growth after tax (plan only; not used by a calculator)</t>
  </si>
  <si>
    <t xml:space="preserve">LifeGoals-Customer-Journey-Prototype.html: AS_SETS.standard.cash / AS_SETS.cautious.cash</t>
  </si>
  <si>
    <t xml:space="preserve">inv</t>
  </si>
  <si>
    <t xml:space="preserve">Investment growth after charges and tax (plan only)</t>
  </si>
  <si>
    <t xml:space="preserve">LifeGoals-Customer-Journey-Prototype.html: AS_SETS.standard.inv / AS_SETS.cautious.inv</t>
  </si>
  <si>
    <t xml:space="preserve">pen</t>
  </si>
  <si>
    <t xml:space="preserve">Pension growth after charges (pre-fills the growth input of retirement, contribution and AVC tools)</t>
  </si>
  <si>
    <t xml:space="preserve">LifeGoals-Customer-Journey-Prototype.html: AS_SETS.standard.pen / AS_SETS.cautious.pen</t>
  </si>
  <si>
    <t xml:space="preserve">penRet</t>
  </si>
  <si>
    <t xml:space="preserve">Pension growth once retired (pre-fills "Will my money last?")</t>
  </si>
  <si>
    <t xml:space="preserve">LifeGoals-Customer-Journey-Prototype.html: AS_SETS.standard.penRet / AS_SETS.cautious.penRet</t>
  </si>
  <si>
    <t xml:space="preserve">CENTRAL BANK OF IRELAND MORTGAGE MEASURES (C01 How much could I borrow?)</t>
  </si>
  <si>
    <t xml:space="preserve">lti_ftb</t>
  </si>
  <si>
    <t xml:space="preserve">Loan-to-income limit, first-time buyers</t>
  </si>
  <si>
    <t xml:space="preserve">n</t>
  </si>
  <si>
    <t xml:space="preserve">Central Bank of Ireland mortgage measures (from 1 Jan 2023): 4× gross income for first-time buyers. https://www.centralbank.ie/news/article/central-bank-announces-targeted-changes-to-mortgage-measures-framework</t>
  </si>
  <si>
    <t xml:space="preserve">lti_ssb</t>
  </si>
  <si>
    <t xml:space="preserve">Loan-to-income limit, second and subsequent buyers</t>
  </si>
  <si>
    <t xml:space="preserve">Central Bank of Ireland: 3.5× gross income for second and subsequent buyers. https://www.centralbank.ie/news/article/central-bank-announces-targeted-changes-to-mortgage-measures-framework</t>
  </si>
  <si>
    <t xml:space="preserve">ltv</t>
  </si>
  <si>
    <t xml:space="preserve">Loan-to-value limit (all buyers)</t>
  </si>
  <si>
    <t xml:space="preserve">Central Bank of Ireland: 90% LTV for first-time and second and subsequent buyers (10% deposit). https://www.centralbank.ie/news/article/central-bank-announces-targeted-changes-to-mortgage-measures-framework</t>
  </si>
  <si>
    <t xml:space="preserve">dep_mult</t>
  </si>
  <si>
    <t xml:space="preserve">Loan allowed per €1 of deposit at that LTV</t>
  </si>
  <si>
    <t xml:space="preserve">LTV ÷ (1 − LTV) = 9. The prototype hard-codes dep × 9.</t>
  </si>
  <si>
    <t xml:space="preserve">FIGURES USED ONLY TO PRE-FILL INPUTS (calcPre; for the engineer's data mapping)</t>
  </si>
  <si>
    <t xml:space="preserve">pen_typ_chg</t>
  </si>
  <si>
    <t xml:space="preserve">Typical pension charges already inside the pension growth rate</t>
  </si>
  <si>
    <t xml:space="preserve">PEN_TYP_CHG: growth = set rate + 1% − the statement's charges, if a statement gives them.</t>
  </si>
  <si>
    <t xml:space="preserve">sp</t>
  </si>
  <si>
    <t xml:space="preserve">State Pension a year</t>
  </si>
  <si>
    <t xml:space="preserve">€</t>
  </si>
  <si>
    <t xml:space="preserve">AS.sp: €15,564 a year from age 66. Retirement tool "Other yearly income" = Math.round(State Pension × entitlement factor).</t>
  </si>
  <si>
    <t xml:space="preserve">sp_full</t>
  </si>
  <si>
    <t xml:space="preserve">State Pension entitlement factor: "Expect full"</t>
  </si>
  <si>
    <t xml:space="preserve">finNums().sp</t>
  </si>
  <si>
    <t xml:space="preserve">sp_partly</t>
  </si>
  <si>
    <t xml:space="preserve">State Pension entitlement factor: "Partly"</t>
  </si>
  <si>
    <t xml:space="preserve">sp_notsure</t>
  </si>
  <si>
    <t xml:space="preserve">State Pension entitlement factor: "Not sure"/not given</t>
  </si>
  <si>
    <t xml:space="preserve">tx_band</t>
  </si>
  <si>
    <t xml:space="preserve">Standard-rate income tax band (single)</t>
  </si>
  <si>
    <t xml:space="preserve">TX.band 2026: tax-rate input pre-fills 40% if income &gt; €44,000, else 20%.</t>
  </si>
  <si>
    <t xml:space="preserve">CALCULATOR CONSTANTS (hard-coded in the prototype; one cell each)</t>
  </si>
  <si>
    <t xml:space="preserve">payoff_cap</t>
  </si>
  <si>
    <t xml:space="preserve">payoff(): maximum months in the loop</t>
  </si>
  <si>
    <t xml:space="preserve">LifeGoals-Customer-Journey-Prototype.html CALCS: payoff(): while (bal &gt; 0.005 &amp;&amp; m &lt; 1200). Used by C02, C04, C27.</t>
  </si>
  <si>
    <t xml:space="preserve">payoff_tol</t>
  </si>
  <si>
    <t xml:space="preserve">payoff(): balance treated as paid off at or below</t>
  </si>
  <si>
    <t xml:space="preserve">LifeGoals-Customer-Journey-Prototype.html CALCS: payoff(): ignores a rounding cent so an exact repayment ends on the term.</t>
  </si>
  <si>
    <t xml:space="preserve">lasts_cap</t>
  </si>
  <si>
    <t xml:space="preserve">lasts(): maximum years in the loop ("60+")</t>
  </si>
  <si>
    <t xml:space="preserve">LifeGoals-Customer-Journey-Prototype.html CALCS: lasts(): while (y &lt; 60). Used by C15, C16.</t>
  </si>
  <si>
    <t xml:space="preserve">diff_min</t>
  </si>
  <si>
    <t xml:space="preserve">Show the formula repayment when the stated one differs by at least</t>
  </si>
  <si>
    <t xml:space="preserve">LifeGoals-Customer-Journey-Prototype.html CALCS: repayment: Math.abs(own - calc) &gt;= 5</t>
  </si>
  <si>
    <t xml:space="preserve">rb_term</t>
  </si>
  <si>
    <t xml:space="preserve">Rent vs buy: mortgage term (years)</t>
  </si>
  <si>
    <t xml:space="preserve">LifeGoals-Customer-Journey-Prototype.html CALCS: rentbuy: pmt(loan, v.rate, 30)</t>
  </si>
  <si>
    <t xml:space="preserve">rb_upkeep</t>
  </si>
  <si>
    <t xml:space="preserve">Rent vs buy: upkeep a year, % of price</t>
  </si>
  <si>
    <t xml:space="preserve">LifeGoals-Customer-Journey-Prototype.html CALCS: rentbuy: v.price * 0.01 * v.y</t>
  </si>
  <si>
    <t xml:space="preserve">lump_wait</t>
  </si>
  <si>
    <t xml:space="preserve">Lump-sum growth: years of waiting ("cost of waiting")</t>
  </si>
  <si>
    <t xml:space="preserve">LifeGoals-Customer-Journey-Prototype.html CALCS: lumpsum: Math.max(0, v.y - 5)</t>
  </si>
  <si>
    <t xml:space="preserve">ret_mult</t>
  </si>
  <si>
    <t xml:space="preserve">Retirement: target = yearly income needed ×</t>
  </si>
  <si>
    <t xml:space="preserve">LifeGoals-Customer-Journey-Prototype.html CALCS: retirement: Math.max(0, d - less - o) * 25</t>
  </si>
  <si>
    <t xml:space="preserve">life_repl</t>
  </si>
  <si>
    <t xml:space="preserve">Life cover: income replacement</t>
  </si>
  <si>
    <t xml:space="preserve">LifeGoals-Customer-Journey-Prototype.html CALCS: lifecover: v.inc * 0.6 * v.y</t>
  </si>
  <si>
    <t xml:space="preserve">dd_g1</t>
  </si>
  <si>
    <t xml:space="preserve">Drawdown scenarios: Cautious growth</t>
  </si>
  <si>
    <t xml:space="preserve">LifeGoals-Customer-Journey-Prototype.html CALCS: drawdown: [2,4,6]</t>
  </si>
  <si>
    <t xml:space="preserve">dd_g2</t>
  </si>
  <si>
    <t xml:space="preserve">Drawdown scenarios: Balanced growth</t>
  </si>
  <si>
    <t xml:space="preserve">dd_g3</t>
  </si>
  <si>
    <t xml:space="preserve">Drawdown scenarios: Growth growth</t>
  </si>
  <si>
    <t xml:space="preserve">rr_mu1</t>
  </si>
  <si>
    <t xml:space="preserve">Risk &amp; return: Cautious middle growth</t>
  </si>
  <si>
    <t xml:space="preserve">LifeGoals-Customer-Journey-Prototype.html CALCS: riskreturn: mu = [2,4,6][s-1]</t>
  </si>
  <si>
    <t xml:space="preserve">rr_mu2</t>
  </si>
  <si>
    <t xml:space="preserve">Risk &amp; return: Balanced middle growth</t>
  </si>
  <si>
    <t xml:space="preserve">LifeGoals-Customer-Journey-Prototype.html CALCS: riskreturn</t>
  </si>
  <si>
    <t xml:space="preserve">rr_mu3</t>
  </si>
  <si>
    <t xml:space="preserve">Risk &amp; return: Growth middle growth</t>
  </si>
  <si>
    <t xml:space="preserve">rr_vol1</t>
  </si>
  <si>
    <t xml:space="preserve">Risk &amp; return: Cautious volatility</t>
  </si>
  <si>
    <t xml:space="preserve">LifeGoals-Customer-Journey-Prototype.html CALCS: riskreturn: vol = [5,10,16][s-1]</t>
  </si>
  <si>
    <t xml:space="preserve">rr_vol2</t>
  </si>
  <si>
    <t xml:space="preserve">Risk &amp; return: Balanced volatility</t>
  </si>
  <si>
    <t xml:space="preserve">rr_vol3</t>
  </si>
  <si>
    <t xml:space="preserve">Risk &amp; return: Growth volatility</t>
  </si>
  <si>
    <t xml:space="preserve">rr_name1</t>
  </si>
  <si>
    <t xml:space="preserve">Risk &amp; return: style 1 name</t>
  </si>
  <si>
    <t xml:space="preserve">rr_name2</t>
  </si>
  <si>
    <t xml:space="preserve">Risk &amp; return: style 2 name</t>
  </si>
  <si>
    <t xml:space="preserve">Balanced</t>
  </si>
  <si>
    <t xml:space="preserve">rr_name3</t>
  </si>
  <si>
    <t xml:space="preserve">Risk &amp; return: style 3 name</t>
  </si>
  <si>
    <t xml:space="preserve">Growth</t>
  </si>
  <si>
    <t xml:space="preserve">rr_fall</t>
  </si>
  <si>
    <t xml:space="preserve">Risk &amp; return: difficult-year fall = volatility ×</t>
  </si>
  <si>
    <t xml:space="preserve">LifeGoals-Customer-Journey-Prototype.html CALCS: riskreturn: Math.round(vol * 1.6)</t>
  </si>
  <si>
    <t xml:space="preserve">bud_needs</t>
  </si>
  <si>
    <t xml:space="preserve">Budget: needs</t>
  </si>
  <si>
    <t xml:space="preserve">LifeGoals-Customer-Journey-Prototype.html CALCS: budget: 50/30/20</t>
  </si>
  <si>
    <t xml:space="preserve">bud_wants</t>
  </si>
  <si>
    <t xml:space="preserve">Budget: wants</t>
  </si>
  <si>
    <t xml:space="preserve">LifeGoals-Customer-Journey-Prototype.html CALCS: budget</t>
  </si>
  <si>
    <t xml:space="preserve">bud_save</t>
  </si>
  <si>
    <t xml:space="preserve">Budget: savings and debt</t>
  </si>
  <si>
    <t xml:space="preserve">mp_y1</t>
  </si>
  <si>
    <t xml:space="preserve">Mortgage protection: checkpoint 1 (years)</t>
  </si>
  <si>
    <t xml:space="preserve">LifeGoals-Customer-Journey-Prototype.html CALCS: mortgageprotect: after(5)</t>
  </si>
  <si>
    <t xml:space="preserve">mp_y2</t>
  </si>
  <si>
    <t xml:space="preserve">Mortgage protection: checkpoint 2 (years)</t>
  </si>
  <si>
    <t xml:space="preserve">LifeGoals-Customer-Journey-Prototype.html CALCS: mortgageprotect: after(10)</t>
  </si>
  <si>
    <t xml:space="preserve">mp_y3</t>
  </si>
  <si>
    <t xml:space="preserve">Mortgage protection: checkpoint 3 (years)</t>
  </si>
  <si>
    <t xml:space="preserve">LifeGoals-Customer-Journey-Prototype.html CALCS: mortgageprotect: after(15)</t>
  </si>
  <si>
    <t xml:space="preserve">home_goal_pct</t>
  </si>
  <si>
    <t xml:space="preserve">"Add to my plan" (borrow): home goal = % of price</t>
  </si>
  <si>
    <t xml:space="preserve">LifeGoals-Customer-Journey-Prototype.html CALCS: borrow: Math.round(price * 0.1)</t>
  </si>
  <si>
    <t xml:space="preserve">home_goal_years</t>
  </si>
  <si>
    <t xml:space="preserve">"Add to my plan": home goal years (borrow, repayment, rent vs buy)</t>
  </si>
  <si>
    <t xml:space="preserve">LifeGoals-Customer-Journey-Prototype.html CALCS: goal years:3</t>
  </si>
  <si>
    <t xml:space="preserve">em_goal_years</t>
  </si>
  <si>
    <t xml:space="preserve">"Add to my plan": emergency fund goal years</t>
  </si>
  <si>
    <t xml:space="preserve">LifeGoals-Customer-Journey-Prototype.html CALCS: emergency: years:2</t>
  </si>
  <si>
    <t xml:space="preserve">protect_goal_years</t>
  </si>
  <si>
    <t xml:space="preserve">"Add to my plan": protection goal years</t>
  </si>
  <si>
    <t xml:space="preserve">LifeGoals-Customer-Journey-Prototype.html CALCS: lifecover / incomegap: years:1</t>
  </si>
  <si>
    <t xml:space="preserve">surplus_goal_years</t>
  </si>
  <si>
    <t xml:space="preserve">"Add to my plan": save my surplus goal years</t>
  </si>
  <si>
    <t xml:space="preserve">LifeGoals-Customer-Journey-Prototype.html CALCS: surplus: years:1</t>
  </si>
  <si>
    <t xml:space="preserve">debt_goal_min_years</t>
  </si>
  <si>
    <t xml:space="preserve">"Add to my plan": minimum debt goal years</t>
  </si>
  <si>
    <t xml:space="preserve">LifeGoals-Customer-Journey-Prototype.html CALCS: debtpay: Math.max(1, ...)</t>
  </si>
  <si>
    <t xml:space="preserve">C01 · How much could I borrow?</t>
  </si>
  <si>
    <t xml:space="preserve">Question shown: "What home price could be within reach?"   ·   Category: Home &amp; Mortgage   ·   Prototype id: borrow</t>
  </si>
  <si>
    <t xml:space="preserve">Replicates: CALCS 'borrow' run(v); helper pmt(P, r, y).</t>
  </si>
  <si>
    <t xml:space="preserve">Edge rules: Income multiple: 4× for first-time buyers (ftb ≠ 0), 3.5× otherwise. Loan = the lower of income × multiple and deposit × 9 (90% LTV). When the two limits are equal the text says the income limit sets the amount (JS: byDep &lt; byInc). pmt() uses the monthly rate r/12 and, at 0%, P/n.</t>
  </si>
  <si>
    <t xml:space="preserve">Legend: blue = input (change these) · black = formula · green = link to the Assumptions sheet · yellow fill = key assumption. Money cells show whole euros but keep full precision, as the prototype does.</t>
  </si>
  <si>
    <t xml:space="preserve">INPUTS</t>
  </si>
  <si>
    <t xml:space="preserve">Default</t>
  </si>
  <si>
    <t xml:space="preserve">Min</t>
  </si>
  <si>
    <t xml:space="preserve">Max (slider)</t>
  </si>
  <si>
    <t xml:space="preserve">Max if typed</t>
  </si>
  <si>
    <t xml:space="preserve">Step</t>
  </si>
  <si>
    <t xml:space="preserve">Pre-filled from (if the prototype pre-fills it)</t>
  </si>
  <si>
    <t xml:space="preserve">Your gross income</t>
  </si>
  <si>
    <t xml:space="preserve">Your finances: your income (if given)</t>
  </si>
  <si>
    <t xml:space="preserve">Partner income</t>
  </si>
  <si>
    <t xml:space="preserve">Your finances: partner's income (if given)</t>
  </si>
  <si>
    <t xml:space="preserve">Deposit saved</t>
  </si>
  <si>
    <t xml:space="preserve">Plan: the home goal's amount already saved (if any)</t>
  </si>
  <si>
    <t xml:space="preserve">First-time buyer (1 = yes, 0 = no)</t>
  </si>
  <si>
    <t xml:space="preserve">Your finances: home status (owns a home → 0, otherwise 1)</t>
  </si>
  <si>
    <t xml:space="preserve">Interest rate</t>
  </si>
  <si>
    <t xml:space="preserve">% (stored as a fraction)</t>
  </si>
  <si>
    <t xml:space="preserve">Term</t>
  </si>
  <si>
    <t xml:space="preserve">years</t>
  </si>
  <si>
    <t xml:space="preserve">WHAT-IF INPUTS (the "What if…" card)</t>
  </si>
  <si>
    <t xml:space="preserve">Save extra towards deposit</t>
  </si>
  <si>
    <t xml:space="preserve">CALCULATION</t>
  </si>
  <si>
    <t xml:space="preserve">Calculation step</t>
  </si>
  <si>
    <t xml:space="preserve">JS equivalent (prototype run function)</t>
  </si>
  <si>
    <t xml:space="preserve">Income multiple (Central Bank limit)</t>
  </si>
  <si>
    <t xml:space="preserve">lti = v.ftb ? 4 : 3.5</t>
  </si>
  <si>
    <t xml:space="preserve">Deposit incl. what-if extra</t>
  </si>
  <si>
    <t xml:space="preserve">dep = v.dep + (v.xdep || 0)</t>
  </si>
  <si>
    <t xml:space="preserve">Borrowing by income</t>
  </si>
  <si>
    <t xml:space="preserve">byInc = (v.inc + v.inc2) * lti</t>
  </si>
  <si>
    <t xml:space="preserve">Borrowing by deposit (90% LTV)</t>
  </si>
  <si>
    <t xml:space="preserve">byDep = dep * 9</t>
  </si>
  <si>
    <t xml:space="preserve">Loan (lower of the two)</t>
  </si>
  <si>
    <t xml:space="preserve">loan = Math.min(byInc, byDep)</t>
  </si>
  <si>
    <t xml:space="preserve">Home price within reach</t>
  </si>
  <si>
    <t xml:space="preserve">price = loan + dep</t>
  </si>
  <si>
    <t xml:space="preserve">Monthly interest rate</t>
  </si>
  <si>
    <t xml:space="preserve">rate (fraction)</t>
  </si>
  <si>
    <t xml:space="preserve">i = r / 100 / 12</t>
  </si>
  <si>
    <t xml:space="preserve">Number of monthly payments</t>
  </si>
  <si>
    <t xml:space="preserve">n = y * 12</t>
  </si>
  <si>
    <t xml:space="preserve">Monthly repayment (illustrative)</t>
  </si>
  <si>
    <t xml:space="preserve">pmt(loan, v.rate, v.term)</t>
  </si>
  <si>
    <t xml:space="preserve">Which limit sets the amount</t>
  </si>
  <si>
    <t xml:space="preserve">byDep &lt; byInc ? 'deposit' : 'income limit'</t>
  </si>
  <si>
    <t xml:space="preserve">OUTPUTS</t>
  </si>
  <si>
    <t xml:space="preserve">Output</t>
  </si>
  <si>
    <t xml:space="preserve">As shown in the prototype</t>
  </si>
  <si>
    <t xml:space="preserve">Shown when / where it appears</t>
  </si>
  <si>
    <t xml:space="preserve">Headline label</t>
  </si>
  <si>
    <t xml:space="preserve">Always</t>
  </si>
  <si>
    <t xml:space="preserve">Homes up to about</t>
  </si>
  <si>
    <t xml:space="preserve">Headline figure</t>
  </si>
  <si>
    <t xml:space="preserve">Income multiple used (in the sentence)</t>
  </si>
  <si>
    <t xml:space="preserve">Sentence</t>
  </si>
  <si>
    <t xml:space="preserve">Limit that sets the amount (in the sentence)</t>
  </si>
  <si>
    <t xml:space="preserve">Borrowing by income (lti×)</t>
  </si>
  <si>
    <t xml:space="preserve">Row 1</t>
  </si>
  <si>
    <t xml:space="preserve">Row 2</t>
  </si>
  <si>
    <t xml:space="preserve">Your deposit</t>
  </si>
  <si>
    <t xml:space="preserve">Row 3</t>
  </si>
  <si>
    <t xml:space="preserve">Row 4</t>
  </si>
  <si>
    <t xml:space="preserve">"Add to my plan" goal amount (Buy a home)</t>
  </si>
  <si>
    <t xml:space="preserve">Add to my plan: Math.round(price × 10%)</t>
  </si>
  <si>
    <t xml:space="preserve">"Add to my plan" goal years</t>
  </si>
  <si>
    <t xml:space="preserve">Add to my plan</t>
  </si>
  <si>
    <t xml:space="preserve">C02 · Monthly mortgage repayment</t>
  </si>
  <si>
    <t xml:space="preserve">Question shown: "What would my monthly repayment be?"   ·   Category: Home &amp; Mortgage   ·   Prototype id: repayment</t>
  </si>
  <si>
    <t xml:space="preserve">Replicates: CALCS 'repayment' run(v); helpers pmt(), payoff(), mine(), statedM().</t>
  </si>
  <si>
    <t xml:space="preserve">Edge rules: Uses the customer's stated repayment (statement or typed) instead of the formula while loan, rate and term are untouched. With a what-if rate change (dr ≠ 0) the result is base + pmt(new rate) − pmt(rate) and the payoff rows are hidden. payoff(): month-by-month to 1,200 months; stops when balance ≤ €0.005; returns Infinity ("Not at this repayment") as soon as the payment ≤ that month's interest.</t>
  </si>
  <si>
    <t xml:space="preserve">One row per month, capped at 1,200 months like the JS loop.</t>
  </si>
  <si>
    <t xml:space="preserve">Payoff of the mortgage at the current repayment: payoff(v.loan, v.rate, base)</t>
  </si>
  <si>
    <t xml:space="preserve">Month</t>
  </si>
  <si>
    <t xml:space="preserve">Loop runs this month (bal &gt; 0.005, month ≤ cap, not stopped)</t>
  </si>
  <si>
    <t xml:space="preserve">Opening balance</t>
  </si>
  <si>
    <t xml:space="preserve">Interest (bal × i)</t>
  </si>
  <si>
    <t xml:space="preserve">Closing balance (bal + it − pay)</t>
  </si>
  <si>
    <t xml:space="preserve">Payment ≤ interest: never pays off (1)</t>
  </si>
  <si>
    <t xml:space="preserve">Cumulative interest</t>
  </si>
  <si>
    <t xml:space="preserve">Mortgage amount</t>
  </si>
  <si>
    <t xml:space="preserve">Your finances or mortgage statement: mortgage balance (if you have a mortgage)</t>
  </si>
  <si>
    <t xml:space="preserve">Your finances or mortgage statement: mortgage rate</t>
  </si>
  <si>
    <t xml:space="preserve">Your finances or mortgage statement: years left (25 if not given)</t>
  </si>
  <si>
    <t xml:space="preserve">If rates changed by</t>
  </si>
  <si>
    <t xml:space="preserve">CONTEXT INPUTS (state the prototype reads besides the sliders)</t>
  </si>
  <si>
    <t xml:space="preserve">Stated monthly mortgage repayment (0 = none)</t>
  </si>
  <si>
    <t xml:space="preserve">Pre-filled from Your finances / mortgage statement: the stated monthly repayment (statement or typed; estimates do not count). 0 = no stated repayment.</t>
  </si>
  <si>
    <t xml:space="preserve">Customer has not moved loan, rate or term in this tool (1 = yes)</t>
  </si>
  <si>
    <t xml:space="preserve">mine(): 1 while the customer has not moved any of the listed sliders in this tool; 0 once they have (the stated figure then stops applying).</t>
  </si>
  <si>
    <t xml:space="preserve">Formula repayment</t>
  </si>
  <si>
    <t xml:space="preserve">calc = pmt(v.loan, v.rate, v.term)</t>
  </si>
  <si>
    <t xml:space="preserve">Stated repayment in use (0 = none)</t>
  </si>
  <si>
    <t xml:space="preserve">own = mine(...) ? statedM('mortPayM') : null</t>
  </si>
  <si>
    <t xml:space="preserve">Repayment now</t>
  </si>
  <si>
    <t xml:space="preserve">base = own || calc</t>
  </si>
  <si>
    <t xml:space="preserve">What-if rate</t>
  </si>
  <si>
    <t xml:space="preserve">% (fraction)</t>
  </si>
  <si>
    <t xml:space="preserve">r = v.rate + (v.dr || 0)</t>
  </si>
  <si>
    <t xml:space="preserve">What-if monthly rate</t>
  </si>
  <si>
    <t xml:space="preserve">Formula repayment at the what-if rate</t>
  </si>
  <si>
    <t xml:space="preserve">pmt(v.loan, r, v.term)</t>
  </si>
  <si>
    <t xml:space="preserve">What-if repayment</t>
  </si>
  <si>
    <t xml:space="preserve">m = v.dr ? base + pmt(v.loan, r, v.term) - calc : base</t>
  </si>
  <si>
    <t xml:space="preserve">Payoff never ends (1 = payment ≤ interest)</t>
  </si>
  <si>
    <t xml:space="preserve">po.m === Infinity</t>
  </si>
  <si>
    <t xml:space="preserve">Months to mortgage free</t>
  </si>
  <si>
    <t xml:space="preserve">po.m (payoff months)</t>
  </si>
  <si>
    <t xml:space="preserve">Total interest</t>
  </si>
  <si>
    <t xml:space="preserve">po.int</t>
  </si>
  <si>
    <t xml:space="preserve">Stated figure differs from formula by ≥ €5 (1 = yes)</t>
  </si>
  <si>
    <t xml:space="preserve">own &amp;&amp; Math.abs(own - calc) &gt;= 5</t>
  </si>
  <si>
    <t xml:space="preserve">Headline: monthly repayment (what-if repayment when dr ≠ 0)</t>
  </si>
  <si>
    <t xml:space="preserve">What-if: change vs now (in the sentence)</t>
  </si>
  <si>
    <t xml:space="preserve">Sentence, only when dr ≠ 0</t>
  </si>
  <si>
    <t xml:space="preserve">Formula repayment (when the stated figure differs by ≥ €5)</t>
  </si>
  <si>
    <t xml:space="preserve">Sentence, only when using a stated repayment that differs</t>
  </si>
  <si>
    <t xml:space="preserve">Row, only when dr ≠ 0</t>
  </si>
  <si>
    <t xml:space="preserve">Change over a year</t>
  </si>
  <si>
    <t xml:space="preserve">Mortgage free in (months)</t>
  </si>
  <si>
    <t xml:space="preserve">Row, only when dr = 0</t>
  </si>
  <si>
    <t xml:space="preserve">Total repaid</t>
  </si>
  <si>
    <t xml:space="preserve">"Add to my plan" goal amount</t>
  </si>
  <si>
    <t xml:space="preserve">C03 · Deposit calculator</t>
  </si>
  <si>
    <t xml:space="preserve">Question shown: "How long until I have my deposit?"   ·   Category: Home &amp; Mortgage   ·   Prototype id: deposit</t>
  </si>
  <si>
    <t xml:space="preserve">Replicates: CALCS 'deposit' run(v); helper yrs(m).</t>
  </si>
  <si>
    <t xml:space="preserve">Edge rules: Closed form in the JS (no loop): months = ceil(still to save ÷ monthly saving incl. what-if extra). "You have it" when nothing is left to save. Goal years = max(1, ceil(unrounded months ÷ 12)). yrs() shows "N months" below a year (also "1 months", "0 months").</t>
  </si>
  <si>
    <t xml:space="preserve">Home price</t>
  </si>
  <si>
    <t xml:space="preserve">Deposit needed</t>
  </si>
  <si>
    <t xml:space="preserve">Saved so far</t>
  </si>
  <si>
    <t xml:space="preserve">Monthly saving</t>
  </si>
  <si>
    <t xml:space="preserve">Save extra each month</t>
  </si>
  <si>
    <t xml:space="preserve">need = v.price * v.pc / 100</t>
  </si>
  <si>
    <t xml:space="preserve">Still to save</t>
  </si>
  <si>
    <t xml:space="preserve">left = Math.max(0, need - v.saved)</t>
  </si>
  <si>
    <t xml:space="preserve">Monthly saving incl. what-if extra</t>
  </si>
  <si>
    <t xml:space="preserve">v.mo + (v.xmo || 0)</t>
  </si>
  <si>
    <t xml:space="preserve">Months (unrounded)</t>
  </si>
  <si>
    <t xml:space="preserve">num</t>
  </si>
  <si>
    <t xml:space="preserve">m = left / (v.mo + (v.xmo || 0))   [0 saving is outside the input range]</t>
  </si>
  <si>
    <t xml:space="preserve">Months (rounded up)</t>
  </si>
  <si>
    <t xml:space="preserve">Math.ceil(m)</t>
  </si>
  <si>
    <t xml:space="preserve">Time to your deposit (months)</t>
  </si>
  <si>
    <t xml:space="preserve">Headline</t>
  </si>
  <si>
    <t xml:space="preserve">You need (sentence)</t>
  </si>
  <si>
    <t xml:space="preserve">Saving a month (sentence)</t>
  </si>
  <si>
    <t xml:space="preserve">"Add to my plan" goal amount (Home deposit)</t>
  </si>
  <si>
    <t xml:space="preserve">C04 · Mortgage overpayment</t>
  </si>
  <si>
    <t xml:space="preserve">Question shown: "What if I paid a little extra each month?"   ·   Category: Home &amp; Mortgage   ·   Prototype id: overpay</t>
  </si>
  <si>
    <t xml:space="preserve">Replicates: CALCS 'overpay' run(v); helpers pmt(), payoff() ×2, mine(), statedM(), yrs().</t>
  </si>
  <si>
    <t xml:space="preserve">Edge rules: Repayment = stated repayment while balance, rate and years are untouched, else pmt(). Two payoffs: at the repayment (A) and at repayment + extra (B). Headline "—" if A never pays off. If B never pays off either, the row shows "Infinity yrs" and the goal years Infinity (JS behaviour, replicated). Both payoffs stop at 1,200 months.</t>
  </si>
  <si>
    <t xml:space="preserve">A: payoff(v.bal, v.rate, p)</t>
  </si>
  <si>
    <t xml:space="preserve">B: payoff(v.bal, v.rate, p + v.x)</t>
  </si>
  <si>
    <t xml:space="preserve">Mortgage balance</t>
  </si>
  <si>
    <t xml:space="preserve">Your finances or mortgage statement: mortgage balance</t>
  </si>
  <si>
    <t xml:space="preserve">Years left</t>
  </si>
  <si>
    <t xml:space="preserve">Extra each month</t>
  </si>
  <si>
    <t xml:space="preserve">Customer has not moved balance, rate or years in this tool (1 = yes)</t>
  </si>
  <si>
    <t xml:space="preserve">pmt(v.bal, v.rate, v.yrs)</t>
  </si>
  <si>
    <t xml:space="preserve">p = own || pmt(...)</t>
  </si>
  <si>
    <t xml:space="preserve">Repayment with the extra</t>
  </si>
  <si>
    <t xml:space="preserve">p + v.x</t>
  </si>
  <si>
    <t xml:space="preserve">A never pays off (1)</t>
  </si>
  <si>
    <t xml:space="preserve">a.m === Infinity</t>
  </si>
  <si>
    <t xml:space="preserve">A months</t>
  </si>
  <si>
    <t xml:space="preserve">a.m</t>
  </si>
  <si>
    <t xml:space="preserve">A total interest</t>
  </si>
  <si>
    <t xml:space="preserve">a.int</t>
  </si>
  <si>
    <t xml:space="preserve">B never pays off (1)</t>
  </si>
  <si>
    <t xml:space="preserve">b.m === Infinity</t>
  </si>
  <si>
    <t xml:space="preserve">B months</t>
  </si>
  <si>
    <t xml:space="preserve">b.m</t>
  </si>
  <si>
    <t xml:space="preserve">B total interest</t>
  </si>
  <si>
    <t xml:space="preserve">b.int</t>
  </si>
  <si>
    <t xml:space="preserve">Months sooner</t>
  </si>
  <si>
    <t xml:space="preserve">Math.max(0, a.m - b.m)  (a.m − Infinity → 0)</t>
  </si>
  <si>
    <t xml:space="preserve">Interest saved</t>
  </si>
  <si>
    <t xml:space="preserve">a.int - b.int</t>
  </si>
  <si>
    <t xml:space="preserve">Mortgage free sooner by (months)</t>
  </si>
  <si>
    <t xml:space="preserve">Extra a month (sentence)</t>
  </si>
  <si>
    <t xml:space="preserve">On top of (repayment now, sentence)</t>
  </si>
  <si>
    <t xml:space="preserve">Mortgage free now in (months)</t>
  </si>
  <si>
    <t xml:space="preserve">With the extra (months)</t>
  </si>
  <si>
    <t xml:space="preserve">Row 3 (also in the sentence)</t>
  </si>
  <si>
    <t xml:space="preserve">"Add to my plan" goal amount (Mortgage free)</t>
  </si>
  <si>
    <t xml:space="preserve">Add to my plan: Math.ceil(b.m / 12)</t>
  </si>
  <si>
    <t xml:space="preserve">C05 · Interest-rate impact</t>
  </si>
  <si>
    <t xml:space="preserve">Question shown: "What if my mortgage rate changed?"   ·   Category: Home &amp; Mortgage   ·   Prototype id: ratechange</t>
  </si>
  <si>
    <t xml:space="preserve">Replicates: CALCS 'ratechange' run(v); helpers pmt(), mine(), statedM().</t>
  </si>
  <si>
    <t xml:space="preserve">Edge rules: Repayment now = stated repayment (while loan, rate and years are untouched) or pmt(). After change = now + pmt(rate + change) − pmt(rate), so a stated figure is shifted by the formula difference. Headline shows "+" when the change is ≥ 0 (also "+€0").</t>
  </si>
  <si>
    <t xml:space="preserve">Current rate</t>
  </si>
  <si>
    <t xml:space="preserve">Rate change</t>
  </si>
  <si>
    <t xml:space="preserve">own</t>
  </si>
  <si>
    <t xml:space="preserve">a = own || calc</t>
  </si>
  <si>
    <t xml:space="preserve">New rate</t>
  </si>
  <si>
    <t xml:space="preserve">v.rate + v.d</t>
  </si>
  <si>
    <t xml:space="preserve">New monthly rate</t>
  </si>
  <si>
    <t xml:space="preserve">Formula repayment at the new rate</t>
  </si>
  <si>
    <t xml:space="preserve">pmt(v.loan, v.rate + v.d, v.term)</t>
  </si>
  <si>
    <t xml:space="preserve">Repayment after the change</t>
  </si>
  <si>
    <t xml:space="preserve">b = a + pmt(...) - calc</t>
  </si>
  <si>
    <t xml:space="preserve">Monthly change</t>
  </si>
  <si>
    <t xml:space="preserve">b - a</t>
  </si>
  <si>
    <t xml:space="preserve">New rate (sentence)</t>
  </si>
  <si>
    <t xml:space="preserve">Now</t>
  </si>
  <si>
    <t xml:space="preserve">After change</t>
  </si>
  <si>
    <t xml:space="preserve">C06 · Mortgage term comparison</t>
  </si>
  <si>
    <t xml:space="preserve">Question shown: "Shorter or longer term: what is the trade-off?"   ·   Category: Home &amp; Mortgage   ·   Prototype id: term</t>
  </si>
  <si>
    <t xml:space="preserve">Replicates: CALCS 'term' run(v); helper pmt().</t>
  </si>
  <si>
    <t xml:space="preserve">Edge rules: Total interest = monthly × years × 12 − loan (no loop). The sentence names the shorter term; if both terms are equal it still says it "costs more each month".</t>
  </si>
  <si>
    <t xml:space="preserve">Term A</t>
  </si>
  <si>
    <t xml:space="preserve">Term B</t>
  </si>
  <si>
    <t xml:space="preserve">Term A monthly</t>
  </si>
  <si>
    <t xml:space="preserve">ma = pmt(v.loan, v.rate, v.a)</t>
  </si>
  <si>
    <t xml:space="preserve">Term B monthly</t>
  </si>
  <si>
    <t xml:space="preserve">mb = pmt(v.loan, v.rate, v.b)</t>
  </si>
  <si>
    <t xml:space="preserve">Term A total interest</t>
  </si>
  <si>
    <t xml:space="preserve">ia = ma * v.a * 12 - v.loan</t>
  </si>
  <si>
    <t xml:space="preserve">Term B total interest</t>
  </si>
  <si>
    <t xml:space="preserve">ib = mb * v.b * 12 - v.loan</t>
  </si>
  <si>
    <t xml:space="preserve">Interest difference</t>
  </si>
  <si>
    <t xml:space="preserve">Shorter term named in the sentence (years)</t>
  </si>
  <si>
    <t xml:space="preserve">C07 · Rent vs buy</t>
  </si>
  <si>
    <t xml:space="preserve">Question shown: "How do renting and buying compare over time?"   ·   Category: Home &amp; Mortgage   ·   Prototype id: rentbuy</t>
  </si>
  <si>
    <t xml:space="preserve">Replicates: CALCS 'rentbuy' run(v); helpers pmt(), fvL(); month-by-month loop for (k = 0; k &lt; v.y*12; k++).</t>
  </si>
  <si>
    <t xml:space="preserve">Edge rules: Mortgage repayment is always over 30 years. Balance after the chosen years comes from an explicit monthly loop (no early stop). Upkeep = 1% of the price a year. A deposit above the price gives a negative loan and is not blocked (JS behaviour).</t>
  </si>
  <si>
    <t xml:space="preserve">360 rows = 30 years, the most the Years input allows.</t>
  </si>
  <si>
    <t xml:space="preserve">Mortgage balance month by month: bal -= m - bal × i</t>
  </si>
  <si>
    <t xml:space="preserve">Month within the chosen years (k ≤ y × 12)</t>
  </si>
  <si>
    <t xml:space="preserve">Interest</t>
  </si>
  <si>
    <t xml:space="preserve">Closing balance</t>
  </si>
  <si>
    <t xml:space="preserve">Monthly rent</t>
  </si>
  <si>
    <t xml:space="preserve">Deposit</t>
  </si>
  <si>
    <t xml:space="preserve">Mortgage rate</t>
  </si>
  <si>
    <t xml:space="preserve">Years</t>
  </si>
  <si>
    <t xml:space="preserve">House price growth</t>
  </si>
  <si>
    <t xml:space="preserve">Loan</t>
  </si>
  <si>
    <t xml:space="preserve">loan = v.price - v.dep</t>
  </si>
  <si>
    <t xml:space="preserve">Monthly rate for the repayment</t>
  </si>
  <si>
    <t xml:space="preserve">pmt(): i = r / 100 / 12</t>
  </si>
  <si>
    <t xml:space="preserve">Repayment term in months (30 years)</t>
  </si>
  <si>
    <t xml:space="preserve">pmt(loan, v.rate, 30)</t>
  </si>
  <si>
    <t xml:space="preserve">Monthly repayment</t>
  </si>
  <si>
    <t xml:space="preserve">m = pmt(loan, v.rate, 30)</t>
  </si>
  <si>
    <t xml:space="preserve">Monthly rate in the loop</t>
  </si>
  <si>
    <t xml:space="preserve">i = v.rate / 1200</t>
  </si>
  <si>
    <t xml:space="preserve">Balance after the chosen years</t>
  </si>
  <si>
    <t xml:space="preserve">bal after the loop</t>
  </si>
  <si>
    <t xml:space="preserve">Interest paid over the years</t>
  </si>
  <si>
    <t xml:space="preserve">int</t>
  </si>
  <si>
    <t xml:space="preserve">Rent paid</t>
  </si>
  <si>
    <t xml:space="preserve">rentCost = v.rent * 12 * v.y</t>
  </si>
  <si>
    <t xml:space="preserve">Upkeep</t>
  </si>
  <si>
    <t xml:space="preserve">upkeep = v.price * 0.01 * v.y</t>
  </si>
  <si>
    <t xml:space="preserve">Home value</t>
  </si>
  <si>
    <t xml:space="preserve">value = fvL(v.price, v.g, v.y)</t>
  </si>
  <si>
    <t xml:space="preserve">Home equity</t>
  </si>
  <si>
    <t xml:space="preserve">equity = value - bal</t>
  </si>
  <si>
    <t xml:space="preserve">Home equity after the years</t>
  </si>
  <si>
    <t xml:space="preserve">Row 1 (also in the sentence)</t>
  </si>
  <si>
    <t xml:space="preserve">Interest + upkeep (buying)</t>
  </si>
  <si>
    <t xml:space="preserve">Row 2 (also in the sentence)</t>
  </si>
  <si>
    <t xml:space="preserve">C08 · Goal planner</t>
  </si>
  <si>
    <t xml:space="preserve">Question shown: "How much a month to reach my goal?"   ·   Category: Savings &amp; Goals   ·   Prototype id: goalplanner</t>
  </si>
  <si>
    <t xml:space="preserve">Replicates: CALCS 'goalplanner' run(v); helpers fvL(), fvA(1, r, y), inflation via S.infl (applyAssume, inflSet).</t>
  </si>
  <si>
    <t xml:space="preserve">Edge rules: When the client has chosen an inflation rate, the goal is grown to its future cost: t × (1 + inflation)^years; otherwise today's price is used. Monthly = (future cost − saved × (1+r)^y) ÷ fvA(1, r, y); 0 if nothing is left. fvA uses the monthly rate equivalent to the yearly rate, (1+r)^(1/12) − 1, and m × n at 0%.</t>
  </si>
  <si>
    <t xml:space="preserve">Goal amount (today's prices)</t>
  </si>
  <si>
    <t xml:space="preserve">Years until the goal</t>
  </si>
  <si>
    <t xml:space="preserve">Already saved</t>
  </si>
  <si>
    <t xml:space="preserve">Growth / interest</t>
  </si>
  <si>
    <t xml:space="preserve">Future cost of the goal</t>
  </si>
  <si>
    <t xml:space="preserve">fut = inflSet() ? v.t * Math.pow(1 + AS.infl, v.y) : v.t</t>
  </si>
  <si>
    <t xml:space="preserve">Already saved, grown</t>
  </si>
  <si>
    <t xml:space="preserve">fvL(v.s, v.r, v.y)</t>
  </si>
  <si>
    <t xml:space="preserve">Still to fund</t>
  </si>
  <si>
    <t xml:space="preserve">rest = fut - fvL(...)</t>
  </si>
  <si>
    <t xml:space="preserve">Monthly growth rate</t>
  </si>
  <si>
    <t xml:space="preserve">i = Math.pow(1 + r/100, 1/12) - 1</t>
  </si>
  <si>
    <t xml:space="preserve">Months</t>
  </si>
  <si>
    <t xml:space="preserve">Future value of €1 a month</t>
  </si>
  <si>
    <t xml:space="preserve">fvA(1, v.r, v.y)</t>
  </si>
  <si>
    <t xml:space="preserve">Monthly amount</t>
  </si>
  <si>
    <t xml:space="preserve">m = rest &gt; 0 ? rest / fvA(1, v.r, v.y) : 0</t>
  </si>
  <si>
    <t xml:space="preserve">Monthly amount (illustrative)</t>
  </si>
  <si>
    <t xml:space="preserve">Headline (also in the sentence)</t>
  </si>
  <si>
    <t xml:space="preserve">Goal in today's prices</t>
  </si>
  <si>
    <t xml:space="preserve">Will cost about (in y yrs)</t>
  </si>
  <si>
    <t xml:space="preserve">Row 2 and sentence, only when inflation is chosen</t>
  </si>
  <si>
    <t xml:space="preserve">Will cost about (sentence)</t>
  </si>
  <si>
    <t xml:space="preserve">Sentence, only when inflation is chosen</t>
  </si>
  <si>
    <t xml:space="preserve">Last row</t>
  </si>
  <si>
    <t xml:space="preserve">Inflation rate quoted (sentence)</t>
  </si>
  <si>
    <t xml:space="preserve">"Add to my plan" goal amount (My goal)</t>
  </si>
  <si>
    <t xml:space="preserve">C09 · Compound growth</t>
  </si>
  <si>
    <t xml:space="preserve">Question shown: "What could regular saving grow into?"   ·   Category: Savings &amp; Goals   ·   Prototype id: compound</t>
  </si>
  <si>
    <t xml:space="preserve">Replicates: CALCS 'compound' run(v); helpers fvL(), fvA(), todayM(), worthTxt(), inflRow().</t>
  </si>
  <si>
    <t xml:space="preserve">Edge rules: Total = p × (1+r)^y + fvA(m, r, y). Today's-money figure appears only when the client has chosen inflation. The goal amount is in today's money when inflation is chosen, otherwise the nominal total.</t>
  </si>
  <si>
    <t xml:space="preserve">Starting amount</t>
  </si>
  <si>
    <t xml:space="preserve">Monthly addition</t>
  </si>
  <si>
    <t xml:space="preserve">Growth rate</t>
  </si>
  <si>
    <t xml:space="preserve">Starting amount, grown</t>
  </si>
  <si>
    <t xml:space="preserve">fvL(v.p, v.r, v.y)</t>
  </si>
  <si>
    <t xml:space="preserve">Monthly additions, grown</t>
  </si>
  <si>
    <t xml:space="preserve">fvA(v.m, v.r, v.y)</t>
  </si>
  <si>
    <t xml:space="preserve">Could grow to</t>
  </si>
  <si>
    <t xml:space="preserve">f = fvL(...) + fvA(...)</t>
  </si>
  <si>
    <t xml:space="preserve">Paid in</t>
  </si>
  <si>
    <t xml:space="preserve">put = v.p + v.m * 12 * v.y</t>
  </si>
  <si>
    <t xml:space="preserve">Inflation discount factor (1 + inflation)^years</t>
  </si>
  <si>
    <t xml:space="preserve">Math.pow(1 + AS.infl, y)</t>
  </si>
  <si>
    <t xml:space="preserve">Worth in today's money</t>
  </si>
  <si>
    <t xml:space="preserve">todayM(fv, y) = fv / (1 + AS.infl)^y</t>
  </si>
  <si>
    <t xml:space="preserve">Illustrative growth</t>
  </si>
  <si>
    <t xml:space="preserve">Worth in today's money (prices rising [inflation] a year)</t>
  </si>
  <si>
    <t xml:space="preserve">Only when the client has chosen an inflation rate (inflRow)</t>
  </si>
  <si>
    <t xml:space="preserve">Worth about … in today's money (sentence)</t>
  </si>
  <si>
    <t xml:space="preserve">"Add to my plan" goal amount (Build wealth)</t>
  </si>
  <si>
    <t xml:space="preserve">Add to my plan: today's money if inflation chosen</t>
  </si>
  <si>
    <t xml:space="preserve">C10 · Lump-sum growth</t>
  </si>
  <si>
    <t xml:space="preserve">Question shown: "What could a one-off amount become?"   ·   Category: Investments   ·   Prototype id: lumpsum</t>
  </si>
  <si>
    <t xml:space="preserve">Replicates: CALCS 'lumpsum' run(v); helpers fvL(), todayM(), realLine(), inflRow(), adjOn('lumpsum') (the "Adjust for inflation" switch).</t>
  </si>
  <si>
    <t xml:space="preserve">Edge rules: Growth after fees nr = (1+r)(1−f) − 1. The "Adjust for inflation" switch (default off) shows today's money only when the client has also chosen inflation. "Start in 5 years" grows for max(0, years − 5). Fees row only when fees ≠ 0. The goal amount is in today's money whenever inflation is chosen, even with the switch off (JS behaviour).</t>
  </si>
  <si>
    <t xml:space="preserve">Amount</t>
  </si>
  <si>
    <t xml:space="preserve">Your finances or investment statement: investments (if given)</t>
  </si>
  <si>
    <t xml:space="preserve">Yearly fees</t>
  </si>
  <si>
    <t xml:space="preserve">"Adjust for inflation" switch (1 = on)</t>
  </si>
  <si>
    <t xml:space="preserve">The switch on this tool; default off, remembered per tool for the session (S.adjInfl)</t>
  </si>
  <si>
    <t xml:space="preserve">Growth after fees</t>
  </si>
  <si>
    <t xml:space="preserve">nr = ((1 + v.r/100) * (1 - v.f/100) - 1) * 100</t>
  </si>
  <si>
    <t xml:space="preserve">Value before fees</t>
  </si>
  <si>
    <t xml:space="preserve">gross = fvL(v.p, v.r, v.y)</t>
  </si>
  <si>
    <t xml:space="preserve">If you start today (after fees)</t>
  </si>
  <si>
    <t xml:space="preserve">f = fvL(v.p, nr, v.y)</t>
  </si>
  <si>
    <t xml:space="preserve">If you start in 5 years</t>
  </si>
  <si>
    <t xml:space="preserve">late = fvL(v.p, nr, Math.max(0, v.y - 5))</t>
  </si>
  <si>
    <t xml:space="preserve">Show in today's money (switch on and inflation chosen)</t>
  </si>
  <si>
    <t xml:space="preserve">adjOn('lumpsum')</t>
  </si>
  <si>
    <t xml:space="preserve">Inflation discount factor</t>
  </si>
  <si>
    <t xml:space="preserve">In today's money</t>
  </si>
  <si>
    <t xml:space="preserve">todayM(f, v.y)</t>
  </si>
  <si>
    <t xml:space="preserve">Cost of waiting</t>
  </si>
  <si>
    <t xml:space="preserve">adj ? todayM(f - late, v.y) : f - late</t>
  </si>
  <si>
    <t xml:space="preserve">Real return a year</t>
  </si>
  <si>
    <t xml:space="preserve">rr = (1 + g/100) / (1 + AS.infl) - 1</t>
  </si>
  <si>
    <t xml:space="preserve">Headline: today's money when adjusted, else after fees</t>
  </si>
  <si>
    <t xml:space="preserve">Real return a year (sentence)</t>
  </si>
  <si>
    <t xml:space="preserve">Sentence, only when adjusted</t>
  </si>
  <si>
    <t xml:space="preserve">Growth after fees quoted (sentence)</t>
  </si>
  <si>
    <t xml:space="preserve">Cost of waiting (sentence)</t>
  </si>
  <si>
    <t xml:space="preserve">If you start today</t>
  </si>
  <si>
    <t xml:space="preserve">Row, only when adjusted</t>
  </si>
  <si>
    <t xml:space="preserve">Fees cost</t>
  </si>
  <si>
    <t xml:space="preserve">Row, only when fees ≠ 0</t>
  </si>
  <si>
    <t xml:space="preserve">Add to my plan: today's money whenever inflation is chosen</t>
  </si>
  <si>
    <t xml:space="preserve">C11 · Emergency fund</t>
  </si>
  <si>
    <t xml:space="preserve">Question shown: "How strong is my financial cushion?"   ·   Category: Savings &amp; Goals   ·   Prototype id: emergency</t>
  </si>
  <si>
    <t xml:space="preserve">Replicates: CALCS 'emergency' run(v).</t>
  </si>
  <si>
    <t xml:space="preserve">Edge rules: Months covered = savings ÷ monthly spending, shown to 1 decimal (JS toFixed(1)). No goal is offered when there is no gap.</t>
  </si>
  <si>
    <t xml:space="preserve">Essential monthly spending</t>
  </si>
  <si>
    <t xml:space="preserve">Your finances: monthly costs + mortgage repayment + debt repayments (if costs given)</t>
  </si>
  <si>
    <t xml:space="preserve">Months you want covered</t>
  </si>
  <si>
    <t xml:space="preserve">months</t>
  </si>
  <si>
    <t xml:space="preserve">Easy-access savings</t>
  </si>
  <si>
    <t xml:space="preserve">Your finances: cash savings (if given)</t>
  </si>
  <si>
    <t xml:space="preserve">Target cushion</t>
  </si>
  <si>
    <t xml:space="preserve">t = v.e * v.mt</t>
  </si>
  <si>
    <t xml:space="preserve">Months covered now</t>
  </si>
  <si>
    <t xml:space="preserve">cov = v.s / v.e   [0 spending is outside the input range]</t>
  </si>
  <si>
    <t xml:space="preserve">Still to build</t>
  </si>
  <si>
    <t xml:space="preserve">gap = Math.max(0, t - v.s)</t>
  </si>
  <si>
    <t xml:space="preserve">You currently have (months)</t>
  </si>
  <si>
    <t xml:space="preserve">Your target is (sentence)</t>
  </si>
  <si>
    <t xml:space="preserve">Sentence, only when there is a gap</t>
  </si>
  <si>
    <t xml:space="preserve">You are … away (sentence)</t>
  </si>
  <si>
    <t xml:space="preserve">"Add to my plan" goal amount (Emergency fund)</t>
  </si>
  <si>
    <t xml:space="preserve">Add to my plan, only when there is a gap</t>
  </si>
  <si>
    <t xml:space="preserve">C12 · Retirement projection</t>
  </si>
  <si>
    <t xml:space="preserve">Question shown: "Could your current path fund the retirement you want?"   ·   Category: Pensions &amp; Retirement   ·   Prototype id: retirement</t>
  </si>
  <si>
    <t xml:space="preserve">Replicates: CALCS 'retirement' run(v); helpers pensionAt(y, pot, monthly, g, AS.wage) (yearly loop), inflRow(), mine(); S.pdocs.retire (pension statement).</t>
  </si>
  <si>
    <t xml:space="preserve">Edge rules: Years = max(1, retirement age + "retire later" − age). Pot grows yearly: pot × (1+g) + monthly × 12 × (1 + pay rise)^t, t = 0…years−1; pay rise = the active growth set's wage rate. The pension statement's own projection replaces ours only if the retirement age equals the statement's, 'save more' is 0 and pot, contributions, growth and age are untouched. Target = max(0, desired − spend less − other income) × 25. Gap row says "None" when the gap ≤ 0.</t>
  </si>
  <si>
    <t xml:space="preserve">100 rows; the inputs allow at most 60 years.</t>
  </si>
  <si>
    <t xml:space="preserve">pensionAt(): pot = pot × (1+g) + monthly × 12 × (1+wage)^t, for t &lt; years</t>
  </si>
  <si>
    <t xml:space="preserve">t (year index)</t>
  </si>
  <si>
    <t xml:space="preserve">Year counted (t &lt; years)</t>
  </si>
  <si>
    <t xml:space="preserve">Pot at end of year</t>
  </si>
  <si>
    <t xml:space="preserve">Your age</t>
  </si>
  <si>
    <t xml:space="preserve">age</t>
  </si>
  <si>
    <t xml:space="preserve">About you: age (always)</t>
  </si>
  <si>
    <t xml:space="preserve">Target retirement age</t>
  </si>
  <si>
    <t xml:space="preserve">Plan: retirement age (always)</t>
  </si>
  <si>
    <t xml:space="preserve">Pension value today</t>
  </si>
  <si>
    <t xml:space="preserve">Your finances or pension statement: pension value (if given)</t>
  </si>
  <si>
    <t xml:space="preserve">Monthly contributions</t>
  </si>
  <si>
    <t xml:space="preserve">Your finances or pension statement: monthly contributions (if given)</t>
  </si>
  <si>
    <t xml:space="preserve">Desired yearly income</t>
  </si>
  <si>
    <t xml:space="preserve">Plan: the retirement goal's yearly income (if a retirement goal exists)</t>
  </si>
  <si>
    <t xml:space="preserve">Other yearly income (e.g. State Pension)</t>
  </si>
  <si>
    <t xml:space="preserve">Always: Math.round(State Pension €15,564 × entitlement: full 1, partly 0.6, not sure 0.8)</t>
  </si>
  <si>
    <t xml:space="preserve">Growth after charges</t>
  </si>
  <si>
    <t xml:space="preserve">Always: the plan's pension growth after charges = active set's pension rate (+1% typical charges − the statement's charges, if given), to 2 dp</t>
  </si>
  <si>
    <t xml:space="preserve">Retire later by</t>
  </si>
  <si>
    <t xml:space="preserve">Save more each month</t>
  </si>
  <si>
    <t xml:space="preserve">Spend less in retirement (per year)</t>
  </si>
  <si>
    <t xml:space="preserve">Pension statement projection available (1 = yes)</t>
  </si>
  <si>
    <t xml:space="preserve">Pension statement upload (S.pdocs.retire.v.proj != null)</t>
  </si>
  <si>
    <t xml:space="preserve">Statement's projected fund</t>
  </si>
  <si>
    <t xml:space="preserve">Pension statement upload</t>
  </si>
  <si>
    <t xml:space="preserve">Statement's retirement age</t>
  </si>
  <si>
    <t xml:space="preserve">Customer has not moved pot, contributions, growth or age in this tool (1 = yes)</t>
  </si>
  <si>
    <t xml:space="preserve">Retiring at</t>
  </si>
  <si>
    <t xml:space="preserve">ra = v.ra + (v.later || 0)</t>
  </si>
  <si>
    <t xml:space="preserve">Years to retirement</t>
  </si>
  <si>
    <t xml:space="preserve">y = Math.max(1, ra - v.age)</t>
  </si>
  <si>
    <t xml:space="preserve">Monthly contribution incl. save more</t>
  </si>
  <si>
    <t xml:space="preserve">v.m + (v.more || 0)</t>
  </si>
  <si>
    <t xml:space="preserve">Pay rise a year (active growth set)</t>
  </si>
  <si>
    <t xml:space="preserve">AS.wage</t>
  </si>
  <si>
    <t xml:space="preserve">Projected fund on our assumptions</t>
  </si>
  <si>
    <t xml:space="preserve">ours = pensionAt(y, v.pot, v.m + more, v.g/100, AS.wage)</t>
  </si>
  <si>
    <t xml:space="preserve">Use the statement's projection (1 = yes)</t>
  </si>
  <si>
    <t xml:space="preserve">useSt = d &amp;&amp; d.proj != null &amp;&amp; ra === d.nra &amp;&amp; !v.more &amp;&amp; mine(...)</t>
  </si>
  <si>
    <t xml:space="preserve">Projected fund shown</t>
  </si>
  <si>
    <t xml:space="preserve">f = useSt ? d.proj : ours</t>
  </si>
  <si>
    <t xml:space="preserve">Illustrative target</t>
  </si>
  <si>
    <t xml:space="preserve">target = Math.max(0, v.d - (v.less || 0) - v.o) * 25</t>
  </si>
  <si>
    <t xml:space="preserve">Illustrative gap</t>
  </si>
  <si>
    <t xml:space="preserve">gap = target - f</t>
  </si>
  <si>
    <t xml:space="preserve">Projected fund</t>
  </si>
  <si>
    <t xml:space="preserve">Illustrative gap of (sentence)</t>
  </si>
  <si>
    <t xml:space="preserve">Pay rise quoted (sentence)</t>
  </si>
  <si>
    <t xml:space="preserve">Illustrative target (25 × the income you need)</t>
  </si>
  <si>
    <t xml:space="preserve">Your statement projects (age nra)</t>
  </si>
  <si>
    <t xml:space="preserve">Row, only with a statement projection</t>
  </si>
  <si>
    <t xml:space="preserve">On our assumptions (age ra)</t>
  </si>
  <si>
    <t xml:space="preserve">"Add to my plan" goal amount (Comfortable retirement)</t>
  </si>
  <si>
    <t xml:space="preserve">C13 · Contribution impact</t>
  </si>
  <si>
    <t xml:space="preserve">Question shown: "What difference would a small increase make?"   ·   Category: Pensions &amp; Retirement   ·   Prototype id: contrib</t>
  </si>
  <si>
    <t xml:space="preserve">Replicates: CALCS 'contrib' run(v); helpers fvA(), inflRow().</t>
  </si>
  <si>
    <t xml:space="preserve">Edge rules: Extra a month = salary × increase ÷ 12; cost after relief = extra × (1 − tax rate). No limits on relief are applied (the text says "limits apply").</t>
  </si>
  <si>
    <t xml:space="preserve">Salary</t>
  </si>
  <si>
    <t xml:space="preserve">Your finances: income (if given)</t>
  </si>
  <si>
    <t xml:space="preserve">Increase contributions by</t>
  </si>
  <si>
    <t xml:space="preserve">Always: plan retirement age − age (min 1)</t>
  </si>
  <si>
    <t xml:space="preserve">Growth assumption</t>
  </si>
  <si>
    <t xml:space="preserve">Always: the plan's pension growth after charges, to 2 dp</t>
  </si>
  <si>
    <t xml:space="preserve">Your tax rate</t>
  </si>
  <si>
    <t xml:space="preserve">If income given: 40% if income &gt; €44,000, else 20%</t>
  </si>
  <si>
    <t xml:space="preserve">Extra per month</t>
  </si>
  <si>
    <t xml:space="preserve">m = v.sal * v.inc / 100 / 12</t>
  </si>
  <si>
    <t xml:space="preserve">fvA: i = Math.pow(1 + r/100, 1/12) - 1</t>
  </si>
  <si>
    <t xml:space="preserve">Could add to your pension</t>
  </si>
  <si>
    <t xml:space="preserve">f = fvA(m, v.g, v.y)</t>
  </si>
  <si>
    <t xml:space="preserve">Cost after tax relief</t>
  </si>
  <si>
    <t xml:space="preserve">net = m * (1 - v.tr/100)</t>
  </si>
  <si>
    <t xml:space="preserve">"Add to my plan" goal amount (Boost my pension)</t>
  </si>
  <si>
    <t xml:space="preserve">C14 · AVC impact</t>
  </si>
  <si>
    <t xml:space="preserve">Question shown: "What could extra voluntary contributions add?"   ·   Category: Pensions &amp; Retirement   ·   Prototype id: avc</t>
  </si>
  <si>
    <t xml:space="preserve">Replicates: CALCS 'avc' run(v); helpers fvA(), inflRow().</t>
  </si>
  <si>
    <t xml:space="preserve">Edge rules: Net cost = AVC × (1 − tax rate) each month, × 12 × years in total. Age-related relief limits are not applied (the text says they apply).</t>
  </si>
  <si>
    <t xml:space="preserve">AVC per month</t>
  </si>
  <si>
    <t xml:space="preserve">Could add</t>
  </si>
  <si>
    <t xml:space="preserve">f = fvA(v.m, v.g, v.y)</t>
  </si>
  <si>
    <t xml:space="preserve">Net cost of each monthly AVC</t>
  </si>
  <si>
    <t xml:space="preserve">v.m * (1 - v.tr/100)</t>
  </si>
  <si>
    <t xml:space="preserve">v.m * 12 * v.y</t>
  </si>
  <si>
    <t xml:space="preserve">Net cost to you</t>
  </si>
  <si>
    <t xml:space="preserve">v.m * (1 - v.tr/100) * 12 * v.y</t>
  </si>
  <si>
    <t xml:space="preserve">Each AVC could cost about (sentence)</t>
  </si>
  <si>
    <t xml:space="preserve">C15 · Will my money last?</t>
  </si>
  <si>
    <t xml:space="preserve">Question shown: "How long could my retirement savings last?"   ·   Category: Pensions &amp; Retirement   ·   Prototype id: lastmoney</t>
  </si>
  <si>
    <t xml:space="preserve">Replicates: CALCS 'lastmoney' run(v); helper lasts(pot, w, g, inflation) (yearly loop, cap 60).</t>
  </si>
  <si>
    <t xml:space="preserve">Edge rules: Each year: pot = pot × (1+g) − withdrawal; stop when the pot goes below 0 (a pot of exactly 0 still counts the year); then the withdrawal rises with inflation. Counts full years paid only, capped at 60 ("60+ years"). Withdrawals stay flat (0% rise) until the client has chosen an inflation rate.</t>
  </si>
  <si>
    <t xml:space="preserve">One row per year, capped at 60 years like the JS loop.</t>
  </si>
  <si>
    <t xml:space="preserve">lasts(v.pot, v.w, v.g, inflation)</t>
  </si>
  <si>
    <t xml:space="preserve">Year</t>
  </si>
  <si>
    <t xml:space="preserve">Loop runs this year</t>
  </si>
  <si>
    <t xml:space="preserve">Withdrawal this year</t>
  </si>
  <si>
    <t xml:space="preserve">Pot after growth and withdrawal</t>
  </si>
  <si>
    <t xml:space="preserve">Full year paid (pot ≥ 0)</t>
  </si>
  <si>
    <t xml:space="preserve">Retirement savings</t>
  </si>
  <si>
    <t xml:space="preserve">If pension or contributions given: the pension pot projected to retirement age (pensionAt, rounded)</t>
  </si>
  <si>
    <t xml:space="preserve">Yearly withdrawal</t>
  </si>
  <si>
    <t xml:space="preserve">Always: the active growth set's pension growth once retired (3.15% Standard / 2.8% Cautious)</t>
  </si>
  <si>
    <t xml:space="preserve">Withdrawals rise by (inflation if chosen, else 0)</t>
  </si>
  <si>
    <t xml:space="preserve">inflSet() ? AS.infl * 100 : 0</t>
  </si>
  <si>
    <t xml:space="preserve">Years the money lasts</t>
  </si>
  <si>
    <t xml:space="preserve">y = lasts(v.pot, v.w, v.g, inf)</t>
  </si>
  <si>
    <t xml:space="preserve">Withdrawal rate</t>
  </si>
  <si>
    <t xml:space="preserve">v.w / v.pot</t>
  </si>
  <si>
    <t xml:space="preserve">Could last about (years)</t>
  </si>
  <si>
    <t xml:space="preserve">Withdrawing a year (sentence)</t>
  </si>
  <si>
    <t xml:space="preserve">Withdrawals rise with prices at (sentence)</t>
  </si>
  <si>
    <t xml:space="preserve">C16 · Retirement drawdown scenarios</t>
  </si>
  <si>
    <t xml:space="preserve">Question shown: "How do different growth rates change things?"   ·   Category: Pensions &amp; Retirement   ·   Prototype id: drawdown</t>
  </si>
  <si>
    <t xml:space="preserve">Replicates: CALCS 'drawdown' run(v); helper lasts() at 2%, 4% and 6% growth.</t>
  </si>
  <si>
    <t xml:space="preserve">Edge rules: Three lasts() loops (cap 60). Headline shows "60+" for the Balanced case and the Growth row shows "60+ yrs", but the Cautious and Balanced rows show the plain number (e.g. "60 yrs") (JS behaviour, replicated). Withdrawals rise with inflation only when it is chosen.</t>
  </si>
  <si>
    <t xml:space="preserve">lasts(pot, w, 2%, inflation)</t>
  </si>
  <si>
    <t xml:space="preserve">lasts(pot, w, 4%, inflation)</t>
  </si>
  <si>
    <t xml:space="preserve">lasts(pot, w, 6%, inflation)</t>
  </si>
  <si>
    <t xml:space="preserve">Cautious growth</t>
  </si>
  <si>
    <t xml:space="preserve">2</t>
  </si>
  <si>
    <t xml:space="preserve">Balanced growth</t>
  </si>
  <si>
    <t xml:space="preserve">4</t>
  </si>
  <si>
    <t xml:space="preserve">Growth growth</t>
  </si>
  <si>
    <t xml:space="preserve">6</t>
  </si>
  <si>
    <t xml:space="preserve">Cautious: years</t>
  </si>
  <si>
    <t xml:space="preserve">s[0] = lasts(v.pot, v.w, 2, inf)</t>
  </si>
  <si>
    <t xml:space="preserve">Balanced: years</t>
  </si>
  <si>
    <t xml:space="preserve">s[1] = lasts(v.pot, v.w, 4, inf)</t>
  </si>
  <si>
    <t xml:space="preserve">Growth: years</t>
  </si>
  <si>
    <t xml:space="preserve">s[2] = lasts(v.pot, v.w, 6, inf)</t>
  </si>
  <si>
    <t xml:space="preserve">Balanced scenario lasts (years)</t>
  </si>
  <si>
    <t xml:space="preserve">Cautious (2%)</t>
  </si>
  <si>
    <t xml:space="preserve">Row 1 (no "60+" form)</t>
  </si>
  <si>
    <t xml:space="preserve">Balanced (4%)</t>
  </si>
  <si>
    <t xml:space="preserve">Row 2 (no "60+" form)</t>
  </si>
  <si>
    <t xml:space="preserve">Growth (6%)</t>
  </si>
  <si>
    <t xml:space="preserve">C17 · Inflation-adjusted return</t>
  </si>
  <si>
    <t xml:space="preserve">Question shown: "What is my money really worth in future?"   ·   Category: Investments   ·   Prototype id: realreturn</t>
  </si>
  <si>
    <t xml:space="preserve">Replicates: CALCS 'realreturn' run(v); helpers fvL(), inflation via S.infl.</t>
  </si>
  <si>
    <t xml:space="preserve">Edge rules: Without a chosen inflation rate only the future value is shown. With one: exact real return (1+r)/(1+inflation) − 1 (not r − inflation) and value ÷ (1+inflation)^years.</t>
  </si>
  <si>
    <t xml:space="preserve">Nominal return</t>
  </si>
  <si>
    <t xml:space="preserve">Future value</t>
  </si>
  <si>
    <t xml:space="preserve">n = fvL(v.p, v.r, v.y)</t>
  </si>
  <si>
    <t xml:space="preserve">rr = (1 + v.r/100) / (1 + i) - 1</t>
  </si>
  <si>
    <t xml:space="preserve">Value in today's money</t>
  </si>
  <si>
    <t xml:space="preserve">real = n / Math.pow(1 + i, v.y)</t>
  </si>
  <si>
    <t xml:space="preserve">Headline: today's money if inflation chosen, else future value</t>
  </si>
  <si>
    <t xml:space="preserve">Row 2, only when inflation is chosen</t>
  </si>
  <si>
    <t xml:space="preserve">Row 3, only when inflation is chosen</t>
  </si>
  <si>
    <t xml:space="preserve">Real return (sentence, 1 dp)</t>
  </si>
  <si>
    <t xml:space="preserve">C18 · Regular investing</t>
  </si>
  <si>
    <t xml:space="preserve">Question shown: "What could investing monthly build?"   ·   Category: Investments   ·   Prototype id: regularinvest</t>
  </si>
  <si>
    <t xml:space="preserve">Replicates: CALCS 'regularinvest' run(v); helpers fvA(), todayM(), realLine(), inflRow(), adjOn('regularinvest').</t>
  </si>
  <si>
    <t xml:space="preserve">Edge rules: Growth after fees nr = (1+g)(1−f) − 1; both before-fee and after-fee values use fvA. "Adjust for inflation" (default off) shows today's money only when the client has also chosen inflation. The goal amount is the nominal after-fee value (unlike Lump-sum growth).</t>
  </si>
  <si>
    <t xml:space="preserve">nr = ((1 + v.g/100) * (1 - v.f/100) - 1) * 100</t>
  </si>
  <si>
    <t xml:space="preserve">Monthly growth before fees</t>
  </si>
  <si>
    <t xml:space="preserve">fvA: i = Math.pow(1 + g/100, 1/12) - 1</t>
  </si>
  <si>
    <t xml:space="preserve">Before fees</t>
  </si>
  <si>
    <t xml:space="preserve">gross = fvA(v.m, v.g, v.y)</t>
  </si>
  <si>
    <t xml:space="preserve">Monthly growth after fees</t>
  </si>
  <si>
    <t xml:space="preserve">fvA: i = Math.pow(1 + nr/100, 1/12) - 1</t>
  </si>
  <si>
    <t xml:space="preserve">After fees</t>
  </si>
  <si>
    <t xml:space="preserve">net = fvA(v.m, nr, v.y)</t>
  </si>
  <si>
    <t xml:space="preserve">adjOn('regularinvest')</t>
  </si>
  <si>
    <t xml:space="preserve">todayM(net, v.y)</t>
  </si>
  <si>
    <t xml:space="preserve">realLine: (1 + g/100) / (1 + AS.infl) - 1</t>
  </si>
  <si>
    <t xml:space="preserve">Fees quoted (sentence)</t>
  </si>
  <si>
    <t xml:space="preserve">Fees could cost (sentence)</t>
  </si>
  <si>
    <t xml:space="preserve">C19 · Fees impact</t>
  </si>
  <si>
    <t xml:space="preserve">Question shown: "How much do fees really cost over time?"   ·   Category: Investments   ·   Prototype id: fees</t>
  </si>
  <si>
    <t xml:space="preserve">Replicates: CALCS 'fees' run(v).</t>
  </si>
  <si>
    <t xml:space="preserve">Edge rules: Value with fee x = amount × ((1+g) × (1−x))^years. Fee difference quoted to 1 decimal.</t>
  </si>
  <si>
    <t xml:space="preserve">Amount invested</t>
  </si>
  <si>
    <t xml:space="preserve">Growth before fees</t>
  </si>
  <si>
    <t xml:space="preserve">Fee A</t>
  </si>
  <si>
    <t xml:space="preserve">Fee B</t>
  </si>
  <si>
    <t xml:space="preserve">Value with fee A</t>
  </si>
  <si>
    <t xml:space="preserve">A1 = v.p * Math.pow((1 + v.g/100) * (1 - v.a/100), v.y)</t>
  </si>
  <si>
    <t xml:space="preserve">Value with fee B</t>
  </si>
  <si>
    <t xml:space="preserve">B1 = nf(v.b)</t>
  </si>
  <si>
    <t xml:space="preserve">Fee difference</t>
  </si>
  <si>
    <t xml:space="preserve">Math.abs(v.b - v.a)</t>
  </si>
  <si>
    <t xml:space="preserve">Difference</t>
  </si>
  <si>
    <t xml:space="preserve">Fee difference quoted (sentence)</t>
  </si>
  <si>
    <t xml:space="preserve">With fee A</t>
  </si>
  <si>
    <t xml:space="preserve">With fee B</t>
  </si>
  <si>
    <t xml:space="preserve">C20 · Risk &amp; return simulator</t>
  </si>
  <si>
    <t xml:space="preserve">Question shown: "What range of outcomes might each style have?"   ·   Category: Investments   ·   Prototype id: riskreturn</t>
  </si>
  <si>
    <t xml:space="preserve">Replicates: CALCS 'riskreturn' run(v); helper fvL().</t>
  </si>
  <si>
    <t xml:space="preserve">Edge rules: Style 1/2/3 picks growth 2/4/6% and volatility 5/10/16%. Spread = volatility ÷ √years. Weaker/stronger = growth ∓ spread. Bad-year fall = Math.round(volatility × 1.6) %. Style must be a whole number 1–3 (the slider steps by 1).</t>
  </si>
  <si>
    <t xml:space="preserve">Style: 1 Cautious · 2 Balanced · 3 Growth</t>
  </si>
  <si>
    <t xml:space="preserve">Middle growth for the style</t>
  </si>
  <si>
    <t xml:space="preserve">mu = [2,4,6][v.s - 1]</t>
  </si>
  <si>
    <t xml:space="preserve">Volatility for the style</t>
  </si>
  <si>
    <t xml:space="preserve">vol = [5,10,16][v.s - 1]</t>
  </si>
  <si>
    <t xml:space="preserve">Spread</t>
  </si>
  <si>
    <t xml:space="preserve">spread = vol / Math.sqrt(v.y)</t>
  </si>
  <si>
    <t xml:space="preserve">Style name</t>
  </si>
  <si>
    <t xml:space="preserve">['Cautious','Balanced','Growth'][v.s - 1]</t>
  </si>
  <si>
    <t xml:space="preserve">Weaker outcome</t>
  </si>
  <si>
    <t xml:space="preserve">fvL(v.p, mu - spread, v.y)</t>
  </si>
  <si>
    <t xml:space="preserve">Middle outcome</t>
  </si>
  <si>
    <t xml:space="preserve">fvL(v.p, mu, v.y)</t>
  </si>
  <si>
    <t xml:space="preserve">Stronger outcome</t>
  </si>
  <si>
    <t xml:space="preserve">fvL(v.p, mu + spread, v.y)</t>
  </si>
  <si>
    <t xml:space="preserve">Difficult-year fall</t>
  </si>
  <si>
    <t xml:space="preserve">Math.round(vol * 1.6)</t>
  </si>
  <si>
    <t xml:space="preserve">Middle outcome (headline)</t>
  </si>
  <si>
    <t xml:space="preserve">A difficult year could see a fall of (sentence, %)</t>
  </si>
  <si>
    <t xml:space="preserve">C21 · Life cover estimator</t>
  </si>
  <si>
    <t xml:space="preserve">Question shown: "How much cover might my family need?"   ·   Category: Protection   ·   Prototype id: lifecover</t>
  </si>
  <si>
    <t xml:space="preserve">Replicates: CALCS 'lifecover' run(v).</t>
  </si>
  <si>
    <t xml:space="preserve">Edge rules: Need = income × 60% × years + mortgage + other debts − savings − existing cover. Gap shown = max(0, need); no goal is offered when need ≤ 0.</t>
  </si>
  <si>
    <t xml:space="preserve">Your yearly income</t>
  </si>
  <si>
    <t xml:space="preserve">Years your family would need support</t>
  </si>
  <si>
    <t xml:space="preserve">Your finances: mortgage balance (if a mortgage)</t>
  </si>
  <si>
    <t xml:space="preserve">Other debts</t>
  </si>
  <si>
    <t xml:space="preserve">Your finances: total debts (if any)</t>
  </si>
  <si>
    <t xml:space="preserve">Savings &amp; investments</t>
  </si>
  <si>
    <t xml:space="preserve">Your finances: cash + investments (if either given)</t>
  </si>
  <si>
    <t xml:space="preserve">Existing cover (incl. work)</t>
  </si>
  <si>
    <t xml:space="preserve">Income replacement (60%)</t>
  </si>
  <si>
    <t xml:space="preserve">v.inc * 0.6 * v.y</t>
  </si>
  <si>
    <t xml:space="preserve">Cover need</t>
  </si>
  <si>
    <t xml:space="preserve">need = v.inc*0.6*v.y + v.mort + v.debt - v.sav - v.ex</t>
  </si>
  <si>
    <t xml:space="preserve">Illustrative cover gap</t>
  </si>
  <si>
    <t xml:space="preserve">Debts to clear</t>
  </si>
  <si>
    <t xml:space="preserve">Existing cover + savings</t>
  </si>
  <si>
    <t xml:space="preserve">"Add to my plan" goal amount (Protect my family)</t>
  </si>
  <si>
    <t xml:space="preserve">Add to my plan, only when need &gt; 0</t>
  </si>
  <si>
    <t xml:space="preserve">C22 · Income protection gap</t>
  </si>
  <si>
    <t xml:space="preserve">Question shown: "How long could I cope if I couldn't work?"   ·   Category: Protection   ·   Prototype id: incomegap</t>
  </si>
  <si>
    <t xml:space="preserve">Replicates: CALCS 'incomegap' run(v).</t>
  </si>
  <si>
    <t xml:space="preserve">Edge rules: Months you could cope = sick-pay months + savings ÷ monthly spending, shown to 1 decimal. Goal amount = 12 × monthly spending.</t>
  </si>
  <si>
    <t xml:space="preserve">Months of sick pay from work</t>
  </si>
  <si>
    <t xml:space="preserve">Savings would cover (months)</t>
  </si>
  <si>
    <t xml:space="preserve">v.s / v.e   [0 spending is outside the input range]</t>
  </si>
  <si>
    <t xml:space="preserve">You could cope for (months)</t>
  </si>
  <si>
    <t xml:space="preserve">m = v.sp + v.s / v.e</t>
  </si>
  <si>
    <t xml:space="preserve">You could cope for about (months)</t>
  </si>
  <si>
    <t xml:space="preserve">Gap a month afterwards (sentence)</t>
  </si>
  <si>
    <t xml:space="preserve">Sick pay</t>
  </si>
  <si>
    <t xml:space="preserve">Savings would cover</t>
  </si>
  <si>
    <t xml:space="preserve">"Add to my plan" goal amount (Protect my income)</t>
  </si>
  <si>
    <t xml:space="preserve">C23 · Mortgage protection</t>
  </si>
  <si>
    <t xml:space="preserve">Question shown: "What cover would clear my mortgage?"   ·   Category: Protection   ·   Prototype id: mortgageprotect</t>
  </si>
  <si>
    <t xml:space="preserve">Replicates: CALCS 'mortgageprotect' run(v); helpers pmt(), mine(), statedM(); inner loop after(n).</t>
  </si>
  <si>
    <t xml:space="preserve">Edge rules: Repayment = stated repayment (while balance, rate and years are untouched) or pmt(). after(n): monthly b −= repayment − b × rate/12 for n × 12 months while b &gt; 0; shown as max(0, b). A repayment below the interest makes the balance grow (shown as is).</t>
  </si>
  <si>
    <t xml:space="preserve">180 rows = 15 years, the last checkpoint.</t>
  </si>
  <si>
    <t xml:space="preserve">after(n): b -= p - b × rate/12, while b &gt; 0</t>
  </si>
  <si>
    <t xml:space="preserve">Balance after the month</t>
  </si>
  <si>
    <t xml:space="preserve">pmt(v.bal, v.rate, v.y)</t>
  </si>
  <si>
    <t xml:space="preserve">mine(...) ? statedM(...) : null</t>
  </si>
  <si>
    <t xml:space="preserve">Repayment used</t>
  </si>
  <si>
    <t xml:space="preserve">Balance in 5 years</t>
  </si>
  <si>
    <t xml:space="preserve">after(5)</t>
  </si>
  <si>
    <t xml:space="preserve">Balance in 10 years</t>
  </si>
  <si>
    <t xml:space="preserve">after(10)</t>
  </si>
  <si>
    <t xml:space="preserve">Balance in 15 years</t>
  </si>
  <si>
    <t xml:space="preserve">after(15)</t>
  </si>
  <si>
    <t xml:space="preserve">Cover needed today</t>
  </si>
  <si>
    <t xml:space="preserve">Repaying a month (sentence)</t>
  </si>
  <si>
    <t xml:space="preserve">In 5 years</t>
  </si>
  <si>
    <t xml:space="preserve">In 10 years</t>
  </si>
  <si>
    <t xml:space="preserve">In 15 years</t>
  </si>
  <si>
    <t xml:space="preserve">C24 · Net worth</t>
  </si>
  <si>
    <t xml:space="preserve">Question shown: "What am I worth, all in?"   ·   Category: Everyday Money   ·   Prototype id: networth</t>
  </si>
  <si>
    <t xml:space="preserve">Replicates: CALCS 'networth' run(v).</t>
  </si>
  <si>
    <t xml:space="preserve">Edge rules: Own = savings + investments + pensions + property; owe = mortgage + other loans. No edge rules.</t>
  </si>
  <si>
    <t xml:space="preserve">Savings</t>
  </si>
  <si>
    <t xml:space="preserve">Your finances: cash (if given)</t>
  </si>
  <si>
    <t xml:space="preserve">Your finances: investments (if given)</t>
  </si>
  <si>
    <t xml:space="preserve">Pensions</t>
  </si>
  <si>
    <t xml:space="preserve">Your finances: pension (if given)</t>
  </si>
  <si>
    <t xml:space="preserve">Property value</t>
  </si>
  <si>
    <t xml:space="preserve">Your finances: home value + other property value (home owners only)</t>
  </si>
  <si>
    <t xml:space="preserve">Mortgage</t>
  </si>
  <si>
    <t xml:space="preserve">Other loans</t>
  </si>
  <si>
    <t xml:space="preserve">You own</t>
  </si>
  <si>
    <t xml:space="preserve">a = v.sav + v.inv + v.pen + v.prop</t>
  </si>
  <si>
    <t xml:space="preserve">You owe</t>
  </si>
  <si>
    <t xml:space="preserve">l = v.mort + v.loans</t>
  </si>
  <si>
    <t xml:space="preserve">Your net worth</t>
  </si>
  <si>
    <t xml:space="preserve">C25 · Monthly surplus</t>
  </si>
  <si>
    <t xml:space="preserve">Question shown: "What is left at the end of the month?"   ·   Category: Everyday Money   ·   Prototype id: surplus</t>
  </si>
  <si>
    <t xml:space="preserve">Replicates: CALCS 'surplus' run(v).</t>
  </si>
  <si>
    <t xml:space="preserve">Edge rules: Surplus = take-home − essentials − lifestyle − debt repayments. The % free for goals and the goal appear only when the surplus is above 0.</t>
  </si>
  <si>
    <t xml:space="preserve">If income given: the plan's take-home pay this year ÷ 12</t>
  </si>
  <si>
    <t xml:space="preserve">Essentials (rent/mortgage, bills, food)</t>
  </si>
  <si>
    <t xml:space="preserve">If income given: monthly costs + one-off costs ÷ 12 + mortgage repayment</t>
  </si>
  <si>
    <t xml:space="preserve">Lifestyle spending</t>
  </si>
  <si>
    <t xml:space="preserve">If income given: 0</t>
  </si>
  <si>
    <t xml:space="preserve">Debt repayments</t>
  </si>
  <si>
    <t xml:space="preserve">If income given: debt repayments (if any debts)</t>
  </si>
  <si>
    <t xml:space="preserve">s = v.inc - v.ess - v.life - v.debt</t>
  </si>
  <si>
    <t xml:space="preserve">Share of take-home free for goals</t>
  </si>
  <si>
    <t xml:space="preserve">Math.round(s / v.inc * 100)</t>
  </si>
  <si>
    <t xml:space="preserve">% of take-home free for goals (sentence)</t>
  </si>
  <si>
    <t xml:space="preserve">Sentence, only when surplus &gt; 0</t>
  </si>
  <si>
    <t xml:space="preserve">Take-home</t>
  </si>
  <si>
    <t xml:space="preserve">Going out</t>
  </si>
  <si>
    <t xml:space="preserve">"Add to my plan" goal amount (Save my surplus)</t>
  </si>
  <si>
    <t xml:space="preserve">Add to my plan, only when surplus &gt; 0</t>
  </si>
  <si>
    <t xml:space="preserve">C26 · Budget (50/30/20)</t>
  </si>
  <si>
    <t xml:space="preserve">Question shown: "A simple way to split your pay"   ·   Category: Everyday Money   ·   Prototype id: budget</t>
  </si>
  <si>
    <t xml:space="preserve">Replicates: CALCS 'budget' run(v).</t>
  </si>
  <si>
    <t xml:space="preserve">Edge rules: 50% needs, 30% wants, 20% savings and debt. No edge rules.</t>
  </si>
  <si>
    <t xml:space="preserve">Needs</t>
  </si>
  <si>
    <t xml:space="preserve">v.inc * 0.5</t>
  </si>
  <si>
    <t xml:space="preserve">Wants</t>
  </si>
  <si>
    <t xml:space="preserve">v.inc * 0.3</t>
  </si>
  <si>
    <t xml:space="preserve">Savings &amp; debt</t>
  </si>
  <si>
    <t xml:space="preserve">v.inc * 0.2</t>
  </si>
  <si>
    <t xml:space="preserve">Save each month</t>
  </si>
  <si>
    <t xml:space="preserve">Needs (50%)</t>
  </si>
  <si>
    <t xml:space="preserve">Wants (30%)</t>
  </si>
  <si>
    <t xml:space="preserve">Savings &amp; debt (20%)</t>
  </si>
  <si>
    <t xml:space="preserve">C27 · Debt repayment</t>
  </si>
  <si>
    <t xml:space="preserve">Question shown: "How fast can I clear my debt?"   ·   Category: Everyday Money   ·   Prototype id: debtpay</t>
  </si>
  <si>
    <t xml:space="preserve">Replicates: CALCS 'debtpay' run(v); helpers payoff(), yrs().</t>
  </si>
  <si>
    <t xml:space="preserve">Edge rules: payoff(): month-by-month to 1,200 months; stops when balance ≤ €0.005; "Payment too low" as soon as the payment ≤ that month's interest. At 0% interest a small payment is capped at 1,200 months (100 yrs) rather than flagged. Goal years = max(1, ceil(months ÷ 12)).</t>
  </si>
  <si>
    <t xml:space="preserve">payoff(v.b, v.apr, v.p + v.x)</t>
  </si>
  <si>
    <t xml:space="preserve">Balance</t>
  </si>
  <si>
    <t xml:space="preserve">Your finances: the debt that takes longer to clear (credit card or loan) – balance</t>
  </si>
  <si>
    <t xml:space="preserve">Interest (APR)</t>
  </si>
  <si>
    <t xml:space="preserve">Your finances: that debt’s rate (stated, else 20% cards / 8% loans)</t>
  </si>
  <si>
    <t xml:space="preserve">Monthly payment</t>
  </si>
  <si>
    <t xml:space="preserve">Your finances: that debt’s monthly repayment (stated, else a 5-year estimate)</t>
  </si>
  <si>
    <t xml:space="preserve">Pay extra each month</t>
  </si>
  <si>
    <t xml:space="preserve">Monthly payment incl. extra</t>
  </si>
  <si>
    <t xml:space="preserve">v.p + (v.x || 0)</t>
  </si>
  <si>
    <t xml:space="preserve">Never pays off (1 = payment ≤ interest)</t>
  </si>
  <si>
    <t xml:space="preserve">r.m === Infinity</t>
  </si>
  <si>
    <t xml:space="preserve">Months to debt free</t>
  </si>
  <si>
    <t xml:space="preserve">r.m</t>
  </si>
  <si>
    <t xml:space="preserve">r.int</t>
  </si>
  <si>
    <t xml:space="preserve">Debt free in (months)</t>
  </si>
  <si>
    <t xml:space="preserve">You would pay about … in interest (sentence)</t>
  </si>
  <si>
    <t xml:space="preserve">Sentence, only when it pays off</t>
  </si>
  <si>
    <t xml:space="preserve">"Add to my plan" goal amount (Debt free)</t>
  </si>
  <si>
    <t xml:space="preserve">Add to my plan, only when it pays off</t>
  </si>
  <si>
    <t xml:space="preserve">C28 · Loan repayment</t>
  </si>
  <si>
    <t xml:space="preserve">Question shown: "What would a loan cost me?"   ·   Category: Everyday Money   ·   Prototype id: loan</t>
  </si>
  <si>
    <t xml:space="preserve">Replicates: CALCS 'loan' run(v); helper pmt().</t>
  </si>
  <si>
    <t xml:space="preserve">Edge rules: Standard annuity; at 0% APR the repayment is amount ÷ months. Total interest = monthly × years × 12 − amount.</t>
  </si>
  <si>
    <t xml:space="preserve">Loan amount</t>
  </si>
  <si>
    <t xml:space="preserve">m = pmt(v.a, v.apr, v.y)</t>
  </si>
  <si>
    <t xml:space="preserve">m * v.y * 12</t>
  </si>
  <si>
    <t xml:space="preserve">Total interest (sentence)</t>
  </si>
  <si>
    <t xml:space="preserve">Case ID</t>
  </si>
  <si>
    <t xml:space="preserve">Case</t>
  </si>
  <si>
    <t xml:space="preserve">Context (inflation chosen · rate · growth set)</t>
  </si>
  <si>
    <t xml:space="preserve">Inputs (as entered in the workbook; % as fractions)</t>
  </si>
  <si>
    <t xml:space="preserve">Expected value (prototype)</t>
  </si>
  <si>
    <t xml:space="preserve">Expected as shown (prototype)</t>
  </si>
  <si>
    <t xml:space="preserve">Workbook value</t>
  </si>
  <si>
    <t xml:space="preserve">Workbook as shown</t>
  </si>
  <si>
    <t xml:space="preserve">Result</t>
  </si>
  <si>
    <t xml:space="preserve">Expected values were produced by running the prototype's own run(v) code in headless Chromium; workbook values by writing the inputs into a copy of this workbook and recalculating in LibreOffice.</t>
  </si>
  <si>
    <t xml:space="preserve">C01-R1</t>
  </si>
  <si>
    <t xml:space="preserve">Borrowing</t>
  </si>
  <si>
    <t xml:space="preserve">Defaults</t>
  </si>
  <si>
    <t xml:space="preserve">chosen · 2.00% · Standard</t>
  </si>
  <si>
    <t xml:space="preserve">inc=60000; inc2=0; dep=25000; ftb=1; rate=0.04; term=30; xdep=0</t>
  </si>
  <si>
    <t xml:space="preserve">PASS</t>
  </si>
  <si>
    <t xml:space="preserve">€250,000</t>
  </si>
  <si>
    <t xml:space="preserve">deposit</t>
  </si>
  <si>
    <t xml:space="preserve">€240,000</t>
  </si>
  <si>
    <t xml:space="preserve">€225,000</t>
  </si>
  <si>
    <t xml:space="preserve">€25,000</t>
  </si>
  <si>
    <t xml:space="preserve">€1,074</t>
  </si>
  <si>
    <t xml:space="preserve">25000</t>
  </si>
  <si>
    <t xml:space="preserve">3</t>
  </si>
  <si>
    <t xml:space="preserve">C01-R2</t>
  </si>
  <si>
    <t xml:space="preserve">Low / edge</t>
  </si>
  <si>
    <t xml:space="preserve">not chosen · 2.00% · Standard</t>
  </si>
  <si>
    <t xml:space="preserve">inc=15000; inc2=0; dep=0; ftb=0; rate=0.01; term=10; xdep=0</t>
  </si>
  <si>
    <t xml:space="preserve">€0</t>
  </si>
  <si>
    <t xml:space="preserve">3.5</t>
  </si>
  <si>
    <t xml:space="preserve">€52,500</t>
  </si>
  <si>
    <t xml:space="preserve">0</t>
  </si>
  <si>
    <t xml:space="preserve">C01-R3</t>
  </si>
  <si>
    <t xml:space="preserve">High</t>
  </si>
  <si>
    <t xml:space="preserve">chosen · 3.50% · Cautious</t>
  </si>
  <si>
    <t xml:space="preserve">inc=250000; inc2=250000; dep=200000; ftb=1; rate=0.08; term=35; xdep=50000</t>
  </si>
  <si>
    <t xml:space="preserve">€2,250,000</t>
  </si>
  <si>
    <t xml:space="preserve">income limit</t>
  </si>
  <si>
    <t xml:space="preserve">€2,000,000</t>
  </si>
  <si>
    <t xml:space="preserve">€14,205</t>
  </si>
  <si>
    <t xml:space="preserve">225000</t>
  </si>
  <si>
    <t xml:space="preserve">C01-R4</t>
  </si>
  <si>
    <t xml:space="preserve">Random realistic (seed 1)</t>
  </si>
  <si>
    <t xml:space="preserve">chosen · 2.75% · Standard</t>
  </si>
  <si>
    <t xml:space="preserve">inc=57000; inc2=13000; dep=189000; ftb=0; rate=0.033; term=33; xdep=0</t>
  </si>
  <si>
    <t xml:space="preserve">€434,000</t>
  </si>
  <si>
    <t xml:space="preserve">€245,000</t>
  </si>
  <si>
    <t xml:space="preserve">€1,701,000</t>
  </si>
  <si>
    <t xml:space="preserve">€189,000</t>
  </si>
  <si>
    <t xml:space="preserve">€1,016</t>
  </si>
  <si>
    <t xml:space="preserve">43400</t>
  </si>
  <si>
    <t xml:space="preserve">C01-R5</t>
  </si>
  <si>
    <t xml:space="preserve">Branch case A</t>
  </si>
  <si>
    <t xml:space="preserve">chosen · 2.00% · Cautious</t>
  </si>
  <si>
    <t xml:space="preserve">inc=80000; inc2=40000; dep=30000; ftb=0; rate=0.04; term=30; xdep=5000</t>
  </si>
  <si>
    <t xml:space="preserve">€350,000</t>
  </si>
  <si>
    <t xml:space="preserve">€420,000</t>
  </si>
  <si>
    <t xml:space="preserve">€315,000</t>
  </si>
  <si>
    <t xml:space="preserve">€35,000</t>
  </si>
  <si>
    <t xml:space="preserve">€1,504</t>
  </si>
  <si>
    <t xml:space="preserve">35000</t>
  </si>
  <si>
    <t xml:space="preserve">C01-R6</t>
  </si>
  <si>
    <t xml:space="preserve">Branch case B</t>
  </si>
  <si>
    <t xml:space="preserve">chosen · 3.50% · Standard</t>
  </si>
  <si>
    <t xml:space="preserve">inc=45000; inc2=0; dep=20000; ftb=1; rate=0.04; term=30; xdep=0</t>
  </si>
  <si>
    <t xml:space="preserve">€200,000</t>
  </si>
  <si>
    <t xml:space="preserve">€180,000</t>
  </si>
  <si>
    <t xml:space="preserve">€20,000</t>
  </si>
  <si>
    <t xml:space="preserve">€859</t>
  </si>
  <si>
    <t xml:space="preserve">20000</t>
  </si>
  <si>
    <t xml:space="preserve">C01-R7</t>
  </si>
  <si>
    <t xml:space="preserve">Branch case C</t>
  </si>
  <si>
    <t xml:space="preserve">not chosen · 2.00% · Cautious</t>
  </si>
  <si>
    <t xml:space="preserve">inc=2000000; inc2=0; dep=1500000; ftb=1; rate=0.04; term=30; xdep=0</t>
  </si>
  <si>
    <t xml:space="preserve">€9,500,000</t>
  </si>
  <si>
    <t xml:space="preserve">€8,000,000</t>
  </si>
  <si>
    <t xml:space="preserve">€13,500,000</t>
  </si>
  <si>
    <t xml:space="preserve">€1,500,000</t>
  </si>
  <si>
    <t xml:space="preserve">€38,193</t>
  </si>
  <si>
    <t xml:space="preserve">950000</t>
  </si>
  <si>
    <t xml:space="preserve">C01-R8</t>
  </si>
  <si>
    <t xml:space="preserve">Random realistic (seed 2)</t>
  </si>
  <si>
    <t xml:space="preserve">inc=40000; inc2=0; dep=6000; ftb=0; rate=0.076; term=17; xdep=0</t>
  </si>
  <si>
    <t xml:space="preserve">€60,000</t>
  </si>
  <si>
    <t xml:space="preserve">€140,000</t>
  </si>
  <si>
    <t xml:space="preserve">€54,000</t>
  </si>
  <si>
    <t xml:space="preserve">€6,000</t>
  </si>
  <si>
    <t xml:space="preserve">€472</t>
  </si>
  <si>
    <t xml:space="preserve">6000</t>
  </si>
  <si>
    <t xml:space="preserve">C01-R9</t>
  </si>
  <si>
    <t xml:space="preserve">Random realistic (seed 3)</t>
  </si>
  <si>
    <t xml:space="preserve">inc=214000; inc2=93000; dep=144000; ftb=1; rate=0.048; term=14; xdep=0</t>
  </si>
  <si>
    <t xml:space="preserve">€1,372,000</t>
  </si>
  <si>
    <t xml:space="preserve">€1,228,000</t>
  </si>
  <si>
    <t xml:space="preserve">€1,296,000</t>
  </si>
  <si>
    <t xml:space="preserve">€144,000</t>
  </si>
  <si>
    <t xml:space="preserve">€10,053</t>
  </si>
  <si>
    <t xml:space="preserve">137200</t>
  </si>
  <si>
    <t xml:space="preserve">C01-R10</t>
  </si>
  <si>
    <t xml:space="preserve">Random realistic (seed 4)</t>
  </si>
  <si>
    <t xml:space="preserve">inc=160000; inc2=8000; dep=73000; ftb=0; rate=0.013; term=26; xdep=35000</t>
  </si>
  <si>
    <t xml:space="preserve">€696,000</t>
  </si>
  <si>
    <t xml:space="preserve">€588,000</t>
  </si>
  <si>
    <t xml:space="preserve">€972,000</t>
  </si>
  <si>
    <t xml:space="preserve">€108,000</t>
  </si>
  <si>
    <t xml:space="preserve">€2,222</t>
  </si>
  <si>
    <t xml:space="preserve">69600</t>
  </si>
  <si>
    <t xml:space="preserve">C02-R1</t>
  </si>
  <si>
    <t xml:space="preserve">Mortgage repayment</t>
  </si>
  <si>
    <t xml:space="preserve">loan=300000; rate=0.04; term=30; dr=0.0; stated=0; untouched=1</t>
  </si>
  <si>
    <t xml:space="preserve">€1,432</t>
  </si>
  <si>
    <t xml:space="preserve">30 yrs</t>
  </si>
  <si>
    <t xml:space="preserve">€215,609</t>
  </si>
  <si>
    <t xml:space="preserve">€515,609</t>
  </si>
  <si>
    <t xml:space="preserve">300000</t>
  </si>
  <si>
    <t xml:space="preserve">C02-R2</t>
  </si>
  <si>
    <t xml:space="preserve">loan=50000; rate=0.01; term=5; dr=-0.02; stated=0; untouched=1</t>
  </si>
  <si>
    <t xml:space="preserve">If your rate changed to -1.00%</t>
  </si>
  <si>
    <t xml:space="preserve">€812</t>
  </si>
  <si>
    <t xml:space="preserve">€42 less</t>
  </si>
  <si>
    <t xml:space="preserve">€855</t>
  </si>
  <si>
    <t xml:space="preserve">−€508</t>
  </si>
  <si>
    <t xml:space="preserve">50000</t>
  </si>
  <si>
    <t xml:space="preserve">C02-R3</t>
  </si>
  <si>
    <t xml:space="preserve">loan=1000000; rate=0.08; term=35; dr=0.03; stated=0; untouched=1</t>
  </si>
  <si>
    <t xml:space="preserve">If your rate changed to 11.00%</t>
  </si>
  <si>
    <t xml:space="preserve">€9,370</t>
  </si>
  <si>
    <t xml:space="preserve">€2,267 more</t>
  </si>
  <si>
    <t xml:space="preserve">€7,103</t>
  </si>
  <si>
    <t xml:space="preserve">€27,204</t>
  </si>
  <si>
    <t xml:space="preserve">1000000</t>
  </si>
  <si>
    <t xml:space="preserve">C02-R4</t>
  </si>
  <si>
    <t xml:space="preserve">loan=777000; rate=0.0255; term=9; dr=-0.005; stated=0; untouched=1</t>
  </si>
  <si>
    <t xml:space="preserve">If your rate changed to 2.05%</t>
  </si>
  <si>
    <t xml:space="preserve">€7,885</t>
  </si>
  <si>
    <t xml:space="preserve">€175 less</t>
  </si>
  <si>
    <t xml:space="preserve">€8,059</t>
  </si>
  <si>
    <t xml:space="preserve">−€2,094</t>
  </si>
  <si>
    <t xml:space="preserve">777000</t>
  </si>
  <si>
    <t xml:space="preserve">C02-R5</t>
  </si>
  <si>
    <t xml:space="preserve">loan=300000; rate=0.04; term=30; dr=0.0; stated=1500; untouched=1</t>
  </si>
  <si>
    <t xml:space="preserve">Your monthly repayment</t>
  </si>
  <si>
    <t xml:space="preserve">€1,500</t>
  </si>
  <si>
    <t xml:space="preserve">27 yrs 7 mo</t>
  </si>
  <si>
    <t xml:space="preserve">€195,199</t>
  </si>
  <si>
    <t xml:space="preserve">€495,199</t>
  </si>
  <si>
    <t xml:space="preserve">C02-R6</t>
  </si>
  <si>
    <t xml:space="preserve">loan=300000; rate=0.04; term=30; dr=0.0; stated=800; untouched=1</t>
  </si>
  <si>
    <t xml:space="preserve">€800</t>
  </si>
  <si>
    <t xml:space="preserve">Not at this repayment</t>
  </si>
  <si>
    <t xml:space="preserve">Never</t>
  </si>
  <si>
    <t xml:space="preserve">—</t>
  </si>
  <si>
    <t xml:space="preserve">C02-R7</t>
  </si>
  <si>
    <t xml:space="preserve">loan=300000; rate=0.04; term=30; dr=0.0025; stated=1500; untouched=0</t>
  </si>
  <si>
    <t xml:space="preserve">If your rate changed to 4.25%</t>
  </si>
  <si>
    <t xml:space="preserve">€1,476</t>
  </si>
  <si>
    <t xml:space="preserve">€44 more</t>
  </si>
  <si>
    <t xml:space="preserve">€523</t>
  </si>
  <si>
    <t xml:space="preserve">C02-R8</t>
  </si>
  <si>
    <t xml:space="preserve">loan=743000; rate=0.057; term=22; dr=0.0075; stated=0; untouched=1</t>
  </si>
  <si>
    <t xml:space="preserve">If your rate changed to 6.45%</t>
  </si>
  <si>
    <t xml:space="preserve">€5,275</t>
  </si>
  <si>
    <t xml:space="preserve">€330 more</t>
  </si>
  <si>
    <t xml:space="preserve">€4,944</t>
  </si>
  <si>
    <t xml:space="preserve">€3,964</t>
  </si>
  <si>
    <t xml:space="preserve">743000</t>
  </si>
  <si>
    <t xml:space="preserve">C02-R9</t>
  </si>
  <si>
    <t xml:space="preserve">loan=225000; rate=0.08; term=7; dr=-0.0125; stated=0; untouched=1</t>
  </si>
  <si>
    <t xml:space="preserve">If your rate changed to 6.75%</t>
  </si>
  <si>
    <t xml:space="preserve">€3,368</t>
  </si>
  <si>
    <t xml:space="preserve">€138 less</t>
  </si>
  <si>
    <t xml:space="preserve">€3,507</t>
  </si>
  <si>
    <t xml:space="preserve">−€1,662</t>
  </si>
  <si>
    <t xml:space="preserve">C02-R10</t>
  </si>
  <si>
    <t xml:space="preserve">loan=466000; rate=0.033; term=15; dr=0.0; stated=0; untouched=1</t>
  </si>
  <si>
    <t xml:space="preserve">€3,286</t>
  </si>
  <si>
    <t xml:space="preserve">15 yrs</t>
  </si>
  <si>
    <t xml:space="preserve">€125,439</t>
  </si>
  <si>
    <t xml:space="preserve">€591,439</t>
  </si>
  <si>
    <t xml:space="preserve">466000</t>
  </si>
  <si>
    <t xml:space="preserve">C02-R11</t>
  </si>
  <si>
    <t xml:space="preserve">Branch case D</t>
  </si>
  <si>
    <t xml:space="preserve">loan=300000; rate=0.04; term=30; dr=0.005; stated=1500; untouched=1</t>
  </si>
  <si>
    <t xml:space="preserve">If your rate changed to 4.50%</t>
  </si>
  <si>
    <t xml:space="preserve">€1,588</t>
  </si>
  <si>
    <t xml:space="preserve">€88 more</t>
  </si>
  <si>
    <t xml:space="preserve">€1,054</t>
  </si>
  <si>
    <t xml:space="preserve">C03-R1</t>
  </si>
  <si>
    <t xml:space="preserve">price=350000; pc=0.1; saved=12000; mo=800; xmo=0</t>
  </si>
  <si>
    <t xml:space="preserve">Time to your deposit</t>
  </si>
  <si>
    <t xml:space="preserve">2 yrs 5 mo</t>
  </si>
  <si>
    <t xml:space="preserve">€23,000</t>
  </si>
  <si>
    <t xml:space="preserve">C03-R2</t>
  </si>
  <si>
    <t xml:space="preserve">price=100000; pc=0.05; saved=12000; mo=50; xmo=0</t>
  </si>
  <si>
    <t xml:space="preserve">You have it</t>
  </si>
  <si>
    <t xml:space="preserve">€5,000</t>
  </si>
  <si>
    <t xml:space="preserve">€50</t>
  </si>
  <si>
    <t xml:space="preserve">5000</t>
  </si>
  <si>
    <t xml:space="preserve">1</t>
  </si>
  <si>
    <t xml:space="preserve">C03-R3</t>
  </si>
  <si>
    <t xml:space="preserve">price=1000000; pc=0.3; saved=0; mo=50; xmo=0</t>
  </si>
  <si>
    <t xml:space="preserve">500 yrs</t>
  </si>
  <si>
    <t xml:space="preserve">€300,000</t>
  </si>
  <si>
    <t xml:space="preserve">500</t>
  </si>
  <si>
    <t xml:space="preserve">C03-R4</t>
  </si>
  <si>
    <t xml:space="preserve">price=640000; pc=0.06; saved=15000; mo=4550; xmo=0</t>
  </si>
  <si>
    <t xml:space="preserve">6 months</t>
  </si>
  <si>
    <t xml:space="preserve">€38,400</t>
  </si>
  <si>
    <t xml:space="preserve">€4,550</t>
  </si>
  <si>
    <t xml:space="preserve">€23,400</t>
  </si>
  <si>
    <t xml:space="preserve">38400</t>
  </si>
  <si>
    <t xml:space="preserve">C03-R5</t>
  </si>
  <si>
    <t xml:space="preserve">price=350000; pc=0.1; saved=12000; mo=800; xmo=1500</t>
  </si>
  <si>
    <t xml:space="preserve">10 months</t>
  </si>
  <si>
    <t xml:space="preserve">€2,300</t>
  </si>
  <si>
    <t xml:space="preserve">C03-R6</t>
  </si>
  <si>
    <t xml:space="preserve">price=350000; pc=0.1; saved=11000; mo=800; xmo=0</t>
  </si>
  <si>
    <t xml:space="preserve">2 yrs 6 mo</t>
  </si>
  <si>
    <t xml:space="preserve">€24,000</t>
  </si>
  <si>
    <t xml:space="preserve">C03-R7</t>
  </si>
  <si>
    <t xml:space="preserve">price=350000; pc=0.1; saved=35000; mo=800; xmo=0</t>
  </si>
  <si>
    <t xml:space="preserve">C03-R8</t>
  </si>
  <si>
    <t xml:space="preserve">price=980000; pc=0.21; saved=18500; mo=2100; xmo=750</t>
  </si>
  <si>
    <t xml:space="preserve">5 yrs 6 mo</t>
  </si>
  <si>
    <t xml:space="preserve">€205,800</t>
  </si>
  <si>
    <t xml:space="preserve">€2,850</t>
  </si>
  <si>
    <t xml:space="preserve">€187,300</t>
  </si>
  <si>
    <t xml:space="preserve">205800</t>
  </si>
  <si>
    <t xml:space="preserve">C03-R9</t>
  </si>
  <si>
    <t xml:space="preserve">price=550000; pc=0.13; saved=94500; mo=1500; xmo=250</t>
  </si>
  <si>
    <t xml:space="preserve">€71,500</t>
  </si>
  <si>
    <t xml:space="preserve">€1,750</t>
  </si>
  <si>
    <t xml:space="preserve">71500</t>
  </si>
  <si>
    <t xml:space="preserve">C03-R10</t>
  </si>
  <si>
    <t xml:space="preserve">price=650000; pc=0.17; saved=156500; mo=3800; xmo=0</t>
  </si>
  <si>
    <t xml:space="preserve">€110,500</t>
  </si>
  <si>
    <t xml:space="preserve">€3,800</t>
  </si>
  <si>
    <t xml:space="preserve">110500</t>
  </si>
  <si>
    <t xml:space="preserve">C03-R11</t>
  </si>
  <si>
    <t xml:space="preserve">price=350000; pc=0.1; saved=34950; mo=50; xmo=0</t>
  </si>
  <si>
    <t xml:space="preserve">1 months</t>
  </si>
  <si>
    <t xml:space="preserve">C04-R1</t>
  </si>
  <si>
    <t xml:space="preserve">bal=250000; rate=0.04; yrs=25; x=200; stated=0; untouched=1</t>
  </si>
  <si>
    <t xml:space="preserve">Mortgage free sooner by</t>
  </si>
  <si>
    <t xml:space="preserve">5 yrs 1 mo</t>
  </si>
  <si>
    <t xml:space="preserve">€200</t>
  </si>
  <si>
    <t xml:space="preserve">€1,320</t>
  </si>
  <si>
    <t xml:space="preserve">25 yrs</t>
  </si>
  <si>
    <t xml:space="preserve">19 yrs 11 mo</t>
  </si>
  <si>
    <t xml:space="preserve">€32,877</t>
  </si>
  <si>
    <t xml:space="preserve">250000</t>
  </si>
  <si>
    <t xml:space="preserve">20</t>
  </si>
  <si>
    <t xml:space="preserve">C04-R2</t>
  </si>
  <si>
    <t xml:space="preserve">bal=20000; rate=0.01; yrs=3; x=0; stated=0; untouched=1</t>
  </si>
  <si>
    <t xml:space="preserve">0 months</t>
  </si>
  <si>
    <t xml:space="preserve">€564</t>
  </si>
  <si>
    <t xml:space="preserve">3 yrs</t>
  </si>
  <si>
    <t xml:space="preserve">C04-R3</t>
  </si>
  <si>
    <t xml:space="preserve">bal=1000000; rate=0.08; yrs=35; x=2000; stated=0; untouched=1</t>
  </si>
  <si>
    <t xml:space="preserve">18 yrs 5 mo</t>
  </si>
  <si>
    <t xml:space="preserve">€2,000</t>
  </si>
  <si>
    <t xml:space="preserve">35 yrs</t>
  </si>
  <si>
    <t xml:space="preserve">16 yrs 7 mo</t>
  </si>
  <si>
    <t xml:space="preserve">€1,177,199</t>
  </si>
  <si>
    <t xml:space="preserve">17</t>
  </si>
  <si>
    <t xml:space="preserve">C04-R4</t>
  </si>
  <si>
    <t xml:space="preserve">bal=245000; rate=0.06; yrs=34; x=1900; stated=0; untouched=1</t>
  </si>
  <si>
    <t xml:space="preserve">26 yrs 3 mo</t>
  </si>
  <si>
    <t xml:space="preserve">€1,900</t>
  </si>
  <si>
    <t xml:space="preserve">€1,409</t>
  </si>
  <si>
    <t xml:space="preserve">34 yrs</t>
  </si>
  <si>
    <t xml:space="preserve">7 yrs 9 mo</t>
  </si>
  <si>
    <t xml:space="preserve">€268,190</t>
  </si>
  <si>
    <t xml:space="preserve">245000</t>
  </si>
  <si>
    <t xml:space="preserve">8</t>
  </si>
  <si>
    <t xml:space="preserve">C04-R5</t>
  </si>
  <si>
    <t xml:space="preserve">bal=250000; rate=0.04; yrs=25; x=200; stated=1500; untouched=1</t>
  </si>
  <si>
    <t xml:space="preserve">3 yrs 5 mo</t>
  </si>
  <si>
    <t xml:space="preserve">20 yrs 4 mo</t>
  </si>
  <si>
    <t xml:space="preserve">16 yrs 11 mo</t>
  </si>
  <si>
    <t xml:space="preserve">€21,352</t>
  </si>
  <si>
    <t xml:space="preserve">C04-R6</t>
  </si>
  <si>
    <t xml:space="preserve">bal=250000; rate=0.04; yrs=25; x=200; stated=700; untouched=1</t>
  </si>
  <si>
    <t xml:space="preserve">€700</t>
  </si>
  <si>
    <t xml:space="preserve">65 yrs 3 mo</t>
  </si>
  <si>
    <t xml:space="preserve">−€453,064</t>
  </si>
  <si>
    <t xml:space="preserve">66</t>
  </si>
  <si>
    <t xml:space="preserve">C04-R7</t>
  </si>
  <si>
    <t xml:space="preserve">bal=250000; rate=0.04; yrs=25; x=100; stated=700; untouched=1</t>
  </si>
  <si>
    <t xml:space="preserve">€100</t>
  </si>
  <si>
    <t xml:space="preserve">Infinity yrs</t>
  </si>
  <si>
    <t xml:space="preserve">Infinity</t>
  </si>
  <si>
    <t xml:space="preserve">C04-R8</t>
  </si>
  <si>
    <t xml:space="preserve">bal=743000; rate=0.0335; yrs=10; x=475; stated=0; untouched=1</t>
  </si>
  <si>
    <t xml:space="preserve">8 months</t>
  </si>
  <si>
    <t xml:space="preserve">€475</t>
  </si>
  <si>
    <t xml:space="preserve">€7,295</t>
  </si>
  <si>
    <t xml:space="preserve">10 yrs</t>
  </si>
  <si>
    <t xml:space="preserve">9 yrs 4 mo</t>
  </si>
  <si>
    <t xml:space="preserve">€9,881</t>
  </si>
  <si>
    <t xml:space="preserve">10</t>
  </si>
  <si>
    <t xml:space="preserve">C04-R9</t>
  </si>
  <si>
    <t xml:space="preserve">bal=429000; rate=0.017; yrs=19; x=800; stated=0; untouched=1</t>
  </si>
  <si>
    <t xml:space="preserve">5 yrs 8 mo</t>
  </si>
  <si>
    <t xml:space="preserve">€2,203</t>
  </si>
  <si>
    <t xml:space="preserve">19 yrs</t>
  </si>
  <si>
    <t xml:space="preserve">13 yrs 4 mo</t>
  </si>
  <si>
    <t xml:space="preserve">€22,640</t>
  </si>
  <si>
    <t xml:space="preserve">429000</t>
  </si>
  <si>
    <t xml:space="preserve">14</t>
  </si>
  <si>
    <t xml:space="preserve">C04-R10</t>
  </si>
  <si>
    <t xml:space="preserve">bal=87000; rate=0.0235; yrs=22; x=1350; stated=0; untouched=1</t>
  </si>
  <si>
    <t xml:space="preserve">17 yrs 8 mo</t>
  </si>
  <si>
    <t xml:space="preserve">€1,350</t>
  </si>
  <si>
    <t xml:space="preserve">€422</t>
  </si>
  <si>
    <t xml:space="preserve">22 yrs</t>
  </si>
  <si>
    <t xml:space="preserve">4 yrs 4 mo</t>
  </si>
  <si>
    <t xml:space="preserve">€19,942</t>
  </si>
  <si>
    <t xml:space="preserve">87000</t>
  </si>
  <si>
    <t xml:space="preserve">5</t>
  </si>
  <si>
    <t xml:space="preserve">C04-R11</t>
  </si>
  <si>
    <t xml:space="preserve">bal=250000; rate=0.04; yrs=25; x=0; stated=840; untouched=1</t>
  </si>
  <si>
    <t xml:space="preserve">€840</t>
  </si>
  <si>
    <t xml:space="preserve">100 yrs</t>
  </si>
  <si>
    <t xml:space="preserve">100</t>
  </si>
  <si>
    <t xml:space="preserve">C05-R1</t>
  </si>
  <si>
    <t xml:space="preserve">Interest rate impact</t>
  </si>
  <si>
    <t xml:space="preserve">loan=300000; rate=0.04; term=25; d=0.01; stated=0; untouched=1</t>
  </si>
  <si>
    <t xml:space="preserve">+€170</t>
  </si>
  <si>
    <t xml:space="preserve">5.00%</t>
  </si>
  <si>
    <t xml:space="preserve">€1,584</t>
  </si>
  <si>
    <t xml:space="preserve">€1,754</t>
  </si>
  <si>
    <t xml:space="preserve">€2,043</t>
  </si>
  <si>
    <t xml:space="preserve">C05-R2</t>
  </si>
  <si>
    <t xml:space="preserve">loan=50000; rate=0.01; term=5; d=-0.02; stated=0; untouched=1</t>
  </si>
  <si>
    <t xml:space="preserve">−€42</t>
  </si>
  <si>
    <t xml:space="preserve">-1.00%</t>
  </si>
  <si>
    <t xml:space="preserve">C05-R3</t>
  </si>
  <si>
    <t xml:space="preserve">loan=1000000; rate=0.08; term=35; d=0.03; stated=0; untouched=1</t>
  </si>
  <si>
    <t xml:space="preserve">+€2,267</t>
  </si>
  <si>
    <t xml:space="preserve">11.00%</t>
  </si>
  <si>
    <t xml:space="preserve">C05-R4</t>
  </si>
  <si>
    <t xml:space="preserve">loan=311000; rate=0.05; term=31; d=0.0125; stated=0; untouched=1</t>
  </si>
  <si>
    <t xml:space="preserve">+€248</t>
  </si>
  <si>
    <t xml:space="preserve">6.25%</t>
  </si>
  <si>
    <t xml:space="preserve">€1,646</t>
  </si>
  <si>
    <t xml:space="preserve">€1,894</t>
  </si>
  <si>
    <t xml:space="preserve">€2,971</t>
  </si>
  <si>
    <t xml:space="preserve">C05-R5</t>
  </si>
  <si>
    <t xml:space="preserve">loan=300000; rate=0.04; term=25; d=0.005; stated=1500; untouched=1</t>
  </si>
  <si>
    <t xml:space="preserve">+€84</t>
  </si>
  <si>
    <t xml:space="preserve">4.50%</t>
  </si>
  <si>
    <t xml:space="preserve">€1,008</t>
  </si>
  <si>
    <t xml:space="preserve">C05-R6</t>
  </si>
  <si>
    <t xml:space="preserve">loan=300000; rate=0.04; term=25; d=0.0; stated=0; untouched=1</t>
  </si>
  <si>
    <t xml:space="preserve">+€0</t>
  </si>
  <si>
    <t xml:space="preserve">4.00%</t>
  </si>
  <si>
    <t xml:space="preserve">C05-R7</t>
  </si>
  <si>
    <t xml:space="preserve">loan=300000; rate=0.02; term=25; d=-0.015; stated=0; untouched=1</t>
  </si>
  <si>
    <t xml:space="preserve">−€208</t>
  </si>
  <si>
    <t xml:space="preserve">0.50%</t>
  </si>
  <si>
    <t xml:space="preserve">€1,272</t>
  </si>
  <si>
    <t xml:space="preserve">€1,064</t>
  </si>
  <si>
    <t xml:space="preserve">−€2,491</t>
  </si>
  <si>
    <t xml:space="preserve">C05-R8</t>
  </si>
  <si>
    <t xml:space="preserve">loan=954000; rate=0.043; term=20; d=0.0225; stated=0; untouched=1</t>
  </si>
  <si>
    <t xml:space="preserve">+€1,208</t>
  </si>
  <si>
    <t xml:space="preserve">6.55%</t>
  </si>
  <si>
    <t xml:space="preserve">€5,933</t>
  </si>
  <si>
    <t xml:space="preserve">€7,141</t>
  </si>
  <si>
    <t xml:space="preserve">€14,495</t>
  </si>
  <si>
    <t xml:space="preserve">C05-R9</t>
  </si>
  <si>
    <t xml:space="preserve">loan=903000; rate=0.0595; term=32; d=0.0225; stated=0; untouched=1</t>
  </si>
  <si>
    <t xml:space="preserve">+€1,392</t>
  </si>
  <si>
    <t xml:space="preserve">8.20%</t>
  </si>
  <si>
    <t xml:space="preserve">€5,265</t>
  </si>
  <si>
    <t xml:space="preserve">€6,658</t>
  </si>
  <si>
    <t xml:space="preserve">€16,705</t>
  </si>
  <si>
    <t xml:space="preserve">C05-R10</t>
  </si>
  <si>
    <t xml:space="preserve">loan=637000; rate=0.0495; term=5; d=0.0275; stated=0; untouched=1</t>
  </si>
  <si>
    <t xml:space="preserve">+€818</t>
  </si>
  <si>
    <t xml:space="preserve">7.70%</t>
  </si>
  <si>
    <t xml:space="preserve">€12,006</t>
  </si>
  <si>
    <t xml:space="preserve">€12,825</t>
  </si>
  <si>
    <t xml:space="preserve">€9,821</t>
  </si>
  <si>
    <t xml:space="preserve">C06-R1</t>
  </si>
  <si>
    <t xml:space="preserve">Term comparison</t>
  </si>
  <si>
    <t xml:space="preserve">loan=300000; rate=0.04; a=25; b=35</t>
  </si>
  <si>
    <t xml:space="preserve">€82,843</t>
  </si>
  <si>
    <t xml:space="preserve">25</t>
  </si>
  <si>
    <t xml:space="preserve">€1,328</t>
  </si>
  <si>
    <t xml:space="preserve">€175,053</t>
  </si>
  <si>
    <t xml:space="preserve">€257,896</t>
  </si>
  <si>
    <t xml:space="preserve">C06-R2</t>
  </si>
  <si>
    <t xml:space="preserve">loan=50000; rate=0.01; a=5; b=5</t>
  </si>
  <si>
    <t xml:space="preserve">€1,281</t>
  </si>
  <si>
    <t xml:space="preserve">C06-R3</t>
  </si>
  <si>
    <t xml:space="preserve">loan=1000000; rate=0.08; a=35; b=5</t>
  </si>
  <si>
    <t xml:space="preserve">€1,766,512</t>
  </si>
  <si>
    <t xml:space="preserve">€20,276</t>
  </si>
  <si>
    <t xml:space="preserve">€1,983,096</t>
  </si>
  <si>
    <t xml:space="preserve">€216,584</t>
  </si>
  <si>
    <t xml:space="preserve">C06-R4</t>
  </si>
  <si>
    <t xml:space="preserve">loan=336000; rate=0.0635; a=8; b=14</t>
  </si>
  <si>
    <t xml:space="preserve">€78,619</t>
  </si>
  <si>
    <t xml:space="preserve">€4,473</t>
  </si>
  <si>
    <t xml:space="preserve">€3,024</t>
  </si>
  <si>
    <t xml:space="preserve">€93,408</t>
  </si>
  <si>
    <t xml:space="preserve">€172,027</t>
  </si>
  <si>
    <t xml:space="preserve">C06-R5</t>
  </si>
  <si>
    <t xml:space="preserve">loan=123000; rate=0.0105; a=10; b=20</t>
  </si>
  <si>
    <t xml:space="preserve">€6,796</t>
  </si>
  <si>
    <t xml:space="preserve">€1,080</t>
  </si>
  <si>
    <t xml:space="preserve">€568</t>
  </si>
  <si>
    <t xml:space="preserve">€6,624</t>
  </si>
  <si>
    <t xml:space="preserve">€13,420</t>
  </si>
  <si>
    <t xml:space="preserve">C06-R6</t>
  </si>
  <si>
    <t xml:space="preserve">loan=300000; rate=0.035; a=20; b=30</t>
  </si>
  <si>
    <t xml:space="preserve">€67,397</t>
  </si>
  <si>
    <t xml:space="preserve">€1,740</t>
  </si>
  <si>
    <t xml:space="preserve">€1,347</t>
  </si>
  <si>
    <t xml:space="preserve">€117,571</t>
  </si>
  <si>
    <t xml:space="preserve">€184,968</t>
  </si>
  <si>
    <t xml:space="preserve">C06-R8</t>
  </si>
  <si>
    <t xml:space="preserve">loan=580000; rate=0.051; a=34; b=28</t>
  </si>
  <si>
    <t xml:space="preserve">€131,826</t>
  </si>
  <si>
    <t xml:space="preserve">28</t>
  </si>
  <si>
    <t xml:space="preserve">€2,996</t>
  </si>
  <si>
    <t xml:space="preserve">€3,246</t>
  </si>
  <si>
    <t xml:space="preserve">€642,354</t>
  </si>
  <si>
    <t xml:space="preserve">€510,528</t>
  </si>
  <si>
    <t xml:space="preserve">C06-R9</t>
  </si>
  <si>
    <t xml:space="preserve">loan=279000; rate=0.0205; a=10; b=25</t>
  </si>
  <si>
    <t xml:space="preserve">€47,996</t>
  </si>
  <si>
    <t xml:space="preserve">€2,573</t>
  </si>
  <si>
    <t xml:space="preserve">€1,189</t>
  </si>
  <si>
    <t xml:space="preserve">€29,811</t>
  </si>
  <si>
    <t xml:space="preserve">€77,807</t>
  </si>
  <si>
    <t xml:space="preserve">C06-R10</t>
  </si>
  <si>
    <t xml:space="preserve">loan=884000; rate=0.027; a=11; b=35</t>
  </si>
  <si>
    <t xml:space="preserve">€344,691</t>
  </si>
  <si>
    <t xml:space="preserve">11</t>
  </si>
  <si>
    <t xml:space="preserve">€7,748</t>
  </si>
  <si>
    <t xml:space="preserve">€3,256</t>
  </si>
  <si>
    <t xml:space="preserve">€138,749</t>
  </si>
  <si>
    <t xml:space="preserve">€483,441</t>
  </si>
  <si>
    <t xml:space="preserve">C07-R1</t>
  </si>
  <si>
    <t xml:space="preserve">rent=1800; price=350000; dep=35000; rate=0.04; y=10; g=0.02</t>
  </si>
  <si>
    <t xml:space="preserve">Home equity after 10 yrs</t>
  </si>
  <si>
    <t xml:space="preserve">€178,479</t>
  </si>
  <si>
    <t xml:space="preserve">€216,000</t>
  </si>
  <si>
    <t xml:space="preserve">€148,632</t>
  </si>
  <si>
    <t xml:space="preserve">€426,648</t>
  </si>
  <si>
    <t xml:space="preserve">C07-R2</t>
  </si>
  <si>
    <t xml:space="preserve">rent=500; price=100000; dep=0; rate=0.01; y=1; g=0.0</t>
  </si>
  <si>
    <t xml:space="preserve">Home equity after 1 yrs</t>
  </si>
  <si>
    <t xml:space="preserve">€2,873</t>
  </si>
  <si>
    <t xml:space="preserve">€1,987</t>
  </si>
  <si>
    <t xml:space="preserve">€100,000</t>
  </si>
  <si>
    <t xml:space="preserve">C07-R3</t>
  </si>
  <si>
    <t xml:space="preserve">rent=5000; price=1000000; dep=300000; rate=0.08; y=30; g=0.06</t>
  </si>
  <si>
    <t xml:space="preserve">Home equity after 30 yrs</t>
  </si>
  <si>
    <t xml:space="preserve">€5,743,491</t>
  </si>
  <si>
    <t xml:space="preserve">€1,800,000</t>
  </si>
  <si>
    <t xml:space="preserve">€1,449,087</t>
  </si>
  <si>
    <t xml:space="preserve">C07-R4</t>
  </si>
  <si>
    <t xml:space="preserve">rent=3750; price=320000; dep=261000; rate=0.033; y=5; g=0.015</t>
  </si>
  <si>
    <t xml:space="preserve">Home equity after 5 yrs</t>
  </si>
  <si>
    <t xml:space="preserve">€291,993</t>
  </si>
  <si>
    <t xml:space="preserve">€25,241</t>
  </si>
  <si>
    <t xml:space="preserve">€344,731</t>
  </si>
  <si>
    <t xml:space="preserve">261000</t>
  </si>
  <si>
    <t xml:space="preserve">C07-R5</t>
  </si>
  <si>
    <t xml:space="preserve">rent=1800; price=100000; dep=300000; rate=0.04; y=10; g=0.02</t>
  </si>
  <si>
    <t xml:space="preserve">€279,467</t>
  </si>
  <si>
    <t xml:space="preserve">−€62,148</t>
  </si>
  <si>
    <t xml:space="preserve">€121,899</t>
  </si>
  <si>
    <t xml:space="preserve">C07-R6</t>
  </si>
  <si>
    <t xml:space="preserve">rent=1800; price=350000; dep=350000; rate=0.04; y=10; g=0.02</t>
  </si>
  <si>
    <t xml:space="preserve">350000</t>
  </si>
  <si>
    <t xml:space="preserve">C07-R8</t>
  </si>
  <si>
    <t xml:space="preserve">rent=4850; price=365000; dep=74000; rate=0.013; y=17; g=0.045</t>
  </si>
  <si>
    <t xml:space="preserve">Home equity after 17 yrs</t>
  </si>
  <si>
    <t xml:space="preserve">€631,279</t>
  </si>
  <si>
    <t xml:space="preserve">€989,400</t>
  </si>
  <si>
    <t xml:space="preserve">€110,382</t>
  </si>
  <si>
    <t xml:space="preserve">€771,383</t>
  </si>
  <si>
    <t xml:space="preserve">74000</t>
  </si>
  <si>
    <t xml:space="preserve">C07-R9</t>
  </si>
  <si>
    <t xml:space="preserve">rent=4850; price=955000; dep=66000; rate=0.08; y=16; g=0.035</t>
  </si>
  <si>
    <t xml:space="preserve">Home equity after 16 yrs</t>
  </si>
  <si>
    <t xml:space="preserve">€997,927</t>
  </si>
  <si>
    <t xml:space="preserve">€931,200</t>
  </si>
  <si>
    <t xml:space="preserve">€1,174,278</t>
  </si>
  <si>
    <t xml:space="preserve">€1,655,957</t>
  </si>
  <si>
    <t xml:space="preserve">66000</t>
  </si>
  <si>
    <t xml:space="preserve">C07-R10</t>
  </si>
  <si>
    <t xml:space="preserve">rent=4600; price=830000; dep=260000; rate=0.025; y=27; g=0.03</t>
  </si>
  <si>
    <t xml:space="preserve">Home equity after 27 yrs</t>
  </si>
  <si>
    <t xml:space="preserve">€1,765,635</t>
  </si>
  <si>
    <t xml:space="preserve">€1,490,400</t>
  </si>
  <si>
    <t xml:space="preserve">€461,844</t>
  </si>
  <si>
    <t xml:space="preserve">€1,843,670</t>
  </si>
  <si>
    <t xml:space="preserve">260000</t>
  </si>
  <si>
    <t xml:space="preserve">C08-R1</t>
  </si>
  <si>
    <t xml:space="preserve">t=15000; y=3; s=2000; r=0.02</t>
  </si>
  <si>
    <t xml:space="preserve">€372</t>
  </si>
  <si>
    <t xml:space="preserve">€15,000</t>
  </si>
  <si>
    <t xml:space="preserve">€15,918</t>
  </si>
  <si>
    <t xml:space="preserve">2%</t>
  </si>
  <si>
    <t xml:space="preserve">15000</t>
  </si>
  <si>
    <t xml:space="preserve">C08-R2</t>
  </si>
  <si>
    <t xml:space="preserve">t=500; y=1; s=200000; r=0.0</t>
  </si>
  <si>
    <t xml:space="preserve">€500</t>
  </si>
  <si>
    <t xml:space="preserve">C08-R3</t>
  </si>
  <si>
    <t xml:space="preserve">t=500000; y=30; s=0; r=0.07</t>
  </si>
  <si>
    <t xml:space="preserve">€1,200</t>
  </si>
  <si>
    <t xml:space="preserve">€500,000</t>
  </si>
  <si>
    <t xml:space="preserve">€1,403,397</t>
  </si>
  <si>
    <t xml:space="preserve">3.5%</t>
  </si>
  <si>
    <t xml:space="preserve">500000</t>
  </si>
  <si>
    <t xml:space="preserve">30</t>
  </si>
  <si>
    <t xml:space="preserve">C08-R4</t>
  </si>
  <si>
    <t xml:space="preserve">t=83500; y=5; s=34000; r=0.025</t>
  </si>
  <si>
    <t xml:space="preserve">€896</t>
  </si>
  <si>
    <t xml:space="preserve">€83,500</t>
  </si>
  <si>
    <t xml:space="preserve">€95,630</t>
  </si>
  <si>
    <t xml:space="preserve">€34,000</t>
  </si>
  <si>
    <t xml:space="preserve">2.75%</t>
  </si>
  <si>
    <t xml:space="preserve">83500</t>
  </si>
  <si>
    <t xml:space="preserve">C08-R5</t>
  </si>
  <si>
    <t xml:space="preserve">t=15000; y=3; s=2000; r=0.0</t>
  </si>
  <si>
    <t xml:space="preserve">€387</t>
  </si>
  <si>
    <t xml:space="preserve">C08-R6</t>
  </si>
  <si>
    <t xml:space="preserve">t=15000; y=3; s=14000; r=0.02</t>
  </si>
  <si>
    <t xml:space="preserve">€48</t>
  </si>
  <si>
    <t xml:space="preserve">€16,631</t>
  </si>
  <si>
    <t xml:space="preserve">€14,000</t>
  </si>
  <si>
    <t xml:space="preserve">C08-R7</t>
  </si>
  <si>
    <t xml:space="preserve">t=15000; y=10; s=2000; r=0.035</t>
  </si>
  <si>
    <t xml:space="preserve">€85</t>
  </si>
  <si>
    <t xml:space="preserve">C08-R8</t>
  </si>
  <si>
    <t xml:space="preserve">t=144000; y=15; s=53000; r=0.065</t>
  </si>
  <si>
    <t xml:space="preserve">€192</t>
  </si>
  <si>
    <t xml:space="preserve">€193,805</t>
  </si>
  <si>
    <t xml:space="preserve">€53,000</t>
  </si>
  <si>
    <t xml:space="preserve">144000</t>
  </si>
  <si>
    <t xml:space="preserve">15</t>
  </si>
  <si>
    <t xml:space="preserve">C08-R9</t>
  </si>
  <si>
    <t xml:space="preserve">t=283500; y=17; s=72500; r=0.07</t>
  </si>
  <si>
    <t xml:space="preserve">€143</t>
  </si>
  <si>
    <t xml:space="preserve">€283,500</t>
  </si>
  <si>
    <t xml:space="preserve">€72,500</t>
  </si>
  <si>
    <t xml:space="preserve">283500</t>
  </si>
  <si>
    <t xml:space="preserve">C08-R10</t>
  </si>
  <si>
    <t xml:space="preserve">t=365500; y=29; s=143000; r=0.07</t>
  </si>
  <si>
    <t xml:space="preserve">€365,500</t>
  </si>
  <si>
    <t xml:space="preserve">€991,191</t>
  </si>
  <si>
    <t xml:space="preserve">€143,000</t>
  </si>
  <si>
    <t xml:space="preserve">365500</t>
  </si>
  <si>
    <t xml:space="preserve">29</t>
  </si>
  <si>
    <t xml:space="preserve">C09-R1</t>
  </si>
  <si>
    <t xml:space="preserve">p=5000; m=200; r=0.04; y=20</t>
  </si>
  <si>
    <t xml:space="preserve">€83,724</t>
  </si>
  <si>
    <t xml:space="preserve">€30,724</t>
  </si>
  <si>
    <t xml:space="preserve">€56,344</t>
  </si>
  <si>
    <t xml:space="preserve">56344</t>
  </si>
  <si>
    <t xml:space="preserve">C09-R2</t>
  </si>
  <si>
    <t xml:space="preserve">p=0; m=0; r=0.0; y=1</t>
  </si>
  <si>
    <t xml:space="preserve">C09-R3</t>
  </si>
  <si>
    <t xml:space="preserve">p=200000; m=3000; r=0.08; y=40</t>
  </si>
  <si>
    <t xml:space="preserve">€14,008,142</t>
  </si>
  <si>
    <t xml:space="preserve">€1,640,000</t>
  </si>
  <si>
    <t xml:space="preserve">€12,368,142</t>
  </si>
  <si>
    <t xml:space="preserve">€3,538,071</t>
  </si>
  <si>
    <t xml:space="preserve">3538071</t>
  </si>
  <si>
    <t xml:space="preserve">40</t>
  </si>
  <si>
    <t xml:space="preserve">C09-R4</t>
  </si>
  <si>
    <t xml:space="preserve">p=152500; m=2700; r=0.06; y=36</t>
  </si>
  <si>
    <t xml:space="preserve">€5,206,992</t>
  </si>
  <si>
    <t xml:space="preserve">€1,318,900</t>
  </si>
  <si>
    <t xml:space="preserve">€3,888,092</t>
  </si>
  <si>
    <t xml:space="preserve">€1,960,835</t>
  </si>
  <si>
    <t xml:space="preserve">1960835</t>
  </si>
  <si>
    <t xml:space="preserve">36</t>
  </si>
  <si>
    <t xml:space="preserve">C09-R5</t>
  </si>
  <si>
    <t xml:space="preserve">p=5000; m=200; r=0.0; y=20</t>
  </si>
  <si>
    <t xml:space="preserve">€35,667</t>
  </si>
  <si>
    <t xml:space="preserve">35667</t>
  </si>
  <si>
    <t xml:space="preserve">C09-R7</t>
  </si>
  <si>
    <t xml:space="preserve">p=5000; m=0; r=0.04; y=20</t>
  </si>
  <si>
    <t xml:space="preserve">€10,956</t>
  </si>
  <si>
    <t xml:space="preserve">€5,956</t>
  </si>
  <si>
    <t xml:space="preserve">10956</t>
  </si>
  <si>
    <t xml:space="preserve">C09-R8</t>
  </si>
  <si>
    <t xml:space="preserve">p=79000; m=2025; r=0.03; y=12</t>
  </si>
  <si>
    <t xml:space="preserve">€462,218</t>
  </si>
  <si>
    <t xml:space="preserve">€370,600</t>
  </si>
  <si>
    <t xml:space="preserve">€91,618</t>
  </si>
  <si>
    <t xml:space="preserve">€364,456</t>
  </si>
  <si>
    <t xml:space="preserve">364456</t>
  </si>
  <si>
    <t xml:space="preserve">12</t>
  </si>
  <si>
    <t xml:space="preserve">C09-R9</t>
  </si>
  <si>
    <t xml:space="preserve">p=120000; m=175; r=0.03; y=18</t>
  </si>
  <si>
    <t xml:space="preserve">€254,135</t>
  </si>
  <si>
    <t xml:space="preserve">€157,800</t>
  </si>
  <si>
    <t xml:space="preserve">€96,335</t>
  </si>
  <si>
    <t xml:space="preserve">254135</t>
  </si>
  <si>
    <t xml:space="preserve">18</t>
  </si>
  <si>
    <t xml:space="preserve">C09-R10</t>
  </si>
  <si>
    <t xml:space="preserve">p=180000; m=2700; r=0.045; y=18</t>
  </si>
  <si>
    <t xml:space="preserve">€1,285,434</t>
  </si>
  <si>
    <t xml:space="preserve">€763,200</t>
  </si>
  <si>
    <t xml:space="preserve">€522,234</t>
  </si>
  <si>
    <t xml:space="preserve">€692,028</t>
  </si>
  <si>
    <t xml:space="preserve">692028</t>
  </si>
  <si>
    <t xml:space="preserve">C10-R1</t>
  </si>
  <si>
    <t xml:space="preserve">Lump sum growth</t>
  </si>
  <si>
    <t xml:space="preserve">p=10000; r=0.04; y=15; f=0.0; adj=0</t>
  </si>
  <si>
    <t xml:space="preserve">€18,009</t>
  </si>
  <si>
    <t xml:space="preserve">€3,207</t>
  </si>
  <si>
    <t xml:space="preserve">€14,802</t>
  </si>
  <si>
    <t xml:space="preserve">13381</t>
  </si>
  <si>
    <t xml:space="preserve">C10-R2</t>
  </si>
  <si>
    <t xml:space="preserve">p=500; r=0.0; y=1; f=0.0; adj=1</t>
  </si>
  <si>
    <t xml:space="preserve">C10-R3</t>
  </si>
  <si>
    <t xml:space="preserve">p=500000; r=0.08; y=40; f=0.03; adj=1</t>
  </si>
  <si>
    <t xml:space="preserve">In today's money (after fees)</t>
  </si>
  <si>
    <t xml:space="preserve">€811,289</t>
  </si>
  <si>
    <t xml:space="preserve">1.2%</t>
  </si>
  <si>
    <t xml:space="preserve">4.76%</t>
  </si>
  <si>
    <t xml:space="preserve">€168,308</t>
  </si>
  <si>
    <t xml:space="preserve">€3,212,104</t>
  </si>
  <si>
    <t xml:space="preserve">€2,545,729</t>
  </si>
  <si>
    <t xml:space="preserve">€7,650,157</t>
  </si>
  <si>
    <t xml:space="preserve">811289</t>
  </si>
  <si>
    <t xml:space="preserve">C10-R4</t>
  </si>
  <si>
    <t xml:space="preserve">p=440900; r=0.055; y=38; f=0.023; adj=1</t>
  </si>
  <si>
    <t xml:space="preserve">€496,841</t>
  </si>
  <si>
    <t xml:space="preserve">0.3%</t>
  </si>
  <si>
    <t xml:space="preserve">3.07%</t>
  </si>
  <si>
    <t xml:space="preserve">€69,787</t>
  </si>
  <si>
    <t xml:space="preserve">€1,392,923</t>
  </si>
  <si>
    <t xml:space="preserve">€1,197,269</t>
  </si>
  <si>
    <t xml:space="preserve">€1,979,435</t>
  </si>
  <si>
    <t xml:space="preserve">496841</t>
  </si>
  <si>
    <t xml:space="preserve">38</t>
  </si>
  <si>
    <t xml:space="preserve">C10-R5</t>
  </si>
  <si>
    <t xml:space="preserve">p=10000; r=0.04; y=15; f=0.01; adj=1</t>
  </si>
  <si>
    <t xml:space="preserve">€11,509</t>
  </si>
  <si>
    <t xml:space="preserve">0.9%</t>
  </si>
  <si>
    <t xml:space="preserve">2.96%</t>
  </si>
  <si>
    <t xml:space="preserve">€1,562</t>
  </si>
  <si>
    <t xml:space="preserve">€15,489</t>
  </si>
  <si>
    <t xml:space="preserve">€13,387</t>
  </si>
  <si>
    <t xml:space="preserve">€2,520</t>
  </si>
  <si>
    <t xml:space="preserve">11509</t>
  </si>
  <si>
    <t xml:space="preserve">C10-R6</t>
  </si>
  <si>
    <t xml:space="preserve">p=10000; r=0.04; y=15; f=0.005; adj=0</t>
  </si>
  <si>
    <t xml:space="preserve">Could grow to (after fees)</t>
  </si>
  <si>
    <t xml:space="preserve">€2,626</t>
  </si>
  <si>
    <t xml:space="preserve">€14,079</t>
  </si>
  <si>
    <t xml:space="preserve">€1,304</t>
  </si>
  <si>
    <t xml:space="preserve">9971</t>
  </si>
  <si>
    <t xml:space="preserve">C10-R7</t>
  </si>
  <si>
    <t xml:space="preserve">p=10000; r=0.04; y=15; f=0.0025; adj=1</t>
  </si>
  <si>
    <t xml:space="preserve">€17,346</t>
  </si>
  <si>
    <t xml:space="preserve">€2,909</t>
  </si>
  <si>
    <t xml:space="preserve">€14,437</t>
  </si>
  <si>
    <t xml:space="preserve">€664</t>
  </si>
  <si>
    <t xml:space="preserve">17346</t>
  </si>
  <si>
    <t xml:space="preserve">C10-R8</t>
  </si>
  <si>
    <t xml:space="preserve">p=225900; r=0.0; y=35; f=0.018; adj=1</t>
  </si>
  <si>
    <t xml:space="preserve">€59,815</t>
  </si>
  <si>
    <t xml:space="preserve">-3.7%</t>
  </si>
  <si>
    <t xml:space="preserve">-1.8%</t>
  </si>
  <si>
    <t xml:space="preserve">−€5,687</t>
  </si>
  <si>
    <t xml:space="preserve">€119,624</t>
  </si>
  <si>
    <t xml:space="preserve">€130,997</t>
  </si>
  <si>
    <t xml:space="preserve">€106,276</t>
  </si>
  <si>
    <t xml:space="preserve">59815</t>
  </si>
  <si>
    <t xml:space="preserve">35</t>
  </si>
  <si>
    <t xml:space="preserve">C10-R9</t>
  </si>
  <si>
    <t xml:space="preserve">p=154200; r=0.06; y=17; f=0.0185; adj=0</t>
  </si>
  <si>
    <t xml:space="preserve">€302,287</t>
  </si>
  <si>
    <t xml:space="preserve">€54,294</t>
  </si>
  <si>
    <t xml:space="preserve">€247,992</t>
  </si>
  <si>
    <t xml:space="preserve">€112,939</t>
  </si>
  <si>
    <t xml:space="preserve">302287</t>
  </si>
  <si>
    <t xml:space="preserve">C10-R10</t>
  </si>
  <si>
    <t xml:space="preserve">p=284500; r=0.075; y=27; f=0.02; adj=0</t>
  </si>
  <si>
    <t xml:space="preserve">€1,162,023</t>
  </si>
  <si>
    <t xml:space="preserve">€266,572</t>
  </si>
  <si>
    <t xml:space="preserve">€895,452</t>
  </si>
  <si>
    <t xml:space="preserve">€842,960</t>
  </si>
  <si>
    <t xml:space="preserve">459013</t>
  </si>
  <si>
    <t xml:space="preserve">27</t>
  </si>
  <si>
    <t xml:space="preserve">C10-R11</t>
  </si>
  <si>
    <t xml:space="preserve">p=10000; r=0.04; y=3; f=0.0; adj=1</t>
  </si>
  <si>
    <t xml:space="preserve">€10,600</t>
  </si>
  <si>
    <t xml:space="preserve">2.0%</t>
  </si>
  <si>
    <t xml:space="preserve">4%</t>
  </si>
  <si>
    <t xml:space="preserve">€1,177</t>
  </si>
  <si>
    <t xml:space="preserve">€11,249</t>
  </si>
  <si>
    <t xml:space="preserve">€10,000</t>
  </si>
  <si>
    <t xml:space="preserve">10600</t>
  </si>
  <si>
    <t xml:space="preserve">C11-R1</t>
  </si>
  <si>
    <t xml:space="preserve">e=2500; mt=6; s=6250</t>
  </si>
  <si>
    <t xml:space="preserve">You currently have</t>
  </si>
  <si>
    <t xml:space="preserve">2.5 months</t>
  </si>
  <si>
    <t xml:space="preserve">€8,750</t>
  </si>
  <si>
    <t xml:space="preserve">C11-R2</t>
  </si>
  <si>
    <t xml:space="preserve">e=500; mt=1; s=0</t>
  </si>
  <si>
    <t xml:space="preserve">0.0 months</t>
  </si>
  <si>
    <t xml:space="preserve">C11-R3</t>
  </si>
  <si>
    <t xml:space="preserve">e=10000; mt=12; s=100000</t>
  </si>
  <si>
    <t xml:space="preserve">10.0 months</t>
  </si>
  <si>
    <t xml:space="preserve">€120,000</t>
  </si>
  <si>
    <t xml:space="preserve">120000</t>
  </si>
  <si>
    <t xml:space="preserve">C11-R4</t>
  </si>
  <si>
    <t xml:space="preserve">e=6600; mt=6; s=78500</t>
  </si>
  <si>
    <t xml:space="preserve">11.9 months</t>
  </si>
  <si>
    <t xml:space="preserve">€39,600</t>
  </si>
  <si>
    <t xml:space="preserve">C11-R5</t>
  </si>
  <si>
    <t xml:space="preserve">e=2500; mt=6; s=20000</t>
  </si>
  <si>
    <t xml:space="preserve">8.0 months</t>
  </si>
  <si>
    <t xml:space="preserve">C11-R6</t>
  </si>
  <si>
    <t xml:space="preserve">e=2500; mt=6; s=15000</t>
  </si>
  <si>
    <t xml:space="preserve">6.0 months</t>
  </si>
  <si>
    <t xml:space="preserve">C11-R7</t>
  </si>
  <si>
    <t xml:space="preserve">e=3200; mt=3; s=4000</t>
  </si>
  <si>
    <t xml:space="preserve">1.3 months</t>
  </si>
  <si>
    <t xml:space="preserve">€9,600</t>
  </si>
  <si>
    <t xml:space="preserve">€5,600</t>
  </si>
  <si>
    <t xml:space="preserve">9600</t>
  </si>
  <si>
    <t xml:space="preserve">C11-R8</t>
  </si>
  <si>
    <t xml:space="preserve">e=5000; mt=1; s=6250</t>
  </si>
  <si>
    <t xml:space="preserve">C11-R9</t>
  </si>
  <si>
    <t xml:space="preserve">e=2400; mt=5; s=29000</t>
  </si>
  <si>
    <t xml:space="preserve">12.1 months</t>
  </si>
  <si>
    <t xml:space="preserve">€12,000</t>
  </si>
  <si>
    <t xml:space="preserve">C11-R10</t>
  </si>
  <si>
    <t xml:space="preserve">e=2100; mt=12; s=74000</t>
  </si>
  <si>
    <t xml:space="preserve">35.2 months</t>
  </si>
  <si>
    <t xml:space="preserve">€25,200</t>
  </si>
  <si>
    <t xml:space="preserve">C12-R1</t>
  </si>
  <si>
    <t xml:space="preserve">age=40; ra=65; pot=60000; m=500; d=40000; o=15000; g=0.045; later=0; more=0; less=0; st_has=0; st_proj=0; st_nra=66; untouched=1</t>
  </si>
  <si>
    <t xml:space="preserve">€525,773</t>
  </si>
  <si>
    <t xml:space="preserve">€99,227</t>
  </si>
  <si>
    <t xml:space="preserve">2.5%</t>
  </si>
  <si>
    <t xml:space="preserve">€625,000</t>
  </si>
  <si>
    <t xml:space="preserve">65</t>
  </si>
  <si>
    <t xml:space="preserve">€320,475</t>
  </si>
  <si>
    <t xml:space="preserve">625000</t>
  </si>
  <si>
    <t xml:space="preserve">C12-R2</t>
  </si>
  <si>
    <t xml:space="preserve">age=70; ra=50; pot=0; m=0; d=10000; o=50000; g=0.01; later=0; more=0; less=0; st_has=0; st_proj=0; st_nra=66; untouched=1</t>
  </si>
  <si>
    <t xml:space="preserve">None</t>
  </si>
  <si>
    <t xml:space="preserve">50</t>
  </si>
  <si>
    <t xml:space="preserve">C12-R3</t>
  </si>
  <si>
    <t xml:space="preserve">age=20; ra=75; pot=1500000; m=5000; d=150000; o=0; g=0.07; later=5; more=1500; less=20000; st_has=0; st_proj=0; st_nra=66; untouched=1</t>
  </si>
  <si>
    <t xml:space="preserve">€188,426,547</t>
  </si>
  <si>
    <t xml:space="preserve">3%</t>
  </si>
  <si>
    <t xml:space="preserve">€3,250,000</t>
  </si>
  <si>
    <t xml:space="preserve">80</t>
  </si>
  <si>
    <t xml:space="preserve">€23,917,793</t>
  </si>
  <si>
    <t xml:space="preserve">3250000</t>
  </si>
  <si>
    <t xml:space="preserve">60</t>
  </si>
  <si>
    <t xml:space="preserve">C12-R4</t>
  </si>
  <si>
    <t xml:space="preserve">age=49; ra=66; pot=1063000; m=790; d=111000; o=10500; g=0.01; later=0; more=0; less=0; st_has=0; st_proj=0; st_nra=66; untouched=1</t>
  </si>
  <si>
    <t xml:space="preserve">€1,472,098</t>
  </si>
  <si>
    <t xml:space="preserve">€1,040,402</t>
  </si>
  <si>
    <t xml:space="preserve">€2,512,500</t>
  </si>
  <si>
    <t xml:space="preserve">€928,209</t>
  </si>
  <si>
    <t xml:space="preserve">2512500</t>
  </si>
  <si>
    <t xml:space="preserve">C12-R5</t>
  </si>
  <si>
    <t xml:space="preserve">age=40; ra=65; pot=60000; m=500; d=40000; o=15000; g=0.045; later=0; more=0; less=0; st_has=1; st_proj=450000; st_nra=65; untouched=1</t>
  </si>
  <si>
    <t xml:space="preserve">Projected fund (from your statement)</t>
  </si>
  <si>
    <t xml:space="preserve">€450,000</t>
  </si>
  <si>
    <t xml:space="preserve">€175,000</t>
  </si>
  <si>
    <t xml:space="preserve">€274,289</t>
  </si>
  <si>
    <t xml:space="preserve">€544,989</t>
  </si>
  <si>
    <t xml:space="preserve">C12-R6</t>
  </si>
  <si>
    <t xml:space="preserve">age=40; ra=65; pot=60000; m=500; d=40000; o=15000; g=0.045; later=1; more=0; less=0; st_has=1; st_proj=450000; st_nra=65; untouched=1</t>
  </si>
  <si>
    <t xml:space="preserve">€560,557</t>
  </si>
  <si>
    <t xml:space="preserve">€64,443</t>
  </si>
  <si>
    <t xml:space="preserve">€229,177</t>
  </si>
  <si>
    <t xml:space="preserve">26</t>
  </si>
  <si>
    <t xml:space="preserve">C12-R7</t>
  </si>
  <si>
    <t xml:space="preserve">age=40; ra=65; pot=60000; m=500; d=40000; o=15000; g=0.045; later=0; more=0; less=0; st_has=1; st_proj=450000; st_nra=65; untouched=0</t>
  </si>
  <si>
    <t xml:space="preserve">€80,011</t>
  </si>
  <si>
    <t xml:space="preserve">C12-R8</t>
  </si>
  <si>
    <t xml:space="preserve">age=55; ra=71; pot=504000; m=2200; d=52000; o=18000; g=0.04; later=0; more=950; less=0; st_has=0; st_proj=0; st_nra=66; untouched=1</t>
  </si>
  <si>
    <t xml:space="preserve">€1,958,061</t>
  </si>
  <si>
    <t xml:space="preserve">€850,000</t>
  </si>
  <si>
    <t xml:space="preserve">71</t>
  </si>
  <si>
    <t xml:space="preserve">€1,426,342</t>
  </si>
  <si>
    <t xml:space="preserve">850000</t>
  </si>
  <si>
    <t xml:space="preserve">16</t>
  </si>
  <si>
    <t xml:space="preserve">C12-R9</t>
  </si>
  <si>
    <t xml:space="preserve">age=49; ra=56; pot=1320000; m=4880; d=131000; o=5500; g=0.0625; later=0; more=1500; less=0; st_has=0; st_proj=0; st_nra=66; untouched=1</t>
  </si>
  <si>
    <t xml:space="preserve">€2,711,824</t>
  </si>
  <si>
    <t xml:space="preserve">€425,676</t>
  </si>
  <si>
    <t xml:space="preserve">€3,137,500</t>
  </si>
  <si>
    <t xml:space="preserve">56</t>
  </si>
  <si>
    <t xml:space="preserve">3137500</t>
  </si>
  <si>
    <t xml:space="preserve">7</t>
  </si>
  <si>
    <t xml:space="preserve">C12-R10</t>
  </si>
  <si>
    <t xml:space="preserve">age=49; ra=66; pot=577000; m=1850; d=100000; o=20500; g=0.065; later=0; more=550; less=0; st_has=0; st_proj=0; st_nra=66; untouched=1</t>
  </si>
  <si>
    <t xml:space="preserve">€2,687,844</t>
  </si>
  <si>
    <t xml:space="preserve">€1,987,500</t>
  </si>
  <si>
    <t xml:space="preserve">€1,497,677</t>
  </si>
  <si>
    <t xml:space="preserve">1987500</t>
  </si>
  <si>
    <t xml:space="preserve">C12-R11</t>
  </si>
  <si>
    <t xml:space="preserve">age=40; ra=65; pot=60000; m=500; d=40000; o=15000; g=0.045; later=0; more=100; less=0; st_has=1; st_proj=450000; st_nra=65; untouched=1</t>
  </si>
  <si>
    <t xml:space="preserve">€594,863</t>
  </si>
  <si>
    <t xml:space="preserve">€30,137</t>
  </si>
  <si>
    <t xml:space="preserve">€362,587</t>
  </si>
  <si>
    <t xml:space="preserve">C13-R1</t>
  </si>
  <si>
    <t xml:space="preserve">sal=60000; inc=0.02; y=25; g=0.045; tr=0.4</t>
  </si>
  <si>
    <t xml:space="preserve">€54,572</t>
  </si>
  <si>
    <t xml:space="preserve">€60</t>
  </si>
  <si>
    <t xml:space="preserve">€33,264</t>
  </si>
  <si>
    <t xml:space="preserve">54572</t>
  </si>
  <si>
    <t xml:space="preserve">C13-R2</t>
  </si>
  <si>
    <t xml:space="preserve">sal=15000; inc=0.005; y=1; g=0.01; tr=0.2</t>
  </si>
  <si>
    <t xml:space="preserve">€75</t>
  </si>
  <si>
    <t xml:space="preserve">€6</t>
  </si>
  <si>
    <t xml:space="preserve">€5</t>
  </si>
  <si>
    <t xml:space="preserve">75</t>
  </si>
  <si>
    <t xml:space="preserve">C13-R3</t>
  </si>
  <si>
    <t xml:space="preserve">sal=250000; inc=0.1; y=45; g=0.07; tr=0.4</t>
  </si>
  <si>
    <t xml:space="preserve">€7,370,128</t>
  </si>
  <si>
    <t xml:space="preserve">€2,083</t>
  </si>
  <si>
    <t xml:space="preserve">€1,250</t>
  </si>
  <si>
    <t xml:space="preserve">€1,567,326</t>
  </si>
  <si>
    <t xml:space="preserve">7370128</t>
  </si>
  <si>
    <t xml:space="preserve">45</t>
  </si>
  <si>
    <t xml:space="preserve">C13-R4</t>
  </si>
  <si>
    <t xml:space="preserve">sal=159000; inc=0.03; y=14; g=0.045; tr=0.2</t>
  </si>
  <si>
    <t xml:space="preserve">€92,154</t>
  </si>
  <si>
    <t xml:space="preserve">€398</t>
  </si>
  <si>
    <t xml:space="preserve">€318</t>
  </si>
  <si>
    <t xml:space="preserve">€63,033</t>
  </si>
  <si>
    <t xml:space="preserve">92154</t>
  </si>
  <si>
    <t xml:space="preserve">C13-R6</t>
  </si>
  <si>
    <t xml:space="preserve">sal=60000; inc=0.035; y=12; g=0.045; tr=0.4</t>
  </si>
  <si>
    <t xml:space="preserve">€33,139</t>
  </si>
  <si>
    <t xml:space="preserve">€175</t>
  </si>
  <si>
    <t xml:space="preserve">€105</t>
  </si>
  <si>
    <t xml:space="preserve">€21,931</t>
  </si>
  <si>
    <t xml:space="preserve">33139</t>
  </si>
  <si>
    <t xml:space="preserve">C13-R8</t>
  </si>
  <si>
    <t xml:space="preserve">sal=159000; inc=0.005; y=24; g=0.03; tr=0.4</t>
  </si>
  <si>
    <t xml:space="preserve">€27,743</t>
  </si>
  <si>
    <t xml:space="preserve">€66</t>
  </si>
  <si>
    <t xml:space="preserve">€40</t>
  </si>
  <si>
    <t xml:space="preserve">€17,249</t>
  </si>
  <si>
    <t xml:space="preserve">27743</t>
  </si>
  <si>
    <t xml:space="preserve">24</t>
  </si>
  <si>
    <t xml:space="preserve">C13-R9</t>
  </si>
  <si>
    <t xml:space="preserve">sal=21000; inc=0.05; y=25; g=0.06; tr=0.2</t>
  </si>
  <si>
    <t xml:space="preserve">€59,175</t>
  </si>
  <si>
    <t xml:space="preserve">€88</t>
  </si>
  <si>
    <t xml:space="preserve">€70</t>
  </si>
  <si>
    <t xml:space="preserve">59175</t>
  </si>
  <si>
    <t xml:space="preserve">C13-R10</t>
  </si>
  <si>
    <t xml:space="preserve">sal=100000; inc=0.075; y=42; g=0.045; tr=0.4</t>
  </si>
  <si>
    <t xml:space="preserve">€910,186</t>
  </si>
  <si>
    <t xml:space="preserve">€625</t>
  </si>
  <si>
    <t xml:space="preserve">€375</t>
  </si>
  <si>
    <t xml:space="preserve">€214,603</t>
  </si>
  <si>
    <t xml:space="preserve">910186</t>
  </si>
  <si>
    <t xml:space="preserve">42</t>
  </si>
  <si>
    <t xml:space="preserve">C14-R1</t>
  </si>
  <si>
    <t xml:space="preserve">m=200; y=15; g=0.045; tr=0.4</t>
  </si>
  <si>
    <t xml:space="preserve">€50,902</t>
  </si>
  <si>
    <t xml:space="preserve">€120</t>
  </si>
  <si>
    <t xml:space="preserve">€36,000</t>
  </si>
  <si>
    <t xml:space="preserve">€21,600</t>
  </si>
  <si>
    <t xml:space="preserve">€37,821</t>
  </si>
  <si>
    <t xml:space="preserve">50902</t>
  </si>
  <si>
    <t xml:space="preserve">C14-R2</t>
  </si>
  <si>
    <t xml:space="preserve">m=25; y=1; g=0.01; tr=0.2</t>
  </si>
  <si>
    <t xml:space="preserve">€301</t>
  </si>
  <si>
    <t xml:space="preserve">€20</t>
  </si>
  <si>
    <t xml:space="preserve">€300</t>
  </si>
  <si>
    <t xml:space="preserve">€240</t>
  </si>
  <si>
    <t xml:space="preserve">301</t>
  </si>
  <si>
    <t xml:space="preserve">C14-R3</t>
  </si>
  <si>
    <t xml:space="preserve">m=2000; y=40; g=0.07; tr=0.4</t>
  </si>
  <si>
    <t xml:space="preserve">€4,943,084</t>
  </si>
  <si>
    <t xml:space="preserve">€960,000</t>
  </si>
  <si>
    <t xml:space="preserve">€576,000</t>
  </si>
  <si>
    <t xml:space="preserve">€1,248,487</t>
  </si>
  <si>
    <t xml:space="preserve">4943084</t>
  </si>
  <si>
    <t xml:space="preserve">C14-R4</t>
  </si>
  <si>
    <t xml:space="preserve">m=300; y=26; g=0.04; tr=0.2</t>
  </si>
  <si>
    <t xml:space="preserve">€162,426</t>
  </si>
  <si>
    <t xml:space="preserve">€93,600</t>
  </si>
  <si>
    <t xml:space="preserve">€74,880</t>
  </si>
  <si>
    <t xml:space="preserve">€80,228</t>
  </si>
  <si>
    <t xml:space="preserve">162426</t>
  </si>
  <si>
    <t xml:space="preserve">C14-R6</t>
  </si>
  <si>
    <t xml:space="preserve">m=375; y=15; g=0.045; tr=0.2</t>
  </si>
  <si>
    <t xml:space="preserve">€95,442</t>
  </si>
  <si>
    <t xml:space="preserve">€67,500</t>
  </si>
  <si>
    <t xml:space="preserve">€56,968</t>
  </si>
  <si>
    <t xml:space="preserve">95442</t>
  </si>
  <si>
    <t xml:space="preserve">C14-R8</t>
  </si>
  <si>
    <t xml:space="preserve">m=1150; y=35; g=0.065; tr=0.2</t>
  </si>
  <si>
    <t xml:space="preserve">€1,762,093</t>
  </si>
  <si>
    <t xml:space="preserve">€920</t>
  </si>
  <si>
    <t xml:space="preserve">€483,000</t>
  </si>
  <si>
    <t xml:space="preserve">€386,400</t>
  </si>
  <si>
    <t xml:space="preserve">€881,095</t>
  </si>
  <si>
    <t xml:space="preserve">1762093</t>
  </si>
  <si>
    <t xml:space="preserve">C14-R9</t>
  </si>
  <si>
    <t xml:space="preserve">m=1500; y=14; g=0.01; tr=0.2</t>
  </si>
  <si>
    <t xml:space="preserve">€270,285</t>
  </si>
  <si>
    <t xml:space="preserve">€252,000</t>
  </si>
  <si>
    <t xml:space="preserve">€201,600</t>
  </si>
  <si>
    <t xml:space="preserve">270285</t>
  </si>
  <si>
    <t xml:space="preserve">C14-R10</t>
  </si>
  <si>
    <t xml:space="preserve">m=625; y=7; g=0.055; tr=0.2</t>
  </si>
  <si>
    <t xml:space="preserve">€63,550</t>
  </si>
  <si>
    <t xml:space="preserve">€42,000</t>
  </si>
  <si>
    <t xml:space="preserve">€49,949</t>
  </si>
  <si>
    <t xml:space="preserve">63550</t>
  </si>
  <si>
    <t xml:space="preserve">C15-R1</t>
  </si>
  <si>
    <t xml:space="preserve">Will my money last</t>
  </si>
  <si>
    <t xml:space="preserve">pot=400000; w=24000; g=0.03</t>
  </si>
  <si>
    <t xml:space="preserve">Could last about</t>
  </si>
  <si>
    <t xml:space="preserve">18 years</t>
  </si>
  <si>
    <t xml:space="preserve">6.0%</t>
  </si>
  <si>
    <t xml:space="preserve">C15-R2</t>
  </si>
  <si>
    <t xml:space="preserve">pot=3000000; w=1000; g=0.07</t>
  </si>
  <si>
    <t xml:space="preserve">60+ years</t>
  </si>
  <si>
    <t xml:space="preserve">€1,000</t>
  </si>
  <si>
    <t xml:space="preserve">0.0%</t>
  </si>
  <si>
    <t xml:space="preserve">C15-R3</t>
  </si>
  <si>
    <t xml:space="preserve">pot=10000; w=200000; g=0.0</t>
  </si>
  <si>
    <t xml:space="preserve">0 years</t>
  </si>
  <si>
    <t xml:space="preserve">2000.0%</t>
  </si>
  <si>
    <t xml:space="preserve">C15-R4</t>
  </si>
  <si>
    <t xml:space="preserve">pot=2430000; w=52000; g=0.035</t>
  </si>
  <si>
    <t xml:space="preserve">59 years</t>
  </si>
  <si>
    <t xml:space="preserve">€52,000</t>
  </si>
  <si>
    <t xml:space="preserve">2.1%</t>
  </si>
  <si>
    <t xml:space="preserve">C15-R5</t>
  </si>
  <si>
    <t xml:space="preserve">pot=500000; w=40000; g=0.04</t>
  </si>
  <si>
    <t xml:space="preserve">14 years</t>
  </si>
  <si>
    <t xml:space="preserve">€40,000</t>
  </si>
  <si>
    <t xml:space="preserve">8.0%</t>
  </si>
  <si>
    <t xml:space="preserve">C15-R6</t>
  </si>
  <si>
    <t xml:space="preserve">pot=250000; w=30000; g=0.05</t>
  </si>
  <si>
    <t xml:space="preserve">9 years</t>
  </si>
  <si>
    <t xml:space="preserve">€30,000</t>
  </si>
  <si>
    <t xml:space="preserve">12.0%</t>
  </si>
  <si>
    <t xml:space="preserve">C15-R7</t>
  </si>
  <si>
    <t xml:space="preserve">pot=100000; w=50000; g=0.0</t>
  </si>
  <si>
    <t xml:space="preserve">2 years</t>
  </si>
  <si>
    <t xml:space="preserve">€50,000</t>
  </si>
  <si>
    <t xml:space="preserve">50.0%</t>
  </si>
  <si>
    <t xml:space="preserve">C15-R8</t>
  </si>
  <si>
    <t xml:space="preserve">pot=400000; w=45000; g=0.05</t>
  </si>
  <si>
    <t xml:space="preserve">10 years</t>
  </si>
  <si>
    <t xml:space="preserve">€45,000</t>
  </si>
  <si>
    <t xml:space="preserve">11.3%</t>
  </si>
  <si>
    <t xml:space="preserve">C15-R9</t>
  </si>
  <si>
    <t xml:space="preserve">pot=1730000; w=104000; g=0.035</t>
  </si>
  <si>
    <t xml:space="preserve">25 years</t>
  </si>
  <si>
    <t xml:space="preserve">€104,000</t>
  </si>
  <si>
    <t xml:space="preserve">C15-R10</t>
  </si>
  <si>
    <t xml:space="preserve">pot=1030000; w=116000; g=0.015</t>
  </si>
  <si>
    <t xml:space="preserve">8 years</t>
  </si>
  <si>
    <t xml:space="preserve">€116,000</t>
  </si>
  <si>
    <t xml:space="preserve">C16-R1</t>
  </si>
  <si>
    <t xml:space="preserve">Drawdown scenarios</t>
  </si>
  <si>
    <t xml:space="preserve">pot=400000; w=20000</t>
  </si>
  <si>
    <t xml:space="preserve">Balanced scenario lasts</t>
  </si>
  <si>
    <t xml:space="preserve">26 years</t>
  </si>
  <si>
    <t xml:space="preserve">20 yrs</t>
  </si>
  <si>
    <t xml:space="preserve">26 yrs</t>
  </si>
  <si>
    <t xml:space="preserve">41 yrs</t>
  </si>
  <si>
    <t xml:space="preserve">C16-R2</t>
  </si>
  <si>
    <t xml:space="preserve">pot=3000000; w=1000</t>
  </si>
  <si>
    <t xml:space="preserve">60 yrs</t>
  </si>
  <si>
    <t xml:space="preserve">60+ yrs</t>
  </si>
  <si>
    <t xml:space="preserve">C16-R3</t>
  </si>
  <si>
    <t xml:space="preserve">pot=10000; w=200000</t>
  </si>
  <si>
    <t xml:space="preserve">0 yrs</t>
  </si>
  <si>
    <t xml:space="preserve">C16-R4</t>
  </si>
  <si>
    <t xml:space="preserve">pot=1170000; w=119000</t>
  </si>
  <si>
    <t xml:space="preserve">9 yrs</t>
  </si>
  <si>
    <t xml:space="preserve">12 yrs</t>
  </si>
  <si>
    <t xml:space="preserve">C16-R5</t>
  </si>
  <si>
    <t xml:space="preserve">pot=1000000; w=30000</t>
  </si>
  <si>
    <t xml:space="preserve">56 years</t>
  </si>
  <si>
    <t xml:space="preserve">56 yrs</t>
  </si>
  <si>
    <t xml:space="preserve">C16-R6</t>
  </si>
  <si>
    <t xml:space="preserve">pot=600000; w=25000</t>
  </si>
  <si>
    <t xml:space="preserve">21 yrs</t>
  </si>
  <si>
    <t xml:space="preserve">38 yrs</t>
  </si>
  <si>
    <t xml:space="preserve">C16-R7</t>
  </si>
  <si>
    <t xml:space="preserve">pot=500000; w=20000</t>
  </si>
  <si>
    <t xml:space="preserve">C16-R8</t>
  </si>
  <si>
    <t xml:space="preserve">pot=570000; w=16000</t>
  </si>
  <si>
    <t xml:space="preserve">36 yrs</t>
  </si>
  <si>
    <t xml:space="preserve">C16-R9</t>
  </si>
  <si>
    <t xml:space="preserve">pot=900000; w=55000</t>
  </si>
  <si>
    <t xml:space="preserve">27 years</t>
  </si>
  <si>
    <t xml:space="preserve">27 yrs</t>
  </si>
  <si>
    <t xml:space="preserve">C16-R10</t>
  </si>
  <si>
    <t xml:space="preserve">pot=1630000; w=109000</t>
  </si>
  <si>
    <t xml:space="preserve">16 years</t>
  </si>
  <si>
    <t xml:space="preserve">13 yrs</t>
  </si>
  <si>
    <t xml:space="preserve">16 yrs</t>
  </si>
  <si>
    <t xml:space="preserve">C17-R1</t>
  </si>
  <si>
    <t xml:space="preserve">Inflation adjusted return</t>
  </si>
  <si>
    <t xml:space="preserve">p=20000; r=0.05; y=15</t>
  </si>
  <si>
    <t xml:space="preserve">€30,893</t>
  </si>
  <si>
    <t xml:space="preserve">€41,579</t>
  </si>
  <si>
    <t xml:space="preserve">2.94%</t>
  </si>
  <si>
    <t xml:space="preserve">2.9%</t>
  </si>
  <si>
    <t xml:space="preserve">C17-R2</t>
  </si>
  <si>
    <t xml:space="preserve">p=500; r=0.0; y=1</t>
  </si>
  <si>
    <t xml:space="preserve">C17-R3</t>
  </si>
  <si>
    <t xml:space="preserve">p=500000; r=0.1; y=40</t>
  </si>
  <si>
    <t xml:space="preserve">€5,715,621</t>
  </si>
  <si>
    <t xml:space="preserve">€22,629,628</t>
  </si>
  <si>
    <t xml:space="preserve">6.28%</t>
  </si>
  <si>
    <t xml:space="preserve">6.3%</t>
  </si>
  <si>
    <t xml:space="preserve">C17-R4</t>
  </si>
  <si>
    <t xml:space="preserve">p=469600; r=0.06; y=7</t>
  </si>
  <si>
    <t xml:space="preserve">€583,978</t>
  </si>
  <si>
    <t xml:space="preserve">€706,105</t>
  </si>
  <si>
    <t xml:space="preserve">3.16%</t>
  </si>
  <si>
    <t xml:space="preserve">3.2%</t>
  </si>
  <si>
    <t xml:space="preserve">C17-R5</t>
  </si>
  <si>
    <t xml:space="preserve">p=20000; r=0.02; y=15</t>
  </si>
  <si>
    <t xml:space="preserve">€26,917</t>
  </si>
  <si>
    <t xml:space="preserve">0%</t>
  </si>
  <si>
    <t xml:space="preserve">C17-R6</t>
  </si>
  <si>
    <t xml:space="preserve">p=20000; r=0.0; y=15</t>
  </si>
  <si>
    <t xml:space="preserve">€11,938</t>
  </si>
  <si>
    <t xml:space="preserve">-3.38%</t>
  </si>
  <si>
    <t xml:space="preserve">-3.4%</t>
  </si>
  <si>
    <t xml:space="preserve">C17-R7</t>
  </si>
  <si>
    <t xml:space="preserve">p=20000; r=0.0725; y=33</t>
  </si>
  <si>
    <t xml:space="preserve">€201,438</t>
  </si>
  <si>
    <t xml:space="preserve">C17-R8</t>
  </si>
  <si>
    <t xml:space="preserve">p=194400; r=0.035; y=14</t>
  </si>
  <si>
    <t xml:space="preserve">€238,484</t>
  </si>
  <si>
    <t xml:space="preserve">€314,674</t>
  </si>
  <si>
    <t xml:space="preserve">1.47%</t>
  </si>
  <si>
    <t xml:space="preserve">1.5%</t>
  </si>
  <si>
    <t xml:space="preserve">C17-R9</t>
  </si>
  <si>
    <t xml:space="preserve">p=166200; r=0.045; y=39</t>
  </si>
  <si>
    <t xml:space="preserve">€925,052</t>
  </si>
  <si>
    <t xml:space="preserve">C17-R10</t>
  </si>
  <si>
    <t xml:space="preserve">p=432600; r=0.055; y=38</t>
  </si>
  <si>
    <t xml:space="preserve">€895,255</t>
  </si>
  <si>
    <t xml:space="preserve">€3,308,872</t>
  </si>
  <si>
    <t xml:space="preserve">1.93%</t>
  </si>
  <si>
    <t xml:space="preserve">1.9%</t>
  </si>
  <si>
    <t xml:space="preserve">C18-R1</t>
  </si>
  <si>
    <t xml:space="preserve">m=300; y=15; g=0.05; f=0.01; adj=0</t>
  </si>
  <si>
    <t xml:space="preserve">€73,109</t>
  </si>
  <si>
    <t xml:space="preserve">1%</t>
  </si>
  <si>
    <t xml:space="preserve">€6,339</t>
  </si>
  <si>
    <t xml:space="preserve">€79,447</t>
  </si>
  <si>
    <t xml:space="preserve">73109</t>
  </si>
  <si>
    <t xml:space="preserve">C18-R2</t>
  </si>
  <si>
    <t xml:space="preserve">m=25; y=1; g=0.0; f=0.0; adj=1</t>
  </si>
  <si>
    <t xml:space="preserve">300</t>
  </si>
  <si>
    <t xml:space="preserve">C18-R3</t>
  </si>
  <si>
    <t xml:space="preserve">m=5000; y=40; g=0.08; f=0.03; adj=1</t>
  </si>
  <si>
    <t xml:space="preserve">€1,764,257</t>
  </si>
  <si>
    <t xml:space="preserve">€9,120,246</t>
  </si>
  <si>
    <t xml:space="preserve">€2,400,000</t>
  </si>
  <si>
    <t xml:space="preserve">€16,105,397</t>
  </si>
  <si>
    <t xml:space="preserve">6985150</t>
  </si>
  <si>
    <t xml:space="preserve">C18-R4</t>
  </si>
  <si>
    <t xml:space="preserve">m=1625; y=4; g=0.035; f=0.0215; adj=0</t>
  </si>
  <si>
    <t xml:space="preserve">€79,968</t>
  </si>
  <si>
    <t xml:space="preserve">2.15%</t>
  </si>
  <si>
    <t xml:space="preserve">€3,534</t>
  </si>
  <si>
    <t xml:space="preserve">€78,000</t>
  </si>
  <si>
    <t xml:space="preserve">€83,502</t>
  </si>
  <si>
    <t xml:space="preserve">79968</t>
  </si>
  <si>
    <t xml:space="preserve">C18-R5</t>
  </si>
  <si>
    <t xml:space="preserve">m=300; y=15; g=0.05; f=0.01; adj=1</t>
  </si>
  <si>
    <t xml:space="preserve">€54,321</t>
  </si>
  <si>
    <t xml:space="preserve">3.95%</t>
  </si>
  <si>
    <t xml:space="preserve">C18-R6</t>
  </si>
  <si>
    <t xml:space="preserve">m=300; y=15; g=0.0; f=0.03; adj=0</t>
  </si>
  <si>
    <t xml:space="preserve">€43,401</t>
  </si>
  <si>
    <t xml:space="preserve">€10,599</t>
  </si>
  <si>
    <t xml:space="preserve">43401</t>
  </si>
  <si>
    <t xml:space="preserve">C18-R8</t>
  </si>
  <si>
    <t xml:space="preserve">m=4625; y=19; g=0.075; f=0.0155; adj=1</t>
  </si>
  <si>
    <t xml:space="preserve">€1,298,219</t>
  </si>
  <si>
    <t xml:space="preserve">3.8%</t>
  </si>
  <si>
    <t xml:space="preserve">5.83%</t>
  </si>
  <si>
    <t xml:space="preserve">1.55%</t>
  </si>
  <si>
    <t xml:space="preserve">€366,940</t>
  </si>
  <si>
    <t xml:space="preserve">€1,054,500</t>
  </si>
  <si>
    <t xml:space="preserve">€2,258,200</t>
  </si>
  <si>
    <t xml:space="preserve">1891260</t>
  </si>
  <si>
    <t xml:space="preserve">19</t>
  </si>
  <si>
    <t xml:space="preserve">C18-R9</t>
  </si>
  <si>
    <t xml:space="preserve">m=4000; y=30; g=0.035; f=0.027; adj=1</t>
  </si>
  <si>
    <t xml:space="preserve">€1,602,647</t>
  </si>
  <si>
    <t xml:space="preserve">2.7%</t>
  </si>
  <si>
    <t xml:space="preserve">€914,745</t>
  </si>
  <si>
    <t xml:space="preserve">€1,440,000</t>
  </si>
  <si>
    <t xml:space="preserve">€2,517,391</t>
  </si>
  <si>
    <t xml:space="preserve">1602647</t>
  </si>
  <si>
    <t xml:space="preserve">C18-R10</t>
  </si>
  <si>
    <t xml:space="preserve">m=1600; y=36; g=0.05; f=0.008; adj=0</t>
  </si>
  <si>
    <t xml:space="preserve">€1,569,517</t>
  </si>
  <si>
    <t xml:space="preserve">0.8%</t>
  </si>
  <si>
    <t xml:space="preserve">€312,337</t>
  </si>
  <si>
    <t xml:space="preserve">€691,200</t>
  </si>
  <si>
    <t xml:space="preserve">€1,881,854</t>
  </si>
  <si>
    <t xml:space="preserve">1569517</t>
  </si>
  <si>
    <t xml:space="preserve">C19-R1</t>
  </si>
  <si>
    <t xml:space="preserve">p=50000; y=20; g=0.05; a=0.005; b=0.015</t>
  </si>
  <si>
    <t xml:space="preserve">€21,953</t>
  </si>
  <si>
    <t xml:space="preserve">1.0%</t>
  </si>
  <si>
    <t xml:space="preserve">€120,010</t>
  </si>
  <si>
    <t xml:space="preserve">€98,057</t>
  </si>
  <si>
    <t xml:space="preserve">C19-R2</t>
  </si>
  <si>
    <t xml:space="preserve">p=1000; y=1; g=0.0; a=0.0; b=0.0</t>
  </si>
  <si>
    <t xml:space="preserve">C19-R3</t>
  </si>
  <si>
    <t xml:space="preserve">p=1000000; y=40; g=0.08; a=0.03; b=0.0</t>
  </si>
  <si>
    <t xml:space="preserve">€15,300,314</t>
  </si>
  <si>
    <t xml:space="preserve">3.0%</t>
  </si>
  <si>
    <t xml:space="preserve">€6,424,208</t>
  </si>
  <si>
    <t xml:space="preserve">€21,724,521</t>
  </si>
  <si>
    <t xml:space="preserve">C19-R4</t>
  </si>
  <si>
    <t xml:space="preserve">p=874200; y=28; g=0.07; a=0.022; b=0.012</t>
  </si>
  <si>
    <t xml:space="preserve">€1,027,480</t>
  </si>
  <si>
    <t xml:space="preserve">€3,117,773</t>
  </si>
  <si>
    <t xml:space="preserve">€4,145,253</t>
  </si>
  <si>
    <t xml:space="preserve">C19-R5</t>
  </si>
  <si>
    <t xml:space="preserve">p=50000; y=20; g=0.05; a=0.012; b=0.007</t>
  </si>
  <si>
    <t xml:space="preserve">€11,070</t>
  </si>
  <si>
    <t xml:space="preserve">0.5%</t>
  </si>
  <si>
    <t xml:space="preserve">€104,207</t>
  </si>
  <si>
    <t xml:space="preserve">€115,277</t>
  </si>
  <si>
    <t xml:space="preserve">C19-R6</t>
  </si>
  <si>
    <t xml:space="preserve">p=75000; y=20; g=0.05; a=0.003; b=0.022</t>
  </si>
  <si>
    <t xml:space="preserve">€59,858</t>
  </si>
  <si>
    <t xml:space="preserve">€187,392</t>
  </si>
  <si>
    <t xml:space="preserve">€127,534</t>
  </si>
  <si>
    <t xml:space="preserve">C19-R8</t>
  </si>
  <si>
    <t xml:space="preserve">p=486800; y=1; g=0.04; a=0.016; b=0.016</t>
  </si>
  <si>
    <t xml:space="preserve">€498,172</t>
  </si>
  <si>
    <t xml:space="preserve">C19-R9</t>
  </si>
  <si>
    <t xml:space="preserve">p=215400; y=3; g=0.0; a=0.019; b=0.016</t>
  </si>
  <si>
    <t xml:space="preserve">€1,871</t>
  </si>
  <si>
    <t xml:space="preserve">€203,354</t>
  </si>
  <si>
    <t xml:space="preserve">€205,225</t>
  </si>
  <si>
    <t xml:space="preserve">C19-R10</t>
  </si>
  <si>
    <t xml:space="preserve">p=289600; y=11; g=0.045; a=0.021; b=0.016</t>
  </si>
  <si>
    <t xml:space="preserve">€21,448</t>
  </si>
  <si>
    <t xml:space="preserve">€372,124</t>
  </si>
  <si>
    <t xml:space="preserve">€393,572</t>
  </si>
  <si>
    <t xml:space="preserve">C20-R1</t>
  </si>
  <si>
    <t xml:space="preserve">Risk and return</t>
  </si>
  <si>
    <t xml:space="preserve">p=20000; y=10; s=2</t>
  </si>
  <si>
    <t xml:space="preserve">Balanced · middle outcome</t>
  </si>
  <si>
    <t xml:space="preserve">€29,605</t>
  </si>
  <si>
    <t xml:space="preserve">16%</t>
  </si>
  <si>
    <t xml:space="preserve">€21,740</t>
  </si>
  <si>
    <t xml:space="preserve">€39,944</t>
  </si>
  <si>
    <t xml:space="preserve">C20-R2</t>
  </si>
  <si>
    <t xml:space="preserve">p=1000; y=1; s=1</t>
  </si>
  <si>
    <t xml:space="preserve">Cautious · middle outcome</t>
  </si>
  <si>
    <t xml:space="preserve">€1,020</t>
  </si>
  <si>
    <t xml:space="preserve">8%</t>
  </si>
  <si>
    <t xml:space="preserve">€970</t>
  </si>
  <si>
    <t xml:space="preserve">€1,070</t>
  </si>
  <si>
    <t xml:space="preserve">C20-R3</t>
  </si>
  <si>
    <t xml:space="preserve">p=1000000; y=30; s=3</t>
  </si>
  <si>
    <t xml:space="preserve">Growth · middle outcome</t>
  </si>
  <si>
    <t xml:space="preserve">26%</t>
  </si>
  <si>
    <t xml:space="preserve">€2,483,604</t>
  </si>
  <si>
    <t xml:space="preserve">€12,982,878</t>
  </si>
  <si>
    <t xml:space="preserve">C20-R4</t>
  </si>
  <si>
    <t xml:space="preserve">p=767500; y=26; s=1</t>
  </si>
  <si>
    <t xml:space="preserve">€1,284,348</t>
  </si>
  <si>
    <t xml:space="preserve">€999,091</t>
  </si>
  <si>
    <t xml:space="preserve">€1,647,089</t>
  </si>
  <si>
    <t xml:space="preserve">C20-R5</t>
  </si>
  <si>
    <t xml:space="preserve">p=20000; y=1; s=3</t>
  </si>
  <si>
    <t xml:space="preserve">€21,200</t>
  </si>
  <si>
    <t xml:space="preserve">€18,000</t>
  </si>
  <si>
    <t xml:space="preserve">€24,400</t>
  </si>
  <si>
    <t xml:space="preserve">C20-R6</t>
  </si>
  <si>
    <t xml:space="preserve">p=20000; y=25; s=1</t>
  </si>
  <si>
    <t xml:space="preserve">€32,812</t>
  </si>
  <si>
    <t xml:space="preserve">€25,649</t>
  </si>
  <si>
    <t xml:space="preserve">€41,876</t>
  </si>
  <si>
    <t xml:space="preserve">C20-R8</t>
  </si>
  <si>
    <t xml:space="preserve">p=421600; y=19; s=2</t>
  </si>
  <si>
    <t xml:space="preserve">€888,248</t>
  </si>
  <si>
    <t xml:space="preserve">€581,397</t>
  </si>
  <si>
    <t xml:space="preserve">€1,344,557</t>
  </si>
  <si>
    <t xml:space="preserve">C20-R9</t>
  </si>
  <si>
    <t xml:space="preserve">p=945500; y=18; s=1</t>
  </si>
  <si>
    <t xml:space="preserve">€1,350,407</t>
  </si>
  <si>
    <t xml:space="preserve">€1,095,513</t>
  </si>
  <si>
    <t xml:space="preserve">€1,660,612</t>
  </si>
  <si>
    <t xml:space="preserve">C20-R10</t>
  </si>
  <si>
    <t xml:space="preserve">p=78200; y=1; s=3</t>
  </si>
  <si>
    <t xml:space="preserve">€82,892</t>
  </si>
  <si>
    <t xml:space="preserve">€70,380</t>
  </si>
  <si>
    <t xml:space="preserve">€95,404</t>
  </si>
  <si>
    <t xml:space="preserve">C21-R1</t>
  </si>
  <si>
    <t xml:space="preserve">Life cover</t>
  </si>
  <si>
    <t xml:space="preserve">inc=60000; y=15; mort=250000; debt=10000; sav=20000; ex=100000</t>
  </si>
  <si>
    <t xml:space="preserve">€680,000</t>
  </si>
  <si>
    <t xml:space="preserve">€540,000</t>
  </si>
  <si>
    <t xml:space="preserve">€260,000</t>
  </si>
  <si>
    <t xml:space="preserve">680000</t>
  </si>
  <si>
    <t xml:space="preserve">C21-R2</t>
  </si>
  <si>
    <t xml:space="preserve">inc=0; y=1; mort=0; debt=0; sav=1000000; ex=2000000</t>
  </si>
  <si>
    <t xml:space="preserve">€3,000,000</t>
  </si>
  <si>
    <t xml:space="preserve">C21-R3</t>
  </si>
  <si>
    <t xml:space="preserve">inc=300000; y=30; mort=1000000; debt=200000; sav=0; ex=0</t>
  </si>
  <si>
    <t xml:space="preserve">€6,600,000</t>
  </si>
  <si>
    <t xml:space="preserve">€5,400,000</t>
  </si>
  <si>
    <t xml:space="preserve">€1,200,000</t>
  </si>
  <si>
    <t xml:space="preserve">6600000</t>
  </si>
  <si>
    <t xml:space="preserve">C21-R4</t>
  </si>
  <si>
    <t xml:space="preserve">inc=272000; y=18; mort=40000; debt=152000; sav=573000; ex=1880000</t>
  </si>
  <si>
    <t xml:space="preserve">€676,600</t>
  </si>
  <si>
    <t xml:space="preserve">€2,937,600</t>
  </si>
  <si>
    <t xml:space="preserve">€192,000</t>
  </si>
  <si>
    <t xml:space="preserve">€2,453,000</t>
  </si>
  <si>
    <t xml:space="preserve">676600</t>
  </si>
  <si>
    <t xml:space="preserve">C21-R5</t>
  </si>
  <si>
    <t xml:space="preserve">inc=0; y=15; mort=100000; debt=0; sav=0; ex=100000</t>
  </si>
  <si>
    <t xml:space="preserve">C21-R8</t>
  </si>
  <si>
    <t xml:space="preserve">inc=156000; y=29; mort=495000; debt=162000; sav=892000; ex=1500000</t>
  </si>
  <si>
    <t xml:space="preserve">€979,400</t>
  </si>
  <si>
    <t xml:space="preserve">€2,714,400</t>
  </si>
  <si>
    <t xml:space="preserve">€657,000</t>
  </si>
  <si>
    <t xml:space="preserve">€2,392,000</t>
  </si>
  <si>
    <t xml:space="preserve">979400</t>
  </si>
  <si>
    <t xml:space="preserve">C21-R9</t>
  </si>
  <si>
    <t xml:space="preserve">inc=68000; y=5; mort=830000; debt=120000; sav=108000; ex=600000</t>
  </si>
  <si>
    <t xml:space="preserve">€446,000</t>
  </si>
  <si>
    <t xml:space="preserve">€204,000</t>
  </si>
  <si>
    <t xml:space="preserve">€950,000</t>
  </si>
  <si>
    <t xml:space="preserve">€708,000</t>
  </si>
  <si>
    <t xml:space="preserve">446000</t>
  </si>
  <si>
    <t xml:space="preserve">C21-R10</t>
  </si>
  <si>
    <t xml:space="preserve">inc=95000; y=9; mort=510000; debt=122000; sav=504000; ex=430000</t>
  </si>
  <si>
    <t xml:space="preserve">€211,000</t>
  </si>
  <si>
    <t xml:space="preserve">€513,000</t>
  </si>
  <si>
    <t xml:space="preserve">€632,000</t>
  </si>
  <si>
    <t xml:space="preserve">€934,000</t>
  </si>
  <si>
    <t xml:space="preserve">211000</t>
  </si>
  <si>
    <t xml:space="preserve">C22-R1</t>
  </si>
  <si>
    <t xml:space="preserve">e=2500; sp=3; s=8000</t>
  </si>
  <si>
    <t xml:space="preserve">You could cope for about</t>
  </si>
  <si>
    <t xml:space="preserve">6.2 months</t>
  </si>
  <si>
    <t xml:space="preserve">€2,500</t>
  </si>
  <si>
    <t xml:space="preserve">3 months</t>
  </si>
  <si>
    <t xml:space="preserve">3.2 months</t>
  </si>
  <si>
    <t xml:space="preserve">30000</t>
  </si>
  <si>
    <t xml:space="preserve">C22-R2</t>
  </si>
  <si>
    <t xml:space="preserve">e=500; sp=0; s=0</t>
  </si>
  <si>
    <t xml:space="preserve">C22-R3</t>
  </si>
  <si>
    <t xml:space="preserve">e=10000; sp=12; s=200000</t>
  </si>
  <si>
    <t xml:space="preserve">32.0 months</t>
  </si>
  <si>
    <t xml:space="preserve">12 months</t>
  </si>
  <si>
    <t xml:space="preserve">20.0 months</t>
  </si>
  <si>
    <t xml:space="preserve">C22-R4</t>
  </si>
  <si>
    <t xml:space="preserve">e=900; sp=4; s=64500</t>
  </si>
  <si>
    <t xml:space="preserve">75.7 months</t>
  </si>
  <si>
    <t xml:space="preserve">€900</t>
  </si>
  <si>
    <t xml:space="preserve">4 months</t>
  </si>
  <si>
    <t xml:space="preserve">71.7 months</t>
  </si>
  <si>
    <t xml:space="preserve">10800</t>
  </si>
  <si>
    <t xml:space="preserve">C22-R6</t>
  </si>
  <si>
    <t xml:space="preserve">e=2500; sp=1; s=1234</t>
  </si>
  <si>
    <t xml:space="preserve">1.5 months</t>
  </si>
  <si>
    <t xml:space="preserve">0.5 months</t>
  </si>
  <si>
    <t xml:space="preserve">C22-R8</t>
  </si>
  <si>
    <t xml:space="preserve">e=1700; sp=6; s=101500</t>
  </si>
  <si>
    <t xml:space="preserve">65.7 months</t>
  </si>
  <si>
    <t xml:space="preserve">€1,700</t>
  </si>
  <si>
    <t xml:space="preserve">59.7 months</t>
  </si>
  <si>
    <t xml:space="preserve">20400</t>
  </si>
  <si>
    <t xml:space="preserve">C22-R9</t>
  </si>
  <si>
    <t xml:space="preserve">e=2100; sp=0; s=126500</t>
  </si>
  <si>
    <t xml:space="preserve">60.2 months</t>
  </si>
  <si>
    <t xml:space="preserve">€2,100</t>
  </si>
  <si>
    <t xml:space="preserve">25200</t>
  </si>
  <si>
    <t xml:space="preserve">C22-R10</t>
  </si>
  <si>
    <t xml:space="preserve">e=4900; sp=8; s=132500</t>
  </si>
  <si>
    <t xml:space="preserve">35.0 months</t>
  </si>
  <si>
    <t xml:space="preserve">€4,900</t>
  </si>
  <si>
    <t xml:space="preserve">27.0 months</t>
  </si>
  <si>
    <t xml:space="preserve">58800</t>
  </si>
  <si>
    <t xml:space="preserve">C23-R1</t>
  </si>
  <si>
    <t xml:space="preserve">bal=250000; rate=0.04; y=25; stated=0; untouched=1</t>
  </si>
  <si>
    <t xml:space="preserve">€217,762</t>
  </si>
  <si>
    <t xml:space="preserve">€178,398</t>
  </si>
  <si>
    <t xml:space="preserve">€130,336</t>
  </si>
  <si>
    <t xml:space="preserve">C23-R2</t>
  </si>
  <si>
    <t xml:space="preserve">bal=20000; rate=0.01; y=5; stated=0; untouched=1</t>
  </si>
  <si>
    <t xml:space="preserve">€342</t>
  </si>
  <si>
    <t xml:space="preserve">C23-R3</t>
  </si>
  <si>
    <t xml:space="preserve">bal=1000000; rate=0.08; y=35; stated=0; untouched=1</t>
  </si>
  <si>
    <t xml:space="preserve">€1,000,000</t>
  </si>
  <si>
    <t xml:space="preserve">€967,968</t>
  </si>
  <si>
    <t xml:space="preserve">€920,246</t>
  </si>
  <si>
    <t xml:space="preserve">€849,147</t>
  </si>
  <si>
    <t xml:space="preserve">C23-R4</t>
  </si>
  <si>
    <t xml:space="preserve">bal=960000; rate=0.0605; y=20; stated=0; untouched=1</t>
  </si>
  <si>
    <t xml:space="preserve">€6,905</t>
  </si>
  <si>
    <t xml:space="preserve">€815,708</t>
  </si>
  <si>
    <t xml:space="preserve">€620,594</t>
  </si>
  <si>
    <t xml:space="preserve">€356,760</t>
  </si>
  <si>
    <t xml:space="preserve">C23-R5</t>
  </si>
  <si>
    <t xml:space="preserve">bal=250000; rate=0.04; y=25; stated=1500; untouched=1</t>
  </si>
  <si>
    <t xml:space="preserve">€205,801</t>
  </si>
  <si>
    <t xml:space="preserve">€151,833</t>
  </si>
  <si>
    <t xml:space="preserve">€85,940</t>
  </si>
  <si>
    <t xml:space="preserve">C23-R6</t>
  </si>
  <si>
    <t xml:space="preserve">bal=250000; rate=0.04; y=25; stated=500; untouched=1</t>
  </si>
  <si>
    <t xml:space="preserve">€272,100</t>
  </si>
  <si>
    <t xml:space="preserve">€299,083</t>
  </si>
  <si>
    <t xml:space="preserve">€332,030</t>
  </si>
  <si>
    <t xml:space="preserve">C23-R7</t>
  </si>
  <si>
    <t xml:space="preserve">bal=250000; rate=0.04; y=10; stated=0; untouched=1</t>
  </si>
  <si>
    <t xml:space="preserve">€2,531</t>
  </si>
  <si>
    <t xml:space="preserve">€137,438</t>
  </si>
  <si>
    <t xml:space="preserve">C23-R8</t>
  </si>
  <si>
    <t xml:space="preserve">bal=25000; rate=0.0615; y=17; stated=0; untouched=1</t>
  </si>
  <si>
    <t xml:space="preserve">€198</t>
  </si>
  <si>
    <t xml:space="preserve">€20,116</t>
  </si>
  <si>
    <t xml:space="preserve">€13,478</t>
  </si>
  <si>
    <t xml:space="preserve">€4,458</t>
  </si>
  <si>
    <t xml:space="preserve">C23-R9</t>
  </si>
  <si>
    <t xml:space="preserve">bal=450000; rate=0.013; y=8; stated=0; untouched=1</t>
  </si>
  <si>
    <t xml:space="preserve">€4,938</t>
  </si>
  <si>
    <t xml:space="preserve">€174,254</t>
  </si>
  <si>
    <t xml:space="preserve">C23-R10</t>
  </si>
  <si>
    <t xml:space="preserve">bal=375000; rate=0.0235; y=16; stated=0; untouched=1</t>
  </si>
  <si>
    <t xml:space="preserve">€375,000</t>
  </si>
  <si>
    <t xml:space="preserve">€2,345</t>
  </si>
  <si>
    <t xml:space="preserve">€272,552</t>
  </si>
  <si>
    <t xml:space="preserve">€157,344</t>
  </si>
  <si>
    <t xml:space="preserve">€27,787</t>
  </si>
  <si>
    <t xml:space="preserve">C24-R1</t>
  </si>
  <si>
    <t xml:space="preserve">sav=15000; inv=10000; pen=60000; prop=350000; mort=250000; loans=8000</t>
  </si>
  <si>
    <t xml:space="preserve">€177,000</t>
  </si>
  <si>
    <t xml:space="preserve">€435,000</t>
  </si>
  <si>
    <t xml:space="preserve">€258,000</t>
  </si>
  <si>
    <t xml:space="preserve">C24-R2</t>
  </si>
  <si>
    <t xml:space="preserve">sav=0; inv=0; pen=0; prop=0; mort=0; loans=0</t>
  </si>
  <si>
    <t xml:space="preserve">C24-R3</t>
  </si>
  <si>
    <t xml:space="preserve">sav=1000000; inv=2000000; pen=3000000; prop=5000000; mort=3000000; loans=500000</t>
  </si>
  <si>
    <t xml:space="preserve">€7,500,000</t>
  </si>
  <si>
    <t xml:space="preserve">€11,000,000</t>
  </si>
  <si>
    <t xml:space="preserve">€3,500,000</t>
  </si>
  <si>
    <t xml:space="preserve">C24-R4</t>
  </si>
  <si>
    <t xml:space="preserve">sav=842500; inv=395000; pen=2458000; prop=1985000; mort=150000; loans=314500</t>
  </si>
  <si>
    <t xml:space="preserve">€5,216,000</t>
  </si>
  <si>
    <t xml:space="preserve">€5,680,500</t>
  </si>
  <si>
    <t xml:space="preserve">€464,500</t>
  </si>
  <si>
    <t xml:space="preserve">C24-R5</t>
  </si>
  <si>
    <t xml:space="preserve">sav=15000; inv=10000; pen=60000; prop=0; mort=300000; loans=8000</t>
  </si>
  <si>
    <t xml:space="preserve">−€223,000</t>
  </si>
  <si>
    <t xml:space="preserve">€85,000</t>
  </si>
  <si>
    <t xml:space="preserve">€308,000</t>
  </si>
  <si>
    <t xml:space="preserve">C24-R8</t>
  </si>
  <si>
    <t xml:space="preserve">sav=180500; inv=284000; pen=1328000; prop=3325000; mort=780000; loans=153000</t>
  </si>
  <si>
    <t xml:space="preserve">€4,184,500</t>
  </si>
  <si>
    <t xml:space="preserve">€5,117,500</t>
  </si>
  <si>
    <t xml:space="preserve">€933,000</t>
  </si>
  <si>
    <t xml:space="preserve">C24-R9</t>
  </si>
  <si>
    <t xml:space="preserve">sav=220500; inv=573000; pen=941000; prop=4375000; mort=2240000; loans=432500</t>
  </si>
  <si>
    <t xml:space="preserve">€3,437,000</t>
  </si>
  <si>
    <t xml:space="preserve">€6,109,500</t>
  </si>
  <si>
    <t xml:space="preserve">€2,672,500</t>
  </si>
  <si>
    <t xml:space="preserve">C24-R10</t>
  </si>
  <si>
    <t xml:space="preserve">sav=15000; inv=1084000; pen=627000; prop=1275000; mort=1595000; loans=347000</t>
  </si>
  <si>
    <t xml:space="preserve">€1,059,000</t>
  </si>
  <si>
    <t xml:space="preserve">€3,001,000</t>
  </si>
  <si>
    <t xml:space="preserve">€1,942,000</t>
  </si>
  <si>
    <t xml:space="preserve">C25-R1</t>
  </si>
  <si>
    <t xml:space="preserve">inc=3500; ess=2000; life=800; debt=200</t>
  </si>
  <si>
    <t xml:space="preserve">14%</t>
  </si>
  <si>
    <t xml:space="preserve">€3,500</t>
  </si>
  <si>
    <t xml:space="preserve">€3,000</t>
  </si>
  <si>
    <t xml:space="preserve">C25-R2</t>
  </si>
  <si>
    <t xml:space="preserve">inc=500; ess=2000; life=800; debt=200</t>
  </si>
  <si>
    <t xml:space="preserve">−€2,500</t>
  </si>
  <si>
    <t xml:space="preserve">C25-R3</t>
  </si>
  <si>
    <t xml:space="preserve">inc=20000; ess=0; life=0; debt=0</t>
  </si>
  <si>
    <t xml:space="preserve">100%</t>
  </si>
  <si>
    <t xml:space="preserve">240000</t>
  </si>
  <si>
    <t xml:space="preserve">C25-R4</t>
  </si>
  <si>
    <t xml:space="preserve">inc=9000; ess=8600; life=6350; debt=5000</t>
  </si>
  <si>
    <t xml:space="preserve">−€10,950</t>
  </si>
  <si>
    <t xml:space="preserve">€9,000</t>
  </si>
  <si>
    <t xml:space="preserve">€19,950</t>
  </si>
  <si>
    <t xml:space="preserve">C25-R5</t>
  </si>
  <si>
    <t xml:space="preserve">inc=3000; ess=2000; life=800; debt=200</t>
  </si>
  <si>
    <t xml:space="preserve">C25-R8</t>
  </si>
  <si>
    <t xml:space="preserve">inc=18550; ess=14350; life=5050; debt=2025</t>
  </si>
  <si>
    <t xml:space="preserve">−€2,875</t>
  </si>
  <si>
    <t xml:space="preserve">€18,550</t>
  </si>
  <si>
    <t xml:space="preserve">€21,425</t>
  </si>
  <si>
    <t xml:space="preserve">C25-R9</t>
  </si>
  <si>
    <t xml:space="preserve">inc=12050; ess=2750; life=0; debt=4925</t>
  </si>
  <si>
    <t xml:space="preserve">€4,375</t>
  </si>
  <si>
    <t xml:space="preserve">36%</t>
  </si>
  <si>
    <t xml:space="preserve">€12,050</t>
  </si>
  <si>
    <t xml:space="preserve">€7,675</t>
  </si>
  <si>
    <t xml:space="preserve">52500</t>
  </si>
  <si>
    <t xml:space="preserve">C25-R10</t>
  </si>
  <si>
    <t xml:space="preserve">inc=12600; ess=4950; life=1900; debt=4900</t>
  </si>
  <si>
    <t xml:space="preserve">€850</t>
  </si>
  <si>
    <t xml:space="preserve">7%</t>
  </si>
  <si>
    <t xml:space="preserve">€12,600</t>
  </si>
  <si>
    <t xml:space="preserve">€11,750</t>
  </si>
  <si>
    <t xml:space="preserve">10200</t>
  </si>
  <si>
    <t xml:space="preserve">C26-R1</t>
  </si>
  <si>
    <t xml:space="preserve">Budget 50 30 20</t>
  </si>
  <si>
    <t xml:space="preserve">inc=3500</t>
  </si>
  <si>
    <t xml:space="preserve">€1,050</t>
  </si>
  <si>
    <t xml:space="preserve">C26-R2</t>
  </si>
  <si>
    <t xml:space="preserve">inc=500</t>
  </si>
  <si>
    <t xml:space="preserve">€250</t>
  </si>
  <si>
    <t xml:space="preserve">€150</t>
  </si>
  <si>
    <t xml:space="preserve">C26-R3</t>
  </si>
  <si>
    <t xml:space="preserve">inc=20000</t>
  </si>
  <si>
    <t xml:space="preserve">€4,000</t>
  </si>
  <si>
    <t xml:space="preserve">C26-R4</t>
  </si>
  <si>
    <t xml:space="preserve">inc=900</t>
  </si>
  <si>
    <t xml:space="preserve">€180</t>
  </si>
  <si>
    <t xml:space="preserve">€450</t>
  </si>
  <si>
    <t xml:space="preserve">€270</t>
  </si>
  <si>
    <t xml:space="preserve">C26-R5</t>
  </si>
  <si>
    <t xml:space="preserve">inc=3333</t>
  </si>
  <si>
    <t xml:space="preserve">€667</t>
  </si>
  <si>
    <t xml:space="preserve">€1,667</t>
  </si>
  <si>
    <t xml:space="preserve">C26-R8</t>
  </si>
  <si>
    <t xml:space="preserve">inc=6950</t>
  </si>
  <si>
    <t xml:space="preserve">€1,390</t>
  </si>
  <si>
    <t xml:space="preserve">€3,475</t>
  </si>
  <si>
    <t xml:space="preserve">€2,085</t>
  </si>
  <si>
    <t xml:space="preserve">C26-R9</t>
  </si>
  <si>
    <t xml:space="preserve">inc=13100</t>
  </si>
  <si>
    <t xml:space="preserve">€2,620</t>
  </si>
  <si>
    <t xml:space="preserve">€6,550</t>
  </si>
  <si>
    <t xml:space="preserve">€3,930</t>
  </si>
  <si>
    <t xml:space="preserve">C26-R10</t>
  </si>
  <si>
    <t xml:space="preserve">inc=15450</t>
  </si>
  <si>
    <t xml:space="preserve">€3,090</t>
  </si>
  <si>
    <t xml:space="preserve">€7,725</t>
  </si>
  <si>
    <t xml:space="preserve">€4,635</t>
  </si>
  <si>
    <t xml:space="preserve">C27-R1</t>
  </si>
  <si>
    <t xml:space="preserve">b=5000; apr=0.18; p=250; x=0</t>
  </si>
  <si>
    <t xml:space="preserve">Debt free in</t>
  </si>
  <si>
    <t xml:space="preserve">2 yrs</t>
  </si>
  <si>
    <t xml:space="preserve">€989</t>
  </si>
  <si>
    <t xml:space="preserve">C27-R2</t>
  </si>
  <si>
    <t xml:space="preserve">b=100000; apr=0.35; p=10; x=0</t>
  </si>
  <si>
    <t xml:space="preserve">Payment too low</t>
  </si>
  <si>
    <t xml:space="preserve">C27-R3</t>
  </si>
  <si>
    <t xml:space="preserve">b=100000; apr=0.0; p=10; x=0</t>
  </si>
  <si>
    <t xml:space="preserve">100000</t>
  </si>
  <si>
    <t xml:space="preserve">C27-R4</t>
  </si>
  <si>
    <t xml:space="preserve">b=30100; apr=0.16; p=2090; x=580</t>
  </si>
  <si>
    <t xml:space="preserve">1 yr 1 mo</t>
  </si>
  <si>
    <t xml:space="preserve">€2,739</t>
  </si>
  <si>
    <t xml:space="preserve">30100</t>
  </si>
  <si>
    <t xml:space="preserve">C27-R5</t>
  </si>
  <si>
    <t xml:space="preserve">b=5000; apr=0.18; p=250; x=1000</t>
  </si>
  <si>
    <t xml:space="preserve">5 months</t>
  </si>
  <si>
    <t xml:space="preserve">€196</t>
  </si>
  <si>
    <t xml:space="preserve">C27-R6</t>
  </si>
  <si>
    <t xml:space="preserve">b=100; apr=0.0; p=10; x=0</t>
  </si>
  <si>
    <t xml:space="preserve">C27-R7</t>
  </si>
  <si>
    <t xml:space="preserve">b=10000; apr=0.12; p=100; x=0</t>
  </si>
  <si>
    <t xml:space="preserve">C27-R8</t>
  </si>
  <si>
    <t xml:space="preserve">b=63300; apr=0.055; p=1740; x=0</t>
  </si>
  <si>
    <t xml:space="preserve">3 yrs 4 mo</t>
  </si>
  <si>
    <t xml:space="preserve">€6,108</t>
  </si>
  <si>
    <t xml:space="preserve">63300</t>
  </si>
  <si>
    <t xml:space="preserve">C27-R9</t>
  </si>
  <si>
    <t xml:space="preserve">b=47200; apr=0.04; p=110; x=160</t>
  </si>
  <si>
    <t xml:space="preserve">21 yrs 11 mo</t>
  </si>
  <si>
    <t xml:space="preserve">€23,711</t>
  </si>
  <si>
    <t xml:space="preserve">47200</t>
  </si>
  <si>
    <t xml:space="preserve">22</t>
  </si>
  <si>
    <t xml:space="preserve">C27-R10</t>
  </si>
  <si>
    <t xml:space="preserve">b=13600; apr=0.305; p=170; x=70</t>
  </si>
  <si>
    <t xml:space="preserve">C28-R1</t>
  </si>
  <si>
    <t xml:space="preserve">a=15000; apr=0.08; y=5</t>
  </si>
  <si>
    <t xml:space="preserve">€304</t>
  </si>
  <si>
    <t xml:space="preserve">€3,249</t>
  </si>
  <si>
    <t xml:space="preserve">€18,249</t>
  </si>
  <si>
    <t xml:space="preserve">C28-R2</t>
  </si>
  <si>
    <t xml:space="preserve">a=500; apr=0.0; y=1</t>
  </si>
  <si>
    <t xml:space="preserve">€42</t>
  </si>
  <si>
    <t xml:space="preserve">C28-R3</t>
  </si>
  <si>
    <t xml:space="preserve">a=100000; apr=0.25; y=10</t>
  </si>
  <si>
    <t xml:space="preserve">€2,275</t>
  </si>
  <si>
    <t xml:space="preserve">€172,992</t>
  </si>
  <si>
    <t xml:space="preserve">€272,992</t>
  </si>
  <si>
    <t xml:space="preserve">C28-R4</t>
  </si>
  <si>
    <t xml:space="preserve">a=78500; apr=0.035; y=3</t>
  </si>
  <si>
    <t xml:space="preserve">€4,308</t>
  </si>
  <si>
    <t xml:space="preserve">€82,808</t>
  </si>
  <si>
    <t xml:space="preserve">C28-R6</t>
  </si>
  <si>
    <t xml:space="preserve">a=7500; apr=0.065; y=3</t>
  </si>
  <si>
    <t xml:space="preserve">€230</t>
  </si>
  <si>
    <t xml:space="preserve">€775</t>
  </si>
  <si>
    <t xml:space="preserve">€8,275</t>
  </si>
  <si>
    <t xml:space="preserve">C28-R8</t>
  </si>
  <si>
    <t xml:space="preserve">a=12500; apr=0.03; y=10</t>
  </si>
  <si>
    <t xml:space="preserve">€121</t>
  </si>
  <si>
    <t xml:space="preserve">€1,984</t>
  </si>
  <si>
    <t xml:space="preserve">€14,484</t>
  </si>
  <si>
    <t xml:space="preserve">C28-R9</t>
  </si>
  <si>
    <t xml:space="preserve">a=96500; apr=0.165; y=7</t>
  </si>
  <si>
    <t xml:space="preserve">€1,944</t>
  </si>
  <si>
    <t xml:space="preserve">€66,819</t>
  </si>
  <si>
    <t xml:space="preserve">€163,319</t>
  </si>
  <si>
    <t xml:space="preserve">C28-R10</t>
  </si>
  <si>
    <t xml:space="preserve">a=44500; apr=0.095; y=3</t>
  </si>
  <si>
    <t xml:space="preserve">€1,425</t>
  </si>
  <si>
    <t xml:space="preserve">€6,817</t>
  </si>
  <si>
    <t xml:space="preserve">€51,317</t>
  </si>
</sst>
</file>

<file path=xl/styles.xml><?xml version="1.0" encoding="utf-8"?>
<styleSheet xmlns="http://schemas.openxmlformats.org/spreadsheetml/2006/main">
  <numFmts count="13">
    <numFmt numFmtId="164" formatCode="General"/>
    <numFmt numFmtId="165" formatCode="0"/>
    <numFmt numFmtId="166" formatCode="0.00%"/>
    <numFmt numFmtId="167" formatCode="@"/>
    <numFmt numFmtId="168" formatCode="0.0"/>
    <numFmt numFmtId="169" formatCode="0.00"/>
    <numFmt numFmtId="170" formatCode="\€#,##0"/>
    <numFmt numFmtId="171" formatCode="0.000"/>
    <numFmt numFmtId="172" formatCode="0.000000%"/>
    <numFmt numFmtId="173" formatCode="#,##0.0000"/>
    <numFmt numFmtId="174" formatCode="0.000000"/>
    <numFmt numFmtId="175" formatCode="0.0000%"/>
    <numFmt numFmtId="176" formatCode="0.0000"/>
  </numFmts>
  <fonts count="21">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u val="single"/>
      <sz val="10"/>
      <color rgb="FF0563C1"/>
      <name val="Arial"/>
      <family val="0"/>
      <charset val="1"/>
    </font>
    <font>
      <sz val="9"/>
      <color rgb="FF000000"/>
      <name val="Arial"/>
      <family val="0"/>
      <charset val="1"/>
    </font>
    <font>
      <i val="true"/>
      <sz val="10"/>
      <color rgb="FF000000"/>
      <name val="Arial"/>
      <family val="0"/>
      <charset val="1"/>
    </font>
    <font>
      <b val="true"/>
      <sz val="11"/>
      <color rgb="FFFFFFFF"/>
      <name val="Arial"/>
      <family val="0"/>
      <charset val="1"/>
    </font>
    <font>
      <sz val="9"/>
      <color rgb="FF7F7F7F"/>
      <name val="Arial"/>
      <family val="0"/>
      <charset val="1"/>
    </font>
    <font>
      <i val="true"/>
      <sz val="9"/>
      <color rgb="FF000000"/>
      <name val="Arial"/>
      <family val="0"/>
      <charset val="1"/>
    </font>
    <font>
      <sz val="10"/>
      <color rgb="FF404040"/>
      <name val="Arial"/>
      <family val="0"/>
      <charset val="1"/>
    </font>
    <font>
      <sz val="9"/>
      <color rgb="FF595959"/>
      <name val="Arial"/>
      <family val="0"/>
      <charset val="1"/>
    </font>
    <font>
      <b val="true"/>
      <sz val="10"/>
      <color rgb="FF008000"/>
      <name val="Arial"/>
      <family val="0"/>
      <charset val="1"/>
    </font>
    <font>
      <b val="true"/>
      <sz val="9"/>
      <color rgb="FF000000"/>
      <name val="Arial"/>
      <family val="0"/>
      <charset val="1"/>
    </font>
    <font>
      <sz val="9"/>
      <color rgb="FF008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1F3864"/>
        <bgColor rgb="FF333399"/>
      </patternFill>
    </fill>
    <fill>
      <patternFill patternType="solid">
        <fgColor rgb="FFD9E1F2"/>
        <bgColor rgb="FFE2EFDA"/>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7" fontId="7" fillId="2"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7" fillId="2" borderId="1" xfId="0" applyFont="true" applyBorder="true" applyAlignment="false" applyProtection="false">
      <alignment horizontal="general" vertical="bottom" textRotation="0" wrapText="false" indent="0" shrinkToFit="false"/>
      <protection locked="true" hidden="false"/>
    </xf>
    <xf numFmtId="171" fontId="7"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70" fontId="5" fillId="5" borderId="0" xfId="0" applyFont="true" applyBorder="false" applyAlignment="false" applyProtection="false">
      <alignment horizontal="general" vertical="bottom" textRotation="0" wrapText="false" indent="0" shrinkToFit="false"/>
      <protection locked="true" hidden="false"/>
    </xf>
    <xf numFmtId="168" fontId="5" fillId="5" borderId="0" xfId="0" applyFont="true" applyBorder="false" applyAlignment="false" applyProtection="false">
      <alignment horizontal="general" vertical="bottom" textRotation="0" wrapText="false" indent="0" shrinkToFit="false"/>
      <protection locked="true" hidden="false"/>
    </xf>
    <xf numFmtId="170" fontId="18" fillId="5" borderId="0" xfId="0" applyFont="true" applyBorder="false" applyAlignment="false" applyProtection="false">
      <alignment horizontal="general" vertical="bottom" textRotation="0" wrapText="false" indent="0" shrinkToFit="false"/>
      <protection locked="true" hidden="false"/>
    </xf>
    <xf numFmtId="165" fontId="18" fillId="5"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6" fontId="18" fillId="5"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5" fontId="5" fillId="5" borderId="0" xfId="0" applyFont="true" applyBorder="false" applyAlignment="false" applyProtection="false">
      <alignment horizontal="general" vertical="bottom" textRotation="0" wrapText="false" indent="0" shrinkToFit="false"/>
      <protection locked="true" hidden="false"/>
    </xf>
    <xf numFmtId="176" fontId="6" fillId="0" borderId="0" xfId="0" applyFont="true" applyBorder="false" applyAlignment="false" applyProtection="false">
      <alignment horizontal="general" vertical="bottom" textRotation="0" wrapText="false" indent="0" shrinkToFit="false"/>
      <protection locked="true" hidden="false"/>
    </xf>
    <xf numFmtId="176" fontId="5" fillId="5"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5" fontId="18" fillId="5"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73" fontId="11"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2" customFormat="false" ht="15" hidden="false" customHeight="true" outlineLevel="0" collapsed="false">
      <c r="A2" s="2" t="s">
        <v>1</v>
      </c>
      <c r="B2" s="3" t="s">
        <v>2</v>
      </c>
    </row>
    <row r="3" customFormat="false" ht="30" hidden="false" customHeight="true" outlineLevel="0" collapsed="false">
      <c r="A3" s="2" t="s">
        <v>3</v>
      </c>
      <c r="B3" s="3" t="s">
        <v>4</v>
      </c>
    </row>
    <row r="4" customFormat="false" ht="60" hidden="false" customHeight="true" outlineLevel="0" collapsed="false">
      <c r="A4" s="2" t="s">
        <v>5</v>
      </c>
      <c r="B4" s="3" t="s">
        <v>6</v>
      </c>
    </row>
    <row r="5" customFormat="false" ht="30" hidden="false" customHeight="true" outlineLevel="0" collapsed="false">
      <c r="A5" s="2" t="s">
        <v>7</v>
      </c>
      <c r="B5" s="3" t="s">
        <v>8</v>
      </c>
    </row>
    <row r="6" customFormat="false" ht="120" hidden="false" customHeight="true" outlineLevel="0" collapsed="false">
      <c r="A6" s="2" t="s">
        <v>9</v>
      </c>
      <c r="B6" s="3" t="s">
        <v>10</v>
      </c>
    </row>
    <row r="7" customFormat="false" ht="30" hidden="false" customHeight="true" outlineLevel="0" collapsed="false">
      <c r="A7" s="2" t="s">
        <v>11</v>
      </c>
      <c r="B7" s="3" t="s">
        <v>12</v>
      </c>
    </row>
    <row r="8" customFormat="false" ht="30" hidden="false" customHeight="true" outlineLevel="0" collapsed="false">
      <c r="A8" s="2" t="s">
        <v>13</v>
      </c>
      <c r="B8" s="3" t="s">
        <v>14</v>
      </c>
    </row>
    <row r="9" customFormat="false" ht="45" hidden="false" customHeight="true" outlineLevel="0" collapsed="false">
      <c r="A9" s="2" t="s">
        <v>15</v>
      </c>
      <c r="B9" s="3" t="s">
        <v>16</v>
      </c>
    </row>
    <row r="10" customFormat="false" ht="30" hidden="false" customHeight="true" outlineLevel="0" collapsed="false">
      <c r="A10" s="2" t="s">
        <v>17</v>
      </c>
      <c r="B10" s="3" t="s">
        <v>18</v>
      </c>
    </row>
    <row r="11" customFormat="false" ht="30" hidden="false" customHeight="true" outlineLevel="0" collapsed="false">
      <c r="A11" s="2" t="s">
        <v>19</v>
      </c>
      <c r="B11" s="3" t="s">
        <v>20</v>
      </c>
    </row>
    <row r="12" customFormat="false" ht="45" hidden="false" customHeight="true" outlineLevel="0" collapsed="false">
      <c r="A12" s="2" t="s">
        <v>21</v>
      </c>
      <c r="B12" s="3" t="s">
        <v>22</v>
      </c>
    </row>
    <row r="13" customFormat="false" ht="30" hidden="false" customHeight="true" outlineLevel="0" collapsed="false">
      <c r="A13" s="2" t="s">
        <v>23</v>
      </c>
      <c r="B13" s="3" t="s">
        <v>24</v>
      </c>
    </row>
    <row r="14" customFormat="false" ht="45" hidden="false" customHeight="true" outlineLevel="0" collapsed="false">
      <c r="A14" s="2" t="s">
        <v>25</v>
      </c>
      <c r="B14" s="3" t="s">
        <v>26</v>
      </c>
    </row>
    <row r="15" customFormat="false" ht="105" hidden="false" customHeight="true" outlineLevel="0" collapsed="false">
      <c r="A15" s="2" t="s">
        <v>27</v>
      </c>
      <c r="B15" s="3" t="s">
        <v>28</v>
      </c>
    </row>
    <row r="17" customFormat="false" ht="15" hidden="false" customHeight="false" outlineLevel="0" collapsed="false">
      <c r="A17" s="4" t="s">
        <v>29</v>
      </c>
    </row>
    <row r="18" customFormat="false" ht="15" hidden="false" customHeight="false" outlineLevel="0" collapsed="false">
      <c r="A18" s="5" t="s">
        <v>30</v>
      </c>
    </row>
    <row r="19" customFormat="false" ht="15" hidden="false" customHeight="false" outlineLevel="0" collapsed="false">
      <c r="A19" s="6" t="s">
        <v>31</v>
      </c>
    </row>
    <row r="20" customFormat="false" ht="15" hidden="false" customHeight="false" outlineLevel="0" collapsed="false">
      <c r="A20" s="7" t="s">
        <v>32</v>
      </c>
    </row>
    <row r="21" customFormat="false" ht="15" hidden="false" customHeight="false" outlineLevel="0" collapsed="false">
      <c r="A21" s="8"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2"/>
    <col collapsed="false" customWidth="true" hidden="false" outlineLevel="0" max="4" min="4" style="0" width="32"/>
    <col collapsed="false" customWidth="true" hidden="false" outlineLevel="0" max="5" min="5" style="0" width="44"/>
    <col collapsed="false" customWidth="true" hidden="false" outlineLevel="0" max="6" min="6" style="0" width="70"/>
    <col collapsed="false" customWidth="true" hidden="false" outlineLevel="0" max="7" min="7" style="0" width="80"/>
  </cols>
  <sheetData>
    <row r="1" customFormat="false" ht="15" hidden="false" customHeight="false" outlineLevel="0" collapsed="false">
      <c r="A1" s="9" t="s">
        <v>34</v>
      </c>
      <c r="B1" s="9" t="s">
        <v>35</v>
      </c>
      <c r="C1" s="9" t="s">
        <v>36</v>
      </c>
      <c r="D1" s="9" t="s">
        <v>37</v>
      </c>
      <c r="E1" s="9" t="s">
        <v>38</v>
      </c>
      <c r="F1" s="9" t="s">
        <v>39</v>
      </c>
      <c r="G1" s="9" t="s">
        <v>40</v>
      </c>
    </row>
    <row r="2" customFormat="false" ht="32.8" hidden="false" customHeight="false" outlineLevel="0" collapsed="false">
      <c r="A2" s="10" t="s">
        <v>41</v>
      </c>
      <c r="B2" s="11" t="str">
        <f aca="false">HYPERLINK("#'C01 Borrowing'!A1","C01 Borrowing")</f>
        <v>C01 Borrowing</v>
      </c>
      <c r="C2" s="12" t="s">
        <v>42</v>
      </c>
      <c r="D2" s="12" t="s">
        <v>43</v>
      </c>
      <c r="E2" s="12" t="s">
        <v>44</v>
      </c>
      <c r="F2" s="13" t="s">
        <v>45</v>
      </c>
      <c r="G2" s="13" t="s">
        <v>46</v>
      </c>
    </row>
    <row r="3" customFormat="false" ht="32.8" hidden="false" customHeight="false" outlineLevel="0" collapsed="false">
      <c r="A3" s="10" t="s">
        <v>47</v>
      </c>
      <c r="B3" s="11" t="str">
        <f aca="false">HYPERLINK("#'C02 Mortgage repayment'!A1","C02 Mortgage repayment")</f>
        <v>C02 Mortgage repayment</v>
      </c>
      <c r="C3" s="12" t="s">
        <v>42</v>
      </c>
      <c r="D3" s="12" t="s">
        <v>48</v>
      </c>
      <c r="E3" s="12" t="s">
        <v>49</v>
      </c>
      <c r="F3" s="13" t="s">
        <v>50</v>
      </c>
      <c r="G3" s="13" t="s">
        <v>51</v>
      </c>
    </row>
    <row r="4" customFormat="false" ht="22.35" hidden="false" customHeight="false" outlineLevel="0" collapsed="false">
      <c r="A4" s="10" t="s">
        <v>52</v>
      </c>
      <c r="B4" s="11" t="str">
        <f aca="false">HYPERLINK("#'C03 Deposit'!A1","C03 Deposit")</f>
        <v>C03 Deposit</v>
      </c>
      <c r="C4" s="12" t="s">
        <v>42</v>
      </c>
      <c r="D4" s="12" t="s">
        <v>53</v>
      </c>
      <c r="E4" s="12" t="s">
        <v>54</v>
      </c>
      <c r="F4" s="13" t="s">
        <v>55</v>
      </c>
      <c r="G4" s="13" t="s">
        <v>56</v>
      </c>
    </row>
    <row r="5" customFormat="false" ht="22.35" hidden="false" customHeight="false" outlineLevel="0" collapsed="false">
      <c r="A5" s="10" t="s">
        <v>57</v>
      </c>
      <c r="B5" s="11" t="str">
        <f aca="false">HYPERLINK("#'C04 Mortgage overpayment'!A1","C04 Mortgage overpayment")</f>
        <v>C04 Mortgage overpayment</v>
      </c>
      <c r="C5" s="12" t="s">
        <v>42</v>
      </c>
      <c r="D5" s="12" t="s">
        <v>58</v>
      </c>
      <c r="E5" s="12" t="s">
        <v>59</v>
      </c>
      <c r="F5" s="13" t="s">
        <v>60</v>
      </c>
      <c r="G5" s="13" t="s">
        <v>61</v>
      </c>
    </row>
    <row r="6" customFormat="false" ht="22.35" hidden="false" customHeight="false" outlineLevel="0" collapsed="false">
      <c r="A6" s="10" t="s">
        <v>62</v>
      </c>
      <c r="B6" s="11" t="str">
        <f aca="false">HYPERLINK("#'C05 Interest rate impact'!A1","C05 Interest rate impact")</f>
        <v>C05 Interest rate impact</v>
      </c>
      <c r="C6" s="12" t="s">
        <v>42</v>
      </c>
      <c r="D6" s="12" t="s">
        <v>63</v>
      </c>
      <c r="E6" s="12" t="s">
        <v>64</v>
      </c>
      <c r="F6" s="13" t="s">
        <v>65</v>
      </c>
      <c r="G6" s="13" t="s">
        <v>66</v>
      </c>
    </row>
    <row r="7" customFormat="false" ht="22.35" hidden="false" customHeight="false" outlineLevel="0" collapsed="false">
      <c r="A7" s="10" t="s">
        <v>67</v>
      </c>
      <c r="B7" s="11" t="str">
        <f aca="false">HYPERLINK("#'C06 Term comparison'!A1","C06 Term comparison")</f>
        <v>C06 Term comparison</v>
      </c>
      <c r="C7" s="12" t="s">
        <v>42</v>
      </c>
      <c r="D7" s="12" t="s">
        <v>68</v>
      </c>
      <c r="E7" s="12" t="s">
        <v>69</v>
      </c>
      <c r="F7" s="13" t="s">
        <v>70</v>
      </c>
      <c r="G7" s="13" t="s">
        <v>71</v>
      </c>
    </row>
    <row r="8" customFormat="false" ht="22.35" hidden="false" customHeight="false" outlineLevel="0" collapsed="false">
      <c r="A8" s="10" t="s">
        <v>72</v>
      </c>
      <c r="B8" s="11" t="str">
        <f aca="false">HYPERLINK("#'C07 Rent vs buy'!A1","C07 Rent vs buy")</f>
        <v>C07 Rent vs buy</v>
      </c>
      <c r="C8" s="12" t="s">
        <v>42</v>
      </c>
      <c r="D8" s="12" t="s">
        <v>73</v>
      </c>
      <c r="E8" s="12" t="s">
        <v>74</v>
      </c>
      <c r="F8" s="13" t="s">
        <v>75</v>
      </c>
      <c r="G8" s="13" t="s">
        <v>76</v>
      </c>
    </row>
    <row r="9" customFormat="false" ht="22.35" hidden="false" customHeight="false" outlineLevel="0" collapsed="false">
      <c r="A9" s="10" t="s">
        <v>77</v>
      </c>
      <c r="B9" s="11" t="str">
        <f aca="false">HYPERLINK("#'C08 Goal planner'!A1","C08 Goal planner")</f>
        <v>C08 Goal planner</v>
      </c>
      <c r="C9" s="12" t="s">
        <v>78</v>
      </c>
      <c r="D9" s="12" t="s">
        <v>79</v>
      </c>
      <c r="E9" s="12" t="s">
        <v>80</v>
      </c>
      <c r="F9" s="13" t="s">
        <v>81</v>
      </c>
      <c r="G9" s="13" t="s">
        <v>82</v>
      </c>
    </row>
    <row r="10" customFormat="false" ht="22.35" hidden="false" customHeight="false" outlineLevel="0" collapsed="false">
      <c r="A10" s="10" t="s">
        <v>83</v>
      </c>
      <c r="B10" s="11" t="str">
        <f aca="false">HYPERLINK("#'C09 Compound growth'!A1","C09 Compound growth")</f>
        <v>C09 Compound growth</v>
      </c>
      <c r="C10" s="12" t="s">
        <v>78</v>
      </c>
      <c r="D10" s="12" t="s">
        <v>84</v>
      </c>
      <c r="E10" s="12" t="s">
        <v>85</v>
      </c>
      <c r="F10" s="13" t="s">
        <v>86</v>
      </c>
      <c r="G10" s="13" t="s">
        <v>87</v>
      </c>
    </row>
    <row r="11" customFormat="false" ht="32.8" hidden="false" customHeight="false" outlineLevel="0" collapsed="false">
      <c r="A11" s="10" t="s">
        <v>88</v>
      </c>
      <c r="B11" s="11" t="str">
        <f aca="false">HYPERLINK("#'C10 Lump sum growth'!A1","C10 Lump sum growth")</f>
        <v>C10 Lump sum growth</v>
      </c>
      <c r="C11" s="12" t="s">
        <v>89</v>
      </c>
      <c r="D11" s="12" t="s">
        <v>90</v>
      </c>
      <c r="E11" s="12" t="s">
        <v>91</v>
      </c>
      <c r="F11" s="13" t="s">
        <v>92</v>
      </c>
      <c r="G11" s="13" t="s">
        <v>93</v>
      </c>
    </row>
    <row r="12" customFormat="false" ht="22.35" hidden="false" customHeight="false" outlineLevel="0" collapsed="false">
      <c r="A12" s="10" t="s">
        <v>94</v>
      </c>
      <c r="B12" s="11" t="str">
        <f aca="false">HYPERLINK("#'C11 Emergency fund'!A1","C11 Emergency fund")</f>
        <v>C11 Emergency fund</v>
      </c>
      <c r="C12" s="12" t="s">
        <v>78</v>
      </c>
      <c r="D12" s="12" t="s">
        <v>95</v>
      </c>
      <c r="E12" s="12" t="s">
        <v>96</v>
      </c>
      <c r="F12" s="13" t="s">
        <v>97</v>
      </c>
      <c r="G12" s="13" t="s">
        <v>98</v>
      </c>
    </row>
    <row r="13" customFormat="false" ht="53.7" hidden="false" customHeight="false" outlineLevel="0" collapsed="false">
      <c r="A13" s="10" t="s">
        <v>99</v>
      </c>
      <c r="B13" s="11" t="str">
        <f aca="false">HYPERLINK("#'C12 Retirement projection'!A1","C12 Retirement projection")</f>
        <v>C12 Retirement projection</v>
      </c>
      <c r="C13" s="12" t="s">
        <v>100</v>
      </c>
      <c r="D13" s="12" t="s">
        <v>101</v>
      </c>
      <c r="E13" s="12" t="s">
        <v>102</v>
      </c>
      <c r="F13" s="13" t="s">
        <v>103</v>
      </c>
      <c r="G13" s="13" t="s">
        <v>104</v>
      </c>
    </row>
    <row r="14" customFormat="false" ht="22.35" hidden="false" customHeight="false" outlineLevel="0" collapsed="false">
      <c r="A14" s="10" t="s">
        <v>105</v>
      </c>
      <c r="B14" s="11" t="str">
        <f aca="false">HYPERLINK("#'C13 Contribution impact'!A1","C13 Contribution impact")</f>
        <v>C13 Contribution impact</v>
      </c>
      <c r="C14" s="12" t="s">
        <v>100</v>
      </c>
      <c r="D14" s="12" t="s">
        <v>106</v>
      </c>
      <c r="E14" s="12" t="s">
        <v>107</v>
      </c>
      <c r="F14" s="13" t="s">
        <v>108</v>
      </c>
      <c r="G14" s="13" t="s">
        <v>109</v>
      </c>
    </row>
    <row r="15" customFormat="false" ht="22.35" hidden="false" customHeight="false" outlineLevel="0" collapsed="false">
      <c r="A15" s="10" t="s">
        <v>110</v>
      </c>
      <c r="B15" s="11" t="str">
        <f aca="false">HYPERLINK("#'C14 AVC impact'!A1","C14 AVC impact")</f>
        <v>C14 AVC impact</v>
      </c>
      <c r="C15" s="12" t="s">
        <v>100</v>
      </c>
      <c r="D15" s="12" t="s">
        <v>111</v>
      </c>
      <c r="E15" s="12" t="s">
        <v>112</v>
      </c>
      <c r="F15" s="13" t="s">
        <v>113</v>
      </c>
      <c r="G15" s="13" t="s">
        <v>114</v>
      </c>
    </row>
    <row r="16" customFormat="false" ht="15" hidden="false" customHeight="false" outlineLevel="0" collapsed="false">
      <c r="A16" s="10" t="s">
        <v>115</v>
      </c>
      <c r="B16" s="11" t="str">
        <f aca="false">HYPERLINK("#'C15 Will my money last'!A1","C15 Will my money last")</f>
        <v>C15 Will my money last</v>
      </c>
      <c r="C16" s="12" t="s">
        <v>100</v>
      </c>
      <c r="D16" s="12" t="s">
        <v>116</v>
      </c>
      <c r="E16" s="12" t="s">
        <v>117</v>
      </c>
      <c r="F16" s="13" t="s">
        <v>118</v>
      </c>
      <c r="G16" s="13" t="s">
        <v>119</v>
      </c>
    </row>
    <row r="17" customFormat="false" ht="15" hidden="false" customHeight="false" outlineLevel="0" collapsed="false">
      <c r="A17" s="10" t="s">
        <v>120</v>
      </c>
      <c r="B17" s="11" t="str">
        <f aca="false">HYPERLINK("#'C16 Drawdown scenarios'!A1","C16 Drawdown scenarios")</f>
        <v>C16 Drawdown scenarios</v>
      </c>
      <c r="C17" s="12" t="s">
        <v>100</v>
      </c>
      <c r="D17" s="12" t="s">
        <v>121</v>
      </c>
      <c r="E17" s="12" t="s">
        <v>122</v>
      </c>
      <c r="F17" s="13" t="s">
        <v>123</v>
      </c>
      <c r="G17" s="13" t="s">
        <v>124</v>
      </c>
    </row>
    <row r="18" customFormat="false" ht="15" hidden="false" customHeight="false" outlineLevel="0" collapsed="false">
      <c r="A18" s="10" t="s">
        <v>125</v>
      </c>
      <c r="B18" s="11" t="str">
        <f aca="false">HYPERLINK("#'C17 Inflation adjusted return'!A1","C17 Inflation adjusted return")</f>
        <v>C17 Inflation adjusted return</v>
      </c>
      <c r="C18" s="12" t="s">
        <v>89</v>
      </c>
      <c r="D18" s="12" t="s">
        <v>126</v>
      </c>
      <c r="E18" s="12" t="s">
        <v>127</v>
      </c>
      <c r="F18" s="13" t="s">
        <v>128</v>
      </c>
      <c r="G18" s="13" t="s">
        <v>129</v>
      </c>
    </row>
    <row r="19" customFormat="false" ht="32.8" hidden="false" customHeight="false" outlineLevel="0" collapsed="false">
      <c r="A19" s="10" t="s">
        <v>130</v>
      </c>
      <c r="B19" s="11" t="str">
        <f aca="false">HYPERLINK("#'C18 Regular investing'!A1","C18 Regular investing")</f>
        <v>C18 Regular investing</v>
      </c>
      <c r="C19" s="12" t="s">
        <v>89</v>
      </c>
      <c r="D19" s="12" t="s">
        <v>131</v>
      </c>
      <c r="E19" s="12" t="s">
        <v>132</v>
      </c>
      <c r="F19" s="13" t="s">
        <v>133</v>
      </c>
      <c r="G19" s="13" t="s">
        <v>134</v>
      </c>
    </row>
    <row r="20" customFormat="false" ht="15" hidden="false" customHeight="false" outlineLevel="0" collapsed="false">
      <c r="A20" s="10" t="s">
        <v>135</v>
      </c>
      <c r="B20" s="11" t="str">
        <f aca="false">HYPERLINK("#'C19 Fees impact'!A1","C19 Fees impact")</f>
        <v>C19 Fees impact</v>
      </c>
      <c r="C20" s="12" t="s">
        <v>89</v>
      </c>
      <c r="D20" s="12" t="s">
        <v>136</v>
      </c>
      <c r="E20" s="12" t="s">
        <v>137</v>
      </c>
      <c r="F20" s="13" t="s">
        <v>138</v>
      </c>
      <c r="G20" s="13" t="s">
        <v>139</v>
      </c>
    </row>
    <row r="21" customFormat="false" ht="15" hidden="false" customHeight="false" outlineLevel="0" collapsed="false">
      <c r="A21" s="10" t="s">
        <v>140</v>
      </c>
      <c r="B21" s="11" t="str">
        <f aca="false">HYPERLINK("#'C20 Risk and return'!A1","C20 Risk and return")</f>
        <v>C20 Risk and return</v>
      </c>
      <c r="C21" s="12" t="s">
        <v>89</v>
      </c>
      <c r="D21" s="12" t="s">
        <v>141</v>
      </c>
      <c r="E21" s="12" t="s">
        <v>142</v>
      </c>
      <c r="F21" s="13" t="s">
        <v>143</v>
      </c>
      <c r="G21" s="13" t="s">
        <v>144</v>
      </c>
    </row>
    <row r="22" customFormat="false" ht="22.35" hidden="false" customHeight="false" outlineLevel="0" collapsed="false">
      <c r="A22" s="10" t="s">
        <v>145</v>
      </c>
      <c r="B22" s="11" t="str">
        <f aca="false">HYPERLINK("#'C21 Life cover'!A1","C21 Life cover")</f>
        <v>C21 Life cover</v>
      </c>
      <c r="C22" s="12" t="s">
        <v>146</v>
      </c>
      <c r="D22" s="12" t="s">
        <v>147</v>
      </c>
      <c r="E22" s="12" t="s">
        <v>148</v>
      </c>
      <c r="F22" s="13" t="s">
        <v>149</v>
      </c>
      <c r="G22" s="13" t="s">
        <v>150</v>
      </c>
    </row>
    <row r="23" customFormat="false" ht="22.35" hidden="false" customHeight="false" outlineLevel="0" collapsed="false">
      <c r="A23" s="10" t="s">
        <v>151</v>
      </c>
      <c r="B23" s="11" t="str">
        <f aca="false">HYPERLINK("#'C22 Income protection gap'!A1","C22 Income protection gap")</f>
        <v>C22 Income protection gap</v>
      </c>
      <c r="C23" s="12" t="s">
        <v>146</v>
      </c>
      <c r="D23" s="12" t="s">
        <v>152</v>
      </c>
      <c r="E23" s="12" t="s">
        <v>153</v>
      </c>
      <c r="F23" s="13" t="s">
        <v>154</v>
      </c>
      <c r="G23" s="13" t="s">
        <v>155</v>
      </c>
    </row>
    <row r="24" customFormat="false" ht="22.35" hidden="false" customHeight="false" outlineLevel="0" collapsed="false">
      <c r="A24" s="10" t="s">
        <v>156</v>
      </c>
      <c r="B24" s="11" t="str">
        <f aca="false">HYPERLINK("#'C23 Mortgage protection'!A1","C23 Mortgage protection")</f>
        <v>C23 Mortgage protection</v>
      </c>
      <c r="C24" s="12" t="s">
        <v>146</v>
      </c>
      <c r="D24" s="12" t="s">
        <v>157</v>
      </c>
      <c r="E24" s="12" t="s">
        <v>158</v>
      </c>
      <c r="F24" s="13" t="s">
        <v>159</v>
      </c>
      <c r="G24" s="13" t="s">
        <v>160</v>
      </c>
    </row>
    <row r="25" customFormat="false" ht="15" hidden="false" customHeight="false" outlineLevel="0" collapsed="false">
      <c r="A25" s="10" t="s">
        <v>161</v>
      </c>
      <c r="B25" s="11" t="str">
        <f aca="false">HYPERLINK("#'C24 Net worth'!A1","C24 Net worth")</f>
        <v>C24 Net worth</v>
      </c>
      <c r="C25" s="12" t="s">
        <v>162</v>
      </c>
      <c r="D25" s="12" t="s">
        <v>163</v>
      </c>
      <c r="E25" s="12" t="s">
        <v>164</v>
      </c>
      <c r="F25" s="13" t="s">
        <v>165</v>
      </c>
      <c r="G25" s="13" t="s">
        <v>166</v>
      </c>
    </row>
    <row r="26" customFormat="false" ht="22.35" hidden="false" customHeight="false" outlineLevel="0" collapsed="false">
      <c r="A26" s="10" t="s">
        <v>167</v>
      </c>
      <c r="B26" s="11" t="str">
        <f aca="false">HYPERLINK("#'C25 Monthly surplus'!A1","C25 Monthly surplus")</f>
        <v>C25 Monthly surplus</v>
      </c>
      <c r="C26" s="12" t="s">
        <v>162</v>
      </c>
      <c r="D26" s="12" t="s">
        <v>168</v>
      </c>
      <c r="E26" s="12" t="s">
        <v>169</v>
      </c>
      <c r="F26" s="13" t="s">
        <v>170</v>
      </c>
      <c r="G26" s="13" t="s">
        <v>171</v>
      </c>
    </row>
    <row r="27" customFormat="false" ht="15" hidden="false" customHeight="false" outlineLevel="0" collapsed="false">
      <c r="A27" s="10" t="s">
        <v>172</v>
      </c>
      <c r="B27" s="11" t="str">
        <f aca="false">HYPERLINK("#'C26 Budget 50 30 20'!A1","C26 Budget 50 30 20")</f>
        <v>C26 Budget 50 30 20</v>
      </c>
      <c r="C27" s="12" t="s">
        <v>162</v>
      </c>
      <c r="D27" s="12" t="s">
        <v>173</v>
      </c>
      <c r="E27" s="12" t="s">
        <v>174</v>
      </c>
      <c r="F27" s="13" t="s">
        <v>175</v>
      </c>
      <c r="G27" s="13" t="s">
        <v>176</v>
      </c>
    </row>
    <row r="28" customFormat="false" ht="22.35" hidden="false" customHeight="false" outlineLevel="0" collapsed="false">
      <c r="A28" s="10" t="s">
        <v>177</v>
      </c>
      <c r="B28" s="11" t="str">
        <f aca="false">HYPERLINK("#'C27 Debt repayment'!A1","C27 Debt repayment")</f>
        <v>C27 Debt repayment</v>
      </c>
      <c r="C28" s="12" t="s">
        <v>162</v>
      </c>
      <c r="D28" s="12" t="s">
        <v>178</v>
      </c>
      <c r="E28" s="12" t="s">
        <v>179</v>
      </c>
      <c r="F28" s="13" t="s">
        <v>180</v>
      </c>
      <c r="G28" s="13" t="s">
        <v>181</v>
      </c>
    </row>
    <row r="29" customFormat="false" ht="15" hidden="false" customHeight="false" outlineLevel="0" collapsed="false">
      <c r="A29" s="10" t="s">
        <v>182</v>
      </c>
      <c r="B29" s="11" t="str">
        <f aca="false">HYPERLINK("#'C28 Loan repayment'!A1","C28 Loan repayment")</f>
        <v>C28 Loan repayment</v>
      </c>
      <c r="C29" s="12" t="s">
        <v>162</v>
      </c>
      <c r="D29" s="12" t="s">
        <v>183</v>
      </c>
      <c r="E29" s="12" t="s">
        <v>184</v>
      </c>
      <c r="F29" s="13" t="s">
        <v>185</v>
      </c>
      <c r="G29" s="13"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58"/>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90"/>
  </cols>
  <sheetData>
    <row r="1" customFormat="false" ht="17.35" hidden="false" customHeight="false" outlineLevel="0" collapsed="false">
      <c r="A1" s="1" t="s">
        <v>187</v>
      </c>
    </row>
    <row r="2" customFormat="false" ht="30" hidden="false" customHeight="true" outlineLevel="0" collapsed="false">
      <c r="A2" s="14" t="s">
        <v>188</v>
      </c>
      <c r="B2" s="14"/>
      <c r="C2" s="14"/>
      <c r="D2" s="14"/>
      <c r="E2" s="14"/>
      <c r="F2" s="14"/>
    </row>
    <row r="4" customFormat="false" ht="15" hidden="false" customHeight="false" outlineLevel="0" collapsed="false">
      <c r="A4" s="15" t="s">
        <v>189</v>
      </c>
      <c r="B4" s="16"/>
      <c r="C4" s="16"/>
      <c r="D4" s="16"/>
      <c r="E4" s="16"/>
      <c r="F4" s="16"/>
    </row>
    <row r="5" customFormat="false" ht="15" hidden="false" customHeight="false" outlineLevel="0" collapsed="false">
      <c r="A5" s="17" t="s">
        <v>190</v>
      </c>
      <c r="B5" s="17" t="s">
        <v>191</v>
      </c>
      <c r="C5" s="17" t="s">
        <v>192</v>
      </c>
      <c r="D5" s="17" t="s">
        <v>193</v>
      </c>
      <c r="E5" s="17"/>
      <c r="F5" s="17" t="s">
        <v>194</v>
      </c>
    </row>
    <row r="6" customFormat="false" ht="15" hidden="false" customHeight="false" outlineLevel="0" collapsed="false">
      <c r="A6" s="18" t="s">
        <v>195</v>
      </c>
      <c r="B6" s="19" t="s">
        <v>196</v>
      </c>
      <c r="C6" s="20" t="n">
        <v>1</v>
      </c>
      <c r="D6" s="19" t="s">
        <v>197</v>
      </c>
      <c r="E6" s="21"/>
      <c r="F6" s="13" t="s">
        <v>198</v>
      </c>
    </row>
    <row r="7" customFormat="false" ht="22.35" hidden="false" customHeight="false" outlineLevel="0" collapsed="false">
      <c r="A7" s="18" t="s">
        <v>199</v>
      </c>
      <c r="B7" s="19" t="s">
        <v>200</v>
      </c>
      <c r="C7" s="22" t="n">
        <v>0.02</v>
      </c>
      <c r="D7" s="19" t="s">
        <v>201</v>
      </c>
      <c r="E7" s="21"/>
      <c r="F7" s="13" t="s">
        <v>202</v>
      </c>
    </row>
    <row r="8" customFormat="false" ht="15" hidden="false" customHeight="false" outlineLevel="0" collapsed="false">
      <c r="A8" s="18" t="s">
        <v>203</v>
      </c>
      <c r="B8" s="19" t="s">
        <v>204</v>
      </c>
      <c r="C8" s="23" t="s">
        <v>205</v>
      </c>
      <c r="D8" s="19" t="s">
        <v>206</v>
      </c>
      <c r="E8" s="21"/>
      <c r="F8" s="13" t="s">
        <v>207</v>
      </c>
    </row>
    <row r="10" customFormat="false" ht="15" hidden="false" customHeight="false" outlineLevel="0" collapsed="false">
      <c r="A10" s="15" t="s">
        <v>208</v>
      </c>
      <c r="B10" s="16"/>
      <c r="C10" s="16"/>
      <c r="D10" s="16"/>
      <c r="E10" s="16"/>
      <c r="F10" s="16"/>
    </row>
    <row r="11" customFormat="false" ht="15" hidden="false" customHeight="false" outlineLevel="0" collapsed="false">
      <c r="A11" s="17" t="s">
        <v>190</v>
      </c>
      <c r="B11" s="17" t="s">
        <v>191</v>
      </c>
      <c r="C11" s="17" t="s">
        <v>192</v>
      </c>
      <c r="D11" s="17" t="s">
        <v>193</v>
      </c>
      <c r="E11" s="17"/>
      <c r="F11" s="17" t="s">
        <v>194</v>
      </c>
    </row>
    <row r="12" customFormat="false" ht="15" hidden="false" customHeight="false" outlineLevel="0" collapsed="false">
      <c r="A12" s="18" t="s">
        <v>209</v>
      </c>
      <c r="B12" s="19" t="s">
        <v>210</v>
      </c>
      <c r="C12" s="22" t="n">
        <v>0.02</v>
      </c>
      <c r="D12" s="19" t="s">
        <v>201</v>
      </c>
      <c r="E12" s="21"/>
      <c r="F12" s="13" t="s">
        <v>211</v>
      </c>
    </row>
    <row r="13" customFormat="false" ht="15" hidden="false" customHeight="false" outlineLevel="0" collapsed="false">
      <c r="A13" s="18" t="s">
        <v>212</v>
      </c>
      <c r="B13" s="19" t="s">
        <v>213</v>
      </c>
      <c r="C13" s="22" t="n">
        <v>0.035</v>
      </c>
      <c r="D13" s="19" t="s">
        <v>201</v>
      </c>
      <c r="E13" s="21"/>
      <c r="F13" s="13" t="s">
        <v>214</v>
      </c>
    </row>
    <row r="14" customFormat="false" ht="15" hidden="false" customHeight="false" outlineLevel="0" collapsed="false">
      <c r="A14" s="18" t="s">
        <v>215</v>
      </c>
      <c r="B14" s="19" t="s">
        <v>216</v>
      </c>
      <c r="C14" s="24" t="n">
        <f aca="false">IF($C$6=1,$C$7,$C$12)</f>
        <v>0.02</v>
      </c>
      <c r="D14" s="19" t="s">
        <v>201</v>
      </c>
      <c r="E14" s="21"/>
      <c r="F14" s="13" t="s">
        <v>217</v>
      </c>
    </row>
    <row r="16" customFormat="false" ht="15" hidden="false" customHeight="false" outlineLevel="0" collapsed="false">
      <c r="A16" s="15" t="s">
        <v>218</v>
      </c>
      <c r="B16" s="16"/>
      <c r="C16" s="16"/>
      <c r="D16" s="16"/>
      <c r="E16" s="16"/>
      <c r="F16" s="16"/>
    </row>
    <row r="17" customFormat="false" ht="15" hidden="false" customHeight="false" outlineLevel="0" collapsed="false">
      <c r="A17" s="17" t="s">
        <v>190</v>
      </c>
      <c r="B17" s="17" t="s">
        <v>219</v>
      </c>
      <c r="C17" s="17" t="s">
        <v>205</v>
      </c>
      <c r="D17" s="17" t="s">
        <v>220</v>
      </c>
      <c r="E17" s="17" t="s">
        <v>221</v>
      </c>
      <c r="F17" s="17" t="s">
        <v>194</v>
      </c>
    </row>
    <row r="18" customFormat="false" ht="15" hidden="false" customHeight="false" outlineLevel="0" collapsed="false">
      <c r="A18" s="18" t="s">
        <v>222</v>
      </c>
      <c r="B18" s="19" t="s">
        <v>223</v>
      </c>
      <c r="C18" s="22" t="n">
        <v>0.025</v>
      </c>
      <c r="D18" s="22" t="n">
        <v>0.03</v>
      </c>
      <c r="E18" s="24" t="n">
        <f aca="false">INDEX(C18:D18,MATCH($C$8,$C$17:$D$17,0))</f>
        <v>0.025</v>
      </c>
      <c r="F18" s="25" t="s">
        <v>224</v>
      </c>
    </row>
    <row r="19" customFormat="false" ht="15" hidden="false" customHeight="false" outlineLevel="0" collapsed="false">
      <c r="A19" s="18" t="s">
        <v>225</v>
      </c>
      <c r="B19" s="19" t="s">
        <v>226</v>
      </c>
      <c r="C19" s="22" t="n">
        <v>0.01</v>
      </c>
      <c r="D19" s="22" t="n">
        <v>0.007</v>
      </c>
      <c r="E19" s="24" t="n">
        <f aca="false">INDEX(C19:D19,MATCH($C$8,$C$17:$D$17,0))</f>
        <v>0.01</v>
      </c>
      <c r="F19" s="25" t="s">
        <v>227</v>
      </c>
    </row>
    <row r="20" customFormat="false" ht="15" hidden="false" customHeight="false" outlineLevel="0" collapsed="false">
      <c r="A20" s="18" t="s">
        <v>228</v>
      </c>
      <c r="B20" s="19" t="s">
        <v>229</v>
      </c>
      <c r="C20" s="22" t="n">
        <v>0.045</v>
      </c>
      <c r="D20" s="22" t="n">
        <v>0.03</v>
      </c>
      <c r="E20" s="24" t="n">
        <f aca="false">INDEX(C20:D20,MATCH($C$8,$C$17:$D$17,0))</f>
        <v>0.045</v>
      </c>
      <c r="F20" s="25" t="s">
        <v>230</v>
      </c>
    </row>
    <row r="21" customFormat="false" ht="15" hidden="false" customHeight="false" outlineLevel="0" collapsed="false">
      <c r="A21" s="18" t="s">
        <v>231</v>
      </c>
      <c r="B21" s="19" t="s">
        <v>232</v>
      </c>
      <c r="C21" s="22" t="n">
        <v>0.045</v>
      </c>
      <c r="D21" s="22" t="n">
        <v>0.04</v>
      </c>
      <c r="E21" s="24" t="n">
        <f aca="false">INDEX(C21:D21,MATCH($C$8,$C$17:$D$17,0))</f>
        <v>0.045</v>
      </c>
      <c r="F21" s="25" t="s">
        <v>233</v>
      </c>
    </row>
    <row r="22" customFormat="false" ht="15" hidden="false" customHeight="false" outlineLevel="0" collapsed="false">
      <c r="A22" s="18" t="s">
        <v>234</v>
      </c>
      <c r="B22" s="19" t="s">
        <v>235</v>
      </c>
      <c r="C22" s="22" t="n">
        <v>0.0315</v>
      </c>
      <c r="D22" s="22" t="n">
        <v>0.028</v>
      </c>
      <c r="E22" s="24" t="n">
        <f aca="false">INDEX(C22:D22,MATCH($C$8,$C$17:$D$17,0))</f>
        <v>0.0315</v>
      </c>
      <c r="F22" s="25" t="s">
        <v>236</v>
      </c>
    </row>
    <row r="24" customFormat="false" ht="15" hidden="false" customHeight="false" outlineLevel="0" collapsed="false">
      <c r="A24" s="15" t="s">
        <v>237</v>
      </c>
      <c r="B24" s="16"/>
      <c r="C24" s="16"/>
      <c r="D24" s="16"/>
      <c r="E24" s="16"/>
      <c r="F24" s="16"/>
    </row>
    <row r="25" customFormat="false" ht="15" hidden="false" customHeight="false" outlineLevel="0" collapsed="false">
      <c r="A25" s="17" t="s">
        <v>190</v>
      </c>
      <c r="B25" s="17" t="s">
        <v>191</v>
      </c>
      <c r="C25" s="17" t="s">
        <v>192</v>
      </c>
      <c r="D25" s="17" t="s">
        <v>193</v>
      </c>
      <c r="E25" s="17"/>
      <c r="F25" s="17" t="s">
        <v>194</v>
      </c>
    </row>
    <row r="26" customFormat="false" ht="22.35" hidden="false" customHeight="false" outlineLevel="0" collapsed="false">
      <c r="A26" s="18" t="s">
        <v>238</v>
      </c>
      <c r="B26" s="19" t="s">
        <v>239</v>
      </c>
      <c r="C26" s="26" t="n">
        <v>4</v>
      </c>
      <c r="D26" s="19" t="s">
        <v>240</v>
      </c>
      <c r="E26" s="21"/>
      <c r="F26" s="13" t="s">
        <v>241</v>
      </c>
    </row>
    <row r="27" customFormat="false" ht="22.35" hidden="false" customHeight="false" outlineLevel="0" collapsed="false">
      <c r="A27" s="18" t="s">
        <v>242</v>
      </c>
      <c r="B27" s="19" t="s">
        <v>243</v>
      </c>
      <c r="C27" s="26" t="n">
        <v>3.5</v>
      </c>
      <c r="D27" s="19" t="s">
        <v>240</v>
      </c>
      <c r="E27" s="21"/>
      <c r="F27" s="13" t="s">
        <v>244</v>
      </c>
    </row>
    <row r="28" customFormat="false" ht="22.35" hidden="false" customHeight="false" outlineLevel="0" collapsed="false">
      <c r="A28" s="18" t="s">
        <v>245</v>
      </c>
      <c r="B28" s="19" t="s">
        <v>246</v>
      </c>
      <c r="C28" s="22" t="n">
        <v>0.9</v>
      </c>
      <c r="D28" s="19" t="s">
        <v>201</v>
      </c>
      <c r="E28" s="21"/>
      <c r="F28" s="13" t="s">
        <v>247</v>
      </c>
    </row>
    <row r="29" customFormat="false" ht="15" hidden="false" customHeight="false" outlineLevel="0" collapsed="false">
      <c r="A29" s="18" t="s">
        <v>248</v>
      </c>
      <c r="B29" s="19" t="s">
        <v>249</v>
      </c>
      <c r="C29" s="27" t="n">
        <f aca="false">ROUND(C28/(1-C28),10)</f>
        <v>9</v>
      </c>
      <c r="D29" s="19" t="s">
        <v>240</v>
      </c>
      <c r="E29" s="21"/>
      <c r="F29" s="13" t="s">
        <v>250</v>
      </c>
    </row>
    <row r="31" customFormat="false" ht="15" hidden="false" customHeight="false" outlineLevel="0" collapsed="false">
      <c r="A31" s="15" t="s">
        <v>251</v>
      </c>
      <c r="B31" s="16"/>
      <c r="C31" s="16"/>
      <c r="D31" s="16"/>
      <c r="E31" s="16"/>
      <c r="F31" s="16"/>
    </row>
    <row r="32" customFormat="false" ht="15" hidden="false" customHeight="false" outlineLevel="0" collapsed="false">
      <c r="A32" s="17" t="s">
        <v>190</v>
      </c>
      <c r="B32" s="17" t="s">
        <v>191</v>
      </c>
      <c r="C32" s="17" t="s">
        <v>192</v>
      </c>
      <c r="D32" s="17" t="s">
        <v>193</v>
      </c>
      <c r="E32" s="17"/>
      <c r="F32" s="17" t="s">
        <v>194</v>
      </c>
    </row>
    <row r="33" customFormat="false" ht="15" hidden="false" customHeight="false" outlineLevel="0" collapsed="false">
      <c r="A33" s="18" t="s">
        <v>252</v>
      </c>
      <c r="B33" s="19" t="s">
        <v>253</v>
      </c>
      <c r="C33" s="22" t="n">
        <v>0.01</v>
      </c>
      <c r="D33" s="19" t="s">
        <v>201</v>
      </c>
      <c r="E33" s="21"/>
      <c r="F33" s="13" t="s">
        <v>254</v>
      </c>
    </row>
    <row r="34" customFormat="false" ht="15" hidden="false" customHeight="false" outlineLevel="0" collapsed="false">
      <c r="A34" s="18" t="s">
        <v>255</v>
      </c>
      <c r="B34" s="19" t="s">
        <v>256</v>
      </c>
      <c r="C34" s="28" t="n">
        <v>15564</v>
      </c>
      <c r="D34" s="19" t="s">
        <v>257</v>
      </c>
      <c r="E34" s="21"/>
      <c r="F34" s="13" t="s">
        <v>258</v>
      </c>
    </row>
    <row r="35" customFormat="false" ht="15" hidden="false" customHeight="false" outlineLevel="0" collapsed="false">
      <c r="A35" s="18" t="s">
        <v>259</v>
      </c>
      <c r="B35" s="19" t="s">
        <v>260</v>
      </c>
      <c r="C35" s="26" t="n">
        <v>1</v>
      </c>
      <c r="D35" s="19" t="s">
        <v>240</v>
      </c>
      <c r="E35" s="21"/>
      <c r="F35" s="13" t="s">
        <v>261</v>
      </c>
    </row>
    <row r="36" customFormat="false" ht="15" hidden="false" customHeight="false" outlineLevel="0" collapsed="false">
      <c r="A36" s="18" t="s">
        <v>262</v>
      </c>
      <c r="B36" s="19" t="s">
        <v>263</v>
      </c>
      <c r="C36" s="26" t="n">
        <v>0.6</v>
      </c>
      <c r="D36" s="19" t="s">
        <v>240</v>
      </c>
      <c r="E36" s="21"/>
      <c r="F36" s="13" t="s">
        <v>261</v>
      </c>
    </row>
    <row r="37" customFormat="false" ht="15" hidden="false" customHeight="false" outlineLevel="0" collapsed="false">
      <c r="A37" s="18" t="s">
        <v>264</v>
      </c>
      <c r="B37" s="19" t="s">
        <v>265</v>
      </c>
      <c r="C37" s="26" t="n">
        <v>0.8</v>
      </c>
      <c r="D37" s="19" t="s">
        <v>240</v>
      </c>
      <c r="E37" s="21"/>
      <c r="F37" s="13" t="s">
        <v>261</v>
      </c>
    </row>
    <row r="38" customFormat="false" ht="15" hidden="false" customHeight="false" outlineLevel="0" collapsed="false">
      <c r="A38" s="18" t="s">
        <v>266</v>
      </c>
      <c r="B38" s="19" t="s">
        <v>267</v>
      </c>
      <c r="C38" s="28" t="n">
        <v>44000</v>
      </c>
      <c r="D38" s="19" t="s">
        <v>257</v>
      </c>
      <c r="E38" s="21"/>
      <c r="F38" s="13" t="s">
        <v>268</v>
      </c>
    </row>
    <row r="40" customFormat="false" ht="15" hidden="false" customHeight="false" outlineLevel="0" collapsed="false">
      <c r="A40" s="15" t="s">
        <v>269</v>
      </c>
      <c r="B40" s="16"/>
      <c r="C40" s="16"/>
      <c r="D40" s="16"/>
      <c r="E40" s="16"/>
      <c r="F40" s="16"/>
    </row>
    <row r="41" customFormat="false" ht="15" hidden="false" customHeight="false" outlineLevel="0" collapsed="false">
      <c r="A41" s="17" t="s">
        <v>190</v>
      </c>
      <c r="B41" s="17" t="s">
        <v>191</v>
      </c>
      <c r="C41" s="17" t="s">
        <v>192</v>
      </c>
      <c r="D41" s="17" t="s">
        <v>193</v>
      </c>
      <c r="E41" s="17"/>
      <c r="F41" s="17" t="s">
        <v>194</v>
      </c>
    </row>
    <row r="42" customFormat="false" ht="15" hidden="false" customHeight="false" outlineLevel="0" collapsed="false">
      <c r="A42" s="18" t="s">
        <v>270</v>
      </c>
      <c r="B42" s="19" t="s">
        <v>271</v>
      </c>
      <c r="C42" s="20" t="n">
        <v>1200</v>
      </c>
      <c r="D42" s="19" t="s">
        <v>240</v>
      </c>
      <c r="E42" s="21"/>
      <c r="F42" s="13" t="s">
        <v>272</v>
      </c>
    </row>
    <row r="43" customFormat="false" ht="15" hidden="false" customHeight="false" outlineLevel="0" collapsed="false">
      <c r="A43" s="18" t="s">
        <v>273</v>
      </c>
      <c r="B43" s="19" t="s">
        <v>274</v>
      </c>
      <c r="C43" s="29" t="n">
        <v>0.005</v>
      </c>
      <c r="D43" s="19" t="s">
        <v>257</v>
      </c>
      <c r="E43" s="21"/>
      <c r="F43" s="13" t="s">
        <v>275</v>
      </c>
    </row>
    <row r="44" customFormat="false" ht="15" hidden="false" customHeight="false" outlineLevel="0" collapsed="false">
      <c r="A44" s="18" t="s">
        <v>276</v>
      </c>
      <c r="B44" s="19" t="s">
        <v>277</v>
      </c>
      <c r="C44" s="20" t="n">
        <v>60</v>
      </c>
      <c r="D44" s="19" t="s">
        <v>240</v>
      </c>
      <c r="E44" s="21"/>
      <c r="F44" s="13" t="s">
        <v>278</v>
      </c>
    </row>
    <row r="45" customFormat="false" ht="15" hidden="false" customHeight="false" outlineLevel="0" collapsed="false">
      <c r="A45" s="18" t="s">
        <v>279</v>
      </c>
      <c r="B45" s="19" t="s">
        <v>280</v>
      </c>
      <c r="C45" s="28" t="n">
        <v>5</v>
      </c>
      <c r="D45" s="19" t="s">
        <v>257</v>
      </c>
      <c r="E45" s="21"/>
      <c r="F45" s="13" t="s">
        <v>281</v>
      </c>
    </row>
    <row r="46" customFormat="false" ht="15" hidden="false" customHeight="false" outlineLevel="0" collapsed="false">
      <c r="A46" s="18" t="s">
        <v>282</v>
      </c>
      <c r="B46" s="19" t="s">
        <v>283</v>
      </c>
      <c r="C46" s="20" t="n">
        <v>30</v>
      </c>
      <c r="D46" s="19" t="s">
        <v>240</v>
      </c>
      <c r="E46" s="21"/>
      <c r="F46" s="13" t="s">
        <v>284</v>
      </c>
    </row>
    <row r="47" customFormat="false" ht="15" hidden="false" customHeight="false" outlineLevel="0" collapsed="false">
      <c r="A47" s="18" t="s">
        <v>285</v>
      </c>
      <c r="B47" s="19" t="s">
        <v>286</v>
      </c>
      <c r="C47" s="22" t="n">
        <v>0.01</v>
      </c>
      <c r="D47" s="19" t="s">
        <v>201</v>
      </c>
      <c r="E47" s="21"/>
      <c r="F47" s="13" t="s">
        <v>287</v>
      </c>
    </row>
    <row r="48" customFormat="false" ht="15" hidden="false" customHeight="false" outlineLevel="0" collapsed="false">
      <c r="A48" s="18" t="s">
        <v>288</v>
      </c>
      <c r="B48" s="19" t="s">
        <v>289</v>
      </c>
      <c r="C48" s="20" t="n">
        <v>5</v>
      </c>
      <c r="D48" s="19" t="s">
        <v>240</v>
      </c>
      <c r="E48" s="21"/>
      <c r="F48" s="13" t="s">
        <v>290</v>
      </c>
    </row>
    <row r="49" customFormat="false" ht="15" hidden="false" customHeight="false" outlineLevel="0" collapsed="false">
      <c r="A49" s="18" t="s">
        <v>291</v>
      </c>
      <c r="B49" s="19" t="s">
        <v>292</v>
      </c>
      <c r="C49" s="20" t="n">
        <v>25</v>
      </c>
      <c r="D49" s="19" t="s">
        <v>240</v>
      </c>
      <c r="E49" s="21"/>
      <c r="F49" s="13" t="s">
        <v>293</v>
      </c>
    </row>
    <row r="50" customFormat="false" ht="15" hidden="false" customHeight="false" outlineLevel="0" collapsed="false">
      <c r="A50" s="18" t="s">
        <v>294</v>
      </c>
      <c r="B50" s="19" t="s">
        <v>295</v>
      </c>
      <c r="C50" s="22" t="n">
        <v>0.6</v>
      </c>
      <c r="D50" s="19" t="s">
        <v>201</v>
      </c>
      <c r="E50" s="21"/>
      <c r="F50" s="13" t="s">
        <v>296</v>
      </c>
    </row>
    <row r="51" customFormat="false" ht="15" hidden="false" customHeight="false" outlineLevel="0" collapsed="false">
      <c r="A51" s="18" t="s">
        <v>297</v>
      </c>
      <c r="B51" s="19" t="s">
        <v>298</v>
      </c>
      <c r="C51" s="22" t="n">
        <v>0.02</v>
      </c>
      <c r="D51" s="19" t="s">
        <v>201</v>
      </c>
      <c r="E51" s="21"/>
      <c r="F51" s="13" t="s">
        <v>299</v>
      </c>
    </row>
    <row r="52" customFormat="false" ht="15" hidden="false" customHeight="false" outlineLevel="0" collapsed="false">
      <c r="A52" s="18" t="s">
        <v>300</v>
      </c>
      <c r="B52" s="19" t="s">
        <v>301</v>
      </c>
      <c r="C52" s="22" t="n">
        <v>0.04</v>
      </c>
      <c r="D52" s="19" t="s">
        <v>201</v>
      </c>
      <c r="E52" s="21"/>
      <c r="F52" s="13" t="s">
        <v>299</v>
      </c>
    </row>
    <row r="53" customFormat="false" ht="15" hidden="false" customHeight="false" outlineLevel="0" collapsed="false">
      <c r="A53" s="18" t="s">
        <v>302</v>
      </c>
      <c r="B53" s="19" t="s">
        <v>303</v>
      </c>
      <c r="C53" s="22" t="n">
        <v>0.06</v>
      </c>
      <c r="D53" s="19" t="s">
        <v>201</v>
      </c>
      <c r="E53" s="21"/>
      <c r="F53" s="13" t="s">
        <v>299</v>
      </c>
    </row>
    <row r="54" customFormat="false" ht="15" hidden="false" customHeight="false" outlineLevel="0" collapsed="false">
      <c r="A54" s="18" t="s">
        <v>304</v>
      </c>
      <c r="B54" s="19" t="s">
        <v>305</v>
      </c>
      <c r="C54" s="22" t="n">
        <v>0.02</v>
      </c>
      <c r="D54" s="19" t="s">
        <v>201</v>
      </c>
      <c r="E54" s="21"/>
      <c r="F54" s="13" t="s">
        <v>306</v>
      </c>
    </row>
    <row r="55" customFormat="false" ht="15" hidden="false" customHeight="false" outlineLevel="0" collapsed="false">
      <c r="A55" s="18" t="s">
        <v>307</v>
      </c>
      <c r="B55" s="19" t="s">
        <v>308</v>
      </c>
      <c r="C55" s="22" t="n">
        <v>0.04</v>
      </c>
      <c r="D55" s="19" t="s">
        <v>201</v>
      </c>
      <c r="E55" s="21"/>
      <c r="F55" s="13" t="s">
        <v>309</v>
      </c>
    </row>
    <row r="56" customFormat="false" ht="15" hidden="false" customHeight="false" outlineLevel="0" collapsed="false">
      <c r="A56" s="18" t="s">
        <v>310</v>
      </c>
      <c r="B56" s="19" t="s">
        <v>311</v>
      </c>
      <c r="C56" s="22" t="n">
        <v>0.06</v>
      </c>
      <c r="D56" s="19" t="s">
        <v>201</v>
      </c>
      <c r="E56" s="21"/>
      <c r="F56" s="13" t="s">
        <v>309</v>
      </c>
    </row>
    <row r="57" customFormat="false" ht="15" hidden="false" customHeight="false" outlineLevel="0" collapsed="false">
      <c r="A57" s="18" t="s">
        <v>312</v>
      </c>
      <c r="B57" s="19" t="s">
        <v>313</v>
      </c>
      <c r="C57" s="22" t="n">
        <v>0.05</v>
      </c>
      <c r="D57" s="19" t="s">
        <v>201</v>
      </c>
      <c r="E57" s="21"/>
      <c r="F57" s="13" t="s">
        <v>314</v>
      </c>
    </row>
    <row r="58" customFormat="false" ht="15" hidden="false" customHeight="false" outlineLevel="0" collapsed="false">
      <c r="A58" s="18" t="s">
        <v>315</v>
      </c>
      <c r="B58" s="19" t="s">
        <v>316</v>
      </c>
      <c r="C58" s="22" t="n">
        <v>0.1</v>
      </c>
      <c r="D58" s="19" t="s">
        <v>201</v>
      </c>
      <c r="E58" s="21"/>
      <c r="F58" s="13" t="s">
        <v>309</v>
      </c>
    </row>
    <row r="59" customFormat="false" ht="15" hidden="false" customHeight="false" outlineLevel="0" collapsed="false">
      <c r="A59" s="18" t="s">
        <v>317</v>
      </c>
      <c r="B59" s="19" t="s">
        <v>318</v>
      </c>
      <c r="C59" s="22" t="n">
        <v>0.16</v>
      </c>
      <c r="D59" s="19" t="s">
        <v>201</v>
      </c>
      <c r="E59" s="21"/>
      <c r="F59" s="13" t="s">
        <v>309</v>
      </c>
    </row>
    <row r="60" customFormat="false" ht="15" hidden="false" customHeight="false" outlineLevel="0" collapsed="false">
      <c r="A60" s="18" t="s">
        <v>319</v>
      </c>
      <c r="B60" s="19" t="s">
        <v>320</v>
      </c>
      <c r="C60" s="23" t="s">
        <v>220</v>
      </c>
      <c r="D60" s="19" t="s">
        <v>206</v>
      </c>
      <c r="E60" s="21"/>
      <c r="F60" s="13" t="s">
        <v>309</v>
      </c>
    </row>
    <row r="61" customFormat="false" ht="15" hidden="false" customHeight="false" outlineLevel="0" collapsed="false">
      <c r="A61" s="18" t="s">
        <v>321</v>
      </c>
      <c r="B61" s="19" t="s">
        <v>322</v>
      </c>
      <c r="C61" s="23" t="s">
        <v>323</v>
      </c>
      <c r="D61" s="19" t="s">
        <v>206</v>
      </c>
      <c r="E61" s="21"/>
      <c r="F61" s="13" t="s">
        <v>309</v>
      </c>
    </row>
    <row r="62" customFormat="false" ht="15" hidden="false" customHeight="false" outlineLevel="0" collapsed="false">
      <c r="A62" s="18" t="s">
        <v>324</v>
      </c>
      <c r="B62" s="19" t="s">
        <v>325</v>
      </c>
      <c r="C62" s="23" t="s">
        <v>326</v>
      </c>
      <c r="D62" s="19" t="s">
        <v>206</v>
      </c>
      <c r="E62" s="21"/>
      <c r="F62" s="13" t="s">
        <v>309</v>
      </c>
    </row>
    <row r="63" customFormat="false" ht="15" hidden="false" customHeight="false" outlineLevel="0" collapsed="false">
      <c r="A63" s="18" t="s">
        <v>327</v>
      </c>
      <c r="B63" s="19" t="s">
        <v>328</v>
      </c>
      <c r="C63" s="26" t="n">
        <v>1.6</v>
      </c>
      <c r="D63" s="19" t="s">
        <v>240</v>
      </c>
      <c r="E63" s="21"/>
      <c r="F63" s="13" t="s">
        <v>329</v>
      </c>
    </row>
    <row r="64" customFormat="false" ht="15" hidden="false" customHeight="false" outlineLevel="0" collapsed="false">
      <c r="A64" s="18" t="s">
        <v>330</v>
      </c>
      <c r="B64" s="19" t="s">
        <v>331</v>
      </c>
      <c r="C64" s="22" t="n">
        <v>0.5</v>
      </c>
      <c r="D64" s="19" t="s">
        <v>201</v>
      </c>
      <c r="E64" s="21"/>
      <c r="F64" s="13" t="s">
        <v>332</v>
      </c>
    </row>
    <row r="65" customFormat="false" ht="15" hidden="false" customHeight="false" outlineLevel="0" collapsed="false">
      <c r="A65" s="18" t="s">
        <v>333</v>
      </c>
      <c r="B65" s="19" t="s">
        <v>334</v>
      </c>
      <c r="C65" s="22" t="n">
        <v>0.3</v>
      </c>
      <c r="D65" s="19" t="s">
        <v>201</v>
      </c>
      <c r="E65" s="21"/>
      <c r="F65" s="13" t="s">
        <v>335</v>
      </c>
    </row>
    <row r="66" customFormat="false" ht="15" hidden="false" customHeight="false" outlineLevel="0" collapsed="false">
      <c r="A66" s="18" t="s">
        <v>336</v>
      </c>
      <c r="B66" s="19" t="s">
        <v>337</v>
      </c>
      <c r="C66" s="22" t="n">
        <v>0.2</v>
      </c>
      <c r="D66" s="19" t="s">
        <v>201</v>
      </c>
      <c r="E66" s="21"/>
      <c r="F66" s="13" t="s">
        <v>335</v>
      </c>
    </row>
    <row r="67" customFormat="false" ht="15" hidden="false" customHeight="false" outlineLevel="0" collapsed="false">
      <c r="A67" s="18" t="s">
        <v>338</v>
      </c>
      <c r="B67" s="19" t="s">
        <v>339</v>
      </c>
      <c r="C67" s="20" t="n">
        <v>5</v>
      </c>
      <c r="D67" s="19" t="s">
        <v>240</v>
      </c>
      <c r="E67" s="21"/>
      <c r="F67" s="13" t="s">
        <v>340</v>
      </c>
    </row>
    <row r="68" customFormat="false" ht="15" hidden="false" customHeight="false" outlineLevel="0" collapsed="false">
      <c r="A68" s="18" t="s">
        <v>341</v>
      </c>
      <c r="B68" s="19" t="s">
        <v>342</v>
      </c>
      <c r="C68" s="20" t="n">
        <v>10</v>
      </c>
      <c r="D68" s="19" t="s">
        <v>240</v>
      </c>
      <c r="E68" s="21"/>
      <c r="F68" s="13" t="s">
        <v>343</v>
      </c>
    </row>
    <row r="69" customFormat="false" ht="15" hidden="false" customHeight="false" outlineLevel="0" collapsed="false">
      <c r="A69" s="18" t="s">
        <v>344</v>
      </c>
      <c r="B69" s="19" t="s">
        <v>345</v>
      </c>
      <c r="C69" s="20" t="n">
        <v>15</v>
      </c>
      <c r="D69" s="19" t="s">
        <v>240</v>
      </c>
      <c r="E69" s="21"/>
      <c r="F69" s="13" t="s">
        <v>346</v>
      </c>
    </row>
    <row r="70" customFormat="false" ht="15" hidden="false" customHeight="false" outlineLevel="0" collapsed="false">
      <c r="A70" s="18" t="s">
        <v>347</v>
      </c>
      <c r="B70" s="19" t="s">
        <v>348</v>
      </c>
      <c r="C70" s="22" t="n">
        <v>0.1</v>
      </c>
      <c r="D70" s="19" t="s">
        <v>201</v>
      </c>
      <c r="E70" s="21"/>
      <c r="F70" s="13" t="s">
        <v>349</v>
      </c>
    </row>
    <row r="71" customFormat="false" ht="15" hidden="false" customHeight="false" outlineLevel="0" collapsed="false">
      <c r="A71" s="18" t="s">
        <v>350</v>
      </c>
      <c r="B71" s="19" t="s">
        <v>351</v>
      </c>
      <c r="C71" s="20" t="n">
        <v>3</v>
      </c>
      <c r="D71" s="19" t="s">
        <v>240</v>
      </c>
      <c r="E71" s="21"/>
      <c r="F71" s="13" t="s">
        <v>352</v>
      </c>
    </row>
    <row r="72" customFormat="false" ht="15" hidden="false" customHeight="false" outlineLevel="0" collapsed="false">
      <c r="A72" s="18" t="s">
        <v>353</v>
      </c>
      <c r="B72" s="19" t="s">
        <v>354</v>
      </c>
      <c r="C72" s="20" t="n">
        <v>2</v>
      </c>
      <c r="D72" s="19" t="s">
        <v>240</v>
      </c>
      <c r="E72" s="21"/>
      <c r="F72" s="13" t="s">
        <v>355</v>
      </c>
    </row>
    <row r="73" customFormat="false" ht="15" hidden="false" customHeight="false" outlineLevel="0" collapsed="false">
      <c r="A73" s="18" t="s">
        <v>356</v>
      </c>
      <c r="B73" s="19" t="s">
        <v>357</v>
      </c>
      <c r="C73" s="20" t="n">
        <v>1</v>
      </c>
      <c r="D73" s="19" t="s">
        <v>240</v>
      </c>
      <c r="E73" s="21"/>
      <c r="F73" s="13" t="s">
        <v>358</v>
      </c>
    </row>
    <row r="74" customFormat="false" ht="15" hidden="false" customHeight="false" outlineLevel="0" collapsed="false">
      <c r="A74" s="18" t="s">
        <v>359</v>
      </c>
      <c r="B74" s="19" t="s">
        <v>360</v>
      </c>
      <c r="C74" s="20" t="n">
        <v>1</v>
      </c>
      <c r="D74" s="19" t="s">
        <v>240</v>
      </c>
      <c r="E74" s="21"/>
      <c r="F74" s="13" t="s">
        <v>361</v>
      </c>
    </row>
    <row r="75" customFormat="false" ht="15" hidden="false" customHeight="false" outlineLevel="0" collapsed="false">
      <c r="A75" s="18" t="s">
        <v>362</v>
      </c>
      <c r="B75" s="19" t="s">
        <v>363</v>
      </c>
      <c r="C75" s="20" t="n">
        <v>1</v>
      </c>
      <c r="D75" s="19" t="s">
        <v>240</v>
      </c>
      <c r="E75" s="21"/>
      <c r="F75" s="13" t="s">
        <v>364</v>
      </c>
    </row>
  </sheetData>
  <mergeCells count="1">
    <mergeCell ref="A2:F2"/>
  </mergeCells>
  <dataValidations count="2">
    <dataValidation allowBlank="false" errorStyle="stop" operator="between" showDropDown="false" showErrorMessage="false" showInputMessage="false" sqref="C8" type="list">
      <formula1>"Standard,Cautious"</formula1>
      <formula2>0</formula2>
    </dataValidation>
    <dataValidation allowBlank="false" errorStyle="stop" operator="between" showDropDown="false" showErrorMessage="false" showInputMessage="false" sqref="C6"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365</v>
      </c>
    </row>
    <row r="2" customFormat="false" ht="15" hidden="false" customHeight="false" outlineLevel="0" collapsed="false">
      <c r="A2" s="30" t="s">
        <v>366</v>
      </c>
    </row>
    <row r="3" customFormat="false" ht="37.5" hidden="false" customHeight="true" outlineLevel="0" collapsed="false">
      <c r="A3" s="31" t="s">
        <v>367</v>
      </c>
      <c r="B3" s="31"/>
      <c r="C3" s="31"/>
      <c r="D3" s="31"/>
      <c r="E3" s="31"/>
      <c r="F3" s="31"/>
      <c r="G3" s="31"/>
      <c r="H3" s="31"/>
      <c r="I3" s="31"/>
    </row>
    <row r="4" customFormat="false" ht="63.75" hidden="false" customHeight="true" outlineLevel="0" collapsed="false">
      <c r="A4" s="31" t="s">
        <v>368</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377</v>
      </c>
      <c r="B10" s="33" t="n">
        <v>60000</v>
      </c>
      <c r="C10" s="7" t="s">
        <v>257</v>
      </c>
      <c r="D10" s="34" t="n">
        <v>60000</v>
      </c>
      <c r="E10" s="34" t="n">
        <v>15000</v>
      </c>
      <c r="F10" s="34" t="n">
        <v>250000</v>
      </c>
      <c r="G10" s="34" t="n">
        <v>2500000</v>
      </c>
      <c r="H10" s="34" t="n">
        <v>1000</v>
      </c>
      <c r="I10" s="35" t="s">
        <v>378</v>
      </c>
    </row>
    <row r="11" customFormat="false" ht="15" hidden="false" customHeight="false" outlineLevel="0" collapsed="false">
      <c r="A11" s="7" t="s">
        <v>379</v>
      </c>
      <c r="B11" s="33" t="n">
        <v>0</v>
      </c>
      <c r="C11" s="7" t="s">
        <v>257</v>
      </c>
      <c r="D11" s="34" t="n">
        <v>0</v>
      </c>
      <c r="E11" s="34" t="n">
        <v>0</v>
      </c>
      <c r="F11" s="34" t="n">
        <v>250000</v>
      </c>
      <c r="G11" s="34" t="n">
        <v>2500000</v>
      </c>
      <c r="H11" s="34" t="n">
        <v>1000</v>
      </c>
      <c r="I11" s="35" t="s">
        <v>380</v>
      </c>
    </row>
    <row r="12" customFormat="false" ht="15" hidden="false" customHeight="false" outlineLevel="0" collapsed="false">
      <c r="A12" s="7" t="s">
        <v>381</v>
      </c>
      <c r="B12" s="33" t="n">
        <v>25000</v>
      </c>
      <c r="C12" s="7" t="s">
        <v>257</v>
      </c>
      <c r="D12" s="34" t="n">
        <v>25000</v>
      </c>
      <c r="E12" s="34" t="n">
        <v>0</v>
      </c>
      <c r="F12" s="34" t="n">
        <v>200000</v>
      </c>
      <c r="G12" s="34" t="n">
        <v>2000000</v>
      </c>
      <c r="H12" s="34" t="n">
        <v>1000</v>
      </c>
      <c r="I12" s="35" t="s">
        <v>382</v>
      </c>
    </row>
    <row r="13" customFormat="false" ht="15" hidden="false" customHeight="false" outlineLevel="0" collapsed="false">
      <c r="A13" s="7" t="s">
        <v>383</v>
      </c>
      <c r="B13" s="36" t="n">
        <v>1</v>
      </c>
      <c r="C13" s="7"/>
      <c r="D13" s="37" t="n">
        <v>1</v>
      </c>
      <c r="E13" s="37" t="n">
        <v>0</v>
      </c>
      <c r="F13" s="37" t="n">
        <v>1</v>
      </c>
      <c r="G13" s="37" t="n">
        <v>1</v>
      </c>
      <c r="H13" s="37" t="n">
        <v>1</v>
      </c>
      <c r="I13" s="35" t="s">
        <v>384</v>
      </c>
    </row>
    <row r="14" customFormat="false" ht="15" hidden="false" customHeight="false" outlineLevel="0" collapsed="false">
      <c r="A14" s="7" t="s">
        <v>385</v>
      </c>
      <c r="B14" s="38" t="n">
        <v>0.04</v>
      </c>
      <c r="C14" s="7" t="s">
        <v>386</v>
      </c>
      <c r="D14" s="39" t="n">
        <v>0.04</v>
      </c>
      <c r="E14" s="39" t="n">
        <v>0.01</v>
      </c>
      <c r="F14" s="39" t="n">
        <v>0.08</v>
      </c>
      <c r="G14" s="39" t="n">
        <v>0.08</v>
      </c>
      <c r="H14" s="39" t="n">
        <v>0.001</v>
      </c>
      <c r="I14" s="35"/>
    </row>
    <row r="15" customFormat="false" ht="15" hidden="false" customHeight="false" outlineLevel="0" collapsed="false">
      <c r="A15" s="7" t="s">
        <v>387</v>
      </c>
      <c r="B15" s="36" t="n">
        <v>30</v>
      </c>
      <c r="C15" s="7" t="s">
        <v>388</v>
      </c>
      <c r="D15" s="37" t="n">
        <v>30</v>
      </c>
      <c r="E15" s="37" t="n">
        <v>10</v>
      </c>
      <c r="F15" s="37" t="n">
        <v>35</v>
      </c>
      <c r="G15" s="37" t="n">
        <v>35</v>
      </c>
      <c r="H15" s="37" t="n">
        <v>1</v>
      </c>
      <c r="I15" s="35"/>
    </row>
    <row r="17" customFormat="false" ht="15" hidden="false" customHeight="false" outlineLevel="0" collapsed="false">
      <c r="A17" s="15" t="s">
        <v>389</v>
      </c>
      <c r="B17" s="16"/>
      <c r="C17" s="16"/>
      <c r="D17" s="16"/>
      <c r="E17" s="16"/>
      <c r="F17" s="16"/>
      <c r="G17" s="16"/>
      <c r="H17" s="16"/>
      <c r="I17" s="16"/>
    </row>
    <row r="18" customFormat="false" ht="15" hidden="false" customHeight="false" outlineLevel="0" collapsed="false">
      <c r="A18" s="17" t="s">
        <v>30</v>
      </c>
      <c r="B18" s="17" t="s">
        <v>192</v>
      </c>
      <c r="C18" s="17" t="s">
        <v>193</v>
      </c>
      <c r="D18" s="17" t="s">
        <v>371</v>
      </c>
      <c r="E18" s="17" t="s">
        <v>372</v>
      </c>
      <c r="F18" s="17" t="s">
        <v>373</v>
      </c>
      <c r="G18" s="17" t="s">
        <v>374</v>
      </c>
      <c r="H18" s="17" t="s">
        <v>375</v>
      </c>
      <c r="I18" s="17" t="s">
        <v>376</v>
      </c>
    </row>
    <row r="19" customFormat="false" ht="15" hidden="false" customHeight="false" outlineLevel="0" collapsed="false">
      <c r="A19" s="7" t="s">
        <v>390</v>
      </c>
      <c r="B19" s="33" t="n">
        <v>0</v>
      </c>
      <c r="C19" s="7" t="s">
        <v>257</v>
      </c>
      <c r="D19" s="34" t="n">
        <v>0</v>
      </c>
      <c r="E19" s="34" t="n">
        <v>0</v>
      </c>
      <c r="F19" s="34" t="n">
        <v>50000</v>
      </c>
      <c r="G19" s="34" t="n">
        <v>500000</v>
      </c>
      <c r="H19" s="34" t="n">
        <v>1000</v>
      </c>
      <c r="I19" s="35"/>
    </row>
    <row r="21" customFormat="false" ht="15" hidden="false" customHeight="false" outlineLevel="0" collapsed="false">
      <c r="A21" s="15" t="s">
        <v>391</v>
      </c>
      <c r="B21" s="16"/>
      <c r="C21" s="16"/>
      <c r="D21" s="16"/>
      <c r="E21" s="16"/>
      <c r="F21" s="16"/>
      <c r="G21" s="16"/>
      <c r="H21" s="16"/>
      <c r="I21" s="16"/>
    </row>
    <row r="22" customFormat="false" ht="15" hidden="false" customHeight="false" outlineLevel="0" collapsed="false">
      <c r="A22" s="17" t="s">
        <v>392</v>
      </c>
      <c r="B22" s="17" t="s">
        <v>192</v>
      </c>
      <c r="C22" s="17" t="s">
        <v>193</v>
      </c>
      <c r="D22" s="17" t="s">
        <v>393</v>
      </c>
    </row>
    <row r="23" customFormat="false" ht="15" hidden="false" customHeight="false" outlineLevel="0" collapsed="false">
      <c r="A23" s="7" t="s">
        <v>394</v>
      </c>
      <c r="B23" s="40" t="n">
        <f aca="false">IF($B$13&lt;&gt;0,Assumptions!$C$26,Assumptions!$C$27)</f>
        <v>4</v>
      </c>
      <c r="C23" s="41" t="s">
        <v>240</v>
      </c>
      <c r="D23" s="42" t="s">
        <v>395</v>
      </c>
      <c r="E23" s="42"/>
      <c r="F23" s="42"/>
      <c r="G23" s="42"/>
      <c r="H23" s="42"/>
      <c r="I23" s="42"/>
    </row>
    <row r="24" customFormat="false" ht="15" hidden="false" customHeight="false" outlineLevel="0" collapsed="false">
      <c r="A24" s="7" t="s">
        <v>396</v>
      </c>
      <c r="B24" s="43" t="n">
        <f aca="false">$B$12+$B$19</f>
        <v>25000</v>
      </c>
      <c r="C24" s="41" t="s">
        <v>257</v>
      </c>
      <c r="D24" s="42" t="s">
        <v>397</v>
      </c>
      <c r="E24" s="42"/>
      <c r="F24" s="42"/>
      <c r="G24" s="42"/>
      <c r="H24" s="42"/>
      <c r="I24" s="42"/>
    </row>
    <row r="25" customFormat="false" ht="15" hidden="false" customHeight="false" outlineLevel="0" collapsed="false">
      <c r="A25" s="7" t="s">
        <v>398</v>
      </c>
      <c r="B25" s="43" t="n">
        <f aca="false">($B$10+$B$11)*$B$23</f>
        <v>240000</v>
      </c>
      <c r="C25" s="41" t="s">
        <v>257</v>
      </c>
      <c r="D25" s="42" t="s">
        <v>399</v>
      </c>
      <c r="E25" s="42"/>
      <c r="F25" s="42"/>
      <c r="G25" s="42"/>
      <c r="H25" s="42"/>
      <c r="I25" s="42"/>
    </row>
    <row r="26" customFormat="false" ht="15" hidden="false" customHeight="false" outlineLevel="0" collapsed="false">
      <c r="A26" s="7" t="s">
        <v>400</v>
      </c>
      <c r="B26" s="44" t="n">
        <f aca="false">$B$24*Assumptions!$C$29</f>
        <v>225000</v>
      </c>
      <c r="C26" s="41" t="s">
        <v>257</v>
      </c>
      <c r="D26" s="42" t="s">
        <v>401</v>
      </c>
      <c r="E26" s="42"/>
      <c r="F26" s="42"/>
      <c r="G26" s="42"/>
      <c r="H26" s="42"/>
      <c r="I26" s="42"/>
    </row>
    <row r="27" customFormat="false" ht="15" hidden="false" customHeight="false" outlineLevel="0" collapsed="false">
      <c r="A27" s="7" t="s">
        <v>402</v>
      </c>
      <c r="B27" s="43" t="n">
        <f aca="false">MIN($B$25,$B$26)</f>
        <v>225000</v>
      </c>
      <c r="C27" s="41" t="s">
        <v>257</v>
      </c>
      <c r="D27" s="42" t="s">
        <v>403</v>
      </c>
      <c r="E27" s="42"/>
      <c r="F27" s="42"/>
      <c r="G27" s="42"/>
      <c r="H27" s="42"/>
      <c r="I27" s="42"/>
    </row>
    <row r="28" customFormat="false" ht="15" hidden="false" customHeight="false" outlineLevel="0" collapsed="false">
      <c r="A28" s="7" t="s">
        <v>404</v>
      </c>
      <c r="B28" s="43" t="n">
        <f aca="false">$B$27+$B$24</f>
        <v>250000</v>
      </c>
      <c r="C28" s="41" t="s">
        <v>257</v>
      </c>
      <c r="D28" s="42" t="s">
        <v>405</v>
      </c>
      <c r="E28" s="42"/>
      <c r="F28" s="42"/>
      <c r="G28" s="42"/>
      <c r="H28" s="42"/>
      <c r="I28" s="42"/>
    </row>
    <row r="29" customFormat="false" ht="15" hidden="false" customHeight="false" outlineLevel="0" collapsed="false">
      <c r="A29" s="7" t="s">
        <v>406</v>
      </c>
      <c r="B29" s="45" t="n">
        <f aca="false">$B$14/12</f>
        <v>0.00333333333333333</v>
      </c>
      <c r="C29" s="41" t="s">
        <v>407</v>
      </c>
      <c r="D29" s="42" t="s">
        <v>408</v>
      </c>
      <c r="E29" s="42"/>
      <c r="F29" s="42"/>
      <c r="G29" s="42"/>
      <c r="H29" s="42"/>
      <c r="I29" s="42"/>
    </row>
    <row r="30" customFormat="false" ht="15" hidden="false" customHeight="false" outlineLevel="0" collapsed="false">
      <c r="A30" s="7" t="s">
        <v>409</v>
      </c>
      <c r="B30" s="46" t="n">
        <f aca="false">$B$15*12</f>
        <v>360</v>
      </c>
      <c r="C30" s="41" t="s">
        <v>240</v>
      </c>
      <c r="D30" s="42" t="s">
        <v>410</v>
      </c>
      <c r="E30" s="42"/>
      <c r="F30" s="42"/>
      <c r="G30" s="42"/>
      <c r="H30" s="42"/>
      <c r="I30" s="42"/>
    </row>
    <row r="31" customFormat="false" ht="15" hidden="false" customHeight="false" outlineLevel="0" collapsed="false">
      <c r="A31" s="7" t="s">
        <v>411</v>
      </c>
      <c r="B31" s="43" t="n">
        <f aca="false">IF(($B$30)=0,0,IF($B$29&lt;&gt;0,$B$27*$B$29/(1-POWER(1+$B$29,-($B$30))),$B$27/($B$30)))</f>
        <v>1074.18441479727</v>
      </c>
      <c r="C31" s="41" t="s">
        <v>257</v>
      </c>
      <c r="D31" s="42" t="s">
        <v>412</v>
      </c>
      <c r="E31" s="42"/>
      <c r="F31" s="42"/>
      <c r="G31" s="42"/>
      <c r="H31" s="42"/>
      <c r="I31" s="42"/>
    </row>
    <row r="32" customFormat="false" ht="15" hidden="false" customHeight="false" outlineLevel="0" collapsed="false">
      <c r="A32" s="7" t="s">
        <v>413</v>
      </c>
      <c r="B32" s="47" t="str">
        <f aca="false">IF($B$26&lt;$B$25,"deposit","income limit")</f>
        <v>deposit</v>
      </c>
      <c r="C32" s="41" t="s">
        <v>206</v>
      </c>
      <c r="D32" s="42" t="s">
        <v>414</v>
      </c>
      <c r="E32" s="42"/>
      <c r="F32" s="42"/>
      <c r="G32" s="42"/>
      <c r="H32" s="42"/>
      <c r="I32" s="42"/>
    </row>
    <row r="34" customFormat="false" ht="15" hidden="false" customHeight="false" outlineLevel="0" collapsed="false">
      <c r="A34" s="15" t="s">
        <v>415</v>
      </c>
      <c r="B34" s="16"/>
      <c r="C34" s="16"/>
      <c r="D34" s="16"/>
      <c r="E34" s="16"/>
      <c r="F34" s="16"/>
      <c r="G34" s="16"/>
      <c r="H34" s="16"/>
      <c r="I34" s="16"/>
    </row>
    <row r="35" customFormat="false" ht="15" hidden="false" customHeight="false" outlineLevel="0" collapsed="false">
      <c r="A35" s="17" t="s">
        <v>416</v>
      </c>
      <c r="B35" s="17" t="s">
        <v>192</v>
      </c>
      <c r="C35" s="17" t="s">
        <v>417</v>
      </c>
      <c r="D35" s="17" t="s">
        <v>418</v>
      </c>
    </row>
    <row r="36" customFormat="false" ht="15" hidden="false" customHeight="false" outlineLevel="0" collapsed="false">
      <c r="A36" s="4" t="s">
        <v>419</v>
      </c>
      <c r="B36" s="48"/>
      <c r="C36" s="49" t="str">
        <f aca="false">"Homes up to about"</f>
        <v>Homes up to about</v>
      </c>
      <c r="D36" s="42" t="s">
        <v>420</v>
      </c>
      <c r="E36" s="42"/>
      <c r="F36" s="42"/>
      <c r="G36" s="42"/>
      <c r="H36" s="42"/>
      <c r="I36" s="42"/>
    </row>
    <row r="37" customFormat="false" ht="15" hidden="false" customHeight="false" outlineLevel="0" collapsed="false">
      <c r="A37" s="4" t="s">
        <v>421</v>
      </c>
      <c r="B37" s="50" t="n">
        <f aca="false">$B$28</f>
        <v>250000</v>
      </c>
      <c r="C37" s="49" t="str">
        <f aca="false">IF(($B$28)&lt;0,"−€","€")&amp;FIXED(ROUND(ABS($B$28),0),0)</f>
        <v>€250,000</v>
      </c>
      <c r="D37" s="42" t="s">
        <v>422</v>
      </c>
      <c r="E37" s="42"/>
      <c r="F37" s="42"/>
      <c r="G37" s="42"/>
      <c r="H37" s="42"/>
      <c r="I37" s="42"/>
    </row>
    <row r="38" customFormat="false" ht="15" hidden="false" customHeight="false" outlineLevel="0" collapsed="false">
      <c r="A38" s="4" t="s">
        <v>423</v>
      </c>
      <c r="B38" s="51" t="n">
        <f aca="false">$B$23</f>
        <v>4</v>
      </c>
      <c r="C38" s="49" t="str">
        <f aca="false">$B$23&amp;""</f>
        <v>4</v>
      </c>
      <c r="D38" s="42" t="s">
        <v>424</v>
      </c>
      <c r="E38" s="42"/>
      <c r="F38" s="42"/>
      <c r="G38" s="42"/>
      <c r="H38" s="42"/>
      <c r="I38" s="42"/>
    </row>
    <row r="39" customFormat="false" ht="15" hidden="false" customHeight="false" outlineLevel="0" collapsed="false">
      <c r="A39" s="4" t="s">
        <v>425</v>
      </c>
      <c r="B39" s="48"/>
      <c r="C39" s="49" t="str">
        <f aca="false">$B$32</f>
        <v>deposit</v>
      </c>
      <c r="D39" s="42" t="s">
        <v>424</v>
      </c>
      <c r="E39" s="42"/>
      <c r="F39" s="42"/>
      <c r="G39" s="42"/>
      <c r="H39" s="42"/>
      <c r="I39" s="42"/>
    </row>
    <row r="40" customFormat="false" ht="15" hidden="false" customHeight="false" outlineLevel="0" collapsed="false">
      <c r="A40" s="4" t="s">
        <v>426</v>
      </c>
      <c r="B40" s="50" t="n">
        <f aca="false">$B$25</f>
        <v>240000</v>
      </c>
      <c r="C40" s="49" t="str">
        <f aca="false">IF(($B$25)&lt;0,"−€","€")&amp;FIXED(ROUND(ABS($B$25),0),0)</f>
        <v>€240,000</v>
      </c>
      <c r="D40" s="42" t="s">
        <v>427</v>
      </c>
      <c r="E40" s="42"/>
      <c r="F40" s="42"/>
      <c r="G40" s="42"/>
      <c r="H40" s="42"/>
      <c r="I40" s="42"/>
    </row>
    <row r="41" customFormat="false" ht="15" hidden="false" customHeight="false" outlineLevel="0" collapsed="false">
      <c r="A41" s="4" t="s">
        <v>400</v>
      </c>
      <c r="B41" s="50" t="n">
        <f aca="false">$B$26</f>
        <v>225000</v>
      </c>
      <c r="C41" s="49" t="str">
        <f aca="false">IF(($B$26)&lt;0,"−€","€")&amp;FIXED(ROUND(ABS($B$26),0),0)</f>
        <v>€225,000</v>
      </c>
      <c r="D41" s="42" t="s">
        <v>428</v>
      </c>
      <c r="E41" s="42"/>
      <c r="F41" s="42"/>
      <c r="G41" s="42"/>
      <c r="H41" s="42"/>
      <c r="I41" s="42"/>
    </row>
    <row r="42" customFormat="false" ht="15" hidden="false" customHeight="false" outlineLevel="0" collapsed="false">
      <c r="A42" s="4" t="s">
        <v>429</v>
      </c>
      <c r="B42" s="50" t="n">
        <f aca="false">$B$24</f>
        <v>25000</v>
      </c>
      <c r="C42" s="49" t="str">
        <f aca="false">IF(($B$24)&lt;0,"−€","€")&amp;FIXED(ROUND(ABS($B$24),0),0)</f>
        <v>€25,000</v>
      </c>
      <c r="D42" s="42" t="s">
        <v>430</v>
      </c>
      <c r="E42" s="42"/>
      <c r="F42" s="42"/>
      <c r="G42" s="42"/>
      <c r="H42" s="42"/>
      <c r="I42" s="42"/>
    </row>
    <row r="43" customFormat="false" ht="15" hidden="false" customHeight="false" outlineLevel="0" collapsed="false">
      <c r="A43" s="4" t="s">
        <v>411</v>
      </c>
      <c r="B43" s="50" t="n">
        <f aca="false">$B$31</f>
        <v>1074.18441479727</v>
      </c>
      <c r="C43" s="49" t="str">
        <f aca="false">IF(($B$31)&lt;0,"−€","€")&amp;FIXED(ROUND(ABS($B$31),0),0)</f>
        <v>€1,074</v>
      </c>
      <c r="D43" s="42" t="s">
        <v>431</v>
      </c>
      <c r="E43" s="42"/>
      <c r="F43" s="42"/>
      <c r="G43" s="42"/>
      <c r="H43" s="42"/>
      <c r="I43" s="42"/>
    </row>
    <row r="44" customFormat="false" ht="15" hidden="false" customHeight="false" outlineLevel="0" collapsed="false">
      <c r="A44" s="4" t="s">
        <v>432</v>
      </c>
      <c r="B44" s="52" t="n">
        <f aca="false">INT(($B$28*Assumptions!$C$70)+0.5)</f>
        <v>25000</v>
      </c>
      <c r="C44" s="49" t="str">
        <f aca="false">$B$44&amp;""</f>
        <v>25000</v>
      </c>
      <c r="D44" s="42" t="s">
        <v>433</v>
      </c>
      <c r="E44" s="42"/>
      <c r="F44" s="42"/>
      <c r="G44" s="42"/>
      <c r="H44" s="42"/>
      <c r="I44" s="42"/>
    </row>
    <row r="45" customFormat="false" ht="15" hidden="false" customHeight="false" outlineLevel="0" collapsed="false">
      <c r="A45" s="4" t="s">
        <v>434</v>
      </c>
      <c r="B45" s="53" t="n">
        <f aca="false">Assumptions!$C$71</f>
        <v>3</v>
      </c>
      <c r="C45" s="49" t="str">
        <f aca="false">$B$45&amp;""</f>
        <v>3</v>
      </c>
      <c r="D45" s="42" t="s">
        <v>435</v>
      </c>
      <c r="E45" s="42"/>
      <c r="F45" s="42"/>
      <c r="G45" s="42"/>
      <c r="H45" s="42"/>
      <c r="I45" s="42"/>
    </row>
  </sheetData>
  <mergeCells count="23">
    <mergeCell ref="A3:I3"/>
    <mergeCell ref="A4:I4"/>
    <mergeCell ref="A5:I5"/>
    <mergeCell ref="D23:I23"/>
    <mergeCell ref="D24:I24"/>
    <mergeCell ref="D25:I25"/>
    <mergeCell ref="D26:I26"/>
    <mergeCell ref="D27:I27"/>
    <mergeCell ref="D28:I28"/>
    <mergeCell ref="D29:I29"/>
    <mergeCell ref="D30:I30"/>
    <mergeCell ref="D31:I31"/>
    <mergeCell ref="D32:I32"/>
    <mergeCell ref="D36:I36"/>
    <mergeCell ref="D37:I37"/>
    <mergeCell ref="D38:I38"/>
    <mergeCell ref="D39:I39"/>
    <mergeCell ref="D40:I40"/>
    <mergeCell ref="D41:I41"/>
    <mergeCell ref="D42:I42"/>
    <mergeCell ref="D43:I43"/>
    <mergeCell ref="D44:I44"/>
    <mergeCell ref="D45:I45"/>
  </mergeCells>
  <dataValidations count="7">
    <dataValidation allowBlank="false" error="The prototype accepts 15000 to 2500000 here." errorStyle="stop" errorTitle="Outside the prototype range" operator="between" showDropDown="false" showErrorMessage="true" showInputMessage="false" sqref="B10" type="decimal">
      <formula1>15000</formula1>
      <formula2>2500000</formula2>
    </dataValidation>
    <dataValidation allowBlank="false" error="The prototype accepts 0 to 2500000 here." errorStyle="stop" errorTitle="Outside the prototype range" operator="between" showDropDown="false" showErrorMessage="true" showInputMessage="false" sqref="B11" type="decimal">
      <formula1>0</formula1>
      <formula2>2500000</formula2>
    </dataValidation>
    <dataValidation allowBlank="false" error="The prototype accepts 0 to 2000000 here." errorStyle="stop" errorTitle="Outside the prototype range" operator="between" showDropDown="false" showErrorMessage="true" showInputMessage="false" sqref="B12" type="decimal">
      <formula1>0</formula1>
      <formula2>2000000</formula2>
    </dataValidation>
    <dataValidation allowBlank="false" error="The prototype accepts 0 to 1 here." errorStyle="stop" errorTitle="Outside the prototype range" operator="between" showDropDown="false" showErrorMessage="true" showInputMessage="false" sqref="B13" type="whole">
      <formula1>0</formula1>
      <formula2>1</formula2>
    </dataValidation>
    <dataValidation allowBlank="false" error="The prototype accepts 0.01 to 0.08 here." errorStyle="stop" errorTitle="Outside the prototype range" operator="between" showDropDown="false" showErrorMessage="true" showInputMessage="false" sqref="B14" type="decimal">
      <formula1>0.01</formula1>
      <formula2>0.08</formula2>
    </dataValidation>
    <dataValidation allowBlank="false" error="The prototype accepts 10 to 35 here." errorStyle="stop" errorTitle="Outside the prototype range" operator="between" showDropDown="false" showErrorMessage="true" showInputMessage="false" sqref="B15" type="decimal">
      <formula1>10</formula1>
      <formula2>35</formula2>
    </dataValidation>
    <dataValidation allowBlank="false" error="The prototype accepts 0 to 500000 here." errorStyle="stop" errorTitle="Outside the prototype range" operator="between" showDropDown="false" showErrorMessage="true" showInputMessage="false" sqref="B19" type="decimal">
      <formula1>0</formula1>
      <formula2>500000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7" min="11" style="0" width="14"/>
  </cols>
  <sheetData>
    <row r="1" customFormat="false" ht="17.35" hidden="false" customHeight="false" outlineLevel="0" collapsed="false">
      <c r="A1" s="1" t="s">
        <v>436</v>
      </c>
    </row>
    <row r="2" customFormat="false" ht="15" hidden="false" customHeight="false" outlineLevel="0" collapsed="false">
      <c r="A2" s="30" t="s">
        <v>437</v>
      </c>
    </row>
    <row r="3" customFormat="false" ht="37.5" hidden="false" customHeight="true" outlineLevel="0" collapsed="false">
      <c r="A3" s="31" t="s">
        <v>438</v>
      </c>
      <c r="B3" s="31"/>
      <c r="C3" s="31"/>
      <c r="D3" s="31"/>
      <c r="E3" s="31"/>
      <c r="F3" s="31"/>
      <c r="G3" s="31"/>
      <c r="H3" s="31"/>
      <c r="I3" s="31"/>
    </row>
    <row r="4" customFormat="false" ht="63.75" hidden="false" customHeight="true" outlineLevel="0" collapsed="false">
      <c r="A4" s="31" t="s">
        <v>439</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440</v>
      </c>
    </row>
    <row r="6" customFormat="false" ht="15" hidden="false" customHeight="false" outlineLevel="0" collapsed="false">
      <c r="K6" s="9" t="s">
        <v>441</v>
      </c>
      <c r="L6" s="16"/>
      <c r="M6" s="16"/>
      <c r="N6" s="16"/>
      <c r="O6" s="16"/>
      <c r="P6" s="16"/>
      <c r="Q6" s="16"/>
    </row>
    <row r="7" customFormat="false" ht="39.75" hidden="false" customHeight="true" outlineLevel="0" collapsed="false">
      <c r="K7" s="55" t="s">
        <v>442</v>
      </c>
      <c r="L7" s="55" t="s">
        <v>443</v>
      </c>
      <c r="M7" s="55" t="s">
        <v>444</v>
      </c>
      <c r="N7" s="55" t="s">
        <v>445</v>
      </c>
      <c r="O7" s="55" t="s">
        <v>446</v>
      </c>
      <c r="P7" s="55" t="s">
        <v>447</v>
      </c>
      <c r="Q7" s="55" t="s">
        <v>448</v>
      </c>
    </row>
    <row r="8" customFormat="false" ht="15" hidden="false" customHeight="false" outlineLevel="0" collapsed="false">
      <c r="A8" s="15" t="s">
        <v>370</v>
      </c>
      <c r="B8" s="16"/>
      <c r="C8" s="16"/>
      <c r="D8" s="16"/>
      <c r="E8" s="16"/>
      <c r="F8" s="16"/>
      <c r="G8" s="16"/>
      <c r="H8" s="16"/>
      <c r="I8" s="16"/>
      <c r="K8" s="56" t="n">
        <v>1</v>
      </c>
      <c r="L8" s="57" t="n">
        <f aca="false">IF(AND(K8&lt;=Assumptions!$C$42,$B$10&gt;Assumptions!$C$43),1,0)</f>
        <v>1</v>
      </c>
      <c r="M8" s="58" t="n">
        <f aca="false">$B$10</f>
        <v>300000</v>
      </c>
      <c r="N8" s="58" t="n">
        <f aca="false">IF(L8=1,M8*$B$25,0)</f>
        <v>1000</v>
      </c>
      <c r="O8" s="58" t="n">
        <f aca="false">IF(L8=1,M8+N8-$B$29,M8)</f>
        <v>299567.754113604</v>
      </c>
      <c r="P8" s="56" t="n">
        <f aca="false">IF(L8=1,IF($B$29&lt;=N8,1,0),0)</f>
        <v>0</v>
      </c>
      <c r="Q8" s="58" t="n">
        <f aca="false">N8</f>
        <v>1000</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2</v>
      </c>
      <c r="L9" s="57" t="n">
        <f aca="false">IF(AND(K9&lt;=Assumptions!$C$42,L8=1,P8=0,O8&gt;Assumptions!$C$43),1,0)</f>
        <v>1</v>
      </c>
      <c r="M9" s="58" t="n">
        <f aca="false">O8</f>
        <v>299567.754113604</v>
      </c>
      <c r="N9" s="58" t="n">
        <f aca="false">IF(L9=1,M9*$B$25,0)</f>
        <v>998.559180378679</v>
      </c>
      <c r="O9" s="58" t="n">
        <f aca="false">IF(L9=1,M9+N9-$B$29,M9)</f>
        <v>299134.067407586</v>
      </c>
      <c r="P9" s="56" t="n">
        <f aca="false">IF(L9=1,IF($B$29&lt;=N9,1,0),0)</f>
        <v>0</v>
      </c>
      <c r="Q9" s="58" t="n">
        <f aca="false">Q8+N9</f>
        <v>1998.55918037868</v>
      </c>
    </row>
    <row r="10" customFormat="false" ht="15" hidden="false" customHeight="false" outlineLevel="0" collapsed="false">
      <c r="A10" s="7" t="s">
        <v>449</v>
      </c>
      <c r="B10" s="33" t="n">
        <v>300000</v>
      </c>
      <c r="C10" s="7" t="s">
        <v>257</v>
      </c>
      <c r="D10" s="34" t="n">
        <v>300000</v>
      </c>
      <c r="E10" s="34" t="n">
        <v>50000</v>
      </c>
      <c r="F10" s="34" t="n">
        <v>1000000</v>
      </c>
      <c r="G10" s="34" t="n">
        <v>10000000</v>
      </c>
      <c r="H10" s="34" t="n">
        <v>1000</v>
      </c>
      <c r="I10" s="35" t="s">
        <v>450</v>
      </c>
      <c r="K10" s="56" t="n">
        <f aca="false">K9+1</f>
        <v>3</v>
      </c>
      <c r="L10" s="57" t="n">
        <f aca="false">IF(AND(K10&lt;=Assumptions!$C$42,L9=1,P9=0,O9&gt;Assumptions!$C$43),1,0)</f>
        <v>1</v>
      </c>
      <c r="M10" s="58" t="n">
        <f aca="false">O9</f>
        <v>299134.067407586</v>
      </c>
      <c r="N10" s="58" t="n">
        <f aca="false">IF(L10=1,M10*$B$25,0)</f>
        <v>997.113558025287</v>
      </c>
      <c r="O10" s="58" t="n">
        <f aca="false">IF(L10=1,M10+N10-$B$29,M10)</f>
        <v>298698.935079215</v>
      </c>
      <c r="P10" s="56" t="n">
        <f aca="false">IF(L10=1,IF($B$29&lt;=N10,1,0),0)</f>
        <v>0</v>
      </c>
      <c r="Q10" s="58" t="n">
        <f aca="false">Q9+N10</f>
        <v>2995.67273840397</v>
      </c>
    </row>
    <row r="11" customFormat="false" ht="15" hidden="false" customHeight="false" outlineLevel="0" collapsed="false">
      <c r="A11" s="7" t="s">
        <v>385</v>
      </c>
      <c r="B11" s="38" t="n">
        <v>0.04</v>
      </c>
      <c r="C11" s="7" t="s">
        <v>386</v>
      </c>
      <c r="D11" s="39" t="n">
        <v>0.04</v>
      </c>
      <c r="E11" s="39" t="n">
        <v>0.01</v>
      </c>
      <c r="F11" s="39" t="n">
        <v>0.08</v>
      </c>
      <c r="G11" s="39" t="n">
        <v>0.08</v>
      </c>
      <c r="H11" s="39" t="n">
        <v>0.0005</v>
      </c>
      <c r="I11" s="35" t="s">
        <v>451</v>
      </c>
      <c r="K11" s="56" t="n">
        <f aca="false">K10+1</f>
        <v>4</v>
      </c>
      <c r="L11" s="57" t="n">
        <f aca="false">IF(AND(K11&lt;=Assumptions!$C$42,L10=1,P10=0,O10&gt;Assumptions!$C$43),1,0)</f>
        <v>1</v>
      </c>
      <c r="M11" s="58" t="n">
        <f aca="false">O10</f>
        <v>298698.935079215</v>
      </c>
      <c r="N11" s="58" t="n">
        <f aca="false">IF(L11=1,M11*$B$25,0)</f>
        <v>995.663116930716</v>
      </c>
      <c r="O11" s="58" t="n">
        <f aca="false">IF(L11=1,M11+N11-$B$29,M11)</f>
        <v>298262.352309749</v>
      </c>
      <c r="P11" s="56" t="n">
        <f aca="false">IF(L11=1,IF($B$29&lt;=N11,1,0),0)</f>
        <v>0</v>
      </c>
      <c r="Q11" s="58" t="n">
        <f aca="false">Q10+N11</f>
        <v>3991.33585533468</v>
      </c>
    </row>
    <row r="12" customFormat="false" ht="15" hidden="false" customHeight="false" outlineLevel="0" collapsed="false">
      <c r="A12" s="7" t="s">
        <v>387</v>
      </c>
      <c r="B12" s="36" t="n">
        <v>30</v>
      </c>
      <c r="C12" s="7" t="s">
        <v>388</v>
      </c>
      <c r="D12" s="37" t="n">
        <v>30</v>
      </c>
      <c r="E12" s="37" t="n">
        <v>5</v>
      </c>
      <c r="F12" s="37" t="n">
        <v>35</v>
      </c>
      <c r="G12" s="37" t="n">
        <v>35</v>
      </c>
      <c r="H12" s="37" t="n">
        <v>1</v>
      </c>
      <c r="I12" s="35" t="s">
        <v>452</v>
      </c>
      <c r="K12" s="56" t="n">
        <f aca="false">K11+1</f>
        <v>5</v>
      </c>
      <c r="L12" s="57" t="n">
        <f aca="false">IF(AND(K12&lt;=Assumptions!$C$42,L11=1,P11=0,O11&gt;Assumptions!$C$43),1,0)</f>
        <v>1</v>
      </c>
      <c r="M12" s="58" t="n">
        <f aca="false">O11</f>
        <v>298262.352309749</v>
      </c>
      <c r="N12" s="58" t="n">
        <f aca="false">IF(L12=1,M12*$B$25,0)</f>
        <v>994.207841032497</v>
      </c>
      <c r="O12" s="58" t="n">
        <f aca="false">IF(L12=1,M12+N12-$B$29,M12)</f>
        <v>297824.314264385</v>
      </c>
      <c r="P12" s="56" t="n">
        <f aca="false">IF(L12=1,IF($B$29&lt;=N12,1,0),0)</f>
        <v>0</v>
      </c>
      <c r="Q12" s="58" t="n">
        <f aca="false">Q11+N12</f>
        <v>4985.54369636718</v>
      </c>
    </row>
    <row r="13" customFormat="false" ht="15" hidden="false" customHeight="false" outlineLevel="0" collapsed="false">
      <c r="K13" s="56" t="n">
        <f aca="false">K12+1</f>
        <v>6</v>
      </c>
      <c r="L13" s="57" t="n">
        <f aca="false">IF(AND(K13&lt;=Assumptions!$C$42,L12=1,P12=0,O12&gt;Assumptions!$C$43),1,0)</f>
        <v>1</v>
      </c>
      <c r="M13" s="58" t="n">
        <f aca="false">O12</f>
        <v>297824.314264385</v>
      </c>
      <c r="N13" s="58" t="n">
        <f aca="false">IF(L13=1,M13*$B$25,0)</f>
        <v>992.747714214617</v>
      </c>
      <c r="O13" s="58" t="n">
        <f aca="false">IF(L13=1,M13+N13-$B$29,M13)</f>
        <v>297384.816092203</v>
      </c>
      <c r="P13" s="56" t="n">
        <f aca="false">IF(L13=1,IF($B$29&lt;=N13,1,0),0)</f>
        <v>0</v>
      </c>
      <c r="Q13" s="58" t="n">
        <f aca="false">Q12+N13</f>
        <v>5978.2914105818</v>
      </c>
    </row>
    <row r="14" customFormat="false" ht="15" hidden="false" customHeight="false" outlineLevel="0" collapsed="false">
      <c r="A14" s="15" t="s">
        <v>389</v>
      </c>
      <c r="B14" s="16"/>
      <c r="C14" s="16"/>
      <c r="D14" s="16"/>
      <c r="E14" s="16"/>
      <c r="F14" s="16"/>
      <c r="G14" s="16"/>
      <c r="H14" s="16"/>
      <c r="I14" s="16"/>
      <c r="K14" s="56" t="n">
        <f aca="false">K13+1</f>
        <v>7</v>
      </c>
      <c r="L14" s="57" t="n">
        <f aca="false">IF(AND(K14&lt;=Assumptions!$C$42,L13=1,P13=0,O13&gt;Assumptions!$C$43),1,0)</f>
        <v>1</v>
      </c>
      <c r="M14" s="58" t="n">
        <f aca="false">O13</f>
        <v>297384.816092203</v>
      </c>
      <c r="N14" s="58" t="n">
        <f aca="false">IF(L14=1,M14*$B$25,0)</f>
        <v>991.282720307345</v>
      </c>
      <c r="O14" s="58" t="n">
        <f aca="false">IF(L14=1,M14+N14-$B$29,M14)</f>
        <v>296943.852926114</v>
      </c>
      <c r="P14" s="56" t="n">
        <f aca="false">IF(L14=1,IF($B$29&lt;=N14,1,0),0)</f>
        <v>0</v>
      </c>
      <c r="Q14" s="58" t="n">
        <f aca="false">Q13+N14</f>
        <v>6969.57413088914</v>
      </c>
    </row>
    <row r="15" customFormat="false" ht="15" hidden="false" customHeight="false" outlineLevel="0" collapsed="false">
      <c r="A15" s="17" t="s">
        <v>30</v>
      </c>
      <c r="B15" s="17" t="s">
        <v>192</v>
      </c>
      <c r="C15" s="17" t="s">
        <v>193</v>
      </c>
      <c r="D15" s="17" t="s">
        <v>371</v>
      </c>
      <c r="E15" s="17" t="s">
        <v>372</v>
      </c>
      <c r="F15" s="17" t="s">
        <v>373</v>
      </c>
      <c r="G15" s="17" t="s">
        <v>374</v>
      </c>
      <c r="H15" s="17" t="s">
        <v>375</v>
      </c>
      <c r="I15" s="17" t="s">
        <v>376</v>
      </c>
      <c r="K15" s="56" t="n">
        <f aca="false">K14+1</f>
        <v>8</v>
      </c>
      <c r="L15" s="57" t="n">
        <f aca="false">IF(AND(K15&lt;=Assumptions!$C$42,L14=1,P14=0,O14&gt;Assumptions!$C$43),1,0)</f>
        <v>1</v>
      </c>
      <c r="M15" s="58" t="n">
        <f aca="false">O14</f>
        <v>296943.852926114</v>
      </c>
      <c r="N15" s="58" t="n">
        <f aca="false">IF(L15=1,M15*$B$25,0)</f>
        <v>989.812843087048</v>
      </c>
      <c r="O15" s="58" t="n">
        <f aca="false">IF(L15=1,M15+N15-$B$29,M15)</f>
        <v>296501.419882805</v>
      </c>
      <c r="P15" s="56" t="n">
        <f aca="false">IF(L15=1,IF($B$29&lt;=N15,1,0),0)</f>
        <v>0</v>
      </c>
      <c r="Q15" s="58" t="n">
        <f aca="false">Q14+N15</f>
        <v>7959.38697397619</v>
      </c>
    </row>
    <row r="16" customFormat="false" ht="15" hidden="false" customHeight="false" outlineLevel="0" collapsed="false">
      <c r="A16" s="7" t="s">
        <v>453</v>
      </c>
      <c r="B16" s="38" t="n">
        <v>0</v>
      </c>
      <c r="C16" s="7" t="s">
        <v>386</v>
      </c>
      <c r="D16" s="39" t="n">
        <v>0</v>
      </c>
      <c r="E16" s="39" t="n">
        <v>-0.02</v>
      </c>
      <c r="F16" s="39" t="n">
        <v>0.03</v>
      </c>
      <c r="G16" s="39" t="n">
        <v>0.03</v>
      </c>
      <c r="H16" s="39" t="n">
        <v>0.0025</v>
      </c>
      <c r="I16" s="35"/>
      <c r="K16" s="56" t="n">
        <f aca="false">K15+1</f>
        <v>9</v>
      </c>
      <c r="L16" s="57" t="n">
        <f aca="false">IF(AND(K16&lt;=Assumptions!$C$42,L15=1,P15=0,O15&gt;Assumptions!$C$43),1,0)</f>
        <v>1</v>
      </c>
      <c r="M16" s="58" t="n">
        <f aca="false">O15</f>
        <v>296501.419882805</v>
      </c>
      <c r="N16" s="58" t="n">
        <f aca="false">IF(L16=1,M16*$B$25,0)</f>
        <v>988.338066276017</v>
      </c>
      <c r="O16" s="58" t="n">
        <f aca="false">IF(L16=1,M16+N16-$B$29,M16)</f>
        <v>296057.512062685</v>
      </c>
      <c r="P16" s="56" t="n">
        <f aca="false">IF(L16=1,IF($B$29&lt;=N16,1,0),0)</f>
        <v>0</v>
      </c>
      <c r="Q16" s="58" t="n">
        <f aca="false">Q15+N16</f>
        <v>8947.72504025221</v>
      </c>
    </row>
    <row r="17" customFormat="false" ht="15" hidden="false" customHeight="false" outlineLevel="0" collapsed="false">
      <c r="K17" s="56" t="n">
        <f aca="false">K16+1</f>
        <v>10</v>
      </c>
      <c r="L17" s="57" t="n">
        <f aca="false">IF(AND(K17&lt;=Assumptions!$C$42,L16=1,P16=0,O16&gt;Assumptions!$C$43),1,0)</f>
        <v>1</v>
      </c>
      <c r="M17" s="58" t="n">
        <f aca="false">O16</f>
        <v>296057.512062685</v>
      </c>
      <c r="N17" s="58" t="n">
        <f aca="false">IF(L17=1,M17*$B$25,0)</f>
        <v>986.858373542282</v>
      </c>
      <c r="O17" s="58" t="n">
        <f aca="false">IF(L17=1,M17+N17-$B$29,M17)</f>
        <v>295612.124549831</v>
      </c>
      <c r="P17" s="56" t="n">
        <f aca="false">IF(L17=1,IF($B$29&lt;=N17,1,0),0)</f>
        <v>0</v>
      </c>
      <c r="Q17" s="58" t="n">
        <f aca="false">Q16+N17</f>
        <v>9934.58341379449</v>
      </c>
    </row>
    <row r="18" customFormat="false" ht="15" hidden="false" customHeight="false" outlineLevel="0" collapsed="false">
      <c r="A18" s="15" t="s">
        <v>454</v>
      </c>
      <c r="B18" s="16"/>
      <c r="C18" s="16"/>
      <c r="D18" s="16"/>
      <c r="E18" s="16"/>
      <c r="F18" s="16"/>
      <c r="G18" s="16"/>
      <c r="H18" s="16"/>
      <c r="I18" s="16"/>
      <c r="K18" s="56" t="n">
        <f aca="false">K17+1</f>
        <v>11</v>
      </c>
      <c r="L18" s="57" t="n">
        <f aca="false">IF(AND(K18&lt;=Assumptions!$C$42,L17=1,P17=0,O17&gt;Assumptions!$C$43),1,0)</f>
        <v>1</v>
      </c>
      <c r="M18" s="58" t="n">
        <f aca="false">O17</f>
        <v>295612.124549831</v>
      </c>
      <c r="N18" s="58" t="n">
        <f aca="false">IF(L18=1,M18*$B$25,0)</f>
        <v>985.373748499435</v>
      </c>
      <c r="O18" s="58" t="n">
        <f aca="false">IF(L18=1,M18+N18-$B$29,M18)</f>
        <v>295165.252411934</v>
      </c>
      <c r="P18" s="56" t="n">
        <f aca="false">IF(L18=1,IF($B$29&lt;=N18,1,0),0)</f>
        <v>0</v>
      </c>
      <c r="Q18" s="58" t="n">
        <f aca="false">Q17+N18</f>
        <v>10919.9571622939</v>
      </c>
    </row>
    <row r="19" customFormat="false" ht="15" hidden="false" customHeight="false" outlineLevel="0" collapsed="false">
      <c r="A19" s="17" t="s">
        <v>30</v>
      </c>
      <c r="B19" s="17" t="s">
        <v>192</v>
      </c>
      <c r="C19" s="17" t="s">
        <v>193</v>
      </c>
      <c r="D19" s="17" t="s">
        <v>371</v>
      </c>
      <c r="E19" s="17" t="s">
        <v>372</v>
      </c>
      <c r="F19" s="17" t="s">
        <v>373</v>
      </c>
      <c r="G19" s="17" t="s">
        <v>374</v>
      </c>
      <c r="H19" s="17" t="s">
        <v>375</v>
      </c>
      <c r="I19" s="17" t="s">
        <v>376</v>
      </c>
      <c r="K19" s="56" t="n">
        <f aca="false">K18+1</f>
        <v>12</v>
      </c>
      <c r="L19" s="57" t="n">
        <f aca="false">IF(AND(K19&lt;=Assumptions!$C$42,L18=1,P18=0,O18&gt;Assumptions!$C$43),1,0)</f>
        <v>1</v>
      </c>
      <c r="M19" s="58" t="n">
        <f aca="false">O18</f>
        <v>295165.252411934</v>
      </c>
      <c r="N19" s="58" t="n">
        <f aca="false">IF(L19=1,M19*$B$25,0)</f>
        <v>983.884174706446</v>
      </c>
      <c r="O19" s="58" t="n">
        <f aca="false">IF(L19=1,M19+N19-$B$29,M19)</f>
        <v>294716.890700244</v>
      </c>
      <c r="P19" s="56" t="n">
        <f aca="false">IF(L19=1,IF($B$29&lt;=N19,1,0),0)</f>
        <v>0</v>
      </c>
      <c r="Q19" s="58" t="n">
        <f aca="false">Q18+N19</f>
        <v>11903.8413370004</v>
      </c>
    </row>
    <row r="20" customFormat="false" ht="22.35" hidden="false" customHeight="false" outlineLevel="0" collapsed="false">
      <c r="A20" s="7" t="s">
        <v>455</v>
      </c>
      <c r="B20" s="33" t="n">
        <v>0</v>
      </c>
      <c r="C20" s="7" t="s">
        <v>257</v>
      </c>
      <c r="D20" s="34" t="n">
        <v>0</v>
      </c>
      <c r="E20" s="34" t="n">
        <v>0</v>
      </c>
      <c r="F20" s="34" t="n">
        <v>100000</v>
      </c>
      <c r="G20" s="34" t="n">
        <v>100000</v>
      </c>
      <c r="H20" s="34"/>
      <c r="I20" s="35" t="s">
        <v>456</v>
      </c>
      <c r="K20" s="56" t="n">
        <f aca="false">K19+1</f>
        <v>13</v>
      </c>
      <c r="L20" s="57" t="n">
        <f aca="false">IF(AND(K20&lt;=Assumptions!$C$42,L19=1,P19=0,O19&gt;Assumptions!$C$43),1,0)</f>
        <v>1</v>
      </c>
      <c r="M20" s="58" t="n">
        <f aca="false">O19</f>
        <v>294716.890700244</v>
      </c>
      <c r="N20" s="58" t="n">
        <f aca="false">IF(L20=1,M20*$B$25,0)</f>
        <v>982.389635667479</v>
      </c>
      <c r="O20" s="58" t="n">
        <f aca="false">IF(L20=1,M20+N20-$B$29,M20)</f>
        <v>294267.034449515</v>
      </c>
      <c r="P20" s="56" t="n">
        <f aca="false">IF(L20=1,IF($B$29&lt;=N20,1,0),0)</f>
        <v>0</v>
      </c>
      <c r="Q20" s="58" t="n">
        <f aca="false">Q19+N20</f>
        <v>12886.2309726678</v>
      </c>
    </row>
    <row r="21" customFormat="false" ht="22.35" hidden="false" customHeight="false" outlineLevel="0" collapsed="false">
      <c r="A21" s="7" t="s">
        <v>457</v>
      </c>
      <c r="B21" s="36" t="n">
        <v>1</v>
      </c>
      <c r="C21" s="7" t="s">
        <v>197</v>
      </c>
      <c r="D21" s="37" t="n">
        <v>1</v>
      </c>
      <c r="E21" s="37" t="n">
        <v>0</v>
      </c>
      <c r="F21" s="37" t="n">
        <v>1</v>
      </c>
      <c r="G21" s="37" t="n">
        <v>1</v>
      </c>
      <c r="H21" s="37" t="n">
        <v>1</v>
      </c>
      <c r="I21" s="35" t="s">
        <v>458</v>
      </c>
      <c r="K21" s="56" t="n">
        <f aca="false">K20+1</f>
        <v>14</v>
      </c>
      <c r="L21" s="57" t="n">
        <f aca="false">IF(AND(K21&lt;=Assumptions!$C$42,L20=1,P20=0,O20&gt;Assumptions!$C$43),1,0)</f>
        <v>1</v>
      </c>
      <c r="M21" s="58" t="n">
        <f aca="false">O20</f>
        <v>294267.034449515</v>
      </c>
      <c r="N21" s="58" t="n">
        <f aca="false">IF(L21=1,M21*$B$25,0)</f>
        <v>980.890114831716</v>
      </c>
      <c r="O21" s="58" t="n">
        <f aca="false">IF(L21=1,M21+N21-$B$29,M21)</f>
        <v>293815.67867795</v>
      </c>
      <c r="P21" s="56" t="n">
        <f aca="false">IF(L21=1,IF($B$29&lt;=N21,1,0),0)</f>
        <v>0</v>
      </c>
      <c r="Q21" s="58" t="n">
        <f aca="false">Q20+N21</f>
        <v>13867.1210874996</v>
      </c>
    </row>
    <row r="22" customFormat="false" ht="15" hidden="false" customHeight="false" outlineLevel="0" collapsed="false">
      <c r="K22" s="56" t="n">
        <f aca="false">K21+1</f>
        <v>15</v>
      </c>
      <c r="L22" s="57" t="n">
        <f aca="false">IF(AND(K22&lt;=Assumptions!$C$42,L21=1,P21=0,O21&gt;Assumptions!$C$43),1,0)</f>
        <v>1</v>
      </c>
      <c r="M22" s="58" t="n">
        <f aca="false">O21</f>
        <v>293815.67867795</v>
      </c>
      <c r="N22" s="58" t="n">
        <f aca="false">IF(L22=1,M22*$B$25,0)</f>
        <v>979.385595593167</v>
      </c>
      <c r="O22" s="58" t="n">
        <f aca="false">IF(L22=1,M22+N22-$B$29,M22)</f>
        <v>293362.818387147</v>
      </c>
      <c r="P22" s="56" t="n">
        <f aca="false">IF(L22=1,IF($B$29&lt;=N22,1,0),0)</f>
        <v>0</v>
      </c>
      <c r="Q22" s="58" t="n">
        <f aca="false">Q21+N22</f>
        <v>14846.5066830927</v>
      </c>
    </row>
    <row r="23" customFormat="false" ht="15" hidden="false" customHeight="false" outlineLevel="0" collapsed="false">
      <c r="A23" s="15" t="s">
        <v>391</v>
      </c>
      <c r="B23" s="16"/>
      <c r="C23" s="16"/>
      <c r="D23" s="16"/>
      <c r="E23" s="16"/>
      <c r="F23" s="16"/>
      <c r="G23" s="16"/>
      <c r="H23" s="16"/>
      <c r="I23" s="16"/>
      <c r="K23" s="56" t="n">
        <f aca="false">K22+1</f>
        <v>16</v>
      </c>
      <c r="L23" s="57" t="n">
        <f aca="false">IF(AND(K23&lt;=Assumptions!$C$42,L22=1,P22=0,O22&gt;Assumptions!$C$43),1,0)</f>
        <v>1</v>
      </c>
      <c r="M23" s="58" t="n">
        <f aca="false">O22</f>
        <v>293362.818387147</v>
      </c>
      <c r="N23" s="58" t="n">
        <f aca="false">IF(L23=1,M23*$B$25,0)</f>
        <v>977.87606129049</v>
      </c>
      <c r="O23" s="58" t="n">
        <f aca="false">IF(L23=1,M23+N23-$B$29,M23)</f>
        <v>292908.448562041</v>
      </c>
      <c r="P23" s="56" t="n">
        <f aca="false">IF(L23=1,IF($B$29&lt;=N23,1,0),0)</f>
        <v>0</v>
      </c>
      <c r="Q23" s="58" t="n">
        <f aca="false">Q22+N23</f>
        <v>15824.3827443832</v>
      </c>
    </row>
    <row r="24" customFormat="false" ht="15" hidden="false" customHeight="false" outlineLevel="0" collapsed="false">
      <c r="A24" s="17" t="s">
        <v>392</v>
      </c>
      <c r="B24" s="17" t="s">
        <v>192</v>
      </c>
      <c r="C24" s="17" t="s">
        <v>193</v>
      </c>
      <c r="D24" s="17" t="s">
        <v>393</v>
      </c>
      <c r="K24" s="56" t="n">
        <f aca="false">K23+1</f>
        <v>17</v>
      </c>
      <c r="L24" s="57" t="n">
        <f aca="false">IF(AND(K24&lt;=Assumptions!$C$42,L23=1,P23=0,O23&gt;Assumptions!$C$43),1,0)</f>
        <v>1</v>
      </c>
      <c r="M24" s="58" t="n">
        <f aca="false">O23</f>
        <v>292908.448562041</v>
      </c>
      <c r="N24" s="58" t="n">
        <f aca="false">IF(L24=1,M24*$B$25,0)</f>
        <v>976.361495206804</v>
      </c>
      <c r="O24" s="58" t="n">
        <f aca="false">IF(L24=1,M24+N24-$B$29,M24)</f>
        <v>292452.564170852</v>
      </c>
      <c r="P24" s="56" t="n">
        <f aca="false">IF(L24=1,IF($B$29&lt;=N24,1,0),0)</f>
        <v>0</v>
      </c>
      <c r="Q24" s="58" t="n">
        <f aca="false">Q23+N24</f>
        <v>16800.74423959</v>
      </c>
    </row>
    <row r="25" customFormat="false" ht="15" hidden="false" customHeight="false" outlineLevel="0" collapsed="false">
      <c r="A25" s="7" t="s">
        <v>406</v>
      </c>
      <c r="B25" s="45" t="n">
        <f aca="false">$B$11/12</f>
        <v>0.00333333333333333</v>
      </c>
      <c r="C25" s="41" t="s">
        <v>407</v>
      </c>
      <c r="D25" s="42" t="s">
        <v>408</v>
      </c>
      <c r="E25" s="42"/>
      <c r="F25" s="42"/>
      <c r="G25" s="42"/>
      <c r="H25" s="42"/>
      <c r="I25" s="42"/>
      <c r="K25" s="56" t="n">
        <f aca="false">K24+1</f>
        <v>18</v>
      </c>
      <c r="L25" s="57" t="n">
        <f aca="false">IF(AND(K25&lt;=Assumptions!$C$42,L24=1,P24=0,O24&gt;Assumptions!$C$43),1,0)</f>
        <v>1</v>
      </c>
      <c r="M25" s="58" t="n">
        <f aca="false">O24</f>
        <v>292452.564170852</v>
      </c>
      <c r="N25" s="58" t="n">
        <f aca="false">IF(L25=1,M25*$B$25,0)</f>
        <v>974.841880569505</v>
      </c>
      <c r="O25" s="58" t="n">
        <f aca="false">IF(L25=1,M25+N25-$B$29,M25)</f>
        <v>291995.160165025</v>
      </c>
      <c r="P25" s="56" t="n">
        <f aca="false">IF(L25=1,IF($B$29&lt;=N25,1,0),0)</f>
        <v>0</v>
      </c>
      <c r="Q25" s="58" t="n">
        <f aca="false">Q24+N25</f>
        <v>17775.5861201595</v>
      </c>
    </row>
    <row r="26" customFormat="false" ht="15" hidden="false" customHeight="false" outlineLevel="0" collapsed="false">
      <c r="A26" s="7" t="s">
        <v>409</v>
      </c>
      <c r="B26" s="46" t="n">
        <f aca="false">$B$12*12</f>
        <v>360</v>
      </c>
      <c r="C26" s="41" t="s">
        <v>240</v>
      </c>
      <c r="D26" s="42" t="s">
        <v>410</v>
      </c>
      <c r="E26" s="42"/>
      <c r="F26" s="42"/>
      <c r="G26" s="42"/>
      <c r="H26" s="42"/>
      <c r="I26" s="42"/>
      <c r="K26" s="56" t="n">
        <f aca="false">K25+1</f>
        <v>19</v>
      </c>
      <c r="L26" s="57" t="n">
        <f aca="false">IF(AND(K26&lt;=Assumptions!$C$42,L25=1,P25=0,O25&gt;Assumptions!$C$43),1,0)</f>
        <v>1</v>
      </c>
      <c r="M26" s="58" t="n">
        <f aca="false">O25</f>
        <v>291995.160165025</v>
      </c>
      <c r="N26" s="58" t="n">
        <f aca="false">IF(L26=1,M26*$B$25,0)</f>
        <v>973.317200550082</v>
      </c>
      <c r="O26" s="58" t="n">
        <f aca="false">IF(L26=1,M26+N26-$B$29,M26)</f>
        <v>291536.231479178</v>
      </c>
      <c r="P26" s="56" t="n">
        <f aca="false">IF(L26=1,IF($B$29&lt;=N26,1,0),0)</f>
        <v>0</v>
      </c>
      <c r="Q26" s="58" t="n">
        <f aca="false">Q25+N26</f>
        <v>18748.9033207096</v>
      </c>
    </row>
    <row r="27" customFormat="false" ht="15" hidden="false" customHeight="false" outlineLevel="0" collapsed="false">
      <c r="A27" s="7" t="s">
        <v>459</v>
      </c>
      <c r="B27" s="43" t="n">
        <f aca="false">IF(($B$26)=0,0,IF($B$25&lt;&gt;0,$B$10*$B$25/(1-POWER(1+$B$25,-($B$26))),$B$10/($B$26)))</f>
        <v>1432.24588639636</v>
      </c>
      <c r="C27" s="41" t="s">
        <v>257</v>
      </c>
      <c r="D27" s="42" t="s">
        <v>460</v>
      </c>
      <c r="E27" s="42"/>
      <c r="F27" s="42"/>
      <c r="G27" s="42"/>
      <c r="H27" s="42"/>
      <c r="I27" s="42"/>
      <c r="K27" s="56" t="n">
        <f aca="false">K26+1</f>
        <v>20</v>
      </c>
      <c r="L27" s="57" t="n">
        <f aca="false">IF(AND(K27&lt;=Assumptions!$C$42,L26=1,P26=0,O26&gt;Assumptions!$C$43),1,0)</f>
        <v>1</v>
      </c>
      <c r="M27" s="58" t="n">
        <f aca="false">O26</f>
        <v>291536.231479178</v>
      </c>
      <c r="N27" s="58" t="n">
        <f aca="false">IF(L27=1,M27*$B$25,0)</f>
        <v>971.787438263928</v>
      </c>
      <c r="O27" s="58" t="n">
        <f aca="false">IF(L27=1,M27+N27-$B$29,M27)</f>
        <v>291075.773031046</v>
      </c>
      <c r="P27" s="56" t="n">
        <f aca="false">IF(L27=1,IF($B$29&lt;=N27,1,0),0)</f>
        <v>0</v>
      </c>
      <c r="Q27" s="58" t="n">
        <f aca="false">Q26+N27</f>
        <v>19720.6907589735</v>
      </c>
    </row>
    <row r="28" customFormat="false" ht="15" hidden="false" customHeight="false" outlineLevel="0" collapsed="false">
      <c r="A28" s="7" t="s">
        <v>461</v>
      </c>
      <c r="B28" s="43" t="n">
        <f aca="false">IF(AND($B$21=1,$B$20&gt;0),$B$20,0)</f>
        <v>0</v>
      </c>
      <c r="C28" s="41" t="s">
        <v>257</v>
      </c>
      <c r="D28" s="42" t="s">
        <v>462</v>
      </c>
      <c r="E28" s="42"/>
      <c r="F28" s="42"/>
      <c r="G28" s="42"/>
      <c r="H28" s="42"/>
      <c r="I28" s="42"/>
      <c r="K28" s="56" t="n">
        <f aca="false">K27+1</f>
        <v>21</v>
      </c>
      <c r="L28" s="57" t="n">
        <f aca="false">IF(AND(K28&lt;=Assumptions!$C$42,L27=1,P27=0,O27&gt;Assumptions!$C$43),1,0)</f>
        <v>1</v>
      </c>
      <c r="M28" s="58" t="n">
        <f aca="false">O27</f>
        <v>291075.773031046</v>
      </c>
      <c r="N28" s="58" t="n">
        <f aca="false">IF(L28=1,M28*$B$25,0)</f>
        <v>970.252576770153</v>
      </c>
      <c r="O28" s="58" t="n">
        <f aca="false">IF(L28=1,M28+N28-$B$29,M28)</f>
        <v>290613.77972142</v>
      </c>
      <c r="P28" s="56" t="n">
        <f aca="false">IF(L28=1,IF($B$29&lt;=N28,1,0),0)</f>
        <v>0</v>
      </c>
      <c r="Q28" s="58" t="n">
        <f aca="false">Q27+N28</f>
        <v>20690.9433357437</v>
      </c>
    </row>
    <row r="29" customFormat="false" ht="15" hidden="false" customHeight="false" outlineLevel="0" collapsed="false">
      <c r="A29" s="7" t="s">
        <v>463</v>
      </c>
      <c r="B29" s="43" t="n">
        <f aca="false">IF($B$28&gt;0,$B$28,$B$27)</f>
        <v>1432.24588639636</v>
      </c>
      <c r="C29" s="41" t="s">
        <v>257</v>
      </c>
      <c r="D29" s="42" t="s">
        <v>464</v>
      </c>
      <c r="E29" s="42"/>
      <c r="F29" s="42"/>
      <c r="G29" s="42"/>
      <c r="H29" s="42"/>
      <c r="I29" s="42"/>
      <c r="K29" s="56" t="n">
        <f aca="false">K28+1</f>
        <v>22</v>
      </c>
      <c r="L29" s="57" t="n">
        <f aca="false">IF(AND(K29&lt;=Assumptions!$C$42,L28=1,P28=0,O28&gt;Assumptions!$C$43),1,0)</f>
        <v>1</v>
      </c>
      <c r="M29" s="58" t="n">
        <f aca="false">O28</f>
        <v>290613.77972142</v>
      </c>
      <c r="N29" s="58" t="n">
        <f aca="false">IF(L29=1,M29*$B$25,0)</f>
        <v>968.712599071399</v>
      </c>
      <c r="O29" s="58" t="n">
        <f aca="false">IF(L29=1,M29+N29-$B$29,M29)</f>
        <v>290150.246434095</v>
      </c>
      <c r="P29" s="56" t="n">
        <f aca="false">IF(L29=1,IF($B$29&lt;=N29,1,0),0)</f>
        <v>0</v>
      </c>
      <c r="Q29" s="58" t="n">
        <f aca="false">Q28+N29</f>
        <v>21659.6559348151</v>
      </c>
    </row>
    <row r="30" customFormat="false" ht="15" hidden="false" customHeight="false" outlineLevel="0" collapsed="false">
      <c r="A30" s="7" t="s">
        <v>465</v>
      </c>
      <c r="B30" s="59" t="n">
        <f aca="false">$B$11+$B$16</f>
        <v>0.04</v>
      </c>
      <c r="C30" s="41" t="s">
        <v>466</v>
      </c>
      <c r="D30" s="42" t="s">
        <v>467</v>
      </c>
      <c r="E30" s="42"/>
      <c r="F30" s="42"/>
      <c r="G30" s="42"/>
      <c r="H30" s="42"/>
      <c r="I30" s="42"/>
      <c r="K30" s="56" t="n">
        <f aca="false">K29+1</f>
        <v>23</v>
      </c>
      <c r="L30" s="57" t="n">
        <f aca="false">IF(AND(K30&lt;=Assumptions!$C$42,L29=1,P29=0,O29&gt;Assumptions!$C$43),1,0)</f>
        <v>1</v>
      </c>
      <c r="M30" s="58" t="n">
        <f aca="false">O29</f>
        <v>290150.246434095</v>
      </c>
      <c r="N30" s="58" t="n">
        <f aca="false">IF(L30=1,M30*$B$25,0)</f>
        <v>967.167488113649</v>
      </c>
      <c r="O30" s="58" t="n">
        <f aca="false">IF(L30=1,M30+N30-$B$29,M30)</f>
        <v>289685.168035812</v>
      </c>
      <c r="P30" s="56" t="n">
        <f aca="false">IF(L30=1,IF($B$29&lt;=N30,1,0),0)</f>
        <v>0</v>
      </c>
      <c r="Q30" s="58" t="n">
        <f aca="false">Q29+N30</f>
        <v>22626.8234229287</v>
      </c>
    </row>
    <row r="31" customFormat="false" ht="15" hidden="false" customHeight="false" outlineLevel="0" collapsed="false">
      <c r="A31" s="7" t="s">
        <v>468</v>
      </c>
      <c r="B31" s="45" t="n">
        <f aca="false">$B$30/12</f>
        <v>0.00333333333333333</v>
      </c>
      <c r="C31" s="41" t="s">
        <v>407</v>
      </c>
      <c r="D31" s="42"/>
      <c r="E31" s="42"/>
      <c r="F31" s="42"/>
      <c r="G31" s="42"/>
      <c r="H31" s="42"/>
      <c r="I31" s="42"/>
      <c r="K31" s="56" t="n">
        <f aca="false">K30+1</f>
        <v>24</v>
      </c>
      <c r="L31" s="57" t="n">
        <f aca="false">IF(AND(K31&lt;=Assumptions!$C$42,L30=1,P30=0,O30&gt;Assumptions!$C$43),1,0)</f>
        <v>1</v>
      </c>
      <c r="M31" s="58" t="n">
        <f aca="false">O30</f>
        <v>289685.168035812</v>
      </c>
      <c r="N31" s="58" t="n">
        <f aca="false">IF(L31=1,M31*$B$25,0)</f>
        <v>965.61722678604</v>
      </c>
      <c r="O31" s="58" t="n">
        <f aca="false">IF(L31=1,M31+N31-$B$29,M31)</f>
        <v>289218.539376202</v>
      </c>
      <c r="P31" s="56" t="n">
        <f aca="false">IF(L31=1,IF($B$29&lt;=N31,1,0),0)</f>
        <v>0</v>
      </c>
      <c r="Q31" s="58" t="n">
        <f aca="false">Q30+N31</f>
        <v>23592.4406497148</v>
      </c>
    </row>
    <row r="32" customFormat="false" ht="15" hidden="false" customHeight="false" outlineLevel="0" collapsed="false">
      <c r="A32" s="7" t="s">
        <v>469</v>
      </c>
      <c r="B32" s="43" t="n">
        <f aca="false">IF(($B$26)=0,0,IF($B$31&lt;&gt;0,$B$10*$B$31/(1-POWER(1+$B$31,-($B$26))),$B$10/($B$26)))</f>
        <v>1432.24588639636</v>
      </c>
      <c r="C32" s="41" t="s">
        <v>257</v>
      </c>
      <c r="D32" s="42" t="s">
        <v>470</v>
      </c>
      <c r="E32" s="42"/>
      <c r="F32" s="42"/>
      <c r="G32" s="42"/>
      <c r="H32" s="42"/>
      <c r="I32" s="42"/>
      <c r="K32" s="56" t="n">
        <f aca="false">K31+1</f>
        <v>25</v>
      </c>
      <c r="L32" s="57" t="n">
        <f aca="false">IF(AND(K32&lt;=Assumptions!$C$42,L31=1,P31=0,O31&gt;Assumptions!$C$43),1,0)</f>
        <v>1</v>
      </c>
      <c r="M32" s="58" t="n">
        <f aca="false">O31</f>
        <v>289218.539376202</v>
      </c>
      <c r="N32" s="58" t="n">
        <f aca="false">IF(L32=1,M32*$B$25,0)</f>
        <v>964.061797920672</v>
      </c>
      <c r="O32" s="58" t="n">
        <f aca="false">IF(L32=1,M32+N32-$B$29,M32)</f>
        <v>288750.355287726</v>
      </c>
      <c r="P32" s="56" t="n">
        <f aca="false">IF(L32=1,IF($B$29&lt;=N32,1,0),0)</f>
        <v>0</v>
      </c>
      <c r="Q32" s="58" t="n">
        <f aca="false">Q31+N32</f>
        <v>24556.5024476354</v>
      </c>
    </row>
    <row r="33" customFormat="false" ht="15" hidden="false" customHeight="false" outlineLevel="0" collapsed="false">
      <c r="A33" s="7" t="s">
        <v>471</v>
      </c>
      <c r="B33" s="43" t="n">
        <f aca="false">IF($B$16&lt;&gt;0,$B$29+$B$32-$B$27,$B$29)</f>
        <v>1432.24588639636</v>
      </c>
      <c r="C33" s="41" t="s">
        <v>257</v>
      </c>
      <c r="D33" s="42" t="s">
        <v>472</v>
      </c>
      <c r="E33" s="42"/>
      <c r="F33" s="42"/>
      <c r="G33" s="42"/>
      <c r="H33" s="42"/>
      <c r="I33" s="42"/>
      <c r="K33" s="56" t="n">
        <f aca="false">K32+1</f>
        <v>26</v>
      </c>
      <c r="L33" s="57" t="n">
        <f aca="false">IF(AND(K33&lt;=Assumptions!$C$42,L32=1,P32=0,O32&gt;Assumptions!$C$43),1,0)</f>
        <v>1</v>
      </c>
      <c r="M33" s="58" t="n">
        <f aca="false">O32</f>
        <v>288750.355287726</v>
      </c>
      <c r="N33" s="58" t="n">
        <f aca="false">IF(L33=1,M33*$B$25,0)</f>
        <v>962.50118429242</v>
      </c>
      <c r="O33" s="58" t="n">
        <f aca="false">IF(L33=1,M33+N33-$B$29,M33)</f>
        <v>288280.610585622</v>
      </c>
      <c r="P33" s="56" t="n">
        <f aca="false">IF(L33=1,IF($B$29&lt;=N33,1,0),0)</f>
        <v>0</v>
      </c>
      <c r="Q33" s="58" t="n">
        <f aca="false">Q32+N33</f>
        <v>25519.0036319279</v>
      </c>
    </row>
    <row r="34" customFormat="false" ht="15" hidden="false" customHeight="false" outlineLevel="0" collapsed="false">
      <c r="A34" s="7" t="s">
        <v>473</v>
      </c>
      <c r="B34" s="46" t="n">
        <f aca="false">MAX($P$8:$P$1207)</f>
        <v>0</v>
      </c>
      <c r="C34" s="41" t="s">
        <v>197</v>
      </c>
      <c r="D34" s="42" t="s">
        <v>474</v>
      </c>
      <c r="E34" s="42"/>
      <c r="F34" s="42"/>
      <c r="G34" s="42"/>
      <c r="H34" s="42"/>
      <c r="I34" s="42"/>
      <c r="K34" s="56" t="n">
        <f aca="false">K33+1</f>
        <v>27</v>
      </c>
      <c r="L34" s="57" t="n">
        <f aca="false">IF(AND(K34&lt;=Assumptions!$C$42,L33=1,P33=0,O33&gt;Assumptions!$C$43),1,0)</f>
        <v>1</v>
      </c>
      <c r="M34" s="58" t="n">
        <f aca="false">O33</f>
        <v>288280.610585622</v>
      </c>
      <c r="N34" s="58" t="n">
        <f aca="false">IF(L34=1,M34*$B$25,0)</f>
        <v>960.93536861874</v>
      </c>
      <c r="O34" s="58" t="n">
        <f aca="false">IF(L34=1,M34+N34-$B$29,M34)</f>
        <v>287809.300067844</v>
      </c>
      <c r="P34" s="56" t="n">
        <f aca="false">IF(L34=1,IF($B$29&lt;=N34,1,0),0)</f>
        <v>0</v>
      </c>
      <c r="Q34" s="58" t="n">
        <f aca="false">Q33+N34</f>
        <v>26479.9390005466</v>
      </c>
    </row>
    <row r="35" customFormat="false" ht="15" hidden="false" customHeight="false" outlineLevel="0" collapsed="false">
      <c r="A35" s="7" t="s">
        <v>475</v>
      </c>
      <c r="B35" s="46" t="n">
        <f aca="false">SUM($L$8:$L$1207)</f>
        <v>360</v>
      </c>
      <c r="C35" s="41" t="s">
        <v>240</v>
      </c>
      <c r="D35" s="42" t="s">
        <v>476</v>
      </c>
      <c r="E35" s="42"/>
      <c r="F35" s="42"/>
      <c r="G35" s="42"/>
      <c r="H35" s="42"/>
      <c r="I35" s="42"/>
      <c r="K35" s="56" t="n">
        <f aca="false">K34+1</f>
        <v>28</v>
      </c>
      <c r="L35" s="57" t="n">
        <f aca="false">IF(AND(K35&lt;=Assumptions!$C$42,L34=1,P34=0,O34&gt;Assumptions!$C$43),1,0)</f>
        <v>1</v>
      </c>
      <c r="M35" s="58" t="n">
        <f aca="false">O34</f>
        <v>287809.300067844</v>
      </c>
      <c r="N35" s="58" t="n">
        <f aca="false">IF(L35=1,M35*$B$25,0)</f>
        <v>959.364333559481</v>
      </c>
      <c r="O35" s="58" t="n">
        <f aca="false">IF(L35=1,M35+N35-$B$29,M35)</f>
        <v>287336.418515007</v>
      </c>
      <c r="P35" s="56" t="n">
        <f aca="false">IF(L35=1,IF($B$29&lt;=N35,1,0),0)</f>
        <v>0</v>
      </c>
      <c r="Q35" s="58" t="n">
        <f aca="false">Q34+N35</f>
        <v>27439.3033341061</v>
      </c>
    </row>
    <row r="36" customFormat="false" ht="15" hidden="false" customHeight="false" outlineLevel="0" collapsed="false">
      <c r="A36" s="7" t="s">
        <v>477</v>
      </c>
      <c r="B36" s="43" t="n">
        <f aca="false">$Q$1207</f>
        <v>215608.5191027</v>
      </c>
      <c r="C36" s="41" t="s">
        <v>257</v>
      </c>
      <c r="D36" s="42" t="s">
        <v>478</v>
      </c>
      <c r="E36" s="42"/>
      <c r="F36" s="42"/>
      <c r="G36" s="42"/>
      <c r="H36" s="42"/>
      <c r="I36" s="42"/>
      <c r="K36" s="56" t="n">
        <f aca="false">K35+1</f>
        <v>29</v>
      </c>
      <c r="L36" s="57" t="n">
        <f aca="false">IF(AND(K36&lt;=Assumptions!$C$42,L35=1,P35=0,O35&gt;Assumptions!$C$43),1,0)</f>
        <v>1</v>
      </c>
      <c r="M36" s="58" t="n">
        <f aca="false">O35</f>
        <v>287336.418515007</v>
      </c>
      <c r="N36" s="58" t="n">
        <f aca="false">IF(L36=1,M36*$B$25,0)</f>
        <v>957.788061716692</v>
      </c>
      <c r="O36" s="58" t="n">
        <f aca="false">IF(L36=1,M36+N36-$B$29,M36)</f>
        <v>286861.960690328</v>
      </c>
      <c r="P36" s="56" t="n">
        <f aca="false">IF(L36=1,IF($B$29&lt;=N36,1,0),0)</f>
        <v>0</v>
      </c>
      <c r="Q36" s="58" t="n">
        <f aca="false">Q35+N36</f>
        <v>28397.0913958228</v>
      </c>
    </row>
    <row r="37" customFormat="false" ht="15" hidden="false" customHeight="false" outlineLevel="0" collapsed="false">
      <c r="A37" s="7" t="s">
        <v>479</v>
      </c>
      <c r="B37" s="60" t="n">
        <f aca="false">IF(AND($B$28&gt;0,ABS($B$28-$B$27)&gt;=Assumptions!$C$45),1,0)</f>
        <v>0</v>
      </c>
      <c r="C37" s="41" t="s">
        <v>197</v>
      </c>
      <c r="D37" s="42" t="s">
        <v>480</v>
      </c>
      <c r="E37" s="42"/>
      <c r="F37" s="42"/>
      <c r="G37" s="42"/>
      <c r="H37" s="42"/>
      <c r="I37" s="42"/>
      <c r="K37" s="56" t="n">
        <f aca="false">K36+1</f>
        <v>30</v>
      </c>
      <c r="L37" s="57" t="n">
        <f aca="false">IF(AND(K37&lt;=Assumptions!$C$42,L36=1,P36=0,O36&gt;Assumptions!$C$43),1,0)</f>
        <v>1</v>
      </c>
      <c r="M37" s="58" t="n">
        <f aca="false">O36</f>
        <v>286861.960690328</v>
      </c>
      <c r="N37" s="58" t="n">
        <f aca="false">IF(L37=1,M37*$B$25,0)</f>
        <v>956.206535634426</v>
      </c>
      <c r="O37" s="58" t="n">
        <f aca="false">IF(L37=1,M37+N37-$B$29,M37)</f>
        <v>286385.921339566</v>
      </c>
      <c r="P37" s="56" t="n">
        <f aca="false">IF(L37=1,IF($B$29&lt;=N37,1,0),0)</f>
        <v>0</v>
      </c>
      <c r="Q37" s="58" t="n">
        <f aca="false">Q36+N37</f>
        <v>29353.2979314572</v>
      </c>
    </row>
    <row r="38" customFormat="false" ht="15" hidden="false" customHeight="false" outlineLevel="0" collapsed="false">
      <c r="K38" s="56" t="n">
        <f aca="false">K37+1</f>
        <v>31</v>
      </c>
      <c r="L38" s="57" t="n">
        <f aca="false">IF(AND(K38&lt;=Assumptions!$C$42,L37=1,P37=0,O37&gt;Assumptions!$C$43),1,0)</f>
        <v>1</v>
      </c>
      <c r="M38" s="58" t="n">
        <f aca="false">O37</f>
        <v>286385.921339566</v>
      </c>
      <c r="N38" s="58" t="n">
        <f aca="false">IF(L38=1,M38*$B$25,0)</f>
        <v>954.619737798553</v>
      </c>
      <c r="O38" s="58" t="n">
        <f aca="false">IF(L38=1,M38+N38-$B$29,M38)</f>
        <v>285908.295190968</v>
      </c>
      <c r="P38" s="56" t="n">
        <f aca="false">IF(L38=1,IF($B$29&lt;=N38,1,0),0)</f>
        <v>0</v>
      </c>
      <c r="Q38" s="58" t="n">
        <f aca="false">Q37+N38</f>
        <v>30307.9176692558</v>
      </c>
    </row>
    <row r="39" customFormat="false" ht="15" hidden="false" customHeight="false" outlineLevel="0" collapsed="false">
      <c r="A39" s="15" t="s">
        <v>415</v>
      </c>
      <c r="B39" s="16"/>
      <c r="C39" s="16"/>
      <c r="D39" s="16"/>
      <c r="E39" s="16"/>
      <c r="F39" s="16"/>
      <c r="G39" s="16"/>
      <c r="H39" s="16"/>
      <c r="I39" s="16"/>
      <c r="K39" s="56" t="n">
        <f aca="false">K38+1</f>
        <v>32</v>
      </c>
      <c r="L39" s="57" t="n">
        <f aca="false">IF(AND(K39&lt;=Assumptions!$C$42,L38=1,P38=0,O38&gt;Assumptions!$C$43),1,0)</f>
        <v>1</v>
      </c>
      <c r="M39" s="58" t="n">
        <f aca="false">O38</f>
        <v>285908.295190968</v>
      </c>
      <c r="N39" s="58" t="n">
        <f aca="false">IF(L39=1,M39*$B$25,0)</f>
        <v>953.02765063656</v>
      </c>
      <c r="O39" s="58" t="n">
        <f aca="false">IF(L39=1,M39+N39-$B$29,M39)</f>
        <v>285429.076955208</v>
      </c>
      <c r="P39" s="56" t="n">
        <f aca="false">IF(L39=1,IF($B$29&lt;=N39,1,0),0)</f>
        <v>0</v>
      </c>
      <c r="Q39" s="58" t="n">
        <f aca="false">Q38+N39</f>
        <v>31260.9453198923</v>
      </c>
    </row>
    <row r="40" customFormat="false" ht="15" hidden="false" customHeight="false" outlineLevel="0" collapsed="false">
      <c r="A40" s="17" t="s">
        <v>416</v>
      </c>
      <c r="B40" s="17" t="s">
        <v>192</v>
      </c>
      <c r="C40" s="17" t="s">
        <v>417</v>
      </c>
      <c r="D40" s="17" t="s">
        <v>418</v>
      </c>
      <c r="K40" s="56" t="n">
        <f aca="false">K39+1</f>
        <v>33</v>
      </c>
      <c r="L40" s="57" t="n">
        <f aca="false">IF(AND(K40&lt;=Assumptions!$C$42,L39=1,P39=0,O39&gt;Assumptions!$C$43),1,0)</f>
        <v>1</v>
      </c>
      <c r="M40" s="58" t="n">
        <f aca="false">O39</f>
        <v>285429.076955208</v>
      </c>
      <c r="N40" s="58" t="n">
        <f aca="false">IF(L40=1,M40*$B$25,0)</f>
        <v>951.430256517361</v>
      </c>
      <c r="O40" s="58" t="n">
        <f aca="false">IF(L40=1,M40+N40-$B$29,M40)</f>
        <v>284948.261325329</v>
      </c>
      <c r="P40" s="56" t="n">
        <f aca="false">IF(L40=1,IF($B$29&lt;=N40,1,0),0)</f>
        <v>0</v>
      </c>
      <c r="Q40" s="58" t="n">
        <f aca="false">Q39+N40</f>
        <v>32212.3755764097</v>
      </c>
    </row>
    <row r="41" customFormat="false" ht="15" hidden="false" customHeight="false" outlineLevel="0" collapsed="false">
      <c r="A41" s="4" t="s">
        <v>419</v>
      </c>
      <c r="B41" s="48"/>
      <c r="C41" s="49" t="str">
        <f aca="false">IF($B$16&lt;&gt;0,"If your rate changed to "&amp;FIXED($B$30*100,2,TRUE())&amp;"%",IF($B$28&gt;0,"Your monthly repayment","Monthly repayment"))</f>
        <v>Monthly repayment</v>
      </c>
      <c r="D41" s="42" t="s">
        <v>420</v>
      </c>
      <c r="E41" s="42"/>
      <c r="F41" s="42"/>
      <c r="G41" s="42"/>
      <c r="H41" s="42"/>
      <c r="I41" s="42"/>
      <c r="K41" s="56" t="n">
        <f aca="false">K40+1</f>
        <v>34</v>
      </c>
      <c r="L41" s="57" t="n">
        <f aca="false">IF(AND(K41&lt;=Assumptions!$C$42,L40=1,P40=0,O40&gt;Assumptions!$C$43),1,0)</f>
        <v>1</v>
      </c>
      <c r="M41" s="58" t="n">
        <f aca="false">O40</f>
        <v>284948.261325329</v>
      </c>
      <c r="N41" s="58" t="n">
        <f aca="false">IF(L41=1,M41*$B$25,0)</f>
        <v>949.827537751097</v>
      </c>
      <c r="O41" s="58" t="n">
        <f aca="false">IF(L41=1,M41+N41-$B$29,M41)</f>
        <v>284465.842976684</v>
      </c>
      <c r="P41" s="56" t="n">
        <f aca="false">IF(L41=1,IF($B$29&lt;=N41,1,0),0)</f>
        <v>0</v>
      </c>
      <c r="Q41" s="58" t="n">
        <f aca="false">Q40+N41</f>
        <v>33162.2031141608</v>
      </c>
    </row>
    <row r="42" customFormat="false" ht="15" hidden="false" customHeight="false" outlineLevel="0" collapsed="false">
      <c r="A42" s="4" t="s">
        <v>481</v>
      </c>
      <c r="B42" s="50" t="n">
        <f aca="false">IF($B$16&lt;&gt;0,$B$33,$B$29)</f>
        <v>1432.24588639636</v>
      </c>
      <c r="C42" s="49" t="str">
        <f aca="false">IF((IF($B$16&lt;&gt;0,$B$33,$B$29))&lt;0,"−€","€")&amp;FIXED(ROUND(ABS(IF($B$16&lt;&gt;0,$B$33,$B$29)),0),0)</f>
        <v>€1,432</v>
      </c>
      <c r="D42" s="42" t="s">
        <v>422</v>
      </c>
      <c r="E42" s="42"/>
      <c r="F42" s="42"/>
      <c r="G42" s="42"/>
      <c r="H42" s="42"/>
      <c r="I42" s="42"/>
      <c r="K42" s="56" t="n">
        <f aca="false">K41+1</f>
        <v>35</v>
      </c>
      <c r="L42" s="57" t="n">
        <f aca="false">IF(AND(K42&lt;=Assumptions!$C$42,L41=1,P41=0,O41&gt;Assumptions!$C$43),1,0)</f>
        <v>1</v>
      </c>
      <c r="M42" s="58" t="n">
        <f aca="false">O41</f>
        <v>284465.842976684</v>
      </c>
      <c r="N42" s="58" t="n">
        <f aca="false">IF(L42=1,M42*$B$25,0)</f>
        <v>948.219476588946</v>
      </c>
      <c r="O42" s="58" t="n">
        <f aca="false">IF(L42=1,M42+N42-$B$29,M42)</f>
        <v>283981.816566876</v>
      </c>
      <c r="P42" s="56" t="n">
        <f aca="false">IF(L42=1,IF($B$29&lt;=N42,1,0),0)</f>
        <v>0</v>
      </c>
      <c r="Q42" s="58" t="n">
        <f aca="false">Q41+N42</f>
        <v>34110.4225907497</v>
      </c>
    </row>
    <row r="43" customFormat="false" ht="15" hidden="false" customHeight="false" outlineLevel="0" collapsed="false">
      <c r="A43" s="4" t="s">
        <v>482</v>
      </c>
      <c r="B43" s="50" t="str">
        <f aca="false">IF($B$16&lt;&gt;0,ABS($B$33-$B$29),"")</f>
        <v/>
      </c>
      <c r="C43" s="49" t="str">
        <f aca="false">IF($B$16&lt;&gt;0,IF((ABS($B$33-$B$29))&lt;0,"−€","€")&amp;FIXED(ROUND(ABS(ABS($B$33-$B$29)),0),0)&amp;IF($B$33&gt;=$B$29," more"," less"),"")</f>
        <v/>
      </c>
      <c r="D43" s="42" t="s">
        <v>483</v>
      </c>
      <c r="E43" s="42"/>
      <c r="F43" s="42"/>
      <c r="G43" s="42"/>
      <c r="H43" s="42"/>
      <c r="I43" s="42"/>
      <c r="K43" s="56" t="n">
        <f aca="false">K42+1</f>
        <v>36</v>
      </c>
      <c r="L43" s="57" t="n">
        <f aca="false">IF(AND(K43&lt;=Assumptions!$C$42,L42=1,P42=0,O42&gt;Assumptions!$C$43),1,0)</f>
        <v>1</v>
      </c>
      <c r="M43" s="58" t="n">
        <f aca="false">O42</f>
        <v>283981.816566876</v>
      </c>
      <c r="N43" s="58" t="n">
        <f aca="false">IF(L43=1,M43*$B$25,0)</f>
        <v>946.606055222921</v>
      </c>
      <c r="O43" s="58" t="n">
        <f aca="false">IF(L43=1,M43+N43-$B$29,M43)</f>
        <v>283496.176735703</v>
      </c>
      <c r="P43" s="56" t="n">
        <f aca="false">IF(L43=1,IF($B$29&lt;=N43,1,0),0)</f>
        <v>0</v>
      </c>
      <c r="Q43" s="58" t="n">
        <f aca="false">Q42+N43</f>
        <v>35057.0286459726</v>
      </c>
    </row>
    <row r="44" customFormat="false" ht="15" hidden="false" customHeight="false" outlineLevel="0" collapsed="false">
      <c r="A44" s="4" t="s">
        <v>484</v>
      </c>
      <c r="B44" s="50" t="str">
        <f aca="false">IF(AND($B$16=0,$B$37=1),$B$27,"")</f>
        <v/>
      </c>
      <c r="C44" s="49" t="str">
        <f aca="false">IF(AND($B$16=0,$B$37=1),IF(($B$27)&lt;0,"−€","€")&amp;FIXED(ROUND(ABS($B$27),0),0),"")</f>
        <v/>
      </c>
      <c r="D44" s="42" t="s">
        <v>485</v>
      </c>
      <c r="E44" s="42"/>
      <c r="F44" s="42"/>
      <c r="G44" s="42"/>
      <c r="H44" s="42"/>
      <c r="I44" s="42"/>
      <c r="K44" s="56" t="n">
        <f aca="false">K43+1</f>
        <v>37</v>
      </c>
      <c r="L44" s="57" t="n">
        <f aca="false">IF(AND(K44&lt;=Assumptions!$C$42,L43=1,P43=0,O43&gt;Assumptions!$C$43),1,0)</f>
        <v>1</v>
      </c>
      <c r="M44" s="58" t="n">
        <f aca="false">O43</f>
        <v>283496.176735703</v>
      </c>
      <c r="N44" s="58" t="n">
        <f aca="false">IF(L44=1,M44*$B$25,0)</f>
        <v>944.987255785677</v>
      </c>
      <c r="O44" s="58" t="n">
        <f aca="false">IF(L44=1,M44+N44-$B$29,M44)</f>
        <v>283008.918105092</v>
      </c>
      <c r="P44" s="56" t="n">
        <f aca="false">IF(L44=1,IF($B$29&lt;=N44,1,0),0)</f>
        <v>0</v>
      </c>
      <c r="Q44" s="58" t="n">
        <f aca="false">Q43+N44</f>
        <v>36002.0159017583</v>
      </c>
    </row>
    <row r="45" customFormat="false" ht="15" hidden="false" customHeight="false" outlineLevel="0" collapsed="false">
      <c r="A45" s="4" t="s">
        <v>463</v>
      </c>
      <c r="B45" s="50" t="str">
        <f aca="false">IF($B$16&lt;&gt;0,$B$29,"")</f>
        <v/>
      </c>
      <c r="C45" s="49" t="str">
        <f aca="false">IF($B$16&lt;&gt;0,IF(($B$29)&lt;0,"−€","€")&amp;FIXED(ROUND(ABS($B$29),0),0),"")</f>
        <v/>
      </c>
      <c r="D45" s="42" t="s">
        <v>486</v>
      </c>
      <c r="E45" s="42"/>
      <c r="F45" s="42"/>
      <c r="G45" s="42"/>
      <c r="H45" s="42"/>
      <c r="I45" s="42"/>
      <c r="K45" s="56" t="n">
        <f aca="false">K44+1</f>
        <v>38</v>
      </c>
      <c r="L45" s="57" t="n">
        <f aca="false">IF(AND(K45&lt;=Assumptions!$C$42,L44=1,P44=0,O44&gt;Assumptions!$C$43),1,0)</f>
        <v>1</v>
      </c>
      <c r="M45" s="58" t="n">
        <f aca="false">O44</f>
        <v>283008.918105092</v>
      </c>
      <c r="N45" s="58" t="n">
        <f aca="false">IF(L45=1,M45*$B$25,0)</f>
        <v>943.363060350308</v>
      </c>
      <c r="O45" s="58" t="n">
        <f aca="false">IF(L45=1,M45+N45-$B$29,M45)</f>
        <v>282520.035279046</v>
      </c>
      <c r="P45" s="56" t="n">
        <f aca="false">IF(L45=1,IF($B$29&lt;=N45,1,0),0)</f>
        <v>0</v>
      </c>
      <c r="Q45" s="58" t="n">
        <f aca="false">Q44+N45</f>
        <v>36945.3789621086</v>
      </c>
    </row>
    <row r="46" customFormat="false" ht="15" hidden="false" customHeight="false" outlineLevel="0" collapsed="false">
      <c r="A46" s="4" t="s">
        <v>487</v>
      </c>
      <c r="B46" s="50" t="str">
        <f aca="false">IF($B$16&lt;&gt;0,($B$33-$B$29)*12,"")</f>
        <v/>
      </c>
      <c r="C46" s="49" t="str">
        <f aca="false">IF($B$16&lt;&gt;0,IF((($B$33-$B$29)*12)&lt;0,"−€","€")&amp;FIXED(ROUND(ABS(($B$33-$B$29)*12),0),0),"")</f>
        <v/>
      </c>
      <c r="D46" s="42" t="s">
        <v>486</v>
      </c>
      <c r="E46" s="42"/>
      <c r="F46" s="42"/>
      <c r="G46" s="42"/>
      <c r="H46" s="42"/>
      <c r="I46" s="42"/>
      <c r="K46" s="56" t="n">
        <f aca="false">K45+1</f>
        <v>39</v>
      </c>
      <c r="L46" s="57" t="n">
        <f aca="false">IF(AND(K46&lt;=Assumptions!$C$42,L45=1,P45=0,O45&gt;Assumptions!$C$43),1,0)</f>
        <v>1</v>
      </c>
      <c r="M46" s="58" t="n">
        <f aca="false">O45</f>
        <v>282520.035279046</v>
      </c>
      <c r="N46" s="58" t="n">
        <f aca="false">IF(L46=1,M46*$B$25,0)</f>
        <v>941.733450930154</v>
      </c>
      <c r="O46" s="58" t="n">
        <f aca="false">IF(L46=1,M46+N46-$B$29,M46)</f>
        <v>282029.52284358</v>
      </c>
      <c r="P46" s="56" t="n">
        <f aca="false">IF(L46=1,IF($B$29&lt;=N46,1,0),0)</f>
        <v>0</v>
      </c>
      <c r="Q46" s="58" t="n">
        <f aca="false">Q45+N46</f>
        <v>37887.1124130388</v>
      </c>
    </row>
    <row r="47" customFormat="false" ht="15" hidden="false" customHeight="false" outlineLevel="0" collapsed="false">
      <c r="A47" s="4" t="s">
        <v>488</v>
      </c>
      <c r="B47" s="48" t="n">
        <f aca="false">IF($B$16=0,IF($B$34=1,"Never",$B$35),"")</f>
        <v>360</v>
      </c>
      <c r="C47" s="49" t="str">
        <f aca="false">IF($B$16=0,IF($B$34=1,"Not at this repayment",IF(INT($B$35/12)&gt;0,INT($B$35/12)&amp;" yr"&amp;IF(INT($B$35/12)&gt;1,"s","")&amp;IF(ROUND(MOD($B$35,12),0)&lt;&gt;0," "&amp;ROUND(MOD($B$35,12),0)&amp;" mo",""),ROUND(MOD($B$35,12),0)&amp;" months")),"")</f>
        <v>30 yrs</v>
      </c>
      <c r="D47" s="42" t="s">
        <v>489</v>
      </c>
      <c r="E47" s="42"/>
      <c r="F47" s="42"/>
      <c r="G47" s="42"/>
      <c r="H47" s="42"/>
      <c r="I47" s="42"/>
      <c r="K47" s="56" t="n">
        <f aca="false">K46+1</f>
        <v>40</v>
      </c>
      <c r="L47" s="57" t="n">
        <f aca="false">IF(AND(K47&lt;=Assumptions!$C$42,L46=1,P46=0,O46&gt;Assumptions!$C$43),1,0)</f>
        <v>1</v>
      </c>
      <c r="M47" s="58" t="n">
        <f aca="false">O46</f>
        <v>282029.52284358</v>
      </c>
      <c r="N47" s="58" t="n">
        <f aca="false">IF(L47=1,M47*$B$25,0)</f>
        <v>940.0984094786</v>
      </c>
      <c r="O47" s="58" t="n">
        <f aca="false">IF(L47=1,M47+N47-$B$29,M47)</f>
        <v>281537.375366662</v>
      </c>
      <c r="P47" s="56" t="n">
        <f aca="false">IF(L47=1,IF($B$29&lt;=N47,1,0),0)</f>
        <v>0</v>
      </c>
      <c r="Q47" s="58" t="n">
        <f aca="false">Q46+N47</f>
        <v>38827.2108225174</v>
      </c>
    </row>
    <row r="48" customFormat="false" ht="15" hidden="false" customHeight="false" outlineLevel="0" collapsed="false">
      <c r="A48" s="4" t="s">
        <v>477</v>
      </c>
      <c r="B48" s="50" t="n">
        <f aca="false">IF(AND($B$16=0,$B$34=0),$B$36,"")</f>
        <v>215608.5191027</v>
      </c>
      <c r="C48" s="49" t="str">
        <f aca="false">IF($B$16=0,IF($B$34=1,"—",IF(($B$36)&lt;0,"−€","€")&amp;FIXED(ROUND(ABS($B$36),0),0)),"")</f>
        <v>€215,609</v>
      </c>
      <c r="D48" s="42" t="s">
        <v>489</v>
      </c>
      <c r="E48" s="42"/>
      <c r="F48" s="42"/>
      <c r="G48" s="42"/>
      <c r="H48" s="42"/>
      <c r="I48" s="42"/>
      <c r="K48" s="56" t="n">
        <f aca="false">K47+1</f>
        <v>41</v>
      </c>
      <c r="L48" s="57" t="n">
        <f aca="false">IF(AND(K48&lt;=Assumptions!$C$42,L47=1,P47=0,O47&gt;Assumptions!$C$43),1,0)</f>
        <v>1</v>
      </c>
      <c r="M48" s="58" t="n">
        <f aca="false">O47</f>
        <v>281537.375366662</v>
      </c>
      <c r="N48" s="58" t="n">
        <f aca="false">IF(L48=1,M48*$B$25,0)</f>
        <v>938.457917888874</v>
      </c>
      <c r="O48" s="58" t="n">
        <f aca="false">IF(L48=1,M48+N48-$B$29,M48)</f>
        <v>281043.587398155</v>
      </c>
      <c r="P48" s="56" t="n">
        <f aca="false">IF(L48=1,IF($B$29&lt;=N48,1,0),0)</f>
        <v>0</v>
      </c>
      <c r="Q48" s="58" t="n">
        <f aca="false">Q47+N48</f>
        <v>39765.6687404063</v>
      </c>
    </row>
    <row r="49" customFormat="false" ht="15" hidden="false" customHeight="false" outlineLevel="0" collapsed="false">
      <c r="A49" s="4" t="s">
        <v>490</v>
      </c>
      <c r="B49" s="50" t="n">
        <f aca="false">IF(AND($B$16=0,$B$34=0),$B$10+$B$36,"")</f>
        <v>515608.5191027</v>
      </c>
      <c r="C49" s="49" t="str">
        <f aca="false">IF($B$16=0,IF($B$34=1,"—",IF(($B$10+$B$36)&lt;0,"−€","€")&amp;FIXED(ROUND(ABS($B$10+$B$36),0),0)),"")</f>
        <v>€515,609</v>
      </c>
      <c r="D49" s="42" t="s">
        <v>489</v>
      </c>
      <c r="E49" s="42"/>
      <c r="F49" s="42"/>
      <c r="G49" s="42"/>
      <c r="H49" s="42"/>
      <c r="I49" s="42"/>
      <c r="K49" s="56" t="n">
        <f aca="false">K48+1</f>
        <v>42</v>
      </c>
      <c r="L49" s="57" t="n">
        <f aca="false">IF(AND(K49&lt;=Assumptions!$C$42,L48=1,P48=0,O48&gt;Assumptions!$C$43),1,0)</f>
        <v>1</v>
      </c>
      <c r="M49" s="58" t="n">
        <f aca="false">O48</f>
        <v>281043.587398155</v>
      </c>
      <c r="N49" s="58" t="n">
        <f aca="false">IF(L49=1,M49*$B$25,0)</f>
        <v>936.811957993849</v>
      </c>
      <c r="O49" s="58" t="n">
        <f aca="false">IF(L49=1,M49+N49-$B$29,M49)</f>
        <v>280548.153469752</v>
      </c>
      <c r="P49" s="56" t="n">
        <f aca="false">IF(L49=1,IF($B$29&lt;=N49,1,0),0)</f>
        <v>0</v>
      </c>
      <c r="Q49" s="58" t="n">
        <f aca="false">Q48+N49</f>
        <v>40702.4806984001</v>
      </c>
    </row>
    <row r="50" customFormat="false" ht="15" hidden="false" customHeight="false" outlineLevel="0" collapsed="false">
      <c r="A50" s="4" t="s">
        <v>491</v>
      </c>
      <c r="B50" s="50" t="n">
        <f aca="false">$B$10</f>
        <v>300000</v>
      </c>
      <c r="C50" s="49" t="str">
        <f aca="false">$B$50&amp;""</f>
        <v>300000</v>
      </c>
      <c r="D50" s="42" t="s">
        <v>435</v>
      </c>
      <c r="E50" s="42"/>
      <c r="F50" s="42"/>
      <c r="G50" s="42"/>
      <c r="H50" s="42"/>
      <c r="I50" s="42"/>
      <c r="K50" s="56" t="n">
        <f aca="false">K49+1</f>
        <v>43</v>
      </c>
      <c r="L50" s="57" t="n">
        <f aca="false">IF(AND(K50&lt;=Assumptions!$C$42,L49=1,P49=0,O49&gt;Assumptions!$C$43),1,0)</f>
        <v>1</v>
      </c>
      <c r="M50" s="58" t="n">
        <f aca="false">O49</f>
        <v>280548.153469752</v>
      </c>
      <c r="N50" s="58" t="n">
        <f aca="false">IF(L50=1,M50*$B$25,0)</f>
        <v>935.160511565841</v>
      </c>
      <c r="O50" s="58" t="n">
        <f aca="false">IF(L50=1,M50+N50-$B$29,M50)</f>
        <v>280051.068094922</v>
      </c>
      <c r="P50" s="56" t="n">
        <f aca="false">IF(L50=1,IF($B$29&lt;=N50,1,0),0)</f>
        <v>0</v>
      </c>
      <c r="Q50" s="58" t="n">
        <f aca="false">Q49+N50</f>
        <v>41637.6412099659</v>
      </c>
    </row>
    <row r="51" customFormat="false" ht="15" hidden="false" customHeight="false" outlineLevel="0" collapsed="false">
      <c r="A51" s="4" t="s">
        <v>434</v>
      </c>
      <c r="B51" s="53" t="n">
        <f aca="false">Assumptions!$C$71</f>
        <v>3</v>
      </c>
      <c r="C51" s="49" t="str">
        <f aca="false">$B$51&amp;""</f>
        <v>3</v>
      </c>
      <c r="D51" s="42" t="s">
        <v>435</v>
      </c>
      <c r="E51" s="42"/>
      <c r="F51" s="42"/>
      <c r="G51" s="42"/>
      <c r="H51" s="42"/>
      <c r="I51" s="42"/>
      <c r="K51" s="56" t="n">
        <f aca="false">K50+1</f>
        <v>44</v>
      </c>
      <c r="L51" s="57" t="n">
        <f aca="false">IF(AND(K51&lt;=Assumptions!$C$42,L50=1,P50=0,O50&gt;Assumptions!$C$43),1,0)</f>
        <v>1</v>
      </c>
      <c r="M51" s="58" t="n">
        <f aca="false">O50</f>
        <v>280051.068094922</v>
      </c>
      <c r="N51" s="58" t="n">
        <f aca="false">IF(L51=1,M51*$B$25,0)</f>
        <v>933.503560316405</v>
      </c>
      <c r="O51" s="58" t="n">
        <f aca="false">IF(L51=1,M51+N51-$B$29,M51)</f>
        <v>279552.325768842</v>
      </c>
      <c r="P51" s="56" t="n">
        <f aca="false">IF(L51=1,IF($B$29&lt;=N51,1,0),0)</f>
        <v>0</v>
      </c>
      <c r="Q51" s="58" t="n">
        <f aca="false">Q50+N51</f>
        <v>42571.1447702823</v>
      </c>
    </row>
    <row r="52" customFormat="false" ht="15" hidden="false" customHeight="false" outlineLevel="0" collapsed="false">
      <c r="K52" s="56" t="n">
        <f aca="false">K51+1</f>
        <v>45</v>
      </c>
      <c r="L52" s="57" t="n">
        <f aca="false">IF(AND(K52&lt;=Assumptions!$C$42,L51=1,P51=0,O51&gt;Assumptions!$C$43),1,0)</f>
        <v>1</v>
      </c>
      <c r="M52" s="58" t="n">
        <f aca="false">O51</f>
        <v>279552.325768842</v>
      </c>
      <c r="N52" s="58" t="n">
        <f aca="false">IF(L52=1,M52*$B$25,0)</f>
        <v>931.841085896139</v>
      </c>
      <c r="O52" s="58" t="n">
        <f aca="false">IF(L52=1,M52+N52-$B$29,M52)</f>
        <v>279051.920968341</v>
      </c>
      <c r="P52" s="56" t="n">
        <f aca="false">IF(L52=1,IF($B$29&lt;=N52,1,0),0)</f>
        <v>0</v>
      </c>
      <c r="Q52" s="58" t="n">
        <f aca="false">Q51+N52</f>
        <v>43502.9858561785</v>
      </c>
    </row>
    <row r="53" customFormat="false" ht="15" hidden="false" customHeight="false" outlineLevel="0" collapsed="false">
      <c r="K53" s="56" t="n">
        <f aca="false">K52+1</f>
        <v>46</v>
      </c>
      <c r="L53" s="57" t="n">
        <f aca="false">IF(AND(K53&lt;=Assumptions!$C$42,L52=1,P52=0,O52&gt;Assumptions!$C$43),1,0)</f>
        <v>1</v>
      </c>
      <c r="M53" s="58" t="n">
        <f aca="false">O52</f>
        <v>279051.920968341</v>
      </c>
      <c r="N53" s="58" t="n">
        <f aca="false">IF(L53=1,M53*$B$25,0)</f>
        <v>930.173069894471</v>
      </c>
      <c r="O53" s="58" t="n">
        <f aca="false">IF(L53=1,M53+N53-$B$29,M53)</f>
        <v>278549.848151839</v>
      </c>
      <c r="P53" s="56" t="n">
        <f aca="false">IF(L53=1,IF($B$29&lt;=N53,1,0),0)</f>
        <v>0</v>
      </c>
      <c r="Q53" s="58" t="n">
        <f aca="false">Q52+N53</f>
        <v>44433.158926073</v>
      </c>
    </row>
    <row r="54" customFormat="false" ht="15" hidden="false" customHeight="false" outlineLevel="0" collapsed="false">
      <c r="K54" s="56" t="n">
        <f aca="false">K53+1</f>
        <v>47</v>
      </c>
      <c r="L54" s="57" t="n">
        <f aca="false">IF(AND(K54&lt;=Assumptions!$C$42,L53=1,P53=0,O53&gt;Assumptions!$C$43),1,0)</f>
        <v>1</v>
      </c>
      <c r="M54" s="58" t="n">
        <f aca="false">O53</f>
        <v>278549.848151839</v>
      </c>
      <c r="N54" s="58" t="n">
        <f aca="false">IF(L54=1,M54*$B$25,0)</f>
        <v>928.499493839465</v>
      </c>
      <c r="O54" s="58" t="n">
        <f aca="false">IF(L54=1,M54+N54-$B$29,M54)</f>
        <v>278046.101759283</v>
      </c>
      <c r="P54" s="56" t="n">
        <f aca="false">IF(L54=1,IF($B$29&lt;=N54,1,0),0)</f>
        <v>0</v>
      </c>
      <c r="Q54" s="58" t="n">
        <f aca="false">Q53+N54</f>
        <v>45361.6584199124</v>
      </c>
    </row>
    <row r="55" customFormat="false" ht="15" hidden="false" customHeight="false" outlineLevel="0" collapsed="false">
      <c r="K55" s="56" t="n">
        <f aca="false">K54+1</f>
        <v>48</v>
      </c>
      <c r="L55" s="57" t="n">
        <f aca="false">IF(AND(K55&lt;=Assumptions!$C$42,L54=1,P54=0,O54&gt;Assumptions!$C$43),1,0)</f>
        <v>1</v>
      </c>
      <c r="M55" s="58" t="n">
        <f aca="false">O54</f>
        <v>278046.101759283</v>
      </c>
      <c r="N55" s="58" t="n">
        <f aca="false">IF(L55=1,M55*$B$25,0)</f>
        <v>926.820339197609</v>
      </c>
      <c r="O55" s="58" t="n">
        <f aca="false">IF(L55=1,M55+N55-$B$29,M55)</f>
        <v>277540.676212084</v>
      </c>
      <c r="P55" s="56" t="n">
        <f aca="false">IF(L55=1,IF($B$29&lt;=N55,1,0),0)</f>
        <v>0</v>
      </c>
      <c r="Q55" s="58" t="n">
        <f aca="false">Q54+N55</f>
        <v>46288.47875911</v>
      </c>
    </row>
    <row r="56" customFormat="false" ht="15" hidden="false" customHeight="false" outlineLevel="0" collapsed="false">
      <c r="K56" s="56" t="n">
        <f aca="false">K55+1</f>
        <v>49</v>
      </c>
      <c r="L56" s="57" t="n">
        <f aca="false">IF(AND(K56&lt;=Assumptions!$C$42,L55=1,P55=0,O55&gt;Assumptions!$C$43),1,0)</f>
        <v>1</v>
      </c>
      <c r="M56" s="58" t="n">
        <f aca="false">O55</f>
        <v>277540.676212084</v>
      </c>
      <c r="N56" s="58" t="n">
        <f aca="false">IF(L56=1,M56*$B$25,0)</f>
        <v>925.135587373613</v>
      </c>
      <c r="O56" s="58" t="n">
        <f aca="false">IF(L56=1,M56+N56-$B$29,M56)</f>
        <v>277033.565913061</v>
      </c>
      <c r="P56" s="56" t="n">
        <f aca="false">IF(L56=1,IF($B$29&lt;=N56,1,0),0)</f>
        <v>0</v>
      </c>
      <c r="Q56" s="58" t="n">
        <f aca="false">Q55+N56</f>
        <v>47213.6143464836</v>
      </c>
    </row>
    <row r="57" customFormat="false" ht="15" hidden="false" customHeight="false" outlineLevel="0" collapsed="false">
      <c r="K57" s="56" t="n">
        <f aca="false">K56+1</f>
        <v>50</v>
      </c>
      <c r="L57" s="57" t="n">
        <f aca="false">IF(AND(K57&lt;=Assumptions!$C$42,L56=1,P56=0,O56&gt;Assumptions!$C$43),1,0)</f>
        <v>1</v>
      </c>
      <c r="M57" s="58" t="n">
        <f aca="false">O56</f>
        <v>277033.565913061</v>
      </c>
      <c r="N57" s="58" t="n">
        <f aca="false">IF(L57=1,M57*$B$25,0)</f>
        <v>923.445219710203</v>
      </c>
      <c r="O57" s="58" t="n">
        <f aca="false">IF(L57=1,M57+N57-$B$29,M57)</f>
        <v>276524.765246375</v>
      </c>
      <c r="P57" s="56" t="n">
        <f aca="false">IF(L57=1,IF($B$29&lt;=N57,1,0),0)</f>
        <v>0</v>
      </c>
      <c r="Q57" s="58" t="n">
        <f aca="false">Q56+N57</f>
        <v>48137.0595661938</v>
      </c>
    </row>
    <row r="58" customFormat="false" ht="15" hidden="false" customHeight="false" outlineLevel="0" collapsed="false">
      <c r="K58" s="56" t="n">
        <f aca="false">K57+1</f>
        <v>51</v>
      </c>
      <c r="L58" s="57" t="n">
        <f aca="false">IF(AND(K58&lt;=Assumptions!$C$42,L57=1,P57=0,O57&gt;Assumptions!$C$43),1,0)</f>
        <v>1</v>
      </c>
      <c r="M58" s="58" t="n">
        <f aca="false">O57</f>
        <v>276524.765246375</v>
      </c>
      <c r="N58" s="58" t="n">
        <f aca="false">IF(L58=1,M58*$B$25,0)</f>
        <v>921.749217487916</v>
      </c>
      <c r="O58" s="58" t="n">
        <f aca="false">IF(L58=1,M58+N58-$B$29,M58)</f>
        <v>276014.268577466</v>
      </c>
      <c r="P58" s="56" t="n">
        <f aca="false">IF(L58=1,IF($B$29&lt;=N58,1,0),0)</f>
        <v>0</v>
      </c>
      <c r="Q58" s="58" t="n">
        <f aca="false">Q57+N58</f>
        <v>49058.8087836818</v>
      </c>
    </row>
    <row r="59" customFormat="false" ht="15" hidden="false" customHeight="false" outlineLevel="0" collapsed="false">
      <c r="K59" s="56" t="n">
        <f aca="false">K58+1</f>
        <v>52</v>
      </c>
      <c r="L59" s="57" t="n">
        <f aca="false">IF(AND(K59&lt;=Assumptions!$C$42,L58=1,P58=0,O58&gt;Assumptions!$C$43),1,0)</f>
        <v>1</v>
      </c>
      <c r="M59" s="58" t="n">
        <f aca="false">O58</f>
        <v>276014.268577466</v>
      </c>
      <c r="N59" s="58" t="n">
        <f aca="false">IF(L59=1,M59*$B$25,0)</f>
        <v>920.047561924888</v>
      </c>
      <c r="O59" s="58" t="n">
        <f aca="false">IF(L59=1,M59+N59-$B$29,M59)</f>
        <v>275502.070252995</v>
      </c>
      <c r="P59" s="56" t="n">
        <f aca="false">IF(L59=1,IF($B$29&lt;=N59,1,0),0)</f>
        <v>0</v>
      </c>
      <c r="Q59" s="58" t="n">
        <f aca="false">Q58+N59</f>
        <v>49978.8563456066</v>
      </c>
    </row>
    <row r="60" customFormat="false" ht="15" hidden="false" customHeight="false" outlineLevel="0" collapsed="false">
      <c r="K60" s="56" t="n">
        <f aca="false">K59+1</f>
        <v>53</v>
      </c>
      <c r="L60" s="57" t="n">
        <f aca="false">IF(AND(K60&lt;=Assumptions!$C$42,L59=1,P59=0,O59&gt;Assumptions!$C$43),1,0)</f>
        <v>1</v>
      </c>
      <c r="M60" s="58" t="n">
        <f aca="false">O59</f>
        <v>275502.070252995</v>
      </c>
      <c r="N60" s="58" t="n">
        <f aca="false">IF(L60=1,M60*$B$25,0)</f>
        <v>918.34023417665</v>
      </c>
      <c r="O60" s="58" t="n">
        <f aca="false">IF(L60=1,M60+N60-$B$29,M60)</f>
        <v>274988.164600775</v>
      </c>
      <c r="P60" s="56" t="n">
        <f aca="false">IF(L60=1,IF($B$29&lt;=N60,1,0),0)</f>
        <v>0</v>
      </c>
      <c r="Q60" s="58" t="n">
        <f aca="false">Q59+N60</f>
        <v>50897.1965797833</v>
      </c>
    </row>
    <row r="61" customFormat="false" ht="15" hidden="false" customHeight="false" outlineLevel="0" collapsed="false">
      <c r="K61" s="56" t="n">
        <f aca="false">K60+1</f>
        <v>54</v>
      </c>
      <c r="L61" s="57" t="n">
        <f aca="false">IF(AND(K61&lt;=Assumptions!$C$42,L60=1,P60=0,O60&gt;Assumptions!$C$43),1,0)</f>
        <v>1</v>
      </c>
      <c r="M61" s="58" t="n">
        <f aca="false">O60</f>
        <v>274988.164600775</v>
      </c>
      <c r="N61" s="58" t="n">
        <f aca="false">IF(L61=1,M61*$B$25,0)</f>
        <v>916.627215335917</v>
      </c>
      <c r="O61" s="58" t="n">
        <f aca="false">IF(L61=1,M61+N61-$B$29,M61)</f>
        <v>274472.545929715</v>
      </c>
      <c r="P61" s="56" t="n">
        <f aca="false">IF(L61=1,IF($B$29&lt;=N61,1,0),0)</f>
        <v>0</v>
      </c>
      <c r="Q61" s="58" t="n">
        <f aca="false">Q60+N61</f>
        <v>51813.8237951192</v>
      </c>
    </row>
    <row r="62" customFormat="false" ht="15" hidden="false" customHeight="false" outlineLevel="0" collapsed="false">
      <c r="K62" s="56" t="n">
        <f aca="false">K61+1</f>
        <v>55</v>
      </c>
      <c r="L62" s="57" t="n">
        <f aca="false">IF(AND(K62&lt;=Assumptions!$C$42,L61=1,P61=0,O61&gt;Assumptions!$C$43),1,0)</f>
        <v>1</v>
      </c>
      <c r="M62" s="58" t="n">
        <f aca="false">O61</f>
        <v>274472.545929715</v>
      </c>
      <c r="N62" s="58" t="n">
        <f aca="false">IF(L62=1,M62*$B$25,0)</f>
        <v>914.908486432382</v>
      </c>
      <c r="O62" s="58" t="n">
        <f aca="false">IF(L62=1,M62+N62-$B$29,M62)</f>
        <v>273955.208529751</v>
      </c>
      <c r="P62" s="56" t="n">
        <f aca="false">IF(L62=1,IF($B$29&lt;=N62,1,0),0)</f>
        <v>0</v>
      </c>
      <c r="Q62" s="58" t="n">
        <f aca="false">Q61+N62</f>
        <v>52728.7322815516</v>
      </c>
    </row>
    <row r="63" customFormat="false" ht="15" hidden="false" customHeight="false" outlineLevel="0" collapsed="false">
      <c r="K63" s="56" t="n">
        <f aca="false">K62+1</f>
        <v>56</v>
      </c>
      <c r="L63" s="57" t="n">
        <f aca="false">IF(AND(K63&lt;=Assumptions!$C$42,L62=1,P62=0,O62&gt;Assumptions!$C$43),1,0)</f>
        <v>1</v>
      </c>
      <c r="M63" s="58" t="n">
        <f aca="false">O62</f>
        <v>273955.208529751</v>
      </c>
      <c r="N63" s="58" t="n">
        <f aca="false">IF(L63=1,M63*$B$25,0)</f>
        <v>913.184028432502</v>
      </c>
      <c r="O63" s="58" t="n">
        <f aca="false">IF(L63=1,M63+N63-$B$29,M63)</f>
        <v>273436.146671787</v>
      </c>
      <c r="P63" s="56" t="n">
        <f aca="false">IF(L63=1,IF($B$29&lt;=N63,1,0),0)</f>
        <v>0</v>
      </c>
      <c r="Q63" s="58" t="n">
        <f aca="false">Q62+N63</f>
        <v>53641.9163099841</v>
      </c>
    </row>
    <row r="64" customFormat="false" ht="15" hidden="false" customHeight="false" outlineLevel="0" collapsed="false">
      <c r="K64" s="56" t="n">
        <f aca="false">K63+1</f>
        <v>57</v>
      </c>
      <c r="L64" s="57" t="n">
        <f aca="false">IF(AND(K64&lt;=Assumptions!$C$42,L63=1,P63=0,O63&gt;Assumptions!$C$43),1,0)</f>
        <v>1</v>
      </c>
      <c r="M64" s="58" t="n">
        <f aca="false">O63</f>
        <v>273436.146671787</v>
      </c>
      <c r="N64" s="58" t="n">
        <f aca="false">IF(L64=1,M64*$B$25,0)</f>
        <v>911.453822239289</v>
      </c>
      <c r="O64" s="58" t="n">
        <f aca="false">IF(L64=1,M64+N64-$B$29,M64)</f>
        <v>272915.35460763</v>
      </c>
      <c r="P64" s="56" t="n">
        <f aca="false">IF(L64=1,IF($B$29&lt;=N64,1,0),0)</f>
        <v>0</v>
      </c>
      <c r="Q64" s="58" t="n">
        <f aca="false">Q63+N64</f>
        <v>54553.3701322234</v>
      </c>
    </row>
    <row r="65" customFormat="false" ht="15" hidden="false" customHeight="false" outlineLevel="0" collapsed="false">
      <c r="K65" s="56" t="n">
        <f aca="false">K64+1</f>
        <v>58</v>
      </c>
      <c r="L65" s="57" t="n">
        <f aca="false">IF(AND(K65&lt;=Assumptions!$C$42,L64=1,P64=0,O64&gt;Assumptions!$C$43),1,0)</f>
        <v>1</v>
      </c>
      <c r="M65" s="58" t="n">
        <f aca="false">O64</f>
        <v>272915.35460763</v>
      </c>
      <c r="N65" s="58" t="n">
        <f aca="false">IF(L65=1,M65*$B$25,0)</f>
        <v>909.717848692099</v>
      </c>
      <c r="O65" s="58" t="n">
        <f aca="false">IF(L65=1,M65+N65-$B$29,M65)</f>
        <v>272392.826569925</v>
      </c>
      <c r="P65" s="56" t="n">
        <f aca="false">IF(L65=1,IF($B$29&lt;=N65,1,0),0)</f>
        <v>0</v>
      </c>
      <c r="Q65" s="58" t="n">
        <f aca="false">Q64+N65</f>
        <v>55463.0879809155</v>
      </c>
    </row>
    <row r="66" customFormat="false" ht="15" hidden="false" customHeight="false" outlineLevel="0" collapsed="false">
      <c r="K66" s="56" t="n">
        <f aca="false">K65+1</f>
        <v>59</v>
      </c>
      <c r="L66" s="57" t="n">
        <f aca="false">IF(AND(K66&lt;=Assumptions!$C$42,L65=1,P65=0,O65&gt;Assumptions!$C$43),1,0)</f>
        <v>1</v>
      </c>
      <c r="M66" s="58" t="n">
        <f aca="false">O65</f>
        <v>272392.826569925</v>
      </c>
      <c r="N66" s="58" t="n">
        <f aca="false">IF(L66=1,M66*$B$25,0)</f>
        <v>907.976088566418</v>
      </c>
      <c r="O66" s="58" t="n">
        <f aca="false">IF(L66=1,M66+N66-$B$29,M66)</f>
        <v>271868.556772095</v>
      </c>
      <c r="P66" s="56" t="n">
        <f aca="false">IF(L66=1,IF($B$29&lt;=N66,1,0),0)</f>
        <v>0</v>
      </c>
      <c r="Q66" s="58" t="n">
        <f aca="false">Q65+N66</f>
        <v>56371.0640694819</v>
      </c>
    </row>
    <row r="67" customFormat="false" ht="15" hidden="false" customHeight="false" outlineLevel="0" collapsed="false">
      <c r="K67" s="56" t="n">
        <f aca="false">K66+1</f>
        <v>60</v>
      </c>
      <c r="L67" s="57" t="n">
        <f aca="false">IF(AND(K67&lt;=Assumptions!$C$42,L66=1,P66=0,O66&gt;Assumptions!$C$43),1,0)</f>
        <v>1</v>
      </c>
      <c r="M67" s="58" t="n">
        <f aca="false">O66</f>
        <v>271868.556772095</v>
      </c>
      <c r="N67" s="58" t="n">
        <f aca="false">IF(L67=1,M67*$B$25,0)</f>
        <v>906.228522573652</v>
      </c>
      <c r="O67" s="58" t="n">
        <f aca="false">IF(L67=1,M67+N67-$B$29,M67)</f>
        <v>271342.539408273</v>
      </c>
      <c r="P67" s="56" t="n">
        <f aca="false">IF(L67=1,IF($B$29&lt;=N67,1,0),0)</f>
        <v>0</v>
      </c>
      <c r="Q67" s="58" t="n">
        <f aca="false">Q66+N67</f>
        <v>57277.2925920555</v>
      </c>
    </row>
    <row r="68" customFormat="false" ht="15" hidden="false" customHeight="false" outlineLevel="0" collapsed="false">
      <c r="K68" s="56" t="n">
        <f aca="false">K67+1</f>
        <v>61</v>
      </c>
      <c r="L68" s="57" t="n">
        <f aca="false">IF(AND(K68&lt;=Assumptions!$C$42,L67=1,P67=0,O67&gt;Assumptions!$C$43),1,0)</f>
        <v>1</v>
      </c>
      <c r="M68" s="58" t="n">
        <f aca="false">O67</f>
        <v>271342.539408273</v>
      </c>
      <c r="N68" s="58" t="n">
        <f aca="false">IF(L68=1,M68*$B$25,0)</f>
        <v>904.475131360909</v>
      </c>
      <c r="O68" s="58" t="n">
        <f aca="false">IF(L68=1,M68+N68-$B$29,M68)</f>
        <v>270814.768653237</v>
      </c>
      <c r="P68" s="56" t="n">
        <f aca="false">IF(L68=1,IF($B$29&lt;=N68,1,0),0)</f>
        <v>0</v>
      </c>
      <c r="Q68" s="58" t="n">
        <f aca="false">Q67+N68</f>
        <v>58181.7677234164</v>
      </c>
    </row>
    <row r="69" customFormat="false" ht="15" hidden="false" customHeight="false" outlineLevel="0" collapsed="false">
      <c r="K69" s="56" t="n">
        <f aca="false">K68+1</f>
        <v>62</v>
      </c>
      <c r="L69" s="57" t="n">
        <f aca="false">IF(AND(K69&lt;=Assumptions!$C$42,L68=1,P68=0,O68&gt;Assumptions!$C$43),1,0)</f>
        <v>1</v>
      </c>
      <c r="M69" s="58" t="n">
        <f aca="false">O68</f>
        <v>270814.768653237</v>
      </c>
      <c r="N69" s="58" t="n">
        <f aca="false">IF(L69=1,M69*$B$25,0)</f>
        <v>902.715895510791</v>
      </c>
      <c r="O69" s="58" t="n">
        <f aca="false">IF(L69=1,M69+N69-$B$29,M69)</f>
        <v>270285.238662352</v>
      </c>
      <c r="P69" s="56" t="n">
        <f aca="false">IF(L69=1,IF($B$29&lt;=N69,1,0),0)</f>
        <v>0</v>
      </c>
      <c r="Q69" s="58" t="n">
        <f aca="false">Q68+N69</f>
        <v>59084.4836189272</v>
      </c>
    </row>
    <row r="70" customFormat="false" ht="15" hidden="false" customHeight="false" outlineLevel="0" collapsed="false">
      <c r="K70" s="56" t="n">
        <f aca="false">K69+1</f>
        <v>63</v>
      </c>
      <c r="L70" s="57" t="n">
        <f aca="false">IF(AND(K70&lt;=Assumptions!$C$42,L69=1,P69=0,O69&gt;Assumptions!$C$43),1,0)</f>
        <v>1</v>
      </c>
      <c r="M70" s="58" t="n">
        <f aca="false">O69</f>
        <v>270285.238662352</v>
      </c>
      <c r="N70" s="58" t="n">
        <f aca="false">IF(L70=1,M70*$B$25,0)</f>
        <v>900.950795541172</v>
      </c>
      <c r="O70" s="58" t="n">
        <f aca="false">IF(L70=1,M70+N70-$B$29,M70)</f>
        <v>269753.943571496</v>
      </c>
      <c r="P70" s="56" t="n">
        <f aca="false">IF(L70=1,IF($B$29&lt;=N70,1,0),0)</f>
        <v>0</v>
      </c>
      <c r="Q70" s="58" t="n">
        <f aca="false">Q69+N70</f>
        <v>59985.4344144684</v>
      </c>
    </row>
    <row r="71" customFormat="false" ht="15" hidden="false" customHeight="false" outlineLevel="0" collapsed="false">
      <c r="K71" s="56" t="n">
        <f aca="false">K70+1</f>
        <v>64</v>
      </c>
      <c r="L71" s="57" t="n">
        <f aca="false">IF(AND(K71&lt;=Assumptions!$C$42,L70=1,P70=0,O70&gt;Assumptions!$C$43),1,0)</f>
        <v>1</v>
      </c>
      <c r="M71" s="58" t="n">
        <f aca="false">O70</f>
        <v>269753.943571496</v>
      </c>
      <c r="N71" s="58" t="n">
        <f aca="false">IF(L71=1,M71*$B$25,0)</f>
        <v>899.179811904988</v>
      </c>
      <c r="O71" s="58" t="n">
        <f aca="false">IF(L71=1,M71+N71-$B$29,M71)</f>
        <v>269220.877497005</v>
      </c>
      <c r="P71" s="56" t="n">
        <f aca="false">IF(L71=1,IF($B$29&lt;=N71,1,0),0)</f>
        <v>0</v>
      </c>
      <c r="Q71" s="58" t="n">
        <f aca="false">Q70+N71</f>
        <v>60884.6142263734</v>
      </c>
    </row>
    <row r="72" customFormat="false" ht="15" hidden="false" customHeight="false" outlineLevel="0" collapsed="false">
      <c r="K72" s="56" t="n">
        <f aca="false">K71+1</f>
        <v>65</v>
      </c>
      <c r="L72" s="57" t="n">
        <f aca="false">IF(AND(K72&lt;=Assumptions!$C$42,L71=1,P71=0,O71&gt;Assumptions!$C$43),1,0)</f>
        <v>1</v>
      </c>
      <c r="M72" s="58" t="n">
        <f aca="false">O71</f>
        <v>269220.877497005</v>
      </c>
      <c r="N72" s="58" t="n">
        <f aca="false">IF(L72=1,M72*$B$25,0)</f>
        <v>897.402924990017</v>
      </c>
      <c r="O72" s="58" t="n">
        <f aca="false">IF(L72=1,M72+N72-$B$29,M72)</f>
        <v>268686.034535599</v>
      </c>
      <c r="P72" s="56" t="n">
        <f aca="false">IF(L72=1,IF($B$29&lt;=N72,1,0),0)</f>
        <v>0</v>
      </c>
      <c r="Q72" s="58" t="n">
        <f aca="false">Q71+N72</f>
        <v>61782.0171513634</v>
      </c>
    </row>
    <row r="73" customFormat="false" ht="15" hidden="false" customHeight="false" outlineLevel="0" collapsed="false">
      <c r="K73" s="56" t="n">
        <f aca="false">K72+1</f>
        <v>66</v>
      </c>
      <c r="L73" s="57" t="n">
        <f aca="false">IF(AND(K73&lt;=Assumptions!$C$42,L72=1,P72=0,O72&gt;Assumptions!$C$43),1,0)</f>
        <v>1</v>
      </c>
      <c r="M73" s="58" t="n">
        <f aca="false">O72</f>
        <v>268686.034535599</v>
      </c>
      <c r="N73" s="58" t="n">
        <f aca="false">IF(L73=1,M73*$B$25,0)</f>
        <v>895.620115118662</v>
      </c>
      <c r="O73" s="58" t="n">
        <f aca="false">IF(L73=1,M73+N73-$B$29,M73)</f>
        <v>268149.408764321</v>
      </c>
      <c r="P73" s="56" t="n">
        <f aca="false">IF(L73=1,IF($B$29&lt;=N73,1,0),0)</f>
        <v>0</v>
      </c>
      <c r="Q73" s="58" t="n">
        <f aca="false">Q72+N73</f>
        <v>62677.6372664821</v>
      </c>
    </row>
    <row r="74" customFormat="false" ht="15" hidden="false" customHeight="false" outlineLevel="0" collapsed="false">
      <c r="K74" s="56" t="n">
        <f aca="false">K73+1</f>
        <v>67</v>
      </c>
      <c r="L74" s="57" t="n">
        <f aca="false">IF(AND(K74&lt;=Assumptions!$C$42,L73=1,P73=0,O73&gt;Assumptions!$C$43),1,0)</f>
        <v>1</v>
      </c>
      <c r="M74" s="58" t="n">
        <f aca="false">O73</f>
        <v>268149.408764321</v>
      </c>
      <c r="N74" s="58" t="n">
        <f aca="false">IF(L74=1,M74*$B$25,0)</f>
        <v>893.831362547737</v>
      </c>
      <c r="O74" s="58" t="n">
        <f aca="false">IF(L74=1,M74+N74-$B$29,M74)</f>
        <v>267610.994240472</v>
      </c>
      <c r="P74" s="56" t="n">
        <f aca="false">IF(L74=1,IF($B$29&lt;=N74,1,0),0)</f>
        <v>0</v>
      </c>
      <c r="Q74" s="58" t="n">
        <f aca="false">Q73+N74</f>
        <v>63571.4686290298</v>
      </c>
    </row>
    <row r="75" customFormat="false" ht="15" hidden="false" customHeight="false" outlineLevel="0" collapsed="false">
      <c r="K75" s="56" t="n">
        <f aca="false">K74+1</f>
        <v>68</v>
      </c>
      <c r="L75" s="57" t="n">
        <f aca="false">IF(AND(K75&lt;=Assumptions!$C$42,L74=1,P74=0,O74&gt;Assumptions!$C$43),1,0)</f>
        <v>1</v>
      </c>
      <c r="M75" s="58" t="n">
        <f aca="false">O74</f>
        <v>267610.994240472</v>
      </c>
      <c r="N75" s="58" t="n">
        <f aca="false">IF(L75=1,M75*$B$25,0)</f>
        <v>892.036647468241</v>
      </c>
      <c r="O75" s="58" t="n">
        <f aca="false">IF(L75=1,M75+N75-$B$29,M75)</f>
        <v>267070.785001544</v>
      </c>
      <c r="P75" s="56" t="n">
        <f aca="false">IF(L75=1,IF($B$29&lt;=N75,1,0),0)</f>
        <v>0</v>
      </c>
      <c r="Q75" s="58" t="n">
        <f aca="false">Q74+N75</f>
        <v>64463.5052764981</v>
      </c>
    </row>
    <row r="76" customFormat="false" ht="15" hidden="false" customHeight="false" outlineLevel="0" collapsed="false">
      <c r="K76" s="56" t="n">
        <f aca="false">K75+1</f>
        <v>69</v>
      </c>
      <c r="L76" s="57" t="n">
        <f aca="false">IF(AND(K76&lt;=Assumptions!$C$42,L75=1,P75=0,O75&gt;Assumptions!$C$43),1,0)</f>
        <v>1</v>
      </c>
      <c r="M76" s="58" t="n">
        <f aca="false">O75</f>
        <v>267070.785001544</v>
      </c>
      <c r="N76" s="58" t="n">
        <f aca="false">IF(L76=1,M76*$B$25,0)</f>
        <v>890.235950005147</v>
      </c>
      <c r="O76" s="58" t="n">
        <f aca="false">IF(L76=1,M76+N76-$B$29,M76)</f>
        <v>266528.775065153</v>
      </c>
      <c r="P76" s="56" t="n">
        <f aca="false">IF(L76=1,IF($B$29&lt;=N76,1,0),0)</f>
        <v>0</v>
      </c>
      <c r="Q76" s="58" t="n">
        <f aca="false">Q75+N76</f>
        <v>65353.7412265032</v>
      </c>
    </row>
    <row r="77" customFormat="false" ht="15" hidden="false" customHeight="false" outlineLevel="0" collapsed="false">
      <c r="K77" s="56" t="n">
        <f aca="false">K76+1</f>
        <v>70</v>
      </c>
      <c r="L77" s="57" t="n">
        <f aca="false">IF(AND(K77&lt;=Assumptions!$C$42,L76=1,P76=0,O76&gt;Assumptions!$C$43),1,0)</f>
        <v>1</v>
      </c>
      <c r="M77" s="58" t="n">
        <f aca="false">O76</f>
        <v>266528.775065153</v>
      </c>
      <c r="N77" s="58" t="n">
        <f aca="false">IF(L77=1,M77*$B$25,0)</f>
        <v>888.429250217176</v>
      </c>
      <c r="O77" s="58" t="n">
        <f aca="false">IF(L77=1,M77+N77-$B$29,M77)</f>
        <v>265984.958428974</v>
      </c>
      <c r="P77" s="56" t="n">
        <f aca="false">IF(L77=1,IF($B$29&lt;=N77,1,0),0)</f>
        <v>0</v>
      </c>
      <c r="Q77" s="58" t="n">
        <f aca="false">Q76+N77</f>
        <v>66242.1704767204</v>
      </c>
    </row>
    <row r="78" customFormat="false" ht="15" hidden="false" customHeight="false" outlineLevel="0" collapsed="false">
      <c r="K78" s="56" t="n">
        <f aca="false">K77+1</f>
        <v>71</v>
      </c>
      <c r="L78" s="57" t="n">
        <f aca="false">IF(AND(K78&lt;=Assumptions!$C$42,L77=1,P77=0,O77&gt;Assumptions!$C$43),1,0)</f>
        <v>1</v>
      </c>
      <c r="M78" s="58" t="n">
        <f aca="false">O77</f>
        <v>265984.958428974</v>
      </c>
      <c r="N78" s="58" t="n">
        <f aca="false">IF(L78=1,M78*$B$25,0)</f>
        <v>886.616528096579</v>
      </c>
      <c r="O78" s="58" t="n">
        <f aca="false">IF(L78=1,M78+N78-$B$29,M78)</f>
        <v>265439.329070674</v>
      </c>
      <c r="P78" s="56" t="n">
        <f aca="false">IF(L78=1,IF($B$29&lt;=N78,1,0),0)</f>
        <v>0</v>
      </c>
      <c r="Q78" s="58" t="n">
        <f aca="false">Q77+N78</f>
        <v>67128.787004817</v>
      </c>
    </row>
    <row r="79" customFormat="false" ht="15" hidden="false" customHeight="false" outlineLevel="0" collapsed="false">
      <c r="K79" s="56" t="n">
        <f aca="false">K78+1</f>
        <v>72</v>
      </c>
      <c r="L79" s="57" t="n">
        <f aca="false">IF(AND(K79&lt;=Assumptions!$C$42,L78=1,P78=0,O78&gt;Assumptions!$C$43),1,0)</f>
        <v>1</v>
      </c>
      <c r="M79" s="58" t="n">
        <f aca="false">O78</f>
        <v>265439.329070674</v>
      </c>
      <c r="N79" s="58" t="n">
        <f aca="false">IF(L79=1,M79*$B$25,0)</f>
        <v>884.797763568913</v>
      </c>
      <c r="O79" s="58" t="n">
        <f aca="false">IF(L79=1,M79+N79-$B$29,M79)</f>
        <v>264891.880947846</v>
      </c>
      <c r="P79" s="56" t="n">
        <f aca="false">IF(L79=1,IF($B$29&lt;=N79,1,0),0)</f>
        <v>0</v>
      </c>
      <c r="Q79" s="58" t="n">
        <f aca="false">Q78+N79</f>
        <v>68013.5847683859</v>
      </c>
    </row>
    <row r="80" customFormat="false" ht="15" hidden="false" customHeight="false" outlineLevel="0" collapsed="false">
      <c r="K80" s="56" t="n">
        <f aca="false">K79+1</f>
        <v>73</v>
      </c>
      <c r="L80" s="57" t="n">
        <f aca="false">IF(AND(K80&lt;=Assumptions!$C$42,L79=1,P79=0,O79&gt;Assumptions!$C$43),1,0)</f>
        <v>1</v>
      </c>
      <c r="M80" s="58" t="n">
        <f aca="false">O79</f>
        <v>264891.880947846</v>
      </c>
      <c r="N80" s="58" t="n">
        <f aca="false">IF(L80=1,M80*$B$25,0)</f>
        <v>882.972936492821</v>
      </c>
      <c r="O80" s="58" t="n">
        <f aca="false">IF(L80=1,M80+N80-$B$29,M80)</f>
        <v>264342.607997943</v>
      </c>
      <c r="P80" s="56" t="n">
        <f aca="false">IF(L80=1,IF($B$29&lt;=N80,1,0),0)</f>
        <v>0</v>
      </c>
      <c r="Q80" s="58" t="n">
        <f aca="false">Q79+N80</f>
        <v>68896.5577048787</v>
      </c>
    </row>
    <row r="81" customFormat="false" ht="15" hidden="false" customHeight="false" outlineLevel="0" collapsed="false">
      <c r="K81" s="56" t="n">
        <f aca="false">K80+1</f>
        <v>74</v>
      </c>
      <c r="L81" s="57" t="n">
        <f aca="false">IF(AND(K81&lt;=Assumptions!$C$42,L80=1,P80=0,O80&gt;Assumptions!$C$43),1,0)</f>
        <v>1</v>
      </c>
      <c r="M81" s="58" t="n">
        <f aca="false">O80</f>
        <v>264342.607997943</v>
      </c>
      <c r="N81" s="58" t="n">
        <f aca="false">IF(L81=1,M81*$B$25,0)</f>
        <v>881.14202665981</v>
      </c>
      <c r="O81" s="58" t="n">
        <f aca="false">IF(L81=1,M81+N81-$B$29,M81)</f>
        <v>263791.504138206</v>
      </c>
      <c r="P81" s="56" t="n">
        <f aca="false">IF(L81=1,IF($B$29&lt;=N81,1,0),0)</f>
        <v>0</v>
      </c>
      <c r="Q81" s="58" t="n">
        <f aca="false">Q80+N81</f>
        <v>69777.6997315385</v>
      </c>
    </row>
    <row r="82" customFormat="false" ht="15" hidden="false" customHeight="false" outlineLevel="0" collapsed="false">
      <c r="K82" s="56" t="n">
        <f aca="false">K81+1</f>
        <v>75</v>
      </c>
      <c r="L82" s="57" t="n">
        <f aca="false">IF(AND(K82&lt;=Assumptions!$C$42,L81=1,P81=0,O81&gt;Assumptions!$C$43),1,0)</f>
        <v>1</v>
      </c>
      <c r="M82" s="58" t="n">
        <f aca="false">O81</f>
        <v>263791.504138206</v>
      </c>
      <c r="N82" s="58" t="n">
        <f aca="false">IF(L82=1,M82*$B$25,0)</f>
        <v>879.305013794021</v>
      </c>
      <c r="O82" s="58" t="n">
        <f aca="false">IF(L82=1,M82+N82-$B$29,M82)</f>
        <v>263238.563265604</v>
      </c>
      <c r="P82" s="56" t="n">
        <f aca="false">IF(L82=1,IF($B$29&lt;=N82,1,0),0)</f>
        <v>0</v>
      </c>
      <c r="Q82" s="58" t="n">
        <f aca="false">Q81+N82</f>
        <v>70657.0047453325</v>
      </c>
    </row>
    <row r="83" customFormat="false" ht="15" hidden="false" customHeight="false" outlineLevel="0" collapsed="false">
      <c r="K83" s="56" t="n">
        <f aca="false">K82+1</f>
        <v>76</v>
      </c>
      <c r="L83" s="57" t="n">
        <f aca="false">IF(AND(K83&lt;=Assumptions!$C$42,L82=1,P82=0,O82&gt;Assumptions!$C$43),1,0)</f>
        <v>1</v>
      </c>
      <c r="M83" s="58" t="n">
        <f aca="false">O82</f>
        <v>263238.563265604</v>
      </c>
      <c r="N83" s="58" t="n">
        <f aca="false">IF(L83=1,M83*$B$25,0)</f>
        <v>877.461877552013</v>
      </c>
      <c r="O83" s="58" t="n">
        <f aca="false">IF(L83=1,M83+N83-$B$29,M83)</f>
        <v>262683.77925676</v>
      </c>
      <c r="P83" s="56" t="n">
        <f aca="false">IF(L83=1,IF($B$29&lt;=N83,1,0),0)</f>
        <v>0</v>
      </c>
      <c r="Q83" s="58" t="n">
        <f aca="false">Q82+N83</f>
        <v>71534.4666228845</v>
      </c>
    </row>
    <row r="84" customFormat="false" ht="15" hidden="false" customHeight="false" outlineLevel="0" collapsed="false">
      <c r="K84" s="56" t="n">
        <f aca="false">K83+1</f>
        <v>77</v>
      </c>
      <c r="L84" s="57" t="n">
        <f aca="false">IF(AND(K84&lt;=Assumptions!$C$42,L83=1,P83=0,O83&gt;Assumptions!$C$43),1,0)</f>
        <v>1</v>
      </c>
      <c r="M84" s="58" t="n">
        <f aca="false">O83</f>
        <v>262683.77925676</v>
      </c>
      <c r="N84" s="58" t="n">
        <f aca="false">IF(L84=1,M84*$B$25,0)</f>
        <v>875.612597522532</v>
      </c>
      <c r="O84" s="58" t="n">
        <f aca="false">IF(L84=1,M84+N84-$B$29,M84)</f>
        <v>262127.145967886</v>
      </c>
      <c r="P84" s="56" t="n">
        <f aca="false">IF(L84=1,IF($B$29&lt;=N84,1,0),0)</f>
        <v>0</v>
      </c>
      <c r="Q84" s="58" t="n">
        <f aca="false">Q83+N84</f>
        <v>72410.0792204071</v>
      </c>
    </row>
    <row r="85" customFormat="false" ht="15" hidden="false" customHeight="false" outlineLevel="0" collapsed="false">
      <c r="K85" s="56" t="n">
        <f aca="false">K84+1</f>
        <v>78</v>
      </c>
      <c r="L85" s="57" t="n">
        <f aca="false">IF(AND(K85&lt;=Assumptions!$C$42,L84=1,P84=0,O84&gt;Assumptions!$C$43),1,0)</f>
        <v>1</v>
      </c>
      <c r="M85" s="58" t="n">
        <f aca="false">O84</f>
        <v>262127.145967886</v>
      </c>
      <c r="N85" s="58" t="n">
        <f aca="false">IF(L85=1,M85*$B$25,0)</f>
        <v>873.757153226286</v>
      </c>
      <c r="O85" s="58" t="n">
        <f aca="false">IF(L85=1,M85+N85-$B$29,M85)</f>
        <v>261568.657234716</v>
      </c>
      <c r="P85" s="56" t="n">
        <f aca="false">IF(L85=1,IF($B$29&lt;=N85,1,0),0)</f>
        <v>0</v>
      </c>
      <c r="Q85" s="58" t="n">
        <f aca="false">Q84+N85</f>
        <v>73283.8363736333</v>
      </c>
    </row>
    <row r="86" customFormat="false" ht="15" hidden="false" customHeight="false" outlineLevel="0" collapsed="false">
      <c r="K86" s="56" t="n">
        <f aca="false">K85+1</f>
        <v>79</v>
      </c>
      <c r="L86" s="57" t="n">
        <f aca="false">IF(AND(K86&lt;=Assumptions!$C$42,L85=1,P85=0,O85&gt;Assumptions!$C$43),1,0)</f>
        <v>1</v>
      </c>
      <c r="M86" s="58" t="n">
        <f aca="false">O85</f>
        <v>261568.657234716</v>
      </c>
      <c r="N86" s="58" t="n">
        <f aca="false">IF(L86=1,M86*$B$25,0)</f>
        <v>871.895524115719</v>
      </c>
      <c r="O86" s="58" t="n">
        <f aca="false">IF(L86=1,M86+N86-$B$29,M86)</f>
        <v>261008.306872435</v>
      </c>
      <c r="P86" s="56" t="n">
        <f aca="false">IF(L86=1,IF($B$29&lt;=N86,1,0),0)</f>
        <v>0</v>
      </c>
      <c r="Q86" s="58" t="n">
        <f aca="false">Q85+N86</f>
        <v>74155.7318977491</v>
      </c>
    </row>
    <row r="87" customFormat="false" ht="15" hidden="false" customHeight="false" outlineLevel="0" collapsed="false">
      <c r="K87" s="56" t="n">
        <f aca="false">K86+1</f>
        <v>80</v>
      </c>
      <c r="L87" s="57" t="n">
        <f aca="false">IF(AND(K87&lt;=Assumptions!$C$42,L86=1,P86=0,O86&gt;Assumptions!$C$43),1,0)</f>
        <v>1</v>
      </c>
      <c r="M87" s="58" t="n">
        <f aca="false">O86</f>
        <v>261008.306872435</v>
      </c>
      <c r="N87" s="58" t="n">
        <f aca="false">IF(L87=1,M87*$B$25,0)</f>
        <v>870.027689574784</v>
      </c>
      <c r="O87" s="58" t="n">
        <f aca="false">IF(L87=1,M87+N87-$B$29,M87)</f>
        <v>260446.088675614</v>
      </c>
      <c r="P87" s="56" t="n">
        <f aca="false">IF(L87=1,IF($B$29&lt;=N87,1,0),0)</f>
        <v>0</v>
      </c>
      <c r="Q87" s="58" t="n">
        <f aca="false">Q86+N87</f>
        <v>75025.7595873239</v>
      </c>
    </row>
    <row r="88" customFormat="false" ht="15" hidden="false" customHeight="false" outlineLevel="0" collapsed="false">
      <c r="K88" s="56" t="n">
        <f aca="false">K87+1</f>
        <v>81</v>
      </c>
      <c r="L88" s="57" t="n">
        <f aca="false">IF(AND(K88&lt;=Assumptions!$C$42,L87=1,P87=0,O87&gt;Assumptions!$C$43),1,0)</f>
        <v>1</v>
      </c>
      <c r="M88" s="58" t="n">
        <f aca="false">O87</f>
        <v>260446.088675614</v>
      </c>
      <c r="N88" s="58" t="n">
        <f aca="false">IF(L88=1,M88*$B$25,0)</f>
        <v>868.153628918712</v>
      </c>
      <c r="O88" s="58" t="n">
        <f aca="false">IF(L88=1,M88+N88-$B$29,M88)</f>
        <v>259881.996418136</v>
      </c>
      <c r="P88" s="56" t="n">
        <f aca="false">IF(L88=1,IF($B$29&lt;=N88,1,0),0)</f>
        <v>0</v>
      </c>
      <c r="Q88" s="58" t="n">
        <f aca="false">Q87+N88</f>
        <v>75893.9132162426</v>
      </c>
    </row>
    <row r="89" customFormat="false" ht="15" hidden="false" customHeight="false" outlineLevel="0" collapsed="false">
      <c r="K89" s="56" t="n">
        <f aca="false">K88+1</f>
        <v>82</v>
      </c>
      <c r="L89" s="57" t="n">
        <f aca="false">IF(AND(K89&lt;=Assumptions!$C$42,L88=1,P88=0,O88&gt;Assumptions!$C$43),1,0)</f>
        <v>1</v>
      </c>
      <c r="M89" s="58" t="n">
        <f aca="false">O88</f>
        <v>259881.996418136</v>
      </c>
      <c r="N89" s="58" t="n">
        <f aca="false">IF(L89=1,M89*$B$25,0)</f>
        <v>866.273321393786</v>
      </c>
      <c r="O89" s="58" t="n">
        <f aca="false">IF(L89=1,M89+N89-$B$29,M89)</f>
        <v>259316.023853133</v>
      </c>
      <c r="P89" s="56" t="n">
        <f aca="false">IF(L89=1,IF($B$29&lt;=N89,1,0),0)</f>
        <v>0</v>
      </c>
      <c r="Q89" s="58" t="n">
        <f aca="false">Q88+N89</f>
        <v>76760.1865376363</v>
      </c>
    </row>
    <row r="90" customFormat="false" ht="15" hidden="false" customHeight="false" outlineLevel="0" collapsed="false">
      <c r="K90" s="56" t="n">
        <f aca="false">K89+1</f>
        <v>83</v>
      </c>
      <c r="L90" s="57" t="n">
        <f aca="false">IF(AND(K90&lt;=Assumptions!$C$42,L89=1,P89=0,O89&gt;Assumptions!$C$43),1,0)</f>
        <v>1</v>
      </c>
      <c r="M90" s="58" t="n">
        <f aca="false">O89</f>
        <v>259316.023853133</v>
      </c>
      <c r="N90" s="58" t="n">
        <f aca="false">IF(L90=1,M90*$B$25,0)</f>
        <v>864.386746177111</v>
      </c>
      <c r="O90" s="58" t="n">
        <f aca="false">IF(L90=1,M90+N90-$B$29,M90)</f>
        <v>258748.164712914</v>
      </c>
      <c r="P90" s="56" t="n">
        <f aca="false">IF(L90=1,IF($B$29&lt;=N90,1,0),0)</f>
        <v>0</v>
      </c>
      <c r="Q90" s="58" t="n">
        <f aca="false">Q89+N90</f>
        <v>77624.5732838135</v>
      </c>
    </row>
    <row r="91" customFormat="false" ht="15" hidden="false" customHeight="false" outlineLevel="0" collapsed="false">
      <c r="K91" s="56" t="n">
        <f aca="false">K90+1</f>
        <v>84</v>
      </c>
      <c r="L91" s="57" t="n">
        <f aca="false">IF(AND(K91&lt;=Assumptions!$C$42,L90=1,P90=0,O90&gt;Assumptions!$C$43),1,0)</f>
        <v>1</v>
      </c>
      <c r="M91" s="58" t="n">
        <f aca="false">O90</f>
        <v>258748.164712914</v>
      </c>
      <c r="N91" s="58" t="n">
        <f aca="false">IF(L91=1,M91*$B$25,0)</f>
        <v>862.49388237638</v>
      </c>
      <c r="O91" s="58" t="n">
        <f aca="false">IF(L91=1,M91+N91-$B$29,M91)</f>
        <v>258178.412708894</v>
      </c>
      <c r="P91" s="56" t="n">
        <f aca="false">IF(L91=1,IF($B$29&lt;=N91,1,0),0)</f>
        <v>0</v>
      </c>
      <c r="Q91" s="58" t="n">
        <f aca="false">Q90+N91</f>
        <v>78487.0671661898</v>
      </c>
    </row>
    <row r="92" customFormat="false" ht="15" hidden="false" customHeight="false" outlineLevel="0" collapsed="false">
      <c r="K92" s="56" t="n">
        <f aca="false">K91+1</f>
        <v>85</v>
      </c>
      <c r="L92" s="57" t="n">
        <f aca="false">IF(AND(K92&lt;=Assumptions!$C$42,L91=1,P91=0,O91&gt;Assumptions!$C$43),1,0)</f>
        <v>1</v>
      </c>
      <c r="M92" s="58" t="n">
        <f aca="false">O91</f>
        <v>258178.412708894</v>
      </c>
      <c r="N92" s="58" t="n">
        <f aca="false">IF(L92=1,M92*$B$25,0)</f>
        <v>860.594709029647</v>
      </c>
      <c r="O92" s="58" t="n">
        <f aca="false">IF(L92=1,M92+N92-$B$29,M92)</f>
        <v>257606.761531527</v>
      </c>
      <c r="P92" s="56" t="n">
        <f aca="false">IF(L92=1,IF($B$29&lt;=N92,1,0),0)</f>
        <v>0</v>
      </c>
      <c r="Q92" s="58" t="n">
        <f aca="false">Q91+N92</f>
        <v>79347.6618752195</v>
      </c>
    </row>
    <row r="93" customFormat="false" ht="15" hidden="false" customHeight="false" outlineLevel="0" collapsed="false">
      <c r="K93" s="56" t="n">
        <f aca="false">K92+1</f>
        <v>86</v>
      </c>
      <c r="L93" s="57" t="n">
        <f aca="false">IF(AND(K93&lt;=Assumptions!$C$42,L92=1,P92=0,O92&gt;Assumptions!$C$43),1,0)</f>
        <v>1</v>
      </c>
      <c r="M93" s="58" t="n">
        <f aca="false">O92</f>
        <v>257606.761531527</v>
      </c>
      <c r="N93" s="58" t="n">
        <f aca="false">IF(L93=1,M93*$B$25,0)</f>
        <v>858.689205105091</v>
      </c>
      <c r="O93" s="58" t="n">
        <f aca="false">IF(L93=1,M93+N93-$B$29,M93)</f>
        <v>257033.204850236</v>
      </c>
      <c r="P93" s="56" t="n">
        <f aca="false">IF(L93=1,IF($B$29&lt;=N93,1,0),0)</f>
        <v>0</v>
      </c>
      <c r="Q93" s="58" t="n">
        <f aca="false">Q92+N93</f>
        <v>80206.3510803246</v>
      </c>
    </row>
    <row r="94" customFormat="false" ht="15" hidden="false" customHeight="false" outlineLevel="0" collapsed="false">
      <c r="K94" s="56" t="n">
        <f aca="false">K93+1</f>
        <v>87</v>
      </c>
      <c r="L94" s="57" t="n">
        <f aca="false">IF(AND(K94&lt;=Assumptions!$C$42,L93=1,P93=0,O93&gt;Assumptions!$C$43),1,0)</f>
        <v>1</v>
      </c>
      <c r="M94" s="58" t="n">
        <f aca="false">O93</f>
        <v>257033.204850236</v>
      </c>
      <c r="N94" s="58" t="n">
        <f aca="false">IF(L94=1,M94*$B$25,0)</f>
        <v>856.777349500787</v>
      </c>
      <c r="O94" s="58" t="n">
        <f aca="false">IF(L94=1,M94+N94-$B$29,M94)</f>
        <v>256457.736313341</v>
      </c>
      <c r="P94" s="56" t="n">
        <f aca="false">IF(L94=1,IF($B$29&lt;=N94,1,0),0)</f>
        <v>0</v>
      </c>
      <c r="Q94" s="58" t="n">
        <f aca="false">Q93+N94</f>
        <v>81063.1284298254</v>
      </c>
    </row>
    <row r="95" customFormat="false" ht="15" hidden="false" customHeight="false" outlineLevel="0" collapsed="false">
      <c r="K95" s="56" t="n">
        <f aca="false">K94+1</f>
        <v>88</v>
      </c>
      <c r="L95" s="57" t="n">
        <f aca="false">IF(AND(K95&lt;=Assumptions!$C$42,L94=1,P94=0,O94&gt;Assumptions!$C$43),1,0)</f>
        <v>1</v>
      </c>
      <c r="M95" s="58" t="n">
        <f aca="false">O94</f>
        <v>256457.736313341</v>
      </c>
      <c r="N95" s="58" t="n">
        <f aca="false">IF(L95=1,M95*$B$25,0)</f>
        <v>854.859121044469</v>
      </c>
      <c r="O95" s="58" t="n">
        <f aca="false">IF(L95=1,M95+N95-$B$29,M95)</f>
        <v>255880.349547989</v>
      </c>
      <c r="P95" s="56" t="n">
        <f aca="false">IF(L95=1,IF($B$29&lt;=N95,1,0),0)</f>
        <v>0</v>
      </c>
      <c r="Q95" s="58" t="n">
        <f aca="false">Q94+N95</f>
        <v>81917.9875508699</v>
      </c>
    </row>
    <row r="96" customFormat="false" ht="15" hidden="false" customHeight="false" outlineLevel="0" collapsed="false">
      <c r="K96" s="56" t="n">
        <f aca="false">K95+1</f>
        <v>89</v>
      </c>
      <c r="L96" s="57" t="n">
        <f aca="false">IF(AND(K96&lt;=Assumptions!$C$42,L95=1,P95=0,O95&gt;Assumptions!$C$43),1,0)</f>
        <v>1</v>
      </c>
      <c r="M96" s="58" t="n">
        <f aca="false">O95</f>
        <v>255880.349547989</v>
      </c>
      <c r="N96" s="58" t="n">
        <f aca="false">IF(L96=1,M96*$B$25,0)</f>
        <v>852.934498493296</v>
      </c>
      <c r="O96" s="58" t="n">
        <f aca="false">IF(L96=1,M96+N96-$B$29,M96)</f>
        <v>255301.038160086</v>
      </c>
      <c r="P96" s="56" t="n">
        <f aca="false">IF(L96=1,IF($B$29&lt;=N96,1,0),0)</f>
        <v>0</v>
      </c>
      <c r="Q96" s="58" t="n">
        <f aca="false">Q95+N96</f>
        <v>82770.9220493631</v>
      </c>
    </row>
    <row r="97" customFormat="false" ht="15" hidden="false" customHeight="false" outlineLevel="0" collapsed="false">
      <c r="K97" s="56" t="n">
        <f aca="false">K96+1</f>
        <v>90</v>
      </c>
      <c r="L97" s="57" t="n">
        <f aca="false">IF(AND(K97&lt;=Assumptions!$C$42,L96=1,P96=0,O96&gt;Assumptions!$C$43),1,0)</f>
        <v>1</v>
      </c>
      <c r="M97" s="58" t="n">
        <f aca="false">O96</f>
        <v>255301.038160086</v>
      </c>
      <c r="N97" s="58" t="n">
        <f aca="false">IF(L97=1,M97*$B$25,0)</f>
        <v>851.003460533619</v>
      </c>
      <c r="O97" s="58" t="n">
        <f aca="false">IF(L97=1,M97+N97-$B$29,M97)</f>
        <v>254719.795734223</v>
      </c>
      <c r="P97" s="56" t="n">
        <f aca="false">IF(L97=1,IF($B$29&lt;=N97,1,0),0)</f>
        <v>0</v>
      </c>
      <c r="Q97" s="58" t="n">
        <f aca="false">Q96+N97</f>
        <v>83621.9255098968</v>
      </c>
    </row>
    <row r="98" customFormat="false" ht="15" hidden="false" customHeight="false" outlineLevel="0" collapsed="false">
      <c r="K98" s="56" t="n">
        <f aca="false">K97+1</f>
        <v>91</v>
      </c>
      <c r="L98" s="57" t="n">
        <f aca="false">IF(AND(K98&lt;=Assumptions!$C$42,L97=1,P97=0,O97&gt;Assumptions!$C$43),1,0)</f>
        <v>1</v>
      </c>
      <c r="M98" s="58" t="n">
        <f aca="false">O97</f>
        <v>254719.795734223</v>
      </c>
      <c r="N98" s="58" t="n">
        <f aca="false">IF(L98=1,M98*$B$25,0)</f>
        <v>849.065985780743</v>
      </c>
      <c r="O98" s="58" t="n">
        <f aca="false">IF(L98=1,M98+N98-$B$29,M98)</f>
        <v>254136.615833607</v>
      </c>
      <c r="P98" s="56" t="n">
        <f aca="false">IF(L98=1,IF($B$29&lt;=N98,1,0),0)</f>
        <v>0</v>
      </c>
      <c r="Q98" s="58" t="n">
        <f aca="false">Q97+N98</f>
        <v>84470.9914956775</v>
      </c>
    </row>
    <row r="99" customFormat="false" ht="15" hidden="false" customHeight="false" outlineLevel="0" collapsed="false">
      <c r="K99" s="56" t="n">
        <f aca="false">K98+1</f>
        <v>92</v>
      </c>
      <c r="L99" s="57" t="n">
        <f aca="false">IF(AND(K99&lt;=Assumptions!$C$42,L98=1,P98=0,O98&gt;Assumptions!$C$43),1,0)</f>
        <v>1</v>
      </c>
      <c r="M99" s="58" t="n">
        <f aca="false">O98</f>
        <v>254136.615833607</v>
      </c>
      <c r="N99" s="58" t="n">
        <f aca="false">IF(L99=1,M99*$B$25,0)</f>
        <v>847.122052778691</v>
      </c>
      <c r="O99" s="58" t="n">
        <f aca="false">IF(L99=1,M99+N99-$B$29,M99)</f>
        <v>253551.49199999</v>
      </c>
      <c r="P99" s="56" t="n">
        <f aca="false">IF(L99=1,IF($B$29&lt;=N99,1,0),0)</f>
        <v>0</v>
      </c>
      <c r="Q99" s="58" t="n">
        <f aca="false">Q98+N99</f>
        <v>85318.1135484562</v>
      </c>
    </row>
    <row r="100" customFormat="false" ht="15" hidden="false" customHeight="false" outlineLevel="0" collapsed="false">
      <c r="K100" s="56" t="n">
        <f aca="false">K99+1</f>
        <v>93</v>
      </c>
      <c r="L100" s="57" t="n">
        <f aca="false">IF(AND(K100&lt;=Assumptions!$C$42,L99=1,P99=0,O99&gt;Assumptions!$C$43),1,0)</f>
        <v>1</v>
      </c>
      <c r="M100" s="58" t="n">
        <f aca="false">O99</f>
        <v>253551.49199999</v>
      </c>
      <c r="N100" s="58" t="n">
        <f aca="false">IF(L100=1,M100*$B$25,0)</f>
        <v>845.171639999965</v>
      </c>
      <c r="O100" s="58" t="n">
        <f aca="false">IF(L100=1,M100+N100-$B$29,M100)</f>
        <v>252964.417753593</v>
      </c>
      <c r="P100" s="56" t="n">
        <f aca="false">IF(L100=1,IF($B$29&lt;=N100,1,0),0)</f>
        <v>0</v>
      </c>
      <c r="Q100" s="58" t="n">
        <f aca="false">Q99+N100</f>
        <v>86163.2851884562</v>
      </c>
    </row>
    <row r="101" customFormat="false" ht="15" hidden="false" customHeight="false" outlineLevel="0" collapsed="false">
      <c r="K101" s="56" t="n">
        <f aca="false">K100+1</f>
        <v>94</v>
      </c>
      <c r="L101" s="57" t="n">
        <f aca="false">IF(AND(K101&lt;=Assumptions!$C$42,L100=1,P100=0,O100&gt;Assumptions!$C$43),1,0)</f>
        <v>1</v>
      </c>
      <c r="M101" s="58" t="n">
        <f aca="false">O100</f>
        <v>252964.417753593</v>
      </c>
      <c r="N101" s="58" t="n">
        <f aca="false">IF(L101=1,M101*$B$25,0)</f>
        <v>843.214725845311</v>
      </c>
      <c r="O101" s="58" t="n">
        <f aca="false">IF(L101=1,M101+N101-$B$29,M101)</f>
        <v>252375.386593042</v>
      </c>
      <c r="P101" s="56" t="n">
        <f aca="false">IF(L101=1,IF($B$29&lt;=N101,1,0),0)</f>
        <v>0</v>
      </c>
      <c r="Q101" s="58" t="n">
        <f aca="false">Q100+N101</f>
        <v>87006.4999143015</v>
      </c>
    </row>
    <row r="102" customFormat="false" ht="15" hidden="false" customHeight="false" outlineLevel="0" collapsed="false">
      <c r="K102" s="56" t="n">
        <f aca="false">K101+1</f>
        <v>95</v>
      </c>
      <c r="L102" s="57" t="n">
        <f aca="false">IF(AND(K102&lt;=Assumptions!$C$42,L101=1,P101=0,O101&gt;Assumptions!$C$43),1,0)</f>
        <v>1</v>
      </c>
      <c r="M102" s="58" t="n">
        <f aca="false">O101</f>
        <v>252375.386593042</v>
      </c>
      <c r="N102" s="58" t="n">
        <f aca="false">IF(L102=1,M102*$B$25,0)</f>
        <v>841.251288643474</v>
      </c>
      <c r="O102" s="58" t="n">
        <f aca="false">IF(L102=1,M102+N102-$B$29,M102)</f>
        <v>251784.391995289</v>
      </c>
      <c r="P102" s="56" t="n">
        <f aca="false">IF(L102=1,IF($B$29&lt;=N102,1,0),0)</f>
        <v>0</v>
      </c>
      <c r="Q102" s="58" t="n">
        <f aca="false">Q101+N102</f>
        <v>87847.751202945</v>
      </c>
    </row>
    <row r="103" customFormat="false" ht="15" hidden="false" customHeight="false" outlineLevel="0" collapsed="false">
      <c r="K103" s="56" t="n">
        <f aca="false">K102+1</f>
        <v>96</v>
      </c>
      <c r="L103" s="57" t="n">
        <f aca="false">IF(AND(K103&lt;=Assumptions!$C$42,L102=1,P102=0,O102&gt;Assumptions!$C$43),1,0)</f>
        <v>1</v>
      </c>
      <c r="M103" s="58" t="n">
        <f aca="false">O102</f>
        <v>251784.391995289</v>
      </c>
      <c r="N103" s="58" t="n">
        <f aca="false">IF(L103=1,M103*$B$25,0)</f>
        <v>839.281306650964</v>
      </c>
      <c r="O103" s="58" t="n">
        <f aca="false">IF(L103=1,M103+N103-$B$29,M103)</f>
        <v>251191.427415544</v>
      </c>
      <c r="P103" s="56" t="n">
        <f aca="false">IF(L103=1,IF($B$29&lt;=N103,1,0),0)</f>
        <v>0</v>
      </c>
      <c r="Q103" s="58" t="n">
        <f aca="false">Q102+N103</f>
        <v>88687.0325095959</v>
      </c>
    </row>
    <row r="104" customFormat="false" ht="15" hidden="false" customHeight="false" outlineLevel="0" collapsed="false">
      <c r="K104" s="56" t="n">
        <f aca="false">K103+1</f>
        <v>97</v>
      </c>
      <c r="L104" s="57" t="n">
        <f aca="false">IF(AND(K104&lt;=Assumptions!$C$42,L103=1,P103=0,O103&gt;Assumptions!$C$43),1,0)</f>
        <v>1</v>
      </c>
      <c r="M104" s="58" t="n">
        <f aca="false">O103</f>
        <v>251191.427415544</v>
      </c>
      <c r="N104" s="58" t="n">
        <f aca="false">IF(L104=1,M104*$B$25,0)</f>
        <v>837.304758051813</v>
      </c>
      <c r="O104" s="58" t="n">
        <f aca="false">IF(L104=1,M104+N104-$B$29,M104)</f>
        <v>250596.486287199</v>
      </c>
      <c r="P104" s="56" t="n">
        <f aca="false">IF(L104=1,IF($B$29&lt;=N104,1,0),0)</f>
        <v>0</v>
      </c>
      <c r="Q104" s="58" t="n">
        <f aca="false">Q103+N104</f>
        <v>89524.3372676477</v>
      </c>
    </row>
    <row r="105" customFormat="false" ht="15" hidden="false" customHeight="false" outlineLevel="0" collapsed="false">
      <c r="K105" s="56" t="n">
        <f aca="false">K104+1</f>
        <v>98</v>
      </c>
      <c r="L105" s="57" t="n">
        <f aca="false">IF(AND(K105&lt;=Assumptions!$C$42,L104=1,P104=0,O104&gt;Assumptions!$C$43),1,0)</f>
        <v>1</v>
      </c>
      <c r="M105" s="58" t="n">
        <f aca="false">O104</f>
        <v>250596.486287199</v>
      </c>
      <c r="N105" s="58" t="n">
        <f aca="false">IF(L105=1,M105*$B$25,0)</f>
        <v>835.321620957331</v>
      </c>
      <c r="O105" s="58" t="n">
        <f aca="false">IF(L105=1,M105+N105-$B$29,M105)</f>
        <v>249999.56202176</v>
      </c>
      <c r="P105" s="56" t="n">
        <f aca="false">IF(L105=1,IF($B$29&lt;=N105,1,0),0)</f>
        <v>0</v>
      </c>
      <c r="Q105" s="58" t="n">
        <f aca="false">Q104+N105</f>
        <v>90359.6588886051</v>
      </c>
    </row>
    <row r="106" customFormat="false" ht="15" hidden="false" customHeight="false" outlineLevel="0" collapsed="false">
      <c r="K106" s="56" t="n">
        <f aca="false">K105+1</f>
        <v>99</v>
      </c>
      <c r="L106" s="57" t="n">
        <f aca="false">IF(AND(K106&lt;=Assumptions!$C$42,L105=1,P105=0,O105&gt;Assumptions!$C$43),1,0)</f>
        <v>1</v>
      </c>
      <c r="M106" s="58" t="n">
        <f aca="false">O105</f>
        <v>249999.56202176</v>
      </c>
      <c r="N106" s="58" t="n">
        <f aca="false">IF(L106=1,M106*$B$25,0)</f>
        <v>833.331873405868</v>
      </c>
      <c r="O106" s="58" t="n">
        <f aca="false">IF(L106=1,M106+N106-$B$29,M106)</f>
        <v>249400.64800877</v>
      </c>
      <c r="P106" s="56" t="n">
        <f aca="false">IF(L106=1,IF($B$29&lt;=N106,1,0),0)</f>
        <v>0</v>
      </c>
      <c r="Q106" s="58" t="n">
        <f aca="false">Q105+N106</f>
        <v>91192.9907620109</v>
      </c>
    </row>
    <row r="107" customFormat="false" ht="15" hidden="false" customHeight="false" outlineLevel="0" collapsed="false">
      <c r="K107" s="56" t="n">
        <f aca="false">K106+1</f>
        <v>100</v>
      </c>
      <c r="L107" s="57" t="n">
        <f aca="false">IF(AND(K107&lt;=Assumptions!$C$42,L106=1,P106=0,O106&gt;Assumptions!$C$43),1,0)</f>
        <v>1</v>
      </c>
      <c r="M107" s="58" t="n">
        <f aca="false">O106</f>
        <v>249400.64800877</v>
      </c>
      <c r="N107" s="58" t="n">
        <f aca="false">IF(L107=1,M107*$B$25,0)</f>
        <v>831.335493362566</v>
      </c>
      <c r="O107" s="58" t="n">
        <f aca="false">IF(L107=1,M107+N107-$B$29,M107)</f>
        <v>248799.737615736</v>
      </c>
      <c r="P107" s="56" t="n">
        <f aca="false">IF(L107=1,IF($B$29&lt;=N107,1,0),0)</f>
        <v>0</v>
      </c>
      <c r="Q107" s="58" t="n">
        <f aca="false">Q106+N107</f>
        <v>92024.3262553735</v>
      </c>
    </row>
    <row r="108" customFormat="false" ht="15" hidden="false" customHeight="false" outlineLevel="0" collapsed="false">
      <c r="K108" s="56" t="n">
        <f aca="false">K107+1</f>
        <v>101</v>
      </c>
      <c r="L108" s="57" t="n">
        <f aca="false">IF(AND(K108&lt;=Assumptions!$C$42,L107=1,P107=0,O107&gt;Assumptions!$C$43),1,0)</f>
        <v>1</v>
      </c>
      <c r="M108" s="58" t="n">
        <f aca="false">O107</f>
        <v>248799.737615736</v>
      </c>
      <c r="N108" s="58" t="n">
        <f aca="false">IF(L108=1,M108*$B$25,0)</f>
        <v>829.33245871912</v>
      </c>
      <c r="O108" s="58" t="n">
        <f aca="false">IF(L108=1,M108+N108-$B$29,M108)</f>
        <v>248196.824188059</v>
      </c>
      <c r="P108" s="56" t="n">
        <f aca="false">IF(L108=1,IF($B$29&lt;=N108,1,0),0)</f>
        <v>0</v>
      </c>
      <c r="Q108" s="58" t="n">
        <f aca="false">Q107+N108</f>
        <v>92853.6587140926</v>
      </c>
    </row>
    <row r="109" customFormat="false" ht="15" hidden="false" customHeight="false" outlineLevel="0" collapsed="false">
      <c r="K109" s="56" t="n">
        <f aca="false">K108+1</f>
        <v>102</v>
      </c>
      <c r="L109" s="57" t="n">
        <f aca="false">IF(AND(K109&lt;=Assumptions!$C$42,L108=1,P108=0,O108&gt;Assumptions!$C$43),1,0)</f>
        <v>1</v>
      </c>
      <c r="M109" s="58" t="n">
        <f aca="false">O108</f>
        <v>248196.824188059</v>
      </c>
      <c r="N109" s="58" t="n">
        <f aca="false">IF(L109=1,M109*$B$25,0)</f>
        <v>827.32274729353</v>
      </c>
      <c r="O109" s="58" t="n">
        <f aca="false">IF(L109=1,M109+N109-$B$29,M109)</f>
        <v>247591.901048956</v>
      </c>
      <c r="P109" s="56" t="n">
        <f aca="false">IF(L109=1,IF($B$29&lt;=N109,1,0),0)</f>
        <v>0</v>
      </c>
      <c r="Q109" s="58" t="n">
        <f aca="false">Q108+N109</f>
        <v>93680.9814613862</v>
      </c>
    </row>
    <row r="110" customFormat="false" ht="15" hidden="false" customHeight="false" outlineLevel="0" collapsed="false">
      <c r="K110" s="56" t="n">
        <f aca="false">K109+1</f>
        <v>103</v>
      </c>
      <c r="L110" s="57" t="n">
        <f aca="false">IF(AND(K110&lt;=Assumptions!$C$42,L109=1,P109=0,O109&gt;Assumptions!$C$43),1,0)</f>
        <v>1</v>
      </c>
      <c r="M110" s="58" t="n">
        <f aca="false">O109</f>
        <v>247591.901048956</v>
      </c>
      <c r="N110" s="58" t="n">
        <f aca="false">IF(L110=1,M110*$B$25,0)</f>
        <v>825.306336829853</v>
      </c>
      <c r="O110" s="58" t="n">
        <f aca="false">IF(L110=1,M110+N110-$B$29,M110)</f>
        <v>246984.96149939</v>
      </c>
      <c r="P110" s="56" t="n">
        <f aca="false">IF(L110=1,IF($B$29&lt;=N110,1,0),0)</f>
        <v>0</v>
      </c>
      <c r="Q110" s="58" t="n">
        <f aca="false">Q109+N110</f>
        <v>94506.287798216</v>
      </c>
    </row>
    <row r="111" customFormat="false" ht="15" hidden="false" customHeight="false" outlineLevel="0" collapsed="false">
      <c r="K111" s="56" t="n">
        <f aca="false">K110+1</f>
        <v>104</v>
      </c>
      <c r="L111" s="57" t="n">
        <f aca="false">IF(AND(K111&lt;=Assumptions!$C$42,L110=1,P110=0,O110&gt;Assumptions!$C$43),1,0)</f>
        <v>1</v>
      </c>
      <c r="M111" s="58" t="n">
        <f aca="false">O110</f>
        <v>246984.96149939</v>
      </c>
      <c r="N111" s="58" t="n">
        <f aca="false">IF(L111=1,M111*$B$25,0)</f>
        <v>823.283204997965</v>
      </c>
      <c r="O111" s="58" t="n">
        <f aca="false">IF(L111=1,M111+N111-$B$29,M111)</f>
        <v>246375.998817991</v>
      </c>
      <c r="P111" s="56" t="n">
        <f aca="false">IF(L111=1,IF($B$29&lt;=N111,1,0),0)</f>
        <v>0</v>
      </c>
      <c r="Q111" s="58" t="n">
        <f aca="false">Q110+N111</f>
        <v>95329.571003214</v>
      </c>
    </row>
    <row r="112" customFormat="false" ht="15" hidden="false" customHeight="false" outlineLevel="0" collapsed="false">
      <c r="K112" s="56" t="n">
        <f aca="false">K111+1</f>
        <v>105</v>
      </c>
      <c r="L112" s="57" t="n">
        <f aca="false">IF(AND(K112&lt;=Assumptions!$C$42,L111=1,P111=0,O111&gt;Assumptions!$C$43),1,0)</f>
        <v>1</v>
      </c>
      <c r="M112" s="58" t="n">
        <f aca="false">O111</f>
        <v>246375.998817991</v>
      </c>
      <c r="N112" s="58" t="n">
        <f aca="false">IF(L112=1,M112*$B$25,0)</f>
        <v>821.253329393304</v>
      </c>
      <c r="O112" s="58" t="n">
        <f aca="false">IF(L112=1,M112+N112-$B$29,M112)</f>
        <v>245765.006260988</v>
      </c>
      <c r="P112" s="56" t="n">
        <f aca="false">IF(L112=1,IF($B$29&lt;=N112,1,0),0)</f>
        <v>0</v>
      </c>
      <c r="Q112" s="58" t="n">
        <f aca="false">Q111+N112</f>
        <v>96150.8243326073</v>
      </c>
    </row>
    <row r="113" customFormat="false" ht="15" hidden="false" customHeight="false" outlineLevel="0" collapsed="false">
      <c r="K113" s="56" t="n">
        <f aca="false">K112+1</f>
        <v>106</v>
      </c>
      <c r="L113" s="57" t="n">
        <f aca="false">IF(AND(K113&lt;=Assumptions!$C$42,L112=1,P112=0,O112&gt;Assumptions!$C$43),1,0)</f>
        <v>1</v>
      </c>
      <c r="M113" s="58" t="n">
        <f aca="false">O112</f>
        <v>245765.006260988</v>
      </c>
      <c r="N113" s="58" t="n">
        <f aca="false">IF(L113=1,M113*$B$25,0)</f>
        <v>819.216687536627</v>
      </c>
      <c r="O113" s="58" t="n">
        <f aca="false">IF(L113=1,M113+N113-$B$29,M113)</f>
        <v>245151.977062128</v>
      </c>
      <c r="P113" s="56" t="n">
        <f aca="false">IF(L113=1,IF($B$29&lt;=N113,1,0),0)</f>
        <v>0</v>
      </c>
      <c r="Q113" s="58" t="n">
        <f aca="false">Q112+N113</f>
        <v>96970.0410201439</v>
      </c>
    </row>
    <row r="114" customFormat="false" ht="15" hidden="false" customHeight="false" outlineLevel="0" collapsed="false">
      <c r="K114" s="56" t="n">
        <f aca="false">K113+1</f>
        <v>107</v>
      </c>
      <c r="L114" s="57" t="n">
        <f aca="false">IF(AND(K114&lt;=Assumptions!$C$42,L113=1,P113=0,O113&gt;Assumptions!$C$43),1,0)</f>
        <v>1</v>
      </c>
      <c r="M114" s="58" t="n">
        <f aca="false">O113</f>
        <v>245151.977062128</v>
      </c>
      <c r="N114" s="58" t="n">
        <f aca="false">IF(L114=1,M114*$B$25,0)</f>
        <v>817.173256873761</v>
      </c>
      <c r="O114" s="58" t="n">
        <f aca="false">IF(L114=1,M114+N114-$B$29,M114)</f>
        <v>244536.904432606</v>
      </c>
      <c r="P114" s="56" t="n">
        <f aca="false">IF(L114=1,IF($B$29&lt;=N114,1,0),0)</f>
        <v>0</v>
      </c>
      <c r="Q114" s="58" t="n">
        <f aca="false">Q113+N114</f>
        <v>97787.2142770177</v>
      </c>
    </row>
    <row r="115" customFormat="false" ht="15" hidden="false" customHeight="false" outlineLevel="0" collapsed="false">
      <c r="K115" s="56" t="n">
        <f aca="false">K114+1</f>
        <v>108</v>
      </c>
      <c r="L115" s="57" t="n">
        <f aca="false">IF(AND(K115&lt;=Assumptions!$C$42,L114=1,P114=0,O114&gt;Assumptions!$C$43),1,0)</f>
        <v>1</v>
      </c>
      <c r="M115" s="58" t="n">
        <f aca="false">O114</f>
        <v>244536.904432606</v>
      </c>
      <c r="N115" s="58" t="n">
        <f aca="false">IF(L115=1,M115*$B$25,0)</f>
        <v>815.123014775353</v>
      </c>
      <c r="O115" s="58" t="n">
        <f aca="false">IF(L115=1,M115+N115-$B$29,M115)</f>
        <v>243919.781560985</v>
      </c>
      <c r="P115" s="56" t="n">
        <f aca="false">IF(L115=1,IF($B$29&lt;=N115,1,0),0)</f>
        <v>0</v>
      </c>
      <c r="Q115" s="58" t="n">
        <f aca="false">Q114+N115</f>
        <v>98602.337291793</v>
      </c>
    </row>
    <row r="116" customFormat="false" ht="15" hidden="false" customHeight="false" outlineLevel="0" collapsed="false">
      <c r="K116" s="56" t="n">
        <f aca="false">K115+1</f>
        <v>109</v>
      </c>
      <c r="L116" s="57" t="n">
        <f aca="false">IF(AND(K116&lt;=Assumptions!$C$42,L115=1,P115=0,O115&gt;Assumptions!$C$43),1,0)</f>
        <v>1</v>
      </c>
      <c r="M116" s="58" t="n">
        <f aca="false">O115</f>
        <v>243919.781560985</v>
      </c>
      <c r="N116" s="58" t="n">
        <f aca="false">IF(L116=1,M116*$B$25,0)</f>
        <v>813.065938536616</v>
      </c>
      <c r="O116" s="58" t="n">
        <f aca="false">IF(L116=1,M116+N116-$B$29,M116)</f>
        <v>243300.601613125</v>
      </c>
      <c r="P116" s="56" t="n">
        <f aca="false">IF(L116=1,IF($B$29&lt;=N116,1,0),0)</f>
        <v>0</v>
      </c>
      <c r="Q116" s="58" t="n">
        <f aca="false">Q115+N116</f>
        <v>99415.4032303296</v>
      </c>
    </row>
    <row r="117" customFormat="false" ht="15" hidden="false" customHeight="false" outlineLevel="0" collapsed="false">
      <c r="K117" s="56" t="n">
        <f aca="false">K116+1</f>
        <v>110</v>
      </c>
      <c r="L117" s="57" t="n">
        <f aca="false">IF(AND(K117&lt;=Assumptions!$C$42,L116=1,P116=0,O116&gt;Assumptions!$C$43),1,0)</f>
        <v>1</v>
      </c>
      <c r="M117" s="58" t="n">
        <f aca="false">O116</f>
        <v>243300.601613125</v>
      </c>
      <c r="N117" s="58" t="n">
        <f aca="false">IF(L117=1,M117*$B$25,0)</f>
        <v>811.002005377083</v>
      </c>
      <c r="O117" s="58" t="n">
        <f aca="false">IF(L117=1,M117+N117-$B$29,M117)</f>
        <v>242679.357732106</v>
      </c>
      <c r="P117" s="56" t="n">
        <f aca="false">IF(L117=1,IF($B$29&lt;=N117,1,0),0)</f>
        <v>0</v>
      </c>
      <c r="Q117" s="58" t="n">
        <f aca="false">Q116+N117</f>
        <v>100226.405235707</v>
      </c>
    </row>
    <row r="118" customFormat="false" ht="15" hidden="false" customHeight="false" outlineLevel="0" collapsed="false">
      <c r="K118" s="56" t="n">
        <f aca="false">K117+1</f>
        <v>111</v>
      </c>
      <c r="L118" s="57" t="n">
        <f aca="false">IF(AND(K118&lt;=Assumptions!$C$42,L117=1,P117=0,O117&gt;Assumptions!$C$43),1,0)</f>
        <v>1</v>
      </c>
      <c r="M118" s="58" t="n">
        <f aca="false">O117</f>
        <v>242679.357732106</v>
      </c>
      <c r="N118" s="58" t="n">
        <f aca="false">IF(L118=1,M118*$B$25,0)</f>
        <v>808.931192440353</v>
      </c>
      <c r="O118" s="58" t="n">
        <f aca="false">IF(L118=1,M118+N118-$B$29,M118)</f>
        <v>242056.04303815</v>
      </c>
      <c r="P118" s="56" t="n">
        <f aca="false">IF(L118=1,IF($B$29&lt;=N118,1,0),0)</f>
        <v>0</v>
      </c>
      <c r="Q118" s="58" t="n">
        <f aca="false">Q117+N118</f>
        <v>101035.336428147</v>
      </c>
    </row>
    <row r="119" customFormat="false" ht="15" hidden="false" customHeight="false" outlineLevel="0" collapsed="false">
      <c r="K119" s="56" t="n">
        <f aca="false">K118+1</f>
        <v>112</v>
      </c>
      <c r="L119" s="57" t="n">
        <f aca="false">IF(AND(K119&lt;=Assumptions!$C$42,L118=1,P118=0,O118&gt;Assumptions!$C$43),1,0)</f>
        <v>1</v>
      </c>
      <c r="M119" s="58" t="n">
        <f aca="false">O118</f>
        <v>242056.04303815</v>
      </c>
      <c r="N119" s="58" t="n">
        <f aca="false">IF(L119=1,M119*$B$25,0)</f>
        <v>806.853476793833</v>
      </c>
      <c r="O119" s="58" t="n">
        <f aca="false">IF(L119=1,M119+N119-$B$29,M119)</f>
        <v>241430.650628547</v>
      </c>
      <c r="P119" s="56" t="n">
        <f aca="false">IF(L119=1,IF($B$29&lt;=N119,1,0),0)</f>
        <v>0</v>
      </c>
      <c r="Q119" s="58" t="n">
        <f aca="false">Q118+N119</f>
        <v>101842.189904941</v>
      </c>
    </row>
    <row r="120" customFormat="false" ht="15" hidden="false" customHeight="false" outlineLevel="0" collapsed="false">
      <c r="K120" s="56" t="n">
        <f aca="false">K119+1</f>
        <v>113</v>
      </c>
      <c r="L120" s="57" t="n">
        <f aca="false">IF(AND(K120&lt;=Assumptions!$C$42,L119=1,P119=0,O119&gt;Assumptions!$C$43),1,0)</f>
        <v>1</v>
      </c>
      <c r="M120" s="58" t="n">
        <f aca="false">O119</f>
        <v>241430.650628547</v>
      </c>
      <c r="N120" s="58" t="n">
        <f aca="false">IF(L120=1,M120*$B$25,0)</f>
        <v>804.768835428491</v>
      </c>
      <c r="O120" s="58" t="n">
        <f aca="false">IF(L120=1,M120+N120-$B$29,M120)</f>
        <v>240803.173577579</v>
      </c>
      <c r="P120" s="56" t="n">
        <f aca="false">IF(L120=1,IF($B$29&lt;=N120,1,0),0)</f>
        <v>0</v>
      </c>
      <c r="Q120" s="58" t="n">
        <f aca="false">Q119+N120</f>
        <v>102646.958740369</v>
      </c>
    </row>
    <row r="121" customFormat="false" ht="15" hidden="false" customHeight="false" outlineLevel="0" collapsed="false">
      <c r="K121" s="56" t="n">
        <f aca="false">K120+1</f>
        <v>114</v>
      </c>
      <c r="L121" s="57" t="n">
        <f aca="false">IF(AND(K121&lt;=Assumptions!$C$42,L120=1,P120=0,O120&gt;Assumptions!$C$43),1,0)</f>
        <v>1</v>
      </c>
      <c r="M121" s="58" t="n">
        <f aca="false">O120</f>
        <v>240803.173577579</v>
      </c>
      <c r="N121" s="58" t="n">
        <f aca="false">IF(L121=1,M121*$B$25,0)</f>
        <v>802.677245258598</v>
      </c>
      <c r="O121" s="58" t="n">
        <f aca="false">IF(L121=1,M121+N121-$B$29,M121)</f>
        <v>240173.604936442</v>
      </c>
      <c r="P121" s="56" t="n">
        <f aca="false">IF(L121=1,IF($B$29&lt;=N121,1,0),0)</f>
        <v>0</v>
      </c>
      <c r="Q121" s="58" t="n">
        <f aca="false">Q120+N121</f>
        <v>103449.635985628</v>
      </c>
    </row>
    <row r="122" customFormat="false" ht="15" hidden="false" customHeight="false" outlineLevel="0" collapsed="false">
      <c r="K122" s="56" t="n">
        <f aca="false">K121+1</f>
        <v>115</v>
      </c>
      <c r="L122" s="57" t="n">
        <f aca="false">IF(AND(K122&lt;=Assumptions!$C$42,L121=1,P121=0,O121&gt;Assumptions!$C$43),1,0)</f>
        <v>1</v>
      </c>
      <c r="M122" s="58" t="n">
        <f aca="false">O121</f>
        <v>240173.604936442</v>
      </c>
      <c r="N122" s="58" t="n">
        <f aca="false">IF(L122=1,M122*$B$25,0)</f>
        <v>800.578683121472</v>
      </c>
      <c r="O122" s="58" t="n">
        <f aca="false">IF(L122=1,M122+N122-$B$29,M122)</f>
        <v>239541.937733167</v>
      </c>
      <c r="P122" s="56" t="n">
        <f aca="false">IF(L122=1,IF($B$29&lt;=N122,1,0),0)</f>
        <v>0</v>
      </c>
      <c r="Q122" s="58" t="n">
        <f aca="false">Q121+N122</f>
        <v>104250.214668749</v>
      </c>
    </row>
    <row r="123" customFormat="false" ht="15" hidden="false" customHeight="false" outlineLevel="0" collapsed="false">
      <c r="K123" s="56" t="n">
        <f aca="false">K122+1</f>
        <v>116</v>
      </c>
      <c r="L123" s="57" t="n">
        <f aca="false">IF(AND(K123&lt;=Assumptions!$C$42,L122=1,P122=0,O122&gt;Assumptions!$C$43),1,0)</f>
        <v>1</v>
      </c>
      <c r="M123" s="58" t="n">
        <f aca="false">O122</f>
        <v>239541.937733167</v>
      </c>
      <c r="N123" s="58" t="n">
        <f aca="false">IF(L123=1,M123*$B$25,0)</f>
        <v>798.473125777222</v>
      </c>
      <c r="O123" s="58" t="n">
        <f aca="false">IF(L123=1,M123+N123-$B$29,M123)</f>
        <v>238908.164972548</v>
      </c>
      <c r="P123" s="56" t="n">
        <f aca="false">IF(L123=1,IF($B$29&lt;=N123,1,0),0)</f>
        <v>0</v>
      </c>
      <c r="Q123" s="58" t="n">
        <f aca="false">Q122+N123</f>
        <v>105048.687794527</v>
      </c>
    </row>
    <row r="124" customFormat="false" ht="15" hidden="false" customHeight="false" outlineLevel="0" collapsed="false">
      <c r="K124" s="56" t="n">
        <f aca="false">K123+1</f>
        <v>117</v>
      </c>
      <c r="L124" s="57" t="n">
        <f aca="false">IF(AND(K124&lt;=Assumptions!$C$42,L123=1,P123=0,O123&gt;Assumptions!$C$43),1,0)</f>
        <v>1</v>
      </c>
      <c r="M124" s="58" t="n">
        <f aca="false">O123</f>
        <v>238908.164972548</v>
      </c>
      <c r="N124" s="58" t="n">
        <f aca="false">IF(L124=1,M124*$B$25,0)</f>
        <v>796.360549908492</v>
      </c>
      <c r="O124" s="58" t="n">
        <f aca="false">IF(L124=1,M124+N124-$B$29,M124)</f>
        <v>238272.27963606</v>
      </c>
      <c r="P124" s="56" t="n">
        <f aca="false">IF(L124=1,IF($B$29&lt;=N124,1,0),0)</f>
        <v>0</v>
      </c>
      <c r="Q124" s="58" t="n">
        <f aca="false">Q123+N124</f>
        <v>105845.048344435</v>
      </c>
    </row>
    <row r="125" customFormat="false" ht="15" hidden="false" customHeight="false" outlineLevel="0" collapsed="false">
      <c r="K125" s="56" t="n">
        <f aca="false">K124+1</f>
        <v>118</v>
      </c>
      <c r="L125" s="57" t="n">
        <f aca="false">IF(AND(K125&lt;=Assumptions!$C$42,L124=1,P124=0,O124&gt;Assumptions!$C$43),1,0)</f>
        <v>1</v>
      </c>
      <c r="M125" s="58" t="n">
        <f aca="false">O124</f>
        <v>238272.27963606</v>
      </c>
      <c r="N125" s="58" t="n">
        <f aca="false">IF(L125=1,M125*$B$25,0)</f>
        <v>794.240932120199</v>
      </c>
      <c r="O125" s="58" t="n">
        <f aca="false">IF(L125=1,M125+N125-$B$29,M125)</f>
        <v>237634.274681784</v>
      </c>
      <c r="P125" s="56" t="n">
        <f aca="false">IF(L125=1,IF($B$29&lt;=N125,1,0),0)</f>
        <v>0</v>
      </c>
      <c r="Q125" s="58" t="n">
        <f aca="false">Q124+N125</f>
        <v>106639.289276555</v>
      </c>
    </row>
    <row r="126" customFormat="false" ht="15" hidden="false" customHeight="false" outlineLevel="0" collapsed="false">
      <c r="K126" s="56" t="n">
        <f aca="false">K125+1</f>
        <v>119</v>
      </c>
      <c r="L126" s="57" t="n">
        <f aca="false">IF(AND(K126&lt;=Assumptions!$C$42,L125=1,P125=0,O125&gt;Assumptions!$C$43),1,0)</f>
        <v>1</v>
      </c>
      <c r="M126" s="58" t="n">
        <f aca="false">O125</f>
        <v>237634.274681784</v>
      </c>
      <c r="N126" s="58" t="n">
        <f aca="false">IF(L126=1,M126*$B$25,0)</f>
        <v>792.114248939279</v>
      </c>
      <c r="O126" s="58" t="n">
        <f aca="false">IF(L126=1,M126+N126-$B$29,M126)</f>
        <v>236994.143044326</v>
      </c>
      <c r="P126" s="56" t="n">
        <f aca="false">IF(L126=1,IF($B$29&lt;=N126,1,0),0)</f>
        <v>0</v>
      </c>
      <c r="Q126" s="58" t="n">
        <f aca="false">Q125+N126</f>
        <v>107431.403525495</v>
      </c>
    </row>
    <row r="127" customFormat="false" ht="15" hidden="false" customHeight="false" outlineLevel="0" collapsed="false">
      <c r="K127" s="56" t="n">
        <f aca="false">K126+1</f>
        <v>120</v>
      </c>
      <c r="L127" s="57" t="n">
        <f aca="false">IF(AND(K127&lt;=Assumptions!$C$42,L126=1,P126=0,O126&gt;Assumptions!$C$43),1,0)</f>
        <v>1</v>
      </c>
      <c r="M127" s="58" t="n">
        <f aca="false">O126</f>
        <v>236994.143044326</v>
      </c>
      <c r="N127" s="58" t="n">
        <f aca="false">IF(L127=1,M127*$B$25,0)</f>
        <v>789.980476814422</v>
      </c>
      <c r="O127" s="58" t="n">
        <f aca="false">IF(L127=1,M127+N127-$B$29,M127)</f>
        <v>236351.877634745</v>
      </c>
      <c r="P127" s="56" t="n">
        <f aca="false">IF(L127=1,IF($B$29&lt;=N127,1,0),0)</f>
        <v>0</v>
      </c>
      <c r="Q127" s="58" t="n">
        <f aca="false">Q126+N127</f>
        <v>108221.384002309</v>
      </c>
    </row>
    <row r="128" customFormat="false" ht="15" hidden="false" customHeight="false" outlineLevel="0" collapsed="false">
      <c r="K128" s="56" t="n">
        <f aca="false">K127+1</f>
        <v>121</v>
      </c>
      <c r="L128" s="57" t="n">
        <f aca="false">IF(AND(K128&lt;=Assumptions!$C$42,L127=1,P127=0,O127&gt;Assumptions!$C$43),1,0)</f>
        <v>1</v>
      </c>
      <c r="M128" s="58" t="n">
        <f aca="false">O127</f>
        <v>236351.877634745</v>
      </c>
      <c r="N128" s="58" t="n">
        <f aca="false">IF(L128=1,M128*$B$25,0)</f>
        <v>787.839592115815</v>
      </c>
      <c r="O128" s="58" t="n">
        <f aca="false">IF(L128=1,M128+N128-$B$29,M128)</f>
        <v>235707.471340464</v>
      </c>
      <c r="P128" s="56" t="n">
        <f aca="false">IF(L128=1,IF($B$29&lt;=N128,1,0),0)</f>
        <v>0</v>
      </c>
      <c r="Q128" s="58" t="n">
        <f aca="false">Q127+N128</f>
        <v>109009.223594425</v>
      </c>
    </row>
    <row r="129" customFormat="false" ht="15" hidden="false" customHeight="false" outlineLevel="0" collapsed="false">
      <c r="K129" s="56" t="n">
        <f aca="false">K128+1</f>
        <v>122</v>
      </c>
      <c r="L129" s="57" t="n">
        <f aca="false">IF(AND(K129&lt;=Assumptions!$C$42,L128=1,P128=0,O128&gt;Assumptions!$C$43),1,0)</f>
        <v>1</v>
      </c>
      <c r="M129" s="58" t="n">
        <f aca="false">O128</f>
        <v>235707.471340464</v>
      </c>
      <c r="N129" s="58" t="n">
        <f aca="false">IF(L129=1,M129*$B$25,0)</f>
        <v>785.69157113488</v>
      </c>
      <c r="O129" s="58" t="n">
        <f aca="false">IF(L129=1,M129+N129-$B$29,M129)</f>
        <v>235060.917025202</v>
      </c>
      <c r="P129" s="56" t="n">
        <f aca="false">IF(L129=1,IF($B$29&lt;=N129,1,0),0)</f>
        <v>0</v>
      </c>
      <c r="Q129" s="58" t="n">
        <f aca="false">Q128+N129</f>
        <v>109794.91516556</v>
      </c>
    </row>
    <row r="130" customFormat="false" ht="15" hidden="false" customHeight="false" outlineLevel="0" collapsed="false">
      <c r="K130" s="56" t="n">
        <f aca="false">K129+1</f>
        <v>123</v>
      </c>
      <c r="L130" s="57" t="n">
        <f aca="false">IF(AND(K130&lt;=Assumptions!$C$42,L129=1,P129=0,O129&gt;Assumptions!$C$43),1,0)</f>
        <v>1</v>
      </c>
      <c r="M130" s="58" t="n">
        <f aca="false">O129</f>
        <v>235060.917025202</v>
      </c>
      <c r="N130" s="58" t="n">
        <f aca="false">IF(L130=1,M130*$B$25,0)</f>
        <v>783.536390084008</v>
      </c>
      <c r="O130" s="58" t="n">
        <f aca="false">IF(L130=1,M130+N130-$B$29,M130)</f>
        <v>234412.20752889</v>
      </c>
      <c r="P130" s="56" t="n">
        <f aca="false">IF(L130=1,IF($B$29&lt;=N130,1,0),0)</f>
        <v>0</v>
      </c>
      <c r="Q130" s="58" t="n">
        <f aca="false">Q129+N130</f>
        <v>110578.451555644</v>
      </c>
    </row>
    <row r="131" customFormat="false" ht="15" hidden="false" customHeight="false" outlineLevel="0" collapsed="false">
      <c r="K131" s="56" t="n">
        <f aca="false">K130+1</f>
        <v>124</v>
      </c>
      <c r="L131" s="57" t="n">
        <f aca="false">IF(AND(K131&lt;=Assumptions!$C$42,L130=1,P130=0,O130&gt;Assumptions!$C$43),1,0)</f>
        <v>1</v>
      </c>
      <c r="M131" s="58" t="n">
        <f aca="false">O130</f>
        <v>234412.20752889</v>
      </c>
      <c r="N131" s="58" t="n">
        <f aca="false">IF(L131=1,M131*$B$25,0)</f>
        <v>781.374025096301</v>
      </c>
      <c r="O131" s="58" t="n">
        <f aca="false">IF(L131=1,M131+N131-$B$29,M131)</f>
        <v>233761.33566759</v>
      </c>
      <c r="P131" s="56" t="n">
        <f aca="false">IF(L131=1,IF($B$29&lt;=N131,1,0),0)</f>
        <v>0</v>
      </c>
      <c r="Q131" s="58" t="n">
        <f aca="false">Q130+N131</f>
        <v>111359.82558074</v>
      </c>
    </row>
    <row r="132" customFormat="false" ht="15" hidden="false" customHeight="false" outlineLevel="0" collapsed="false">
      <c r="K132" s="56" t="n">
        <f aca="false">K131+1</f>
        <v>125</v>
      </c>
      <c r="L132" s="57" t="n">
        <f aca="false">IF(AND(K132&lt;=Assumptions!$C$42,L131=1,P131=0,O131&gt;Assumptions!$C$43),1,0)</f>
        <v>1</v>
      </c>
      <c r="M132" s="58" t="n">
        <f aca="false">O131</f>
        <v>233761.33566759</v>
      </c>
      <c r="N132" s="58" t="n">
        <f aca="false">IF(L132=1,M132*$B$25,0)</f>
        <v>779.2044522253</v>
      </c>
      <c r="O132" s="58" t="n">
        <f aca="false">IF(L132=1,M132+N132-$B$29,M132)</f>
        <v>233108.294233419</v>
      </c>
      <c r="P132" s="56" t="n">
        <f aca="false">IF(L132=1,IF($B$29&lt;=N132,1,0),0)</f>
        <v>0</v>
      </c>
      <c r="Q132" s="58" t="n">
        <f aca="false">Q131+N132</f>
        <v>112139.030032965</v>
      </c>
    </row>
    <row r="133" customFormat="false" ht="15" hidden="false" customHeight="false" outlineLevel="0" collapsed="false">
      <c r="K133" s="56" t="n">
        <f aca="false">K132+1</f>
        <v>126</v>
      </c>
      <c r="L133" s="57" t="n">
        <f aca="false">IF(AND(K133&lt;=Assumptions!$C$42,L132=1,P132=0,O132&gt;Assumptions!$C$43),1,0)</f>
        <v>1</v>
      </c>
      <c r="M133" s="58" t="n">
        <f aca="false">O132</f>
        <v>233108.294233419</v>
      </c>
      <c r="N133" s="58" t="n">
        <f aca="false">IF(L133=1,M133*$B$25,0)</f>
        <v>777.02764744473</v>
      </c>
      <c r="O133" s="58" t="n">
        <f aca="false">IF(L133=1,M133+N133-$B$29,M133)</f>
        <v>232453.075994467</v>
      </c>
      <c r="P133" s="56" t="n">
        <f aca="false">IF(L133=1,IF($B$29&lt;=N133,1,0),0)</f>
        <v>0</v>
      </c>
      <c r="Q133" s="58" t="n">
        <f aca="false">Q132+N133</f>
        <v>112916.05768041</v>
      </c>
    </row>
    <row r="134" customFormat="false" ht="15" hidden="false" customHeight="false" outlineLevel="0" collapsed="false">
      <c r="K134" s="56" t="n">
        <f aca="false">K133+1</f>
        <v>127</v>
      </c>
      <c r="L134" s="57" t="n">
        <f aca="false">IF(AND(K134&lt;=Assumptions!$C$42,L133=1,P133=0,O133&gt;Assumptions!$C$43),1,0)</f>
        <v>1</v>
      </c>
      <c r="M134" s="58" t="n">
        <f aca="false">O133</f>
        <v>232453.075994467</v>
      </c>
      <c r="N134" s="58" t="n">
        <f aca="false">IF(L134=1,M134*$B$25,0)</f>
        <v>774.843586648225</v>
      </c>
      <c r="O134" s="58" t="n">
        <f aca="false">IF(L134=1,M134+N134-$B$29,M134)</f>
        <v>231795.673694719</v>
      </c>
      <c r="P134" s="56" t="n">
        <f aca="false">IF(L134=1,IF($B$29&lt;=N134,1,0),0)</f>
        <v>0</v>
      </c>
      <c r="Q134" s="58" t="n">
        <f aca="false">Q133+N134</f>
        <v>113690.901267058</v>
      </c>
    </row>
    <row r="135" customFormat="false" ht="15" hidden="false" customHeight="false" outlineLevel="0" collapsed="false">
      <c r="K135" s="56" t="n">
        <f aca="false">K134+1</f>
        <v>128</v>
      </c>
      <c r="L135" s="57" t="n">
        <f aca="false">IF(AND(K135&lt;=Assumptions!$C$42,L134=1,P134=0,O134&gt;Assumptions!$C$43),1,0)</f>
        <v>1</v>
      </c>
      <c r="M135" s="58" t="n">
        <f aca="false">O134</f>
        <v>231795.673694719</v>
      </c>
      <c r="N135" s="58" t="n">
        <f aca="false">IF(L135=1,M135*$B$25,0)</f>
        <v>772.652245649064</v>
      </c>
      <c r="O135" s="58" t="n">
        <f aca="false">IF(L135=1,M135+N135-$B$29,M135)</f>
        <v>231136.080053972</v>
      </c>
      <c r="P135" s="56" t="n">
        <f aca="false">IF(L135=1,IF($B$29&lt;=N135,1,0),0)</f>
        <v>0</v>
      </c>
      <c r="Q135" s="58" t="n">
        <f aca="false">Q134+N135</f>
        <v>114463.553512707</v>
      </c>
    </row>
    <row r="136" customFormat="false" ht="15" hidden="false" customHeight="false" outlineLevel="0" collapsed="false">
      <c r="K136" s="56" t="n">
        <f aca="false">K135+1</f>
        <v>129</v>
      </c>
      <c r="L136" s="57" t="n">
        <f aca="false">IF(AND(K136&lt;=Assumptions!$C$42,L135=1,P135=0,O135&gt;Assumptions!$C$43),1,0)</f>
        <v>1</v>
      </c>
      <c r="M136" s="58" t="n">
        <f aca="false">O135</f>
        <v>231136.080053972</v>
      </c>
      <c r="N136" s="58" t="n">
        <f aca="false">IF(L136=1,M136*$B$25,0)</f>
        <v>770.453600179907</v>
      </c>
      <c r="O136" s="58" t="n">
        <f aca="false">IF(L136=1,M136+N136-$B$29,M136)</f>
        <v>230474.287767756</v>
      </c>
      <c r="P136" s="56" t="n">
        <f aca="false">IF(L136=1,IF($B$29&lt;=N136,1,0),0)</f>
        <v>0</v>
      </c>
      <c r="Q136" s="58" t="n">
        <f aca="false">Q135+N136</f>
        <v>115234.007112887</v>
      </c>
    </row>
    <row r="137" customFormat="false" ht="15" hidden="false" customHeight="false" outlineLevel="0" collapsed="false">
      <c r="K137" s="56" t="n">
        <f aca="false">K136+1</f>
        <v>130</v>
      </c>
      <c r="L137" s="57" t="n">
        <f aca="false">IF(AND(K137&lt;=Assumptions!$C$42,L136=1,P136=0,O136&gt;Assumptions!$C$43),1,0)</f>
        <v>1</v>
      </c>
      <c r="M137" s="58" t="n">
        <f aca="false">O136</f>
        <v>230474.287767756</v>
      </c>
      <c r="N137" s="58" t="n">
        <f aca="false">IF(L137=1,M137*$B$25,0)</f>
        <v>768.247625892519</v>
      </c>
      <c r="O137" s="58" t="n">
        <f aca="false">IF(L137=1,M137+N137-$B$29,M137)</f>
        <v>229810.289507252</v>
      </c>
      <c r="P137" s="56" t="n">
        <f aca="false">IF(L137=1,IF($B$29&lt;=N137,1,0),0)</f>
        <v>0</v>
      </c>
      <c r="Q137" s="58" t="n">
        <f aca="false">Q136+N137</f>
        <v>116002.25473878</v>
      </c>
    </row>
    <row r="138" customFormat="false" ht="15" hidden="false" customHeight="false" outlineLevel="0" collapsed="false">
      <c r="K138" s="56" t="n">
        <f aca="false">K137+1</f>
        <v>131</v>
      </c>
      <c r="L138" s="57" t="n">
        <f aca="false">IF(AND(K138&lt;=Assumptions!$C$42,L137=1,P137=0,O137&gt;Assumptions!$C$43),1,0)</f>
        <v>1</v>
      </c>
      <c r="M138" s="58" t="n">
        <f aca="false">O137</f>
        <v>229810.289507252</v>
      </c>
      <c r="N138" s="58" t="n">
        <f aca="false">IF(L138=1,M138*$B$25,0)</f>
        <v>766.034298357506</v>
      </c>
      <c r="O138" s="58" t="n">
        <f aca="false">IF(L138=1,M138+N138-$B$29,M138)</f>
        <v>229144.077919213</v>
      </c>
      <c r="P138" s="56" t="n">
        <f aca="false">IF(L138=1,IF($B$29&lt;=N138,1,0),0)</f>
        <v>0</v>
      </c>
      <c r="Q138" s="58" t="n">
        <f aca="false">Q137+N138</f>
        <v>116768.289037137</v>
      </c>
    </row>
    <row r="139" customFormat="false" ht="15" hidden="false" customHeight="false" outlineLevel="0" collapsed="false">
      <c r="K139" s="56" t="n">
        <f aca="false">K138+1</f>
        <v>132</v>
      </c>
      <c r="L139" s="57" t="n">
        <f aca="false">IF(AND(K139&lt;=Assumptions!$C$42,L138=1,P138=0,O138&gt;Assumptions!$C$43),1,0)</f>
        <v>1</v>
      </c>
      <c r="M139" s="58" t="n">
        <f aca="false">O138</f>
        <v>229144.077919213</v>
      </c>
      <c r="N139" s="58" t="n">
        <f aca="false">IF(L139=1,M139*$B$25,0)</f>
        <v>763.813593064043</v>
      </c>
      <c r="O139" s="58" t="n">
        <f aca="false">IF(L139=1,M139+N139-$B$29,M139)</f>
        <v>228475.645625881</v>
      </c>
      <c r="P139" s="56" t="n">
        <f aca="false">IF(L139=1,IF($B$29&lt;=N139,1,0),0)</f>
        <v>0</v>
      </c>
      <c r="Q139" s="58" t="n">
        <f aca="false">Q138+N139</f>
        <v>117532.102630201</v>
      </c>
    </row>
    <row r="140" customFormat="false" ht="15" hidden="false" customHeight="false" outlineLevel="0" collapsed="false">
      <c r="K140" s="56" t="n">
        <f aca="false">K139+1</f>
        <v>133</v>
      </c>
      <c r="L140" s="57" t="n">
        <f aca="false">IF(AND(K140&lt;=Assumptions!$C$42,L139=1,P139=0,O139&gt;Assumptions!$C$43),1,0)</f>
        <v>1</v>
      </c>
      <c r="M140" s="58" t="n">
        <f aca="false">O139</f>
        <v>228475.645625881</v>
      </c>
      <c r="N140" s="58" t="n">
        <f aca="false">IF(L140=1,M140*$B$25,0)</f>
        <v>761.585485419602</v>
      </c>
      <c r="O140" s="58" t="n">
        <f aca="false">IF(L140=1,M140+N140-$B$29,M140)</f>
        <v>227804.985224904</v>
      </c>
      <c r="P140" s="56" t="n">
        <f aca="false">IF(L140=1,IF($B$29&lt;=N140,1,0),0)</f>
        <v>0</v>
      </c>
      <c r="Q140" s="58" t="n">
        <f aca="false">Q139+N140</f>
        <v>118293.688115621</v>
      </c>
    </row>
    <row r="141" customFormat="false" ht="15" hidden="false" customHeight="false" outlineLevel="0" collapsed="false">
      <c r="K141" s="56" t="n">
        <f aca="false">K140+1</f>
        <v>134</v>
      </c>
      <c r="L141" s="57" t="n">
        <f aca="false">IF(AND(K141&lt;=Assumptions!$C$42,L140=1,P140=0,O140&gt;Assumptions!$C$43),1,0)</f>
        <v>1</v>
      </c>
      <c r="M141" s="58" t="n">
        <f aca="false">O140</f>
        <v>227804.985224904</v>
      </c>
      <c r="N141" s="58" t="n">
        <f aca="false">IF(L141=1,M141*$B$25,0)</f>
        <v>759.349950749679</v>
      </c>
      <c r="O141" s="58" t="n">
        <f aca="false">IF(L141=1,M141+N141-$B$29,M141)</f>
        <v>227132.089289257</v>
      </c>
      <c r="P141" s="56" t="n">
        <f aca="false">IF(L141=1,IF($B$29&lt;=N141,1,0),0)</f>
        <v>0</v>
      </c>
      <c r="Q141" s="58" t="n">
        <f aca="false">Q140+N141</f>
        <v>119053.038066371</v>
      </c>
    </row>
    <row r="142" customFormat="false" ht="15" hidden="false" customHeight="false" outlineLevel="0" collapsed="false">
      <c r="K142" s="56" t="n">
        <f aca="false">K141+1</f>
        <v>135</v>
      </c>
      <c r="L142" s="57" t="n">
        <f aca="false">IF(AND(K142&lt;=Assumptions!$C$42,L141=1,P141=0,O141&gt;Assumptions!$C$43),1,0)</f>
        <v>1</v>
      </c>
      <c r="M142" s="58" t="n">
        <f aca="false">O141</f>
        <v>227132.089289257</v>
      </c>
      <c r="N142" s="58" t="n">
        <f aca="false">IF(L142=1,M142*$B$25,0)</f>
        <v>757.106964297524</v>
      </c>
      <c r="O142" s="58" t="n">
        <f aca="false">IF(L142=1,M142+N142-$B$29,M142)</f>
        <v>226456.950367158</v>
      </c>
      <c r="P142" s="56" t="n">
        <f aca="false">IF(L142=1,IF($B$29&lt;=N142,1,0),0)</f>
        <v>0</v>
      </c>
      <c r="Q142" s="58" t="n">
        <f aca="false">Q141+N142</f>
        <v>119810.145030668</v>
      </c>
    </row>
    <row r="143" customFormat="false" ht="15" hidden="false" customHeight="false" outlineLevel="0" collapsed="false">
      <c r="K143" s="56" t="n">
        <f aca="false">K142+1</f>
        <v>136</v>
      </c>
      <c r="L143" s="57" t="n">
        <f aca="false">IF(AND(K143&lt;=Assumptions!$C$42,L142=1,P142=0,O142&gt;Assumptions!$C$43),1,0)</f>
        <v>1</v>
      </c>
      <c r="M143" s="58" t="n">
        <f aca="false">O142</f>
        <v>226456.950367158</v>
      </c>
      <c r="N143" s="58" t="n">
        <f aca="false">IF(L143=1,M143*$B$25,0)</f>
        <v>754.856501223861</v>
      </c>
      <c r="O143" s="58" t="n">
        <f aca="false">IF(L143=1,M143+N143-$B$29,M143)</f>
        <v>225779.560981986</v>
      </c>
      <c r="P143" s="56" t="n">
        <f aca="false">IF(L143=1,IF($B$29&lt;=N143,1,0),0)</f>
        <v>0</v>
      </c>
      <c r="Q143" s="58" t="n">
        <f aca="false">Q142+N143</f>
        <v>120565.001531892</v>
      </c>
    </row>
    <row r="144" customFormat="false" ht="15" hidden="false" customHeight="false" outlineLevel="0" collapsed="false">
      <c r="K144" s="56" t="n">
        <f aca="false">K143+1</f>
        <v>137</v>
      </c>
      <c r="L144" s="57" t="n">
        <f aca="false">IF(AND(K144&lt;=Assumptions!$C$42,L143=1,P143=0,O143&gt;Assumptions!$C$43),1,0)</f>
        <v>1</v>
      </c>
      <c r="M144" s="58" t="n">
        <f aca="false">O143</f>
        <v>225779.560981986</v>
      </c>
      <c r="N144" s="58" t="n">
        <f aca="false">IF(L144=1,M144*$B$25,0)</f>
        <v>752.598536606619</v>
      </c>
      <c r="O144" s="58" t="n">
        <f aca="false">IF(L144=1,M144+N144-$B$29,M144)</f>
        <v>225099.913632196</v>
      </c>
      <c r="P144" s="56" t="n">
        <f aca="false">IF(L144=1,IF($B$29&lt;=N144,1,0),0)</f>
        <v>0</v>
      </c>
      <c r="Q144" s="58" t="n">
        <f aca="false">Q143+N144</f>
        <v>121317.600068499</v>
      </c>
    </row>
    <row r="145" customFormat="false" ht="15" hidden="false" customHeight="false" outlineLevel="0" collapsed="false">
      <c r="K145" s="56" t="n">
        <f aca="false">K144+1</f>
        <v>138</v>
      </c>
      <c r="L145" s="57" t="n">
        <f aca="false">IF(AND(K145&lt;=Assumptions!$C$42,L144=1,P144=0,O144&gt;Assumptions!$C$43),1,0)</f>
        <v>1</v>
      </c>
      <c r="M145" s="58" t="n">
        <f aca="false">O144</f>
        <v>225099.913632196</v>
      </c>
      <c r="N145" s="58" t="n">
        <f aca="false">IF(L145=1,M145*$B$25,0)</f>
        <v>750.333045440654</v>
      </c>
      <c r="O145" s="58" t="n">
        <f aca="false">IF(L145=1,M145+N145-$B$29,M145)</f>
        <v>224418.00079124</v>
      </c>
      <c r="P145" s="56" t="n">
        <f aca="false">IF(L145=1,IF($B$29&lt;=N145,1,0),0)</f>
        <v>0</v>
      </c>
      <c r="Q145" s="58" t="n">
        <f aca="false">Q144+N145</f>
        <v>122067.933113939</v>
      </c>
    </row>
    <row r="146" customFormat="false" ht="15" hidden="false" customHeight="false" outlineLevel="0" collapsed="false">
      <c r="K146" s="56" t="n">
        <f aca="false">K145+1</f>
        <v>139</v>
      </c>
      <c r="L146" s="57" t="n">
        <f aca="false">IF(AND(K146&lt;=Assumptions!$C$42,L145=1,P145=0,O145&gt;Assumptions!$C$43),1,0)</f>
        <v>1</v>
      </c>
      <c r="M146" s="58" t="n">
        <f aca="false">O145</f>
        <v>224418.00079124</v>
      </c>
      <c r="N146" s="58" t="n">
        <f aca="false">IF(L146=1,M146*$B$25,0)</f>
        <v>748.060002637468</v>
      </c>
      <c r="O146" s="58" t="n">
        <f aca="false">IF(L146=1,M146+N146-$B$29,M146)</f>
        <v>223733.814907482</v>
      </c>
      <c r="P146" s="56" t="n">
        <f aca="false">IF(L146=1,IF($B$29&lt;=N146,1,0),0)</f>
        <v>0</v>
      </c>
      <c r="Q146" s="58" t="n">
        <f aca="false">Q145+N146</f>
        <v>122815.993116577</v>
      </c>
    </row>
    <row r="147" customFormat="false" ht="15" hidden="false" customHeight="false" outlineLevel="0" collapsed="false">
      <c r="K147" s="56" t="n">
        <f aca="false">K146+1</f>
        <v>140</v>
      </c>
      <c r="L147" s="57" t="n">
        <f aca="false">IF(AND(K147&lt;=Assumptions!$C$42,L146=1,P146=0,O146&gt;Assumptions!$C$43),1,0)</f>
        <v>1</v>
      </c>
      <c r="M147" s="58" t="n">
        <f aca="false">O146</f>
        <v>223733.814907482</v>
      </c>
      <c r="N147" s="58" t="n">
        <f aca="false">IF(L147=1,M147*$B$25,0)</f>
        <v>745.779383024938</v>
      </c>
      <c r="O147" s="58" t="n">
        <f aca="false">IF(L147=1,M147+N147-$B$29,M147)</f>
        <v>223047.34840411</v>
      </c>
      <c r="P147" s="56" t="n">
        <f aca="false">IF(L147=1,IF($B$29&lt;=N147,1,0),0)</f>
        <v>0</v>
      </c>
      <c r="Q147" s="58" t="n">
        <f aca="false">Q146+N147</f>
        <v>123561.772499602</v>
      </c>
    </row>
    <row r="148" customFormat="false" ht="15" hidden="false" customHeight="false" outlineLevel="0" collapsed="false">
      <c r="K148" s="56" t="n">
        <f aca="false">K147+1</f>
        <v>141</v>
      </c>
      <c r="L148" s="57" t="n">
        <f aca="false">IF(AND(K148&lt;=Assumptions!$C$42,L147=1,P147=0,O147&gt;Assumptions!$C$43),1,0)</f>
        <v>1</v>
      </c>
      <c r="M148" s="58" t="n">
        <f aca="false">O147</f>
        <v>223047.34840411</v>
      </c>
      <c r="N148" s="58" t="n">
        <f aca="false">IF(L148=1,M148*$B$25,0)</f>
        <v>743.491161347034</v>
      </c>
      <c r="O148" s="58" t="n">
        <f aca="false">IF(L148=1,M148+N148-$B$29,M148)</f>
        <v>222358.593679061</v>
      </c>
      <c r="P148" s="56" t="n">
        <f aca="false">IF(L148=1,IF($B$29&lt;=N148,1,0),0)</f>
        <v>0</v>
      </c>
      <c r="Q148" s="58" t="n">
        <f aca="false">Q147+N148</f>
        <v>124305.263660949</v>
      </c>
    </row>
    <row r="149" customFormat="false" ht="15" hidden="false" customHeight="false" outlineLevel="0" collapsed="false">
      <c r="K149" s="56" t="n">
        <f aca="false">K148+1</f>
        <v>142</v>
      </c>
      <c r="L149" s="57" t="n">
        <f aca="false">IF(AND(K149&lt;=Assumptions!$C$42,L148=1,P148=0,O148&gt;Assumptions!$C$43),1,0)</f>
        <v>1</v>
      </c>
      <c r="M149" s="58" t="n">
        <f aca="false">O148</f>
        <v>222358.593679061</v>
      </c>
      <c r="N149" s="58" t="n">
        <f aca="false">IF(L149=1,M149*$B$25,0)</f>
        <v>741.195312263536</v>
      </c>
      <c r="O149" s="58" t="n">
        <f aca="false">IF(L149=1,M149+N149-$B$29,M149)</f>
        <v>221667.543104928</v>
      </c>
      <c r="P149" s="56" t="n">
        <f aca="false">IF(L149=1,IF($B$29&lt;=N149,1,0),0)</f>
        <v>0</v>
      </c>
      <c r="Q149" s="58" t="n">
        <f aca="false">Q148+N149</f>
        <v>125046.458973212</v>
      </c>
    </row>
    <row r="150" customFormat="false" ht="15" hidden="false" customHeight="false" outlineLevel="0" collapsed="false">
      <c r="K150" s="56" t="n">
        <f aca="false">K149+1</f>
        <v>143</v>
      </c>
      <c r="L150" s="57" t="n">
        <f aca="false">IF(AND(K150&lt;=Assumptions!$C$42,L149=1,P149=0,O149&gt;Assumptions!$C$43),1,0)</f>
        <v>1</v>
      </c>
      <c r="M150" s="58" t="n">
        <f aca="false">O149</f>
        <v>221667.543104928</v>
      </c>
      <c r="N150" s="58" t="n">
        <f aca="false">IF(L150=1,M150*$B$25,0)</f>
        <v>738.89181034976</v>
      </c>
      <c r="O150" s="58" t="n">
        <f aca="false">IF(L150=1,M150+N150-$B$29,M150)</f>
        <v>220974.189028881</v>
      </c>
      <c r="P150" s="56" t="n">
        <f aca="false">IF(L150=1,IF($B$29&lt;=N150,1,0),0)</f>
        <v>0</v>
      </c>
      <c r="Q150" s="58" t="n">
        <f aca="false">Q149+N150</f>
        <v>125785.350783562</v>
      </c>
    </row>
    <row r="151" customFormat="false" ht="15" hidden="false" customHeight="false" outlineLevel="0" collapsed="false">
      <c r="K151" s="56" t="n">
        <f aca="false">K150+1</f>
        <v>144</v>
      </c>
      <c r="L151" s="57" t="n">
        <f aca="false">IF(AND(K151&lt;=Assumptions!$C$42,L150=1,P150=0,O150&gt;Assumptions!$C$43),1,0)</f>
        <v>1</v>
      </c>
      <c r="M151" s="58" t="n">
        <f aca="false">O150</f>
        <v>220974.189028881</v>
      </c>
      <c r="N151" s="58" t="n">
        <f aca="false">IF(L151=1,M151*$B$25,0)</f>
        <v>736.580630096271</v>
      </c>
      <c r="O151" s="58" t="n">
        <f aca="false">IF(L151=1,M151+N151-$B$29,M151)</f>
        <v>220278.523772581</v>
      </c>
      <c r="P151" s="56" t="n">
        <f aca="false">IF(L151=1,IF($B$29&lt;=N151,1,0),0)</f>
        <v>0</v>
      </c>
      <c r="Q151" s="58" t="n">
        <f aca="false">Q150+N151</f>
        <v>126521.931413658</v>
      </c>
    </row>
    <row r="152" customFormat="false" ht="15" hidden="false" customHeight="false" outlineLevel="0" collapsed="false">
      <c r="K152" s="56" t="n">
        <f aca="false">K151+1</f>
        <v>145</v>
      </c>
      <c r="L152" s="57" t="n">
        <f aca="false">IF(AND(K152&lt;=Assumptions!$C$42,L151=1,P151=0,O151&gt;Assumptions!$C$43),1,0)</f>
        <v>1</v>
      </c>
      <c r="M152" s="58" t="n">
        <f aca="false">O151</f>
        <v>220278.523772581</v>
      </c>
      <c r="N152" s="58" t="n">
        <f aca="false">IF(L152=1,M152*$B$25,0)</f>
        <v>734.261745908604</v>
      </c>
      <c r="O152" s="58" t="n">
        <f aca="false">IF(L152=1,M152+N152-$B$29,M152)</f>
        <v>219580.539632094</v>
      </c>
      <c r="P152" s="56" t="n">
        <f aca="false">IF(L152=1,IF($B$29&lt;=N152,1,0),0)</f>
        <v>0</v>
      </c>
      <c r="Q152" s="58" t="n">
        <f aca="false">Q151+N152</f>
        <v>127256.193159567</v>
      </c>
    </row>
    <row r="153" customFormat="false" ht="15" hidden="false" customHeight="false" outlineLevel="0" collapsed="false">
      <c r="K153" s="56" t="n">
        <f aca="false">K152+1</f>
        <v>146</v>
      </c>
      <c r="L153" s="57" t="n">
        <f aca="false">IF(AND(K153&lt;=Assumptions!$C$42,L152=1,P152=0,O152&gt;Assumptions!$C$43),1,0)</f>
        <v>1</v>
      </c>
      <c r="M153" s="58" t="n">
        <f aca="false">O152</f>
        <v>219580.539632094</v>
      </c>
      <c r="N153" s="58" t="n">
        <f aca="false">IF(L153=1,M153*$B$25,0)</f>
        <v>731.935132106979</v>
      </c>
      <c r="O153" s="58" t="n">
        <f aca="false">IF(L153=1,M153+N153-$B$29,M153)</f>
        <v>218880.228877804</v>
      </c>
      <c r="P153" s="56" t="n">
        <f aca="false">IF(L153=1,IF($B$29&lt;=N153,1,0),0)</f>
        <v>0</v>
      </c>
      <c r="Q153" s="58" t="n">
        <f aca="false">Q152+N153</f>
        <v>127988.128291674</v>
      </c>
    </row>
    <row r="154" customFormat="false" ht="15" hidden="false" customHeight="false" outlineLevel="0" collapsed="false">
      <c r="K154" s="56" t="n">
        <f aca="false">K153+1</f>
        <v>147</v>
      </c>
      <c r="L154" s="57" t="n">
        <f aca="false">IF(AND(K154&lt;=Assumptions!$C$42,L153=1,P153=0,O153&gt;Assumptions!$C$43),1,0)</f>
        <v>1</v>
      </c>
      <c r="M154" s="58" t="n">
        <f aca="false">O153</f>
        <v>218880.228877804</v>
      </c>
      <c r="N154" s="58" t="n">
        <f aca="false">IF(L154=1,M154*$B$25,0)</f>
        <v>729.600762926014</v>
      </c>
      <c r="O154" s="58" t="n">
        <f aca="false">IF(L154=1,M154+N154-$B$29,M154)</f>
        <v>218177.583754334</v>
      </c>
      <c r="P154" s="56" t="n">
        <f aca="false">IF(L154=1,IF($B$29&lt;=N154,1,0),0)</f>
        <v>0</v>
      </c>
      <c r="Q154" s="58" t="n">
        <f aca="false">Q153+N154</f>
        <v>128717.7290546</v>
      </c>
    </row>
    <row r="155" customFormat="false" ht="15" hidden="false" customHeight="false" outlineLevel="0" collapsed="false">
      <c r="K155" s="56" t="n">
        <f aca="false">K154+1</f>
        <v>148</v>
      </c>
      <c r="L155" s="57" t="n">
        <f aca="false">IF(AND(K155&lt;=Assumptions!$C$42,L154=1,P154=0,O154&gt;Assumptions!$C$43),1,0)</f>
        <v>1</v>
      </c>
      <c r="M155" s="58" t="n">
        <f aca="false">O154</f>
        <v>218177.583754334</v>
      </c>
      <c r="N155" s="58" t="n">
        <f aca="false">IF(L155=1,M155*$B$25,0)</f>
        <v>727.258612514446</v>
      </c>
      <c r="O155" s="58" t="n">
        <f aca="false">IF(L155=1,M155+N155-$B$29,M155)</f>
        <v>217472.596480452</v>
      </c>
      <c r="P155" s="56" t="n">
        <f aca="false">IF(L155=1,IF($B$29&lt;=N155,1,0),0)</f>
        <v>0</v>
      </c>
      <c r="Q155" s="58" t="n">
        <f aca="false">Q154+N155</f>
        <v>129444.987667114</v>
      </c>
    </row>
    <row r="156" customFormat="false" ht="15" hidden="false" customHeight="false" outlineLevel="0" collapsed="false">
      <c r="K156" s="56" t="n">
        <f aca="false">K155+1</f>
        <v>149</v>
      </c>
      <c r="L156" s="57" t="n">
        <f aca="false">IF(AND(K156&lt;=Assumptions!$C$42,L155=1,P155=0,O155&gt;Assumptions!$C$43),1,0)</f>
        <v>1</v>
      </c>
      <c r="M156" s="58" t="n">
        <f aca="false">O155</f>
        <v>217472.596480452</v>
      </c>
      <c r="N156" s="58" t="n">
        <f aca="false">IF(L156=1,M156*$B$25,0)</f>
        <v>724.90865493484</v>
      </c>
      <c r="O156" s="58" t="n">
        <f aca="false">IF(L156=1,M156+N156-$B$29,M156)</f>
        <v>216765.25924899</v>
      </c>
      <c r="P156" s="56" t="n">
        <f aca="false">IF(L156=1,IF($B$29&lt;=N156,1,0),0)</f>
        <v>0</v>
      </c>
      <c r="Q156" s="58" t="n">
        <f aca="false">Q155+N156</f>
        <v>130169.896322049</v>
      </c>
    </row>
    <row r="157" customFormat="false" ht="15" hidden="false" customHeight="false" outlineLevel="0" collapsed="false">
      <c r="K157" s="56" t="n">
        <f aca="false">K156+1</f>
        <v>150</v>
      </c>
      <c r="L157" s="57" t="n">
        <f aca="false">IF(AND(K157&lt;=Assumptions!$C$42,L156=1,P156=0,O156&gt;Assumptions!$C$43),1,0)</f>
        <v>1</v>
      </c>
      <c r="M157" s="58" t="n">
        <f aca="false">O156</f>
        <v>216765.25924899</v>
      </c>
      <c r="N157" s="58" t="n">
        <f aca="false">IF(L157=1,M157*$B$25,0)</f>
        <v>722.550864163301</v>
      </c>
      <c r="O157" s="58" t="n">
        <f aca="false">IF(L157=1,M157+N157-$B$29,M157)</f>
        <v>216055.564226757</v>
      </c>
      <c r="P157" s="56" t="n">
        <f aca="false">IF(L157=1,IF($B$29&lt;=N157,1,0),0)</f>
        <v>0</v>
      </c>
      <c r="Q157" s="58" t="n">
        <f aca="false">Q156+N157</f>
        <v>130892.447186213</v>
      </c>
    </row>
    <row r="158" customFormat="false" ht="15" hidden="false" customHeight="false" outlineLevel="0" collapsed="false">
      <c r="K158" s="56" t="n">
        <f aca="false">K157+1</f>
        <v>151</v>
      </c>
      <c r="L158" s="57" t="n">
        <f aca="false">IF(AND(K158&lt;=Assumptions!$C$42,L157=1,P157=0,O157&gt;Assumptions!$C$43),1,0)</f>
        <v>1</v>
      </c>
      <c r="M158" s="58" t="n">
        <f aca="false">O157</f>
        <v>216055.564226757</v>
      </c>
      <c r="N158" s="58" t="n">
        <f aca="false">IF(L158=1,M158*$B$25,0)</f>
        <v>720.185214089191</v>
      </c>
      <c r="O158" s="58" t="n">
        <f aca="false">IF(L158=1,M158+N158-$B$29,M158)</f>
        <v>215343.50355445</v>
      </c>
      <c r="P158" s="56" t="n">
        <f aca="false">IF(L158=1,IF($B$29&lt;=N158,1,0),0)</f>
        <v>0</v>
      </c>
      <c r="Q158" s="58" t="n">
        <f aca="false">Q157+N158</f>
        <v>131612.632400302</v>
      </c>
    </row>
    <row r="159" customFormat="false" ht="15" hidden="false" customHeight="false" outlineLevel="0" collapsed="false">
      <c r="K159" s="56" t="n">
        <f aca="false">K158+1</f>
        <v>152</v>
      </c>
      <c r="L159" s="57" t="n">
        <f aca="false">IF(AND(K159&lt;=Assumptions!$C$42,L158=1,P158=0,O158&gt;Assumptions!$C$43),1,0)</f>
        <v>1</v>
      </c>
      <c r="M159" s="58" t="n">
        <f aca="false">O158</f>
        <v>215343.50355445</v>
      </c>
      <c r="N159" s="58" t="n">
        <f aca="false">IF(L159=1,M159*$B$25,0)</f>
        <v>717.811678514834</v>
      </c>
      <c r="O159" s="58" t="n">
        <f aca="false">IF(L159=1,M159+N159-$B$29,M159)</f>
        <v>214629.069346569</v>
      </c>
      <c r="P159" s="56" t="n">
        <f aca="false">IF(L159=1,IF($B$29&lt;=N159,1,0),0)</f>
        <v>0</v>
      </c>
      <c r="Q159" s="58" t="n">
        <f aca="false">Q158+N159</f>
        <v>132330.444078817</v>
      </c>
    </row>
    <row r="160" customFormat="false" ht="15" hidden="false" customHeight="false" outlineLevel="0" collapsed="false">
      <c r="K160" s="56" t="n">
        <f aca="false">K159+1</f>
        <v>153</v>
      </c>
      <c r="L160" s="57" t="n">
        <f aca="false">IF(AND(K160&lt;=Assumptions!$C$42,L159=1,P159=0,O159&gt;Assumptions!$C$43),1,0)</f>
        <v>1</v>
      </c>
      <c r="M160" s="58" t="n">
        <f aca="false">O159</f>
        <v>214629.069346569</v>
      </c>
      <c r="N160" s="58" t="n">
        <f aca="false">IF(L160=1,M160*$B$25,0)</f>
        <v>715.430231155229</v>
      </c>
      <c r="O160" s="58" t="n">
        <f aca="false">IF(L160=1,M160+N160-$B$29,M160)</f>
        <v>213912.253691328</v>
      </c>
      <c r="P160" s="56" t="n">
        <f aca="false">IF(L160=1,IF($B$29&lt;=N160,1,0),0)</f>
        <v>0</v>
      </c>
      <c r="Q160" s="58" t="n">
        <f aca="false">Q159+N160</f>
        <v>133045.874309972</v>
      </c>
    </row>
    <row r="161" customFormat="false" ht="15" hidden="false" customHeight="false" outlineLevel="0" collapsed="false">
      <c r="K161" s="56" t="n">
        <f aca="false">K160+1</f>
        <v>154</v>
      </c>
      <c r="L161" s="57" t="n">
        <f aca="false">IF(AND(K161&lt;=Assumptions!$C$42,L160=1,P160=0,O160&gt;Assumptions!$C$43),1,0)</f>
        <v>1</v>
      </c>
      <c r="M161" s="58" t="n">
        <f aca="false">O160</f>
        <v>213912.253691328</v>
      </c>
      <c r="N161" s="58" t="n">
        <f aca="false">IF(L161=1,M161*$B$25,0)</f>
        <v>713.040845637759</v>
      </c>
      <c r="O161" s="58" t="n">
        <f aca="false">IF(L161=1,M161+N161-$B$29,M161)</f>
        <v>213193.048650569</v>
      </c>
      <c r="P161" s="56" t="n">
        <f aca="false">IF(L161=1,IF($B$29&lt;=N161,1,0),0)</f>
        <v>0</v>
      </c>
      <c r="Q161" s="58" t="n">
        <f aca="false">Q160+N161</f>
        <v>133758.91515561</v>
      </c>
    </row>
    <row r="162" customFormat="false" ht="15" hidden="false" customHeight="false" outlineLevel="0" collapsed="false">
      <c r="K162" s="56" t="n">
        <f aca="false">K161+1</f>
        <v>155</v>
      </c>
      <c r="L162" s="57" t="n">
        <f aca="false">IF(AND(K162&lt;=Assumptions!$C$42,L161=1,P161=0,O161&gt;Assumptions!$C$43),1,0)</f>
        <v>1</v>
      </c>
      <c r="M162" s="58" t="n">
        <f aca="false">O161</f>
        <v>213193.048650569</v>
      </c>
      <c r="N162" s="58" t="n">
        <f aca="false">IF(L162=1,M162*$B$25,0)</f>
        <v>710.643495501897</v>
      </c>
      <c r="O162" s="58" t="n">
        <f aca="false">IF(L162=1,M162+N162-$B$29,M162)</f>
        <v>212471.446259674</v>
      </c>
      <c r="P162" s="56" t="n">
        <f aca="false">IF(L162=1,IF($B$29&lt;=N162,1,0),0)</f>
        <v>0</v>
      </c>
      <c r="Q162" s="58" t="n">
        <f aca="false">Q161+N162</f>
        <v>134469.558651111</v>
      </c>
    </row>
    <row r="163" customFormat="false" ht="15" hidden="false" customHeight="false" outlineLevel="0" collapsed="false">
      <c r="K163" s="56" t="n">
        <f aca="false">K162+1</f>
        <v>156</v>
      </c>
      <c r="L163" s="57" t="n">
        <f aca="false">IF(AND(K163&lt;=Assumptions!$C$42,L162=1,P162=0,O162&gt;Assumptions!$C$43),1,0)</f>
        <v>1</v>
      </c>
      <c r="M163" s="58" t="n">
        <f aca="false">O162</f>
        <v>212471.446259674</v>
      </c>
      <c r="N163" s="58" t="n">
        <f aca="false">IF(L163=1,M163*$B$25,0)</f>
        <v>708.238154198915</v>
      </c>
      <c r="O163" s="58" t="n">
        <f aca="false">IF(L163=1,M163+N163-$B$29,M163)</f>
        <v>211747.438527477</v>
      </c>
      <c r="P163" s="56" t="n">
        <f aca="false">IF(L163=1,IF($B$29&lt;=N163,1,0),0)</f>
        <v>0</v>
      </c>
      <c r="Q163" s="58" t="n">
        <f aca="false">Q162+N163</f>
        <v>135177.79680531</v>
      </c>
    </row>
    <row r="164" customFormat="false" ht="15" hidden="false" customHeight="false" outlineLevel="0" collapsed="false">
      <c r="K164" s="56" t="n">
        <f aca="false">K163+1</f>
        <v>157</v>
      </c>
      <c r="L164" s="57" t="n">
        <f aca="false">IF(AND(K164&lt;=Assumptions!$C$42,L163=1,P163=0,O163&gt;Assumptions!$C$43),1,0)</f>
        <v>1</v>
      </c>
      <c r="M164" s="58" t="n">
        <f aca="false">O163</f>
        <v>211747.438527477</v>
      </c>
      <c r="N164" s="58" t="n">
        <f aca="false">IF(L164=1,M164*$B$25,0)</f>
        <v>705.82479509159</v>
      </c>
      <c r="O164" s="58" t="n">
        <f aca="false">IF(L164=1,M164+N164-$B$29,M164)</f>
        <v>211021.017436172</v>
      </c>
      <c r="P164" s="56" t="n">
        <f aca="false">IF(L164=1,IF($B$29&lt;=N164,1,0),0)</f>
        <v>0</v>
      </c>
      <c r="Q164" s="58" t="n">
        <f aca="false">Q163+N164</f>
        <v>135883.621600402</v>
      </c>
    </row>
    <row r="165" customFormat="false" ht="15" hidden="false" customHeight="false" outlineLevel="0" collapsed="false">
      <c r="K165" s="56" t="n">
        <f aca="false">K164+1</f>
        <v>158</v>
      </c>
      <c r="L165" s="57" t="n">
        <f aca="false">IF(AND(K165&lt;=Assumptions!$C$42,L164=1,P164=0,O164&gt;Assumptions!$C$43),1,0)</f>
        <v>1</v>
      </c>
      <c r="M165" s="58" t="n">
        <f aca="false">O164</f>
        <v>211021.017436172</v>
      </c>
      <c r="N165" s="58" t="n">
        <f aca="false">IF(L165=1,M165*$B$25,0)</f>
        <v>703.403391453908</v>
      </c>
      <c r="O165" s="58" t="n">
        <f aca="false">IF(L165=1,M165+N165-$B$29,M165)</f>
        <v>210292.17494123</v>
      </c>
      <c r="P165" s="56" t="n">
        <f aca="false">IF(L165=1,IF($B$29&lt;=N165,1,0),0)</f>
        <v>0</v>
      </c>
      <c r="Q165" s="58" t="n">
        <f aca="false">Q164+N165</f>
        <v>136587.024991856</v>
      </c>
    </row>
    <row r="166" customFormat="false" ht="15" hidden="false" customHeight="false" outlineLevel="0" collapsed="false">
      <c r="K166" s="56" t="n">
        <f aca="false">K165+1</f>
        <v>159</v>
      </c>
      <c r="L166" s="57" t="n">
        <f aca="false">IF(AND(K166&lt;=Assumptions!$C$42,L165=1,P165=0,O165&gt;Assumptions!$C$43),1,0)</f>
        <v>1</v>
      </c>
      <c r="M166" s="58" t="n">
        <f aca="false">O165</f>
        <v>210292.17494123</v>
      </c>
      <c r="N166" s="58" t="n">
        <f aca="false">IF(L166=1,M166*$B$25,0)</f>
        <v>700.973916470766</v>
      </c>
      <c r="O166" s="58" t="n">
        <f aca="false">IF(L166=1,M166+N166-$B$29,M166)</f>
        <v>209560.902971304</v>
      </c>
      <c r="P166" s="56" t="n">
        <f aca="false">IF(L166=1,IF($B$29&lt;=N166,1,0),0)</f>
        <v>0</v>
      </c>
      <c r="Q166" s="58" t="n">
        <f aca="false">Q165+N166</f>
        <v>137287.998908327</v>
      </c>
    </row>
    <row r="167" customFormat="false" ht="15" hidden="false" customHeight="false" outlineLevel="0" collapsed="false">
      <c r="K167" s="56" t="n">
        <f aca="false">K166+1</f>
        <v>160</v>
      </c>
      <c r="L167" s="57" t="n">
        <f aca="false">IF(AND(K167&lt;=Assumptions!$C$42,L166=1,P166=0,O166&gt;Assumptions!$C$43),1,0)</f>
        <v>1</v>
      </c>
      <c r="M167" s="58" t="n">
        <f aca="false">O166</f>
        <v>209560.902971304</v>
      </c>
      <c r="N167" s="58" t="n">
        <f aca="false">IF(L167=1,M167*$B$25,0)</f>
        <v>698.536343237681</v>
      </c>
      <c r="O167" s="58" t="n">
        <f aca="false">IF(L167=1,M167+N167-$B$29,M167)</f>
        <v>208827.193428146</v>
      </c>
      <c r="P167" s="56" t="n">
        <f aca="false">IF(L167=1,IF($B$29&lt;=N167,1,0),0)</f>
        <v>0</v>
      </c>
      <c r="Q167" s="58" t="n">
        <f aca="false">Q166+N167</f>
        <v>137986.535251564</v>
      </c>
    </row>
    <row r="168" customFormat="false" ht="15" hidden="false" customHeight="false" outlineLevel="0" collapsed="false">
      <c r="K168" s="56" t="n">
        <f aca="false">K167+1</f>
        <v>161</v>
      </c>
      <c r="L168" s="57" t="n">
        <f aca="false">IF(AND(K168&lt;=Assumptions!$C$42,L167=1,P167=0,O167&gt;Assumptions!$C$43),1,0)</f>
        <v>1</v>
      </c>
      <c r="M168" s="58" t="n">
        <f aca="false">O167</f>
        <v>208827.193428146</v>
      </c>
      <c r="N168" s="58" t="n">
        <f aca="false">IF(L168=1,M168*$B$25,0)</f>
        <v>696.090644760485</v>
      </c>
      <c r="O168" s="58" t="n">
        <f aca="false">IF(L168=1,M168+N168-$B$29,M168)</f>
        <v>208091.03818651</v>
      </c>
      <c r="P168" s="56" t="n">
        <f aca="false">IF(L168=1,IF($B$29&lt;=N168,1,0),0)</f>
        <v>0</v>
      </c>
      <c r="Q168" s="58" t="n">
        <f aca="false">Q167+N168</f>
        <v>138682.625896325</v>
      </c>
    </row>
    <row r="169" customFormat="false" ht="15" hidden="false" customHeight="false" outlineLevel="0" collapsed="false">
      <c r="K169" s="56" t="n">
        <f aca="false">K168+1</f>
        <v>162</v>
      </c>
      <c r="L169" s="57" t="n">
        <f aca="false">IF(AND(K169&lt;=Assumptions!$C$42,L168=1,P168=0,O168&gt;Assumptions!$C$43),1,0)</f>
        <v>1</v>
      </c>
      <c r="M169" s="58" t="n">
        <f aca="false">O168</f>
        <v>208091.03818651</v>
      </c>
      <c r="N169" s="58" t="n">
        <f aca="false">IF(L169=1,M169*$B$25,0)</f>
        <v>693.636793955032</v>
      </c>
      <c r="O169" s="58" t="n">
        <f aca="false">IF(L169=1,M169+N169-$B$29,M169)</f>
        <v>207352.429094068</v>
      </c>
      <c r="P169" s="56" t="n">
        <f aca="false">IF(L169=1,IF($B$29&lt;=N169,1,0),0)</f>
        <v>0</v>
      </c>
      <c r="Q169" s="58" t="n">
        <f aca="false">Q168+N169</f>
        <v>139376.26269028</v>
      </c>
    </row>
    <row r="170" customFormat="false" ht="15" hidden="false" customHeight="false" outlineLevel="0" collapsed="false">
      <c r="K170" s="56" t="n">
        <f aca="false">K169+1</f>
        <v>163</v>
      </c>
      <c r="L170" s="57" t="n">
        <f aca="false">IF(AND(K170&lt;=Assumptions!$C$42,L169=1,P169=0,O169&gt;Assumptions!$C$43),1,0)</f>
        <v>1</v>
      </c>
      <c r="M170" s="58" t="n">
        <f aca="false">O169</f>
        <v>207352.429094068</v>
      </c>
      <c r="N170" s="58" t="n">
        <f aca="false">IF(L170=1,M170*$B$25,0)</f>
        <v>691.174763646895</v>
      </c>
      <c r="O170" s="58" t="n">
        <f aca="false">IF(L170=1,M170+N170-$B$29,M170)</f>
        <v>206611.357971319</v>
      </c>
      <c r="P170" s="56" t="n">
        <f aca="false">IF(L170=1,IF($B$29&lt;=N170,1,0),0)</f>
        <v>0</v>
      </c>
      <c r="Q170" s="58" t="n">
        <f aca="false">Q169+N170</f>
        <v>140067.437453927</v>
      </c>
    </row>
    <row r="171" customFormat="false" ht="15" hidden="false" customHeight="false" outlineLevel="0" collapsed="false">
      <c r="K171" s="56" t="n">
        <f aca="false">K170+1</f>
        <v>164</v>
      </c>
      <c r="L171" s="57" t="n">
        <f aca="false">IF(AND(K171&lt;=Assumptions!$C$42,L170=1,P170=0,O170&gt;Assumptions!$C$43),1,0)</f>
        <v>1</v>
      </c>
      <c r="M171" s="58" t="n">
        <f aca="false">O170</f>
        <v>206611.357971319</v>
      </c>
      <c r="N171" s="58" t="n">
        <f aca="false">IF(L171=1,M171*$B$25,0)</f>
        <v>688.704526571063</v>
      </c>
      <c r="O171" s="58" t="n">
        <f aca="false">IF(L171=1,M171+N171-$B$29,M171)</f>
        <v>205867.816611494</v>
      </c>
      <c r="P171" s="56" t="n">
        <f aca="false">IF(L171=1,IF($B$29&lt;=N171,1,0),0)</f>
        <v>0</v>
      </c>
      <c r="Q171" s="58" t="n">
        <f aca="false">Q170+N171</f>
        <v>140756.141980498</v>
      </c>
    </row>
    <row r="172" customFormat="false" ht="15" hidden="false" customHeight="false" outlineLevel="0" collapsed="false">
      <c r="K172" s="56" t="n">
        <f aca="false">K171+1</f>
        <v>165</v>
      </c>
      <c r="L172" s="57" t="n">
        <f aca="false">IF(AND(K172&lt;=Assumptions!$C$42,L171=1,P171=0,O171&gt;Assumptions!$C$43),1,0)</f>
        <v>1</v>
      </c>
      <c r="M172" s="58" t="n">
        <f aca="false">O171</f>
        <v>205867.816611494</v>
      </c>
      <c r="N172" s="58" t="n">
        <f aca="false">IF(L172=1,M172*$B$25,0)</f>
        <v>686.226055371645</v>
      </c>
      <c r="O172" s="58" t="n">
        <f aca="false">IF(L172=1,M172+N172-$B$29,M172)</f>
        <v>205121.796780469</v>
      </c>
      <c r="P172" s="56" t="n">
        <f aca="false">IF(L172=1,IF($B$29&lt;=N172,1,0),0)</f>
        <v>0</v>
      </c>
      <c r="Q172" s="58" t="n">
        <f aca="false">Q171+N172</f>
        <v>141442.368035869</v>
      </c>
    </row>
    <row r="173" customFormat="false" ht="15" hidden="false" customHeight="false" outlineLevel="0" collapsed="false">
      <c r="K173" s="56" t="n">
        <f aca="false">K172+1</f>
        <v>166</v>
      </c>
      <c r="L173" s="57" t="n">
        <f aca="false">IF(AND(K173&lt;=Assumptions!$C$42,L172=1,P172=0,O172&gt;Assumptions!$C$43),1,0)</f>
        <v>1</v>
      </c>
      <c r="M173" s="58" t="n">
        <f aca="false">O172</f>
        <v>205121.796780469</v>
      </c>
      <c r="N173" s="58" t="n">
        <f aca="false">IF(L173=1,M173*$B$25,0)</f>
        <v>683.739322601563</v>
      </c>
      <c r="O173" s="58" t="n">
        <f aca="false">IF(L173=1,M173+N173-$B$29,M173)</f>
        <v>204373.290216674</v>
      </c>
      <c r="P173" s="56" t="n">
        <f aca="false">IF(L173=1,IF($B$29&lt;=N173,1,0),0)</f>
        <v>0</v>
      </c>
      <c r="Q173" s="58" t="n">
        <f aca="false">Q172+N173</f>
        <v>142126.107358471</v>
      </c>
    </row>
    <row r="174" customFormat="false" ht="15" hidden="false" customHeight="false" outlineLevel="0" collapsed="false">
      <c r="K174" s="56" t="n">
        <f aca="false">K173+1</f>
        <v>167</v>
      </c>
      <c r="L174" s="57" t="n">
        <f aca="false">IF(AND(K174&lt;=Assumptions!$C$42,L173=1,P173=0,O173&gt;Assumptions!$C$43),1,0)</f>
        <v>1</v>
      </c>
      <c r="M174" s="58" t="n">
        <f aca="false">O173</f>
        <v>204373.290216674</v>
      </c>
      <c r="N174" s="58" t="n">
        <f aca="false">IF(L174=1,M174*$B$25,0)</f>
        <v>681.244300722247</v>
      </c>
      <c r="O174" s="58" t="n">
        <f aca="false">IF(L174=1,M174+N174-$B$29,M174)</f>
        <v>203622.288631</v>
      </c>
      <c r="P174" s="56" t="n">
        <f aca="false">IF(L174=1,IF($B$29&lt;=N174,1,0),0)</f>
        <v>0</v>
      </c>
      <c r="Q174" s="58" t="n">
        <f aca="false">Q173+N174</f>
        <v>142807.351659193</v>
      </c>
    </row>
    <row r="175" customFormat="false" ht="15" hidden="false" customHeight="false" outlineLevel="0" collapsed="false">
      <c r="K175" s="56" t="n">
        <f aca="false">K174+1</f>
        <v>168</v>
      </c>
      <c r="L175" s="57" t="n">
        <f aca="false">IF(AND(K175&lt;=Assumptions!$C$42,L174=1,P174=0,O174&gt;Assumptions!$C$43),1,0)</f>
        <v>1</v>
      </c>
      <c r="M175" s="58" t="n">
        <f aca="false">O174</f>
        <v>203622.288631</v>
      </c>
      <c r="N175" s="58" t="n">
        <f aca="false">IF(L175=1,M175*$B$25,0)</f>
        <v>678.740962103333</v>
      </c>
      <c r="O175" s="58" t="n">
        <f aca="false">IF(L175=1,M175+N175-$B$29,M175)</f>
        <v>202868.783706707</v>
      </c>
      <c r="P175" s="56" t="n">
        <f aca="false">IF(L175=1,IF($B$29&lt;=N175,1,0),0)</f>
        <v>0</v>
      </c>
      <c r="Q175" s="58" t="n">
        <f aca="false">Q174+N175</f>
        <v>143486.092621297</v>
      </c>
    </row>
    <row r="176" customFormat="false" ht="15" hidden="false" customHeight="false" outlineLevel="0" collapsed="false">
      <c r="K176" s="56" t="n">
        <f aca="false">K175+1</f>
        <v>169</v>
      </c>
      <c r="L176" s="57" t="n">
        <f aca="false">IF(AND(K176&lt;=Assumptions!$C$42,L175=1,P175=0,O175&gt;Assumptions!$C$43),1,0)</f>
        <v>1</v>
      </c>
      <c r="M176" s="58" t="n">
        <f aca="false">O175</f>
        <v>202868.783706707</v>
      </c>
      <c r="N176" s="58" t="n">
        <f aca="false">IF(L176=1,M176*$B$25,0)</f>
        <v>676.229279022357</v>
      </c>
      <c r="O176" s="58" t="n">
        <f aca="false">IF(L176=1,M176+N176-$B$29,M176)</f>
        <v>202112.767099333</v>
      </c>
      <c r="P176" s="56" t="n">
        <f aca="false">IF(L176=1,IF($B$29&lt;=N176,1,0),0)</f>
        <v>0</v>
      </c>
      <c r="Q176" s="58" t="n">
        <f aca="false">Q175+N176</f>
        <v>144162.321900319</v>
      </c>
    </row>
    <row r="177" customFormat="false" ht="15" hidden="false" customHeight="false" outlineLevel="0" collapsed="false">
      <c r="K177" s="56" t="n">
        <f aca="false">K176+1</f>
        <v>170</v>
      </c>
      <c r="L177" s="57" t="n">
        <f aca="false">IF(AND(K177&lt;=Assumptions!$C$42,L176=1,P176=0,O176&gt;Assumptions!$C$43),1,0)</f>
        <v>1</v>
      </c>
      <c r="M177" s="58" t="n">
        <f aca="false">O176</f>
        <v>202112.767099333</v>
      </c>
      <c r="N177" s="58" t="n">
        <f aca="false">IF(L177=1,M177*$B$25,0)</f>
        <v>673.709223664443</v>
      </c>
      <c r="O177" s="58" t="n">
        <f aca="false">IF(L177=1,M177+N177-$B$29,M177)</f>
        <v>201354.230436601</v>
      </c>
      <c r="P177" s="56" t="n">
        <f aca="false">IF(L177=1,IF($B$29&lt;=N177,1,0),0)</f>
        <v>0</v>
      </c>
      <c r="Q177" s="58" t="n">
        <f aca="false">Q176+N177</f>
        <v>144836.031123983</v>
      </c>
    </row>
    <row r="178" customFormat="false" ht="15" hidden="false" customHeight="false" outlineLevel="0" collapsed="false">
      <c r="K178" s="56" t="n">
        <f aca="false">K177+1</f>
        <v>171</v>
      </c>
      <c r="L178" s="57" t="n">
        <f aca="false">IF(AND(K178&lt;=Assumptions!$C$42,L177=1,P177=0,O177&gt;Assumptions!$C$43),1,0)</f>
        <v>1</v>
      </c>
      <c r="M178" s="58" t="n">
        <f aca="false">O177</f>
        <v>201354.230436601</v>
      </c>
      <c r="N178" s="58" t="n">
        <f aca="false">IF(L178=1,M178*$B$25,0)</f>
        <v>671.180768122004</v>
      </c>
      <c r="O178" s="58" t="n">
        <f aca="false">IF(L178=1,M178+N178-$B$29,M178)</f>
        <v>200593.165318327</v>
      </c>
      <c r="P178" s="56" t="n">
        <f aca="false">IF(L178=1,IF($B$29&lt;=N178,1,0),0)</f>
        <v>0</v>
      </c>
      <c r="Q178" s="58" t="n">
        <f aca="false">Q177+N178</f>
        <v>145507.211892105</v>
      </c>
    </row>
    <row r="179" customFormat="false" ht="15" hidden="false" customHeight="false" outlineLevel="0" collapsed="false">
      <c r="K179" s="56" t="n">
        <f aca="false">K178+1</f>
        <v>172</v>
      </c>
      <c r="L179" s="57" t="n">
        <f aca="false">IF(AND(K179&lt;=Assumptions!$C$42,L178=1,P178=0,O178&gt;Assumptions!$C$43),1,0)</f>
        <v>1</v>
      </c>
      <c r="M179" s="58" t="n">
        <f aca="false">O178</f>
        <v>200593.165318327</v>
      </c>
      <c r="N179" s="58" t="n">
        <f aca="false">IF(L179=1,M179*$B$25,0)</f>
        <v>668.643884394422</v>
      </c>
      <c r="O179" s="58" t="n">
        <f aca="false">IF(L179=1,M179+N179-$B$29,M179)</f>
        <v>199829.563316325</v>
      </c>
      <c r="P179" s="56" t="n">
        <f aca="false">IF(L179=1,IF($B$29&lt;=N179,1,0),0)</f>
        <v>0</v>
      </c>
      <c r="Q179" s="58" t="n">
        <f aca="false">Q178+N179</f>
        <v>146175.8557765</v>
      </c>
    </row>
    <row r="180" customFormat="false" ht="15" hidden="false" customHeight="false" outlineLevel="0" collapsed="false">
      <c r="K180" s="56" t="n">
        <f aca="false">K179+1</f>
        <v>173</v>
      </c>
      <c r="L180" s="57" t="n">
        <f aca="false">IF(AND(K180&lt;=Assumptions!$C$42,L179=1,P179=0,O179&gt;Assumptions!$C$43),1,0)</f>
        <v>1</v>
      </c>
      <c r="M180" s="58" t="n">
        <f aca="false">O179</f>
        <v>199829.563316325</v>
      </c>
      <c r="N180" s="58" t="n">
        <f aca="false">IF(L180=1,M180*$B$25,0)</f>
        <v>666.098544387749</v>
      </c>
      <c r="O180" s="58" t="n">
        <f aca="false">IF(L180=1,M180+N180-$B$29,M180)</f>
        <v>199063.415974316</v>
      </c>
      <c r="P180" s="56" t="n">
        <f aca="false">IF(L180=1,IF($B$29&lt;=N180,1,0),0)</f>
        <v>0</v>
      </c>
      <c r="Q180" s="58" t="n">
        <f aca="false">Q179+N180</f>
        <v>146841.954320888</v>
      </c>
    </row>
    <row r="181" customFormat="false" ht="15" hidden="false" customHeight="false" outlineLevel="0" collapsed="false">
      <c r="K181" s="56" t="n">
        <f aca="false">K180+1</f>
        <v>174</v>
      </c>
      <c r="L181" s="57" t="n">
        <f aca="false">IF(AND(K181&lt;=Assumptions!$C$42,L180=1,P180=0,O180&gt;Assumptions!$C$43),1,0)</f>
        <v>1</v>
      </c>
      <c r="M181" s="58" t="n">
        <f aca="false">O180</f>
        <v>199063.415974316</v>
      </c>
      <c r="N181" s="58" t="n">
        <f aca="false">IF(L181=1,M181*$B$25,0)</f>
        <v>663.544719914387</v>
      </c>
      <c r="O181" s="58" t="n">
        <f aca="false">IF(L181=1,M181+N181-$B$29,M181)</f>
        <v>198294.714807834</v>
      </c>
      <c r="P181" s="56" t="n">
        <f aca="false">IF(L181=1,IF($B$29&lt;=N181,1,0),0)</f>
        <v>0</v>
      </c>
      <c r="Q181" s="58" t="n">
        <f aca="false">Q180+N181</f>
        <v>147505.499040802</v>
      </c>
    </row>
    <row r="182" customFormat="false" ht="15" hidden="false" customHeight="false" outlineLevel="0" collapsed="false">
      <c r="K182" s="56" t="n">
        <f aca="false">K181+1</f>
        <v>175</v>
      </c>
      <c r="L182" s="57" t="n">
        <f aca="false">IF(AND(K182&lt;=Assumptions!$C$42,L181=1,P181=0,O181&gt;Assumptions!$C$43),1,0)</f>
        <v>1</v>
      </c>
      <c r="M182" s="58" t="n">
        <f aca="false">O181</f>
        <v>198294.714807834</v>
      </c>
      <c r="N182" s="58" t="n">
        <f aca="false">IF(L182=1,M182*$B$25,0)</f>
        <v>660.982382692781</v>
      </c>
      <c r="O182" s="58" t="n">
        <f aca="false">IF(L182=1,M182+N182-$B$29,M182)</f>
        <v>197523.451304131</v>
      </c>
      <c r="P182" s="56" t="n">
        <f aca="false">IF(L182=1,IF($B$29&lt;=N182,1,0),0)</f>
        <v>0</v>
      </c>
      <c r="Q182" s="58" t="n">
        <f aca="false">Q181+N182</f>
        <v>148166.481423495</v>
      </c>
    </row>
    <row r="183" customFormat="false" ht="15" hidden="false" customHeight="false" outlineLevel="0" collapsed="false">
      <c r="K183" s="56" t="n">
        <f aca="false">K182+1</f>
        <v>176</v>
      </c>
      <c r="L183" s="57" t="n">
        <f aca="false">IF(AND(K183&lt;=Assumptions!$C$42,L182=1,P182=0,O182&gt;Assumptions!$C$43),1,0)</f>
        <v>1</v>
      </c>
      <c r="M183" s="58" t="n">
        <f aca="false">O182</f>
        <v>197523.451304131</v>
      </c>
      <c r="N183" s="58" t="n">
        <f aca="false">IF(L183=1,M183*$B$25,0)</f>
        <v>658.411504347102</v>
      </c>
      <c r="O183" s="58" t="n">
        <f aca="false">IF(L183=1,M183+N183-$B$29,M183)</f>
        <v>196749.616922081</v>
      </c>
      <c r="P183" s="56" t="n">
        <f aca="false">IF(L183=1,IF($B$29&lt;=N183,1,0),0)</f>
        <v>0</v>
      </c>
      <c r="Q183" s="58" t="n">
        <f aca="false">Q182+N183</f>
        <v>148824.892927842</v>
      </c>
    </row>
    <row r="184" customFormat="false" ht="15" hidden="false" customHeight="false" outlineLevel="0" collapsed="false">
      <c r="K184" s="56" t="n">
        <f aca="false">K183+1</f>
        <v>177</v>
      </c>
      <c r="L184" s="57" t="n">
        <f aca="false">IF(AND(K184&lt;=Assumptions!$C$42,L183=1,P183=0,O183&gt;Assumptions!$C$43),1,0)</f>
        <v>1</v>
      </c>
      <c r="M184" s="58" t="n">
        <f aca="false">O183</f>
        <v>196749.616922081</v>
      </c>
      <c r="N184" s="58" t="n">
        <f aca="false">IF(L184=1,M184*$B$25,0)</f>
        <v>655.832056406938</v>
      </c>
      <c r="O184" s="58" t="n">
        <f aca="false">IF(L184=1,M184+N184-$B$29,M184)</f>
        <v>195973.203092092</v>
      </c>
      <c r="P184" s="56" t="n">
        <f aca="false">IF(L184=1,IF($B$29&lt;=N184,1,0),0)</f>
        <v>0</v>
      </c>
      <c r="Q184" s="58" t="n">
        <f aca="false">Q183+N184</f>
        <v>149480.724984249</v>
      </c>
    </row>
    <row r="185" customFormat="false" ht="15" hidden="false" customHeight="false" outlineLevel="0" collapsed="false">
      <c r="K185" s="56" t="n">
        <f aca="false">K184+1</f>
        <v>178</v>
      </c>
      <c r="L185" s="57" t="n">
        <f aca="false">IF(AND(K185&lt;=Assumptions!$C$42,L184=1,P184=0,O184&gt;Assumptions!$C$43),1,0)</f>
        <v>1</v>
      </c>
      <c r="M185" s="58" t="n">
        <f aca="false">O184</f>
        <v>195973.203092092</v>
      </c>
      <c r="N185" s="58" t="n">
        <f aca="false">IF(L185=1,M185*$B$25,0)</f>
        <v>653.244010306973</v>
      </c>
      <c r="O185" s="58" t="n">
        <f aca="false">IF(L185=1,M185+N185-$B$29,M185)</f>
        <v>195194.201216003</v>
      </c>
      <c r="P185" s="56" t="n">
        <f aca="false">IF(L185=1,IF($B$29&lt;=N185,1,0),0)</f>
        <v>0</v>
      </c>
      <c r="Q185" s="58" t="n">
        <f aca="false">Q184+N185</f>
        <v>150133.968994556</v>
      </c>
    </row>
    <row r="186" customFormat="false" ht="15" hidden="false" customHeight="false" outlineLevel="0" collapsed="false">
      <c r="K186" s="56" t="n">
        <f aca="false">K185+1</f>
        <v>179</v>
      </c>
      <c r="L186" s="57" t="n">
        <f aca="false">IF(AND(K186&lt;=Assumptions!$C$42,L185=1,P185=0,O185&gt;Assumptions!$C$43),1,0)</f>
        <v>1</v>
      </c>
      <c r="M186" s="58" t="n">
        <f aca="false">O185</f>
        <v>195194.201216003</v>
      </c>
      <c r="N186" s="58" t="n">
        <f aca="false">IF(L186=1,M186*$B$25,0)</f>
        <v>650.647337386675</v>
      </c>
      <c r="O186" s="58" t="n">
        <f aca="false">IF(L186=1,M186+N186-$B$29,M186)</f>
        <v>194412.602666993</v>
      </c>
      <c r="P186" s="56" t="n">
        <f aca="false">IF(L186=1,IF($B$29&lt;=N186,1,0),0)</f>
        <v>0</v>
      </c>
      <c r="Q186" s="58" t="n">
        <f aca="false">Q185+N186</f>
        <v>150784.616331942</v>
      </c>
    </row>
    <row r="187" customFormat="false" ht="15" hidden="false" customHeight="false" outlineLevel="0" collapsed="false">
      <c r="K187" s="56" t="n">
        <f aca="false">K186+1</f>
        <v>180</v>
      </c>
      <c r="L187" s="57" t="n">
        <f aca="false">IF(AND(K187&lt;=Assumptions!$C$42,L186=1,P186=0,O186&gt;Assumptions!$C$43),1,0)</f>
        <v>1</v>
      </c>
      <c r="M187" s="58" t="n">
        <f aca="false">O186</f>
        <v>194412.602666993</v>
      </c>
      <c r="N187" s="58" t="n">
        <f aca="false">IF(L187=1,M187*$B$25,0)</f>
        <v>648.042008889977</v>
      </c>
      <c r="O187" s="58" t="n">
        <f aca="false">IF(L187=1,M187+N187-$B$29,M187)</f>
        <v>193628.398789487</v>
      </c>
      <c r="P187" s="56" t="n">
        <f aca="false">IF(L187=1,IF($B$29&lt;=N187,1,0),0)</f>
        <v>0</v>
      </c>
      <c r="Q187" s="58" t="n">
        <f aca="false">Q186+N187</f>
        <v>151432.658340832</v>
      </c>
    </row>
    <row r="188" customFormat="false" ht="15" hidden="false" customHeight="false" outlineLevel="0" collapsed="false">
      <c r="K188" s="56" t="n">
        <f aca="false">K187+1</f>
        <v>181</v>
      </c>
      <c r="L188" s="57" t="n">
        <f aca="false">IF(AND(K188&lt;=Assumptions!$C$42,L187=1,P187=0,O187&gt;Assumptions!$C$43),1,0)</f>
        <v>1</v>
      </c>
      <c r="M188" s="58" t="n">
        <f aca="false">O187</f>
        <v>193628.398789487</v>
      </c>
      <c r="N188" s="58" t="n">
        <f aca="false">IF(L188=1,M188*$B$25,0)</f>
        <v>645.427995964955</v>
      </c>
      <c r="O188" s="58" t="n">
        <f aca="false">IF(L188=1,M188+N188-$B$29,M188)</f>
        <v>192841.580899055</v>
      </c>
      <c r="P188" s="56" t="n">
        <f aca="false">IF(L188=1,IF($B$29&lt;=N188,1,0),0)</f>
        <v>0</v>
      </c>
      <c r="Q188" s="58" t="n">
        <f aca="false">Q187+N188</f>
        <v>152078.086336797</v>
      </c>
    </row>
    <row r="189" customFormat="false" ht="15" hidden="false" customHeight="false" outlineLevel="0" collapsed="false">
      <c r="K189" s="56" t="n">
        <f aca="false">K188+1</f>
        <v>182</v>
      </c>
      <c r="L189" s="57" t="n">
        <f aca="false">IF(AND(K189&lt;=Assumptions!$C$42,L188=1,P188=0,O188&gt;Assumptions!$C$43),1,0)</f>
        <v>1</v>
      </c>
      <c r="M189" s="58" t="n">
        <f aca="false">O188</f>
        <v>192841.580899055</v>
      </c>
      <c r="N189" s="58" t="n">
        <f aca="false">IF(L189=1,M189*$B$25,0)</f>
        <v>642.805269663517</v>
      </c>
      <c r="O189" s="58" t="n">
        <f aca="false">IF(L189=1,M189+N189-$B$29,M189)</f>
        <v>192052.140282322</v>
      </c>
      <c r="P189" s="56" t="n">
        <f aca="false">IF(L189=1,IF($B$29&lt;=N189,1,0),0)</f>
        <v>0</v>
      </c>
      <c r="Q189" s="58" t="n">
        <f aca="false">Q188+N189</f>
        <v>152720.891606461</v>
      </c>
    </row>
    <row r="190" customFormat="false" ht="15" hidden="false" customHeight="false" outlineLevel="0" collapsed="false">
      <c r="K190" s="56" t="n">
        <f aca="false">K189+1</f>
        <v>183</v>
      </c>
      <c r="L190" s="57" t="n">
        <f aca="false">IF(AND(K190&lt;=Assumptions!$C$42,L189=1,P189=0,O189&gt;Assumptions!$C$43),1,0)</f>
        <v>1</v>
      </c>
      <c r="M190" s="58" t="n">
        <f aca="false">O189</f>
        <v>192052.140282322</v>
      </c>
      <c r="N190" s="58" t="n">
        <f aca="false">IF(L190=1,M190*$B$25,0)</f>
        <v>640.173800941074</v>
      </c>
      <c r="O190" s="58" t="n">
        <f aca="false">IF(L190=1,M190+N190-$B$29,M190)</f>
        <v>191260.068196867</v>
      </c>
      <c r="P190" s="56" t="n">
        <f aca="false">IF(L190=1,IF($B$29&lt;=N190,1,0),0)</f>
        <v>0</v>
      </c>
      <c r="Q190" s="58" t="n">
        <f aca="false">Q189+N190</f>
        <v>153361.065407402</v>
      </c>
    </row>
    <row r="191" customFormat="false" ht="15" hidden="false" customHeight="false" outlineLevel="0" collapsed="false">
      <c r="K191" s="56" t="n">
        <f aca="false">K190+1</f>
        <v>184</v>
      </c>
      <c r="L191" s="57" t="n">
        <f aca="false">IF(AND(K191&lt;=Assumptions!$C$42,L190=1,P190=0,O190&gt;Assumptions!$C$43),1,0)</f>
        <v>1</v>
      </c>
      <c r="M191" s="58" t="n">
        <f aca="false">O190</f>
        <v>191260.068196867</v>
      </c>
      <c r="N191" s="58" t="n">
        <f aca="false">IF(L191=1,M191*$B$25,0)</f>
        <v>637.533560656223</v>
      </c>
      <c r="O191" s="58" t="n">
        <f aca="false">IF(L191=1,M191+N191-$B$29,M191)</f>
        <v>190465.355871127</v>
      </c>
      <c r="P191" s="56" t="n">
        <f aca="false">IF(L191=1,IF($B$29&lt;=N191,1,0),0)</f>
        <v>0</v>
      </c>
      <c r="Q191" s="58" t="n">
        <f aca="false">Q190+N191</f>
        <v>153998.598968058</v>
      </c>
    </row>
    <row r="192" customFormat="false" ht="15" hidden="false" customHeight="false" outlineLevel="0" collapsed="false">
      <c r="K192" s="56" t="n">
        <f aca="false">K191+1</f>
        <v>185</v>
      </c>
      <c r="L192" s="57" t="n">
        <f aca="false">IF(AND(K192&lt;=Assumptions!$C$42,L191=1,P191=0,O191&gt;Assumptions!$C$43),1,0)</f>
        <v>1</v>
      </c>
      <c r="M192" s="58" t="n">
        <f aca="false">O191</f>
        <v>190465.355871127</v>
      </c>
      <c r="N192" s="58" t="n">
        <f aca="false">IF(L192=1,M192*$B$25,0)</f>
        <v>634.884519570423</v>
      </c>
      <c r="O192" s="58" t="n">
        <f aca="false">IF(L192=1,M192+N192-$B$29,M192)</f>
        <v>189667.994504301</v>
      </c>
      <c r="P192" s="56" t="n">
        <f aca="false">IF(L192=1,IF($B$29&lt;=N192,1,0),0)</f>
        <v>0</v>
      </c>
      <c r="Q192" s="58" t="n">
        <f aca="false">Q191+N192</f>
        <v>154633.483487629</v>
      </c>
    </row>
    <row r="193" customFormat="false" ht="15" hidden="false" customHeight="false" outlineLevel="0" collapsed="false">
      <c r="K193" s="56" t="n">
        <f aca="false">K192+1</f>
        <v>186</v>
      </c>
      <c r="L193" s="57" t="n">
        <f aca="false">IF(AND(K193&lt;=Assumptions!$C$42,L192=1,P192=0,O192&gt;Assumptions!$C$43),1,0)</f>
        <v>1</v>
      </c>
      <c r="M193" s="58" t="n">
        <f aca="false">O192</f>
        <v>189667.994504301</v>
      </c>
      <c r="N193" s="58" t="n">
        <f aca="false">IF(L193=1,M193*$B$25,0)</f>
        <v>632.22664834767</v>
      </c>
      <c r="O193" s="58" t="n">
        <f aca="false">IF(L193=1,M193+N193-$B$29,M193)</f>
        <v>188867.975266252</v>
      </c>
      <c r="P193" s="56" t="n">
        <f aca="false">IF(L193=1,IF($B$29&lt;=N193,1,0),0)</f>
        <v>0</v>
      </c>
      <c r="Q193" s="58" t="n">
        <f aca="false">Q192+N193</f>
        <v>155265.710135976</v>
      </c>
    </row>
    <row r="194" customFormat="false" ht="15" hidden="false" customHeight="false" outlineLevel="0" collapsed="false">
      <c r="K194" s="56" t="n">
        <f aca="false">K193+1</f>
        <v>187</v>
      </c>
      <c r="L194" s="57" t="n">
        <f aca="false">IF(AND(K194&lt;=Assumptions!$C$42,L193=1,P193=0,O193&gt;Assumptions!$C$43),1,0)</f>
        <v>1</v>
      </c>
      <c r="M194" s="58" t="n">
        <f aca="false">O193</f>
        <v>188867.975266252</v>
      </c>
      <c r="N194" s="58" t="n">
        <f aca="false">IF(L194=1,M194*$B$25,0)</f>
        <v>629.559917554174</v>
      </c>
      <c r="O194" s="58" t="n">
        <f aca="false">IF(L194=1,M194+N194-$B$29,M194)</f>
        <v>188065.28929741</v>
      </c>
      <c r="P194" s="56" t="n">
        <f aca="false">IF(L194=1,IF($B$29&lt;=N194,1,0),0)</f>
        <v>0</v>
      </c>
      <c r="Q194" s="58" t="n">
        <f aca="false">Q193+N194</f>
        <v>155895.27005353</v>
      </c>
    </row>
    <row r="195" customFormat="false" ht="15" hidden="false" customHeight="false" outlineLevel="0" collapsed="false">
      <c r="K195" s="56" t="n">
        <f aca="false">K194+1</f>
        <v>188</v>
      </c>
      <c r="L195" s="57" t="n">
        <f aca="false">IF(AND(K195&lt;=Assumptions!$C$42,L194=1,P194=0,O194&gt;Assumptions!$C$43),1,0)</f>
        <v>1</v>
      </c>
      <c r="M195" s="58" t="n">
        <f aca="false">O194</f>
        <v>188065.28929741</v>
      </c>
      <c r="N195" s="58" t="n">
        <f aca="false">IF(L195=1,M195*$B$25,0)</f>
        <v>626.884297658034</v>
      </c>
      <c r="O195" s="58" t="n">
        <f aca="false">IF(L195=1,M195+N195-$B$29,M195)</f>
        <v>187259.927708672</v>
      </c>
      <c r="P195" s="56" t="n">
        <f aca="false">IF(L195=1,IF($B$29&lt;=N195,1,0),0)</f>
        <v>0</v>
      </c>
      <c r="Q195" s="58" t="n">
        <f aca="false">Q194+N195</f>
        <v>156522.154351188</v>
      </c>
    </row>
    <row r="196" customFormat="false" ht="15" hidden="false" customHeight="false" outlineLevel="0" collapsed="false">
      <c r="K196" s="56" t="n">
        <f aca="false">K195+1</f>
        <v>189</v>
      </c>
      <c r="L196" s="57" t="n">
        <f aca="false">IF(AND(K196&lt;=Assumptions!$C$42,L195=1,P195=0,O195&gt;Assumptions!$C$43),1,0)</f>
        <v>1</v>
      </c>
      <c r="M196" s="58" t="n">
        <f aca="false">O195</f>
        <v>187259.927708672</v>
      </c>
      <c r="N196" s="58" t="n">
        <f aca="false">IF(L196=1,M196*$B$25,0)</f>
        <v>624.199759028906</v>
      </c>
      <c r="O196" s="58" t="n">
        <f aca="false">IF(L196=1,M196+N196-$B$29,M196)</f>
        <v>186451.881581304</v>
      </c>
      <c r="P196" s="56" t="n">
        <f aca="false">IF(L196=1,IF($B$29&lt;=N196,1,0),0)</f>
        <v>0</v>
      </c>
      <c r="Q196" s="58" t="n">
        <f aca="false">Q195+N196</f>
        <v>157146.354110217</v>
      </c>
    </row>
    <row r="197" customFormat="false" ht="15" hidden="false" customHeight="false" outlineLevel="0" collapsed="false">
      <c r="K197" s="56" t="n">
        <f aca="false">K196+1</f>
        <v>190</v>
      </c>
      <c r="L197" s="57" t="n">
        <f aca="false">IF(AND(K197&lt;=Assumptions!$C$42,L196=1,P196=0,O196&gt;Assumptions!$C$43),1,0)</f>
        <v>1</v>
      </c>
      <c r="M197" s="58" t="n">
        <f aca="false">O196</f>
        <v>186451.881581304</v>
      </c>
      <c r="N197" s="58" t="n">
        <f aca="false">IF(L197=1,M197*$B$25,0)</f>
        <v>621.506271937681</v>
      </c>
      <c r="O197" s="58" t="n">
        <f aca="false">IF(L197=1,M197+N197-$B$29,M197)</f>
        <v>185641.141966846</v>
      </c>
      <c r="P197" s="56" t="n">
        <f aca="false">IF(L197=1,IF($B$29&lt;=N197,1,0),0)</f>
        <v>0</v>
      </c>
      <c r="Q197" s="58" t="n">
        <f aca="false">Q196+N197</f>
        <v>157767.860382155</v>
      </c>
    </row>
    <row r="198" customFormat="false" ht="15" hidden="false" customHeight="false" outlineLevel="0" collapsed="false">
      <c r="K198" s="56" t="n">
        <f aca="false">K197+1</f>
        <v>191</v>
      </c>
      <c r="L198" s="57" t="n">
        <f aca="false">IF(AND(K198&lt;=Assumptions!$C$42,L197=1,P197=0,O197&gt;Assumptions!$C$43),1,0)</f>
        <v>1</v>
      </c>
      <c r="M198" s="58" t="n">
        <f aca="false">O197</f>
        <v>185641.141966846</v>
      </c>
      <c r="N198" s="58" t="n">
        <f aca="false">IF(L198=1,M198*$B$25,0)</f>
        <v>618.803806556152</v>
      </c>
      <c r="O198" s="58" t="n">
        <f aca="false">IF(L198=1,M198+N198-$B$29,M198)</f>
        <v>184827.699887005</v>
      </c>
      <c r="P198" s="56" t="n">
        <f aca="false">IF(L198=1,IF($B$29&lt;=N198,1,0),0)</f>
        <v>0</v>
      </c>
      <c r="Q198" s="58" t="n">
        <f aca="false">Q197+N198</f>
        <v>158386.664188711</v>
      </c>
    </row>
    <row r="199" customFormat="false" ht="15" hidden="false" customHeight="false" outlineLevel="0" collapsed="false">
      <c r="K199" s="56" t="n">
        <f aca="false">K198+1</f>
        <v>192</v>
      </c>
      <c r="L199" s="57" t="n">
        <f aca="false">IF(AND(K199&lt;=Assumptions!$C$42,L198=1,P198=0,O198&gt;Assumptions!$C$43),1,0)</f>
        <v>1</v>
      </c>
      <c r="M199" s="58" t="n">
        <f aca="false">O198</f>
        <v>184827.699887005</v>
      </c>
      <c r="N199" s="58" t="n">
        <f aca="false">IF(L199=1,M199*$B$25,0)</f>
        <v>616.092332956685</v>
      </c>
      <c r="O199" s="58" t="n">
        <f aca="false">IF(L199=1,M199+N199-$B$29,M199)</f>
        <v>184011.546333566</v>
      </c>
      <c r="P199" s="56" t="n">
        <f aca="false">IF(L199=1,IF($B$29&lt;=N199,1,0),0)</f>
        <v>0</v>
      </c>
      <c r="Q199" s="58" t="n">
        <f aca="false">Q198+N199</f>
        <v>159002.756521668</v>
      </c>
    </row>
    <row r="200" customFormat="false" ht="15" hidden="false" customHeight="false" outlineLevel="0" collapsed="false">
      <c r="K200" s="56" t="n">
        <f aca="false">K199+1</f>
        <v>193</v>
      </c>
      <c r="L200" s="57" t="n">
        <f aca="false">IF(AND(K200&lt;=Assumptions!$C$42,L199=1,P199=0,O199&gt;Assumptions!$C$43),1,0)</f>
        <v>1</v>
      </c>
      <c r="M200" s="58" t="n">
        <f aca="false">O199</f>
        <v>184011.546333566</v>
      </c>
      <c r="N200" s="58" t="n">
        <f aca="false">IF(L200=1,M200*$B$25,0)</f>
        <v>613.371821111886</v>
      </c>
      <c r="O200" s="58" t="n">
        <f aca="false">IF(L200=1,M200+N200-$B$29,M200)</f>
        <v>183192.672268281</v>
      </c>
      <c r="P200" s="56" t="n">
        <f aca="false">IF(L200=1,IF($B$29&lt;=N200,1,0),0)</f>
        <v>0</v>
      </c>
      <c r="Q200" s="58" t="n">
        <f aca="false">Q199+N200</f>
        <v>159616.12834278</v>
      </c>
    </row>
    <row r="201" customFormat="false" ht="15" hidden="false" customHeight="false" outlineLevel="0" collapsed="false">
      <c r="K201" s="56" t="n">
        <f aca="false">K200+1</f>
        <v>194</v>
      </c>
      <c r="L201" s="57" t="n">
        <f aca="false">IF(AND(K201&lt;=Assumptions!$C$42,L200=1,P200=0,O200&gt;Assumptions!$C$43),1,0)</f>
        <v>1</v>
      </c>
      <c r="M201" s="58" t="n">
        <f aca="false">O200</f>
        <v>183192.672268281</v>
      </c>
      <c r="N201" s="58" t="n">
        <f aca="false">IF(L201=1,M201*$B$25,0)</f>
        <v>610.642240894271</v>
      </c>
      <c r="O201" s="58" t="n">
        <f aca="false">IF(L201=1,M201+N201-$B$29,M201)</f>
        <v>182371.068622779</v>
      </c>
      <c r="P201" s="56" t="n">
        <f aca="false">IF(L201=1,IF($B$29&lt;=N201,1,0),0)</f>
        <v>0</v>
      </c>
      <c r="Q201" s="58" t="n">
        <f aca="false">Q200+N201</f>
        <v>160226.770583674</v>
      </c>
    </row>
    <row r="202" customFormat="false" ht="15" hidden="false" customHeight="false" outlineLevel="0" collapsed="false">
      <c r="K202" s="56" t="n">
        <f aca="false">K201+1</f>
        <v>195</v>
      </c>
      <c r="L202" s="57" t="n">
        <f aca="false">IF(AND(K202&lt;=Assumptions!$C$42,L201=1,P201=0,O201&gt;Assumptions!$C$43),1,0)</f>
        <v>1</v>
      </c>
      <c r="M202" s="58" t="n">
        <f aca="false">O201</f>
        <v>182371.068622779</v>
      </c>
      <c r="N202" s="58" t="n">
        <f aca="false">IF(L202=1,M202*$B$25,0)</f>
        <v>607.903562075931</v>
      </c>
      <c r="O202" s="58" t="n">
        <f aca="false">IF(L202=1,M202+N202-$B$29,M202)</f>
        <v>181546.726298459</v>
      </c>
      <c r="P202" s="56" t="n">
        <f aca="false">IF(L202=1,IF($B$29&lt;=N202,1,0),0)</f>
        <v>0</v>
      </c>
      <c r="Q202" s="58" t="n">
        <f aca="false">Q201+N202</f>
        <v>160834.67414575</v>
      </c>
    </row>
    <row r="203" customFormat="false" ht="15" hidden="false" customHeight="false" outlineLevel="0" collapsed="false">
      <c r="K203" s="56" t="n">
        <f aca="false">K202+1</f>
        <v>196</v>
      </c>
      <c r="L203" s="57" t="n">
        <f aca="false">IF(AND(K203&lt;=Assumptions!$C$42,L202=1,P202=0,O202&gt;Assumptions!$C$43),1,0)</f>
        <v>1</v>
      </c>
      <c r="M203" s="58" t="n">
        <f aca="false">O202</f>
        <v>181546.726298459</v>
      </c>
      <c r="N203" s="58" t="n">
        <f aca="false">IF(L203=1,M203*$B$25,0)</f>
        <v>605.155754328196</v>
      </c>
      <c r="O203" s="58" t="n">
        <f aca="false">IF(L203=1,M203+N203-$B$29,M203)</f>
        <v>180719.636166391</v>
      </c>
      <c r="P203" s="56" t="n">
        <f aca="false">IF(L203=1,IF($B$29&lt;=N203,1,0),0)</f>
        <v>0</v>
      </c>
      <c r="Q203" s="58" t="n">
        <f aca="false">Q202+N203</f>
        <v>161439.829900078</v>
      </c>
    </row>
    <row r="204" customFormat="false" ht="15" hidden="false" customHeight="false" outlineLevel="0" collapsed="false">
      <c r="K204" s="56" t="n">
        <f aca="false">K203+1</f>
        <v>197</v>
      </c>
      <c r="L204" s="57" t="n">
        <f aca="false">IF(AND(K204&lt;=Assumptions!$C$42,L203=1,P203=0,O203&gt;Assumptions!$C$43),1,0)</f>
        <v>1</v>
      </c>
      <c r="M204" s="58" t="n">
        <f aca="false">O203</f>
        <v>180719.636166391</v>
      </c>
      <c r="N204" s="58" t="n">
        <f aca="false">IF(L204=1,M204*$B$25,0)</f>
        <v>602.398787221302</v>
      </c>
      <c r="O204" s="58" t="n">
        <f aca="false">IF(L204=1,M204+N204-$B$29,M204)</f>
        <v>179889.789067216</v>
      </c>
      <c r="P204" s="56" t="n">
        <f aca="false">IF(L204=1,IF($B$29&lt;=N204,1,0),0)</f>
        <v>0</v>
      </c>
      <c r="Q204" s="58" t="n">
        <f aca="false">Q203+N204</f>
        <v>162042.228687299</v>
      </c>
    </row>
    <row r="205" customFormat="false" ht="15" hidden="false" customHeight="false" outlineLevel="0" collapsed="false">
      <c r="K205" s="56" t="n">
        <f aca="false">K204+1</f>
        <v>198</v>
      </c>
      <c r="L205" s="57" t="n">
        <f aca="false">IF(AND(K205&lt;=Assumptions!$C$42,L204=1,P204=0,O204&gt;Assumptions!$C$43),1,0)</f>
        <v>1</v>
      </c>
      <c r="M205" s="58" t="n">
        <f aca="false">O204</f>
        <v>179889.789067216</v>
      </c>
      <c r="N205" s="58" t="n">
        <f aca="false">IF(L205=1,M205*$B$25,0)</f>
        <v>599.632630224052</v>
      </c>
      <c r="O205" s="58" t="n">
        <f aca="false">IF(L205=1,M205+N205-$B$29,M205)</f>
        <v>179057.175811043</v>
      </c>
      <c r="P205" s="56" t="n">
        <f aca="false">IF(L205=1,IF($B$29&lt;=N205,1,0),0)</f>
        <v>0</v>
      </c>
      <c r="Q205" s="58" t="n">
        <f aca="false">Q204+N205</f>
        <v>162641.861317523</v>
      </c>
    </row>
    <row r="206" customFormat="false" ht="15" hidden="false" customHeight="false" outlineLevel="0" collapsed="false">
      <c r="K206" s="56" t="n">
        <f aca="false">K205+1</f>
        <v>199</v>
      </c>
      <c r="L206" s="57" t="n">
        <f aca="false">IF(AND(K206&lt;=Assumptions!$C$42,L205=1,P205=0,O205&gt;Assumptions!$C$43),1,0)</f>
        <v>1</v>
      </c>
      <c r="M206" s="58" t="n">
        <f aca="false">O205</f>
        <v>179057.175811043</v>
      </c>
      <c r="N206" s="58" t="n">
        <f aca="false">IF(L206=1,M206*$B$25,0)</f>
        <v>596.857252703477</v>
      </c>
      <c r="O206" s="58" t="n">
        <f aca="false">IF(L206=1,M206+N206-$B$29,M206)</f>
        <v>178221.78717735</v>
      </c>
      <c r="P206" s="56" t="n">
        <f aca="false">IF(L206=1,IF($B$29&lt;=N206,1,0),0)</f>
        <v>0</v>
      </c>
      <c r="Q206" s="58" t="n">
        <f aca="false">Q205+N206</f>
        <v>163238.718570227</v>
      </c>
    </row>
    <row r="207" customFormat="false" ht="15" hidden="false" customHeight="false" outlineLevel="0" collapsed="false">
      <c r="K207" s="56" t="n">
        <f aca="false">K206+1</f>
        <v>200</v>
      </c>
      <c r="L207" s="57" t="n">
        <f aca="false">IF(AND(K207&lt;=Assumptions!$C$42,L206=1,P206=0,O206&gt;Assumptions!$C$43),1,0)</f>
        <v>1</v>
      </c>
      <c r="M207" s="58" t="n">
        <f aca="false">O206</f>
        <v>178221.78717735</v>
      </c>
      <c r="N207" s="58" t="n">
        <f aca="false">IF(L207=1,M207*$B$25,0)</f>
        <v>594.072623924501</v>
      </c>
      <c r="O207" s="58" t="n">
        <f aca="false">IF(L207=1,M207+N207-$B$29,M207)</f>
        <v>177383.613914878</v>
      </c>
      <c r="P207" s="56" t="n">
        <f aca="false">IF(L207=1,IF($B$29&lt;=N207,1,0),0)</f>
        <v>0</v>
      </c>
      <c r="Q207" s="58" t="n">
        <f aca="false">Q206+N207</f>
        <v>163832.791194151</v>
      </c>
    </row>
    <row r="208" customFormat="false" ht="15" hidden="false" customHeight="false" outlineLevel="0" collapsed="false">
      <c r="K208" s="56" t="n">
        <f aca="false">K207+1</f>
        <v>201</v>
      </c>
      <c r="L208" s="57" t="n">
        <f aca="false">IF(AND(K208&lt;=Assumptions!$C$42,L207=1,P207=0,O207&gt;Assumptions!$C$43),1,0)</f>
        <v>1</v>
      </c>
      <c r="M208" s="58" t="n">
        <f aca="false">O207</f>
        <v>177383.613914878</v>
      </c>
      <c r="N208" s="58" t="n">
        <f aca="false">IF(L208=1,M208*$B$25,0)</f>
        <v>591.278713049595</v>
      </c>
      <c r="O208" s="58" t="n">
        <f aca="false">IF(L208=1,M208+N208-$B$29,M208)</f>
        <v>176542.646741532</v>
      </c>
      <c r="P208" s="56" t="n">
        <f aca="false">IF(L208=1,IF($B$29&lt;=N208,1,0),0)</f>
        <v>0</v>
      </c>
      <c r="Q208" s="58" t="n">
        <f aca="false">Q207+N208</f>
        <v>164424.069907201</v>
      </c>
    </row>
    <row r="209" customFormat="false" ht="15" hidden="false" customHeight="false" outlineLevel="0" collapsed="false">
      <c r="K209" s="56" t="n">
        <f aca="false">K208+1</f>
        <v>202</v>
      </c>
      <c r="L209" s="57" t="n">
        <f aca="false">IF(AND(K209&lt;=Assumptions!$C$42,L208=1,P208=0,O208&gt;Assumptions!$C$43),1,0)</f>
        <v>1</v>
      </c>
      <c r="M209" s="58" t="n">
        <f aca="false">O208</f>
        <v>176542.646741532</v>
      </c>
      <c r="N209" s="58" t="n">
        <f aca="false">IF(L209=1,M209*$B$25,0)</f>
        <v>588.475489138439</v>
      </c>
      <c r="O209" s="58" t="n">
        <f aca="false">IF(L209=1,M209+N209-$B$29,M209)</f>
        <v>175698.876344274</v>
      </c>
      <c r="P209" s="56" t="n">
        <f aca="false">IF(L209=1,IF($B$29&lt;=N209,1,0),0)</f>
        <v>0</v>
      </c>
      <c r="Q209" s="58" t="n">
        <f aca="false">Q208+N209</f>
        <v>165012.545396339</v>
      </c>
    </row>
    <row r="210" customFormat="false" ht="15" hidden="false" customHeight="false" outlineLevel="0" collapsed="false">
      <c r="K210" s="56" t="n">
        <f aca="false">K209+1</f>
        <v>203</v>
      </c>
      <c r="L210" s="57" t="n">
        <f aca="false">IF(AND(K210&lt;=Assumptions!$C$42,L209=1,P209=0,O209&gt;Assumptions!$C$43),1,0)</f>
        <v>1</v>
      </c>
      <c r="M210" s="58" t="n">
        <f aca="false">O209</f>
        <v>175698.876344274</v>
      </c>
      <c r="N210" s="58" t="n">
        <f aca="false">IF(L210=1,M210*$B$25,0)</f>
        <v>585.662921147579</v>
      </c>
      <c r="O210" s="58" t="n">
        <f aca="false">IF(L210=1,M210+N210-$B$29,M210)</f>
        <v>174852.293379025</v>
      </c>
      <c r="P210" s="56" t="n">
        <f aca="false">IF(L210=1,IF($B$29&lt;=N210,1,0),0)</f>
        <v>0</v>
      </c>
      <c r="Q210" s="58" t="n">
        <f aca="false">Q209+N210</f>
        <v>165598.208317487</v>
      </c>
    </row>
    <row r="211" customFormat="false" ht="15" hidden="false" customHeight="false" outlineLevel="0" collapsed="false">
      <c r="K211" s="56" t="n">
        <f aca="false">K210+1</f>
        <v>204</v>
      </c>
      <c r="L211" s="57" t="n">
        <f aca="false">IF(AND(K211&lt;=Assumptions!$C$42,L210=1,P210=0,O210&gt;Assumptions!$C$43),1,0)</f>
        <v>1</v>
      </c>
      <c r="M211" s="58" t="n">
        <f aca="false">O210</f>
        <v>174852.293379025</v>
      </c>
      <c r="N211" s="58" t="n">
        <f aca="false">IF(L211=1,M211*$B$25,0)</f>
        <v>582.840977930084</v>
      </c>
      <c r="O211" s="58" t="n">
        <f aca="false">IF(L211=1,M211+N211-$B$29,M211)</f>
        <v>174002.888470559</v>
      </c>
      <c r="P211" s="56" t="n">
        <f aca="false">IF(L211=1,IF($B$29&lt;=N211,1,0),0)</f>
        <v>0</v>
      </c>
      <c r="Q211" s="58" t="n">
        <f aca="false">Q210+N211</f>
        <v>166181.049295417</v>
      </c>
    </row>
    <row r="212" customFormat="false" ht="15" hidden="false" customHeight="false" outlineLevel="0" collapsed="false">
      <c r="K212" s="56" t="n">
        <f aca="false">K211+1</f>
        <v>205</v>
      </c>
      <c r="L212" s="57" t="n">
        <f aca="false">IF(AND(K212&lt;=Assumptions!$C$42,L211=1,P211=0,O211&gt;Assumptions!$C$43),1,0)</f>
        <v>1</v>
      </c>
      <c r="M212" s="58" t="n">
        <f aca="false">O211</f>
        <v>174002.888470559</v>
      </c>
      <c r="N212" s="58" t="n">
        <f aca="false">IF(L212=1,M212*$B$25,0)</f>
        <v>580.009628235196</v>
      </c>
      <c r="O212" s="58" t="n">
        <f aca="false">IF(L212=1,M212+N212-$B$29,M212)</f>
        <v>173150.652212398</v>
      </c>
      <c r="P212" s="56" t="n">
        <f aca="false">IF(L212=1,IF($B$29&lt;=N212,1,0),0)</f>
        <v>0</v>
      </c>
      <c r="Q212" s="58" t="n">
        <f aca="false">Q211+N212</f>
        <v>166761.058923652</v>
      </c>
    </row>
    <row r="213" customFormat="false" ht="15" hidden="false" customHeight="false" outlineLevel="0" collapsed="false">
      <c r="K213" s="56" t="n">
        <f aca="false">K212+1</f>
        <v>206</v>
      </c>
      <c r="L213" s="57" t="n">
        <f aca="false">IF(AND(K213&lt;=Assumptions!$C$42,L212=1,P212=0,O212&gt;Assumptions!$C$43),1,0)</f>
        <v>1</v>
      </c>
      <c r="M213" s="58" t="n">
        <f aca="false">O212</f>
        <v>173150.652212398</v>
      </c>
      <c r="N213" s="58" t="n">
        <f aca="false">IF(L213=1,M213*$B$25,0)</f>
        <v>577.168840707992</v>
      </c>
      <c r="O213" s="58" t="n">
        <f aca="false">IF(L213=1,M213+N213-$B$29,M213)</f>
        <v>172295.575166709</v>
      </c>
      <c r="P213" s="56" t="n">
        <f aca="false">IF(L213=1,IF($B$29&lt;=N213,1,0),0)</f>
        <v>0</v>
      </c>
      <c r="Q213" s="58" t="n">
        <f aca="false">Q212+N213</f>
        <v>167338.22776436</v>
      </c>
    </row>
    <row r="214" customFormat="false" ht="15" hidden="false" customHeight="false" outlineLevel="0" collapsed="false">
      <c r="K214" s="56" t="n">
        <f aca="false">K213+1</f>
        <v>207</v>
      </c>
      <c r="L214" s="57" t="n">
        <f aca="false">IF(AND(K214&lt;=Assumptions!$C$42,L213=1,P213=0,O213&gt;Assumptions!$C$43),1,0)</f>
        <v>1</v>
      </c>
      <c r="M214" s="58" t="n">
        <f aca="false">O213</f>
        <v>172295.575166709</v>
      </c>
      <c r="N214" s="58" t="n">
        <f aca="false">IF(L214=1,M214*$B$25,0)</f>
        <v>574.318583889031</v>
      </c>
      <c r="O214" s="58" t="n">
        <f aca="false">IF(L214=1,M214+N214-$B$29,M214)</f>
        <v>171437.647864202</v>
      </c>
      <c r="P214" s="56" t="n">
        <f aca="false">IF(L214=1,IF($B$29&lt;=N214,1,0),0)</f>
        <v>0</v>
      </c>
      <c r="Q214" s="58" t="n">
        <f aca="false">Q213+N214</f>
        <v>167912.546348249</v>
      </c>
    </row>
    <row r="215" customFormat="false" ht="15" hidden="false" customHeight="false" outlineLevel="0" collapsed="false">
      <c r="K215" s="56" t="n">
        <f aca="false">K214+1</f>
        <v>208</v>
      </c>
      <c r="L215" s="57" t="n">
        <f aca="false">IF(AND(K215&lt;=Assumptions!$C$42,L214=1,P214=0,O214&gt;Assumptions!$C$43),1,0)</f>
        <v>1</v>
      </c>
      <c r="M215" s="58" t="n">
        <f aca="false">O214</f>
        <v>171437.647864202</v>
      </c>
      <c r="N215" s="58" t="n">
        <f aca="false">IF(L215=1,M215*$B$25,0)</f>
        <v>571.458826214006</v>
      </c>
      <c r="O215" s="58" t="n">
        <f aca="false">IF(L215=1,M215+N215-$B$29,M215)</f>
        <v>170576.86080402</v>
      </c>
      <c r="P215" s="56" t="n">
        <f aca="false">IF(L215=1,IF($B$29&lt;=N215,1,0),0)</f>
        <v>0</v>
      </c>
      <c r="Q215" s="58" t="n">
        <f aca="false">Q214+N215</f>
        <v>168484.005174463</v>
      </c>
    </row>
    <row r="216" customFormat="false" ht="15" hidden="false" customHeight="false" outlineLevel="0" collapsed="false">
      <c r="K216" s="56" t="n">
        <f aca="false">K215+1</f>
        <v>209</v>
      </c>
      <c r="L216" s="57" t="n">
        <f aca="false">IF(AND(K216&lt;=Assumptions!$C$42,L215=1,P215=0,O215&gt;Assumptions!$C$43),1,0)</f>
        <v>1</v>
      </c>
      <c r="M216" s="58" t="n">
        <f aca="false">O215</f>
        <v>170576.86080402</v>
      </c>
      <c r="N216" s="58" t="n">
        <f aca="false">IF(L216=1,M216*$B$25,0)</f>
        <v>568.589536013398</v>
      </c>
      <c r="O216" s="58" t="n">
        <f aca="false">IF(L216=1,M216+N216-$B$29,M216)</f>
        <v>169713.204453637</v>
      </c>
      <c r="P216" s="56" t="n">
        <f aca="false">IF(L216=1,IF($B$29&lt;=N216,1,0),0)</f>
        <v>0</v>
      </c>
      <c r="Q216" s="58" t="n">
        <f aca="false">Q215+N216</f>
        <v>169052.594710477</v>
      </c>
    </row>
    <row r="217" customFormat="false" ht="15" hidden="false" customHeight="false" outlineLevel="0" collapsed="false">
      <c r="K217" s="56" t="n">
        <f aca="false">K216+1</f>
        <v>210</v>
      </c>
      <c r="L217" s="57" t="n">
        <f aca="false">IF(AND(K217&lt;=Assumptions!$C$42,L216=1,P216=0,O216&gt;Assumptions!$C$43),1,0)</f>
        <v>1</v>
      </c>
      <c r="M217" s="58" t="n">
        <f aca="false">O216</f>
        <v>169713.204453637</v>
      </c>
      <c r="N217" s="58" t="n">
        <f aca="false">IF(L217=1,M217*$B$25,0)</f>
        <v>565.710681512122</v>
      </c>
      <c r="O217" s="58" t="n">
        <f aca="false">IF(L217=1,M217+N217-$B$29,M217)</f>
        <v>168846.669248752</v>
      </c>
      <c r="P217" s="56" t="n">
        <f aca="false">IF(L217=1,IF($B$29&lt;=N217,1,0),0)</f>
        <v>0</v>
      </c>
      <c r="Q217" s="58" t="n">
        <f aca="false">Q216+N217</f>
        <v>169618.305391989</v>
      </c>
    </row>
    <row r="218" customFormat="false" ht="15" hidden="false" customHeight="false" outlineLevel="0" collapsed="false">
      <c r="K218" s="56" t="n">
        <f aca="false">K217+1</f>
        <v>211</v>
      </c>
      <c r="L218" s="57" t="n">
        <f aca="false">IF(AND(K218&lt;=Assumptions!$C$42,L217=1,P217=0,O217&gt;Assumptions!$C$43),1,0)</f>
        <v>1</v>
      </c>
      <c r="M218" s="58" t="n">
        <f aca="false">O217</f>
        <v>168846.669248752</v>
      </c>
      <c r="N218" s="58" t="n">
        <f aca="false">IF(L218=1,M218*$B$25,0)</f>
        <v>562.822230829175</v>
      </c>
      <c r="O218" s="58" t="n">
        <f aca="false">IF(L218=1,M218+N218-$B$29,M218)</f>
        <v>167977.245593185</v>
      </c>
      <c r="P218" s="56" t="n">
        <f aca="false">IF(L218=1,IF($B$29&lt;=N218,1,0),0)</f>
        <v>0</v>
      </c>
      <c r="Q218" s="58" t="n">
        <f aca="false">Q217+N218</f>
        <v>170181.127622818</v>
      </c>
    </row>
    <row r="219" customFormat="false" ht="15" hidden="false" customHeight="false" outlineLevel="0" collapsed="false">
      <c r="K219" s="56" t="n">
        <f aca="false">K218+1</f>
        <v>212</v>
      </c>
      <c r="L219" s="57" t="n">
        <f aca="false">IF(AND(K219&lt;=Assumptions!$C$42,L218=1,P218=0,O218&gt;Assumptions!$C$43),1,0)</f>
        <v>1</v>
      </c>
      <c r="M219" s="58" t="n">
        <f aca="false">O218</f>
        <v>167977.245593185</v>
      </c>
      <c r="N219" s="58" t="n">
        <f aca="false">IF(L219=1,M219*$B$25,0)</f>
        <v>559.924151977284</v>
      </c>
      <c r="O219" s="58" t="n">
        <f aca="false">IF(L219=1,M219+N219-$B$29,M219)</f>
        <v>167104.923858766</v>
      </c>
      <c r="P219" s="56" t="n">
        <f aca="false">IF(L219=1,IF($B$29&lt;=N219,1,0),0)</f>
        <v>0</v>
      </c>
      <c r="Q219" s="58" t="n">
        <f aca="false">Q218+N219</f>
        <v>170741.051774795</v>
      </c>
    </row>
    <row r="220" customFormat="false" ht="15" hidden="false" customHeight="false" outlineLevel="0" collapsed="false">
      <c r="K220" s="56" t="n">
        <f aca="false">K219+1</f>
        <v>213</v>
      </c>
      <c r="L220" s="57" t="n">
        <f aca="false">IF(AND(K220&lt;=Assumptions!$C$42,L219=1,P219=0,O219&gt;Assumptions!$C$43),1,0)</f>
        <v>1</v>
      </c>
      <c r="M220" s="58" t="n">
        <f aca="false">O219</f>
        <v>167104.923858766</v>
      </c>
      <c r="N220" s="58" t="n">
        <f aca="false">IF(L220=1,M220*$B$25,0)</f>
        <v>557.016412862554</v>
      </c>
      <c r="O220" s="58" t="n">
        <f aca="false">IF(L220=1,M220+N220-$B$29,M220)</f>
        <v>166229.694385232</v>
      </c>
      <c r="P220" s="56" t="n">
        <f aca="false">IF(L220=1,IF($B$29&lt;=N220,1,0),0)</f>
        <v>0</v>
      </c>
      <c r="Q220" s="58" t="n">
        <f aca="false">Q219+N220</f>
        <v>171298.068187658</v>
      </c>
    </row>
    <row r="221" customFormat="false" ht="15" hidden="false" customHeight="false" outlineLevel="0" collapsed="false">
      <c r="K221" s="56" t="n">
        <f aca="false">K220+1</f>
        <v>214</v>
      </c>
      <c r="L221" s="57" t="n">
        <f aca="false">IF(AND(K221&lt;=Assumptions!$C$42,L220=1,P220=0,O220&gt;Assumptions!$C$43),1,0)</f>
        <v>1</v>
      </c>
      <c r="M221" s="58" t="n">
        <f aca="false">O220</f>
        <v>166229.694385232</v>
      </c>
      <c r="N221" s="58" t="n">
        <f aca="false">IF(L221=1,M221*$B$25,0)</f>
        <v>554.098981284108</v>
      </c>
      <c r="O221" s="58" t="n">
        <f aca="false">IF(L221=1,M221+N221-$B$29,M221)</f>
        <v>165351.54748012</v>
      </c>
      <c r="P221" s="56" t="n">
        <f aca="false">IF(L221=1,IF($B$29&lt;=N221,1,0),0)</f>
        <v>0</v>
      </c>
      <c r="Q221" s="58" t="n">
        <f aca="false">Q220+N221</f>
        <v>171852.167168942</v>
      </c>
    </row>
    <row r="222" customFormat="false" ht="15" hidden="false" customHeight="false" outlineLevel="0" collapsed="false">
      <c r="K222" s="56" t="n">
        <f aca="false">K221+1</f>
        <v>215</v>
      </c>
      <c r="L222" s="57" t="n">
        <f aca="false">IF(AND(K222&lt;=Assumptions!$C$42,L221=1,P221=0,O221&gt;Assumptions!$C$43),1,0)</f>
        <v>1</v>
      </c>
      <c r="M222" s="58" t="n">
        <f aca="false">O221</f>
        <v>165351.54748012</v>
      </c>
      <c r="N222" s="58" t="n">
        <f aca="false">IF(L222=1,M222*$B$25,0)</f>
        <v>551.171824933733</v>
      </c>
      <c r="O222" s="58" t="n">
        <f aca="false">IF(L222=1,M222+N222-$B$29,M222)</f>
        <v>164470.473418657</v>
      </c>
      <c r="P222" s="56" t="n">
        <f aca="false">IF(L222=1,IF($B$29&lt;=N222,1,0),0)</f>
        <v>0</v>
      </c>
      <c r="Q222" s="58" t="n">
        <f aca="false">Q221+N222</f>
        <v>172403.338993876</v>
      </c>
    </row>
    <row r="223" customFormat="false" ht="15" hidden="false" customHeight="false" outlineLevel="0" collapsed="false">
      <c r="K223" s="56" t="n">
        <f aca="false">K222+1</f>
        <v>216</v>
      </c>
      <c r="L223" s="57" t="n">
        <f aca="false">IF(AND(K223&lt;=Assumptions!$C$42,L222=1,P222=0,O222&gt;Assumptions!$C$43),1,0)</f>
        <v>1</v>
      </c>
      <c r="M223" s="58" t="n">
        <f aca="false">O222</f>
        <v>164470.473418657</v>
      </c>
      <c r="N223" s="58" t="n">
        <f aca="false">IF(L223=1,M223*$B$25,0)</f>
        <v>548.234911395525</v>
      </c>
      <c r="O223" s="58" t="n">
        <f aca="false">IF(L223=1,M223+N223-$B$29,M223)</f>
        <v>163586.462443657</v>
      </c>
      <c r="P223" s="56" t="n">
        <f aca="false">IF(L223=1,IF($B$29&lt;=N223,1,0),0)</f>
        <v>0</v>
      </c>
      <c r="Q223" s="58" t="n">
        <f aca="false">Q222+N223</f>
        <v>172951.573905271</v>
      </c>
    </row>
    <row r="224" customFormat="false" ht="15" hidden="false" customHeight="false" outlineLevel="0" collapsed="false">
      <c r="K224" s="56" t="n">
        <f aca="false">K223+1</f>
        <v>217</v>
      </c>
      <c r="L224" s="57" t="n">
        <f aca="false">IF(AND(K224&lt;=Assumptions!$C$42,L223=1,P223=0,O223&gt;Assumptions!$C$43),1,0)</f>
        <v>1</v>
      </c>
      <c r="M224" s="58" t="n">
        <f aca="false">O223</f>
        <v>163586.462443657</v>
      </c>
      <c r="N224" s="58" t="n">
        <f aca="false">IF(L224=1,M224*$B$25,0)</f>
        <v>545.288208145522</v>
      </c>
      <c r="O224" s="58" t="n">
        <f aca="false">IF(L224=1,M224+N224-$B$29,M224)</f>
        <v>162699.504765406</v>
      </c>
      <c r="P224" s="56" t="n">
        <f aca="false">IF(L224=1,IF($B$29&lt;=N224,1,0),0)</f>
        <v>0</v>
      </c>
      <c r="Q224" s="58" t="n">
        <f aca="false">Q223+N224</f>
        <v>173496.862113417</v>
      </c>
    </row>
    <row r="225" customFormat="false" ht="15" hidden="false" customHeight="false" outlineLevel="0" collapsed="false">
      <c r="K225" s="56" t="n">
        <f aca="false">K224+1</f>
        <v>218</v>
      </c>
      <c r="L225" s="57" t="n">
        <f aca="false">IF(AND(K225&lt;=Assumptions!$C$42,L224=1,P224=0,O224&gt;Assumptions!$C$43),1,0)</f>
        <v>1</v>
      </c>
      <c r="M225" s="58" t="n">
        <f aca="false">O224</f>
        <v>162699.504765406</v>
      </c>
      <c r="N225" s="58" t="n">
        <f aca="false">IF(L225=1,M225*$B$25,0)</f>
        <v>542.331682551353</v>
      </c>
      <c r="O225" s="58" t="n">
        <f aca="false">IF(L225=1,M225+N225-$B$29,M225)</f>
        <v>161809.590561561</v>
      </c>
      <c r="P225" s="56" t="n">
        <f aca="false">IF(L225=1,IF($B$29&lt;=N225,1,0),0)</f>
        <v>0</v>
      </c>
      <c r="Q225" s="58" t="n">
        <f aca="false">Q224+N225</f>
        <v>174039.193795968</v>
      </c>
    </row>
    <row r="226" customFormat="false" ht="15" hidden="false" customHeight="false" outlineLevel="0" collapsed="false">
      <c r="K226" s="56" t="n">
        <f aca="false">K225+1</f>
        <v>219</v>
      </c>
      <c r="L226" s="57" t="n">
        <f aca="false">IF(AND(K226&lt;=Assumptions!$C$42,L225=1,P225=0,O225&gt;Assumptions!$C$43),1,0)</f>
        <v>1</v>
      </c>
      <c r="M226" s="58" t="n">
        <f aca="false">O225</f>
        <v>161809.590561561</v>
      </c>
      <c r="N226" s="58" t="n">
        <f aca="false">IF(L226=1,M226*$B$25,0)</f>
        <v>539.365301871869</v>
      </c>
      <c r="O226" s="58" t="n">
        <f aca="false">IF(L226=1,M226+N226-$B$29,M226)</f>
        <v>160916.709977036</v>
      </c>
      <c r="P226" s="56" t="n">
        <f aca="false">IF(L226=1,IF($B$29&lt;=N226,1,0),0)</f>
        <v>0</v>
      </c>
      <c r="Q226" s="58" t="n">
        <f aca="false">Q225+N226</f>
        <v>174578.55909784</v>
      </c>
    </row>
    <row r="227" customFormat="false" ht="15" hidden="false" customHeight="false" outlineLevel="0" collapsed="false">
      <c r="K227" s="56" t="n">
        <f aca="false">K226+1</f>
        <v>220</v>
      </c>
      <c r="L227" s="57" t="n">
        <f aca="false">IF(AND(K227&lt;=Assumptions!$C$42,L226=1,P226=0,O226&gt;Assumptions!$C$43),1,0)</f>
        <v>1</v>
      </c>
      <c r="M227" s="58" t="n">
        <f aca="false">O226</f>
        <v>160916.709977036</v>
      </c>
      <c r="N227" s="58" t="n">
        <f aca="false">IF(L227=1,M227*$B$25,0)</f>
        <v>536.389033256788</v>
      </c>
      <c r="O227" s="58" t="n">
        <f aca="false">IF(L227=1,M227+N227-$B$29,M227)</f>
        <v>160020.853123897</v>
      </c>
      <c r="P227" s="56" t="n">
        <f aca="false">IF(L227=1,IF($B$29&lt;=N227,1,0),0)</f>
        <v>0</v>
      </c>
      <c r="Q227" s="58" t="n">
        <f aca="false">Q226+N227</f>
        <v>175114.948131097</v>
      </c>
    </row>
    <row r="228" customFormat="false" ht="15" hidden="false" customHeight="false" outlineLevel="0" collapsed="false">
      <c r="K228" s="56" t="n">
        <f aca="false">K227+1</f>
        <v>221</v>
      </c>
      <c r="L228" s="57" t="n">
        <f aca="false">IF(AND(K228&lt;=Assumptions!$C$42,L227=1,P227=0,O227&gt;Assumptions!$C$43),1,0)</f>
        <v>1</v>
      </c>
      <c r="M228" s="58" t="n">
        <f aca="false">O227</f>
        <v>160020.853123897</v>
      </c>
      <c r="N228" s="58" t="n">
        <f aca="false">IF(L228=1,M228*$B$25,0)</f>
        <v>533.402843746322</v>
      </c>
      <c r="O228" s="58" t="n">
        <f aca="false">IF(L228=1,M228+N228-$B$29,M228)</f>
        <v>159122.010081247</v>
      </c>
      <c r="P228" s="56" t="n">
        <f aca="false">IF(L228=1,IF($B$29&lt;=N228,1,0),0)</f>
        <v>0</v>
      </c>
      <c r="Q228" s="58" t="n">
        <f aca="false">Q227+N228</f>
        <v>175648.350974843</v>
      </c>
    </row>
    <row r="229" customFormat="false" ht="15" hidden="false" customHeight="false" outlineLevel="0" collapsed="false">
      <c r="K229" s="56" t="n">
        <f aca="false">K228+1</f>
        <v>222</v>
      </c>
      <c r="L229" s="57" t="n">
        <f aca="false">IF(AND(K229&lt;=Assumptions!$C$42,L228=1,P228=0,O228&gt;Assumptions!$C$43),1,0)</f>
        <v>1</v>
      </c>
      <c r="M229" s="58" t="n">
        <f aca="false">O228</f>
        <v>159122.010081247</v>
      </c>
      <c r="N229" s="58" t="n">
        <f aca="false">IF(L229=1,M229*$B$25,0)</f>
        <v>530.406700270822</v>
      </c>
      <c r="O229" s="58" t="n">
        <f aca="false">IF(L229=1,M229+N229-$B$29,M229)</f>
        <v>158220.170895121</v>
      </c>
      <c r="P229" s="56" t="n">
        <f aca="false">IF(L229=1,IF($B$29&lt;=N229,1,0),0)</f>
        <v>0</v>
      </c>
      <c r="Q229" s="58" t="n">
        <f aca="false">Q228+N229</f>
        <v>176178.757675114</v>
      </c>
    </row>
    <row r="230" customFormat="false" ht="15" hidden="false" customHeight="false" outlineLevel="0" collapsed="false">
      <c r="K230" s="56" t="n">
        <f aca="false">K229+1</f>
        <v>223</v>
      </c>
      <c r="L230" s="57" t="n">
        <f aca="false">IF(AND(K230&lt;=Assumptions!$C$42,L229=1,P229=0,O229&gt;Assumptions!$C$43),1,0)</f>
        <v>1</v>
      </c>
      <c r="M230" s="58" t="n">
        <f aca="false">O229</f>
        <v>158220.170895121</v>
      </c>
      <c r="N230" s="58" t="n">
        <f aca="false">IF(L230=1,M230*$B$25,0)</f>
        <v>527.400569650404</v>
      </c>
      <c r="O230" s="58" t="n">
        <f aca="false">IF(L230=1,M230+N230-$B$29,M230)</f>
        <v>157315.325578375</v>
      </c>
      <c r="P230" s="56" t="n">
        <f aca="false">IF(L230=1,IF($B$29&lt;=N230,1,0),0)</f>
        <v>0</v>
      </c>
      <c r="Q230" s="58" t="n">
        <f aca="false">Q229+N230</f>
        <v>176706.158244764</v>
      </c>
    </row>
    <row r="231" customFormat="false" ht="15" hidden="false" customHeight="false" outlineLevel="0" collapsed="false">
      <c r="K231" s="56" t="n">
        <f aca="false">K230+1</f>
        <v>224</v>
      </c>
      <c r="L231" s="57" t="n">
        <f aca="false">IF(AND(K231&lt;=Assumptions!$C$42,L230=1,P230=0,O230&gt;Assumptions!$C$43),1,0)</f>
        <v>1</v>
      </c>
      <c r="M231" s="58" t="n">
        <f aca="false">O230</f>
        <v>157315.325578375</v>
      </c>
      <c r="N231" s="58" t="n">
        <f aca="false">IF(L231=1,M231*$B$25,0)</f>
        <v>524.384418594584</v>
      </c>
      <c r="O231" s="58" t="n">
        <f aca="false">IF(L231=1,M231+N231-$B$29,M231)</f>
        <v>156407.464110573</v>
      </c>
      <c r="P231" s="56" t="n">
        <f aca="false">IF(L231=1,IF($B$29&lt;=N231,1,0),0)</f>
        <v>0</v>
      </c>
      <c r="Q231" s="58" t="n">
        <f aca="false">Q230+N231</f>
        <v>177230.542663359</v>
      </c>
    </row>
    <row r="232" customFormat="false" ht="15" hidden="false" customHeight="false" outlineLevel="0" collapsed="false">
      <c r="K232" s="56" t="n">
        <f aca="false">K231+1</f>
        <v>225</v>
      </c>
      <c r="L232" s="57" t="n">
        <f aca="false">IF(AND(K232&lt;=Assumptions!$C$42,L231=1,P231=0,O231&gt;Assumptions!$C$43),1,0)</f>
        <v>1</v>
      </c>
      <c r="M232" s="58" t="n">
        <f aca="false">O231</f>
        <v>156407.464110573</v>
      </c>
      <c r="N232" s="58" t="n">
        <f aca="false">IF(L232=1,M232*$B$25,0)</f>
        <v>521.358213701912</v>
      </c>
      <c r="O232" s="58" t="n">
        <f aca="false">IF(L232=1,M232+N232-$B$29,M232)</f>
        <v>155496.576437879</v>
      </c>
      <c r="P232" s="56" t="n">
        <f aca="false">IF(L232=1,IF($B$29&lt;=N232,1,0),0)</f>
        <v>0</v>
      </c>
      <c r="Q232" s="58" t="n">
        <f aca="false">Q231+N232</f>
        <v>177751.900877061</v>
      </c>
    </row>
    <row r="233" customFormat="false" ht="15" hidden="false" customHeight="false" outlineLevel="0" collapsed="false">
      <c r="K233" s="56" t="n">
        <f aca="false">K232+1</f>
        <v>226</v>
      </c>
      <c r="L233" s="57" t="n">
        <f aca="false">IF(AND(K233&lt;=Assumptions!$C$42,L232=1,P232=0,O232&gt;Assumptions!$C$43),1,0)</f>
        <v>1</v>
      </c>
      <c r="M233" s="58" t="n">
        <f aca="false">O232</f>
        <v>155496.576437879</v>
      </c>
      <c r="N233" s="58" t="n">
        <f aca="false">IF(L233=1,M233*$B$25,0)</f>
        <v>518.321921459597</v>
      </c>
      <c r="O233" s="58" t="n">
        <f aca="false">IF(L233=1,M233+N233-$B$29,M233)</f>
        <v>154582.652472942</v>
      </c>
      <c r="P233" s="56" t="n">
        <f aca="false">IF(L233=1,IF($B$29&lt;=N233,1,0),0)</f>
        <v>0</v>
      </c>
      <c r="Q233" s="58" t="n">
        <f aca="false">Q232+N233</f>
        <v>178270.22279852</v>
      </c>
    </row>
    <row r="234" customFormat="false" ht="15" hidden="false" customHeight="false" outlineLevel="0" collapsed="false">
      <c r="K234" s="56" t="n">
        <f aca="false">K233+1</f>
        <v>227</v>
      </c>
      <c r="L234" s="57" t="n">
        <f aca="false">IF(AND(K234&lt;=Assumptions!$C$42,L233=1,P233=0,O233&gt;Assumptions!$C$43),1,0)</f>
        <v>1</v>
      </c>
      <c r="M234" s="58" t="n">
        <f aca="false">O233</f>
        <v>154582.652472942</v>
      </c>
      <c r="N234" s="58" t="n">
        <f aca="false">IF(L234=1,M234*$B$25,0)</f>
        <v>515.275508243141</v>
      </c>
      <c r="O234" s="58" t="n">
        <f aca="false">IF(L234=1,M234+N234-$B$29,M234)</f>
        <v>153665.682094789</v>
      </c>
      <c r="P234" s="56" t="n">
        <f aca="false">IF(L234=1,IF($B$29&lt;=N234,1,0),0)</f>
        <v>0</v>
      </c>
      <c r="Q234" s="58" t="n">
        <f aca="false">Q233+N234</f>
        <v>178785.498306764</v>
      </c>
    </row>
    <row r="235" customFormat="false" ht="15" hidden="false" customHeight="false" outlineLevel="0" collapsed="false">
      <c r="K235" s="56" t="n">
        <f aca="false">K234+1</f>
        <v>228</v>
      </c>
      <c r="L235" s="57" t="n">
        <f aca="false">IF(AND(K235&lt;=Assumptions!$C$42,L234=1,P234=0,O234&gt;Assumptions!$C$43),1,0)</f>
        <v>1</v>
      </c>
      <c r="M235" s="58" t="n">
        <f aca="false">O234</f>
        <v>153665.682094789</v>
      </c>
      <c r="N235" s="58" t="n">
        <f aca="false">IF(L235=1,M235*$B$25,0)</f>
        <v>512.218940315964</v>
      </c>
      <c r="O235" s="58" t="n">
        <f aca="false">IF(L235=1,M235+N235-$B$29,M235)</f>
        <v>152745.655148709</v>
      </c>
      <c r="P235" s="56" t="n">
        <f aca="false">IF(L235=1,IF($B$29&lt;=N235,1,0),0)</f>
        <v>0</v>
      </c>
      <c r="Q235" s="58" t="n">
        <f aca="false">Q234+N235</f>
        <v>179297.71724708</v>
      </c>
    </row>
    <row r="236" customFormat="false" ht="15" hidden="false" customHeight="false" outlineLevel="0" collapsed="false">
      <c r="K236" s="56" t="n">
        <f aca="false">K235+1</f>
        <v>229</v>
      </c>
      <c r="L236" s="57" t="n">
        <f aca="false">IF(AND(K236&lt;=Assumptions!$C$42,L235=1,P235=0,O235&gt;Assumptions!$C$43),1,0)</f>
        <v>1</v>
      </c>
      <c r="M236" s="58" t="n">
        <f aca="false">O235</f>
        <v>152745.655148709</v>
      </c>
      <c r="N236" s="58" t="n">
        <f aca="false">IF(L236=1,M236*$B$25,0)</f>
        <v>509.152183829029</v>
      </c>
      <c r="O236" s="58" t="n">
        <f aca="false">IF(L236=1,M236+N236-$B$29,M236)</f>
        <v>151822.561446141</v>
      </c>
      <c r="P236" s="56" t="n">
        <f aca="false">IF(L236=1,IF($B$29&lt;=N236,1,0),0)</f>
        <v>0</v>
      </c>
      <c r="Q236" s="58" t="n">
        <f aca="false">Q235+N236</f>
        <v>179806.869430909</v>
      </c>
    </row>
    <row r="237" customFormat="false" ht="15" hidden="false" customHeight="false" outlineLevel="0" collapsed="false">
      <c r="K237" s="56" t="n">
        <f aca="false">K236+1</f>
        <v>230</v>
      </c>
      <c r="L237" s="57" t="n">
        <f aca="false">IF(AND(K237&lt;=Assumptions!$C$42,L236=1,P236=0,O236&gt;Assumptions!$C$43),1,0)</f>
        <v>1</v>
      </c>
      <c r="M237" s="58" t="n">
        <f aca="false">O236</f>
        <v>151822.561446141</v>
      </c>
      <c r="N237" s="58" t="n">
        <f aca="false">IF(L237=1,M237*$B$25,0)</f>
        <v>506.075204820471</v>
      </c>
      <c r="O237" s="58" t="n">
        <f aca="false">IF(L237=1,M237+N237-$B$29,M237)</f>
        <v>150896.390764565</v>
      </c>
      <c r="P237" s="56" t="n">
        <f aca="false">IF(L237=1,IF($B$29&lt;=N237,1,0),0)</f>
        <v>0</v>
      </c>
      <c r="Q237" s="58" t="n">
        <f aca="false">Q236+N237</f>
        <v>180312.944635729</v>
      </c>
    </row>
    <row r="238" customFormat="false" ht="15" hidden="false" customHeight="false" outlineLevel="0" collapsed="false">
      <c r="K238" s="56" t="n">
        <f aca="false">K237+1</f>
        <v>231</v>
      </c>
      <c r="L238" s="57" t="n">
        <f aca="false">IF(AND(K238&lt;=Assumptions!$C$42,L237=1,P237=0,O237&gt;Assumptions!$C$43),1,0)</f>
        <v>1</v>
      </c>
      <c r="M238" s="58" t="n">
        <f aca="false">O237</f>
        <v>150896.390764565</v>
      </c>
      <c r="N238" s="58" t="n">
        <f aca="false">IF(L238=1,M238*$B$25,0)</f>
        <v>502.987969215218</v>
      </c>
      <c r="O238" s="58" t="n">
        <f aca="false">IF(L238=1,M238+N238-$B$29,M238)</f>
        <v>149967.132847384</v>
      </c>
      <c r="P238" s="56" t="n">
        <f aca="false">IF(L238=1,IF($B$29&lt;=N238,1,0),0)</f>
        <v>0</v>
      </c>
      <c r="Q238" s="58" t="n">
        <f aca="false">Q237+N238</f>
        <v>180815.932604944</v>
      </c>
    </row>
    <row r="239" customFormat="false" ht="15" hidden="false" customHeight="false" outlineLevel="0" collapsed="false">
      <c r="K239" s="56" t="n">
        <f aca="false">K238+1</f>
        <v>232</v>
      </c>
      <c r="L239" s="57" t="n">
        <f aca="false">IF(AND(K239&lt;=Assumptions!$C$42,L238=1,P238=0,O238&gt;Assumptions!$C$43),1,0)</f>
        <v>1</v>
      </c>
      <c r="M239" s="58" t="n">
        <f aca="false">O238</f>
        <v>149967.132847384</v>
      </c>
      <c r="N239" s="58" t="n">
        <f aca="false">IF(L239=1,M239*$B$25,0)</f>
        <v>499.890442824615</v>
      </c>
      <c r="O239" s="58" t="n">
        <f aca="false">IF(L239=1,M239+N239-$B$29,M239)</f>
        <v>149034.777403813</v>
      </c>
      <c r="P239" s="56" t="n">
        <f aca="false">IF(L239=1,IF($B$29&lt;=N239,1,0),0)</f>
        <v>0</v>
      </c>
      <c r="Q239" s="58" t="n">
        <f aca="false">Q238+N239</f>
        <v>181315.823047769</v>
      </c>
    </row>
    <row r="240" customFormat="false" ht="15" hidden="false" customHeight="false" outlineLevel="0" collapsed="false">
      <c r="K240" s="56" t="n">
        <f aca="false">K239+1</f>
        <v>233</v>
      </c>
      <c r="L240" s="57" t="n">
        <f aca="false">IF(AND(K240&lt;=Assumptions!$C$42,L239=1,P239=0,O239&gt;Assumptions!$C$43),1,0)</f>
        <v>1</v>
      </c>
      <c r="M240" s="58" t="n">
        <f aca="false">O239</f>
        <v>149034.777403813</v>
      </c>
      <c r="N240" s="58" t="n">
        <f aca="false">IF(L240=1,M240*$B$25,0)</f>
        <v>496.782591346042</v>
      </c>
      <c r="O240" s="58" t="n">
        <f aca="false">IF(L240=1,M240+N240-$B$29,M240)</f>
        <v>148099.314108762</v>
      </c>
      <c r="P240" s="56" t="n">
        <f aca="false">IF(L240=1,IF($B$29&lt;=N240,1,0),0)</f>
        <v>0</v>
      </c>
      <c r="Q240" s="58" t="n">
        <f aca="false">Q239+N240</f>
        <v>181812.605639115</v>
      </c>
    </row>
    <row r="241" customFormat="false" ht="15" hidden="false" customHeight="false" outlineLevel="0" collapsed="false">
      <c r="K241" s="56" t="n">
        <f aca="false">K240+1</f>
        <v>234</v>
      </c>
      <c r="L241" s="57" t="n">
        <f aca="false">IF(AND(K241&lt;=Assumptions!$C$42,L240=1,P240=0,O240&gt;Assumptions!$C$43),1,0)</f>
        <v>1</v>
      </c>
      <c r="M241" s="58" t="n">
        <f aca="false">O240</f>
        <v>148099.314108762</v>
      </c>
      <c r="N241" s="58" t="n">
        <f aca="false">IF(L241=1,M241*$B$25,0)</f>
        <v>493.664380362541</v>
      </c>
      <c r="O241" s="58" t="n">
        <f aca="false">IF(L241=1,M241+N241-$B$29,M241)</f>
        <v>147160.732602728</v>
      </c>
      <c r="P241" s="56" t="n">
        <f aca="false">IF(L241=1,IF($B$29&lt;=N241,1,0),0)</f>
        <v>0</v>
      </c>
      <c r="Q241" s="58" t="n">
        <f aca="false">Q240+N241</f>
        <v>182306.270019477</v>
      </c>
    </row>
    <row r="242" customFormat="false" ht="15" hidden="false" customHeight="false" outlineLevel="0" collapsed="false">
      <c r="K242" s="56" t="n">
        <f aca="false">K241+1</f>
        <v>235</v>
      </c>
      <c r="L242" s="57" t="n">
        <f aca="false">IF(AND(K242&lt;=Assumptions!$C$42,L241=1,P241=0,O241&gt;Assumptions!$C$43),1,0)</f>
        <v>1</v>
      </c>
      <c r="M242" s="58" t="n">
        <f aca="false">O241</f>
        <v>147160.732602728</v>
      </c>
      <c r="N242" s="58" t="n">
        <f aca="false">IF(L242=1,M242*$B$25,0)</f>
        <v>490.535775342428</v>
      </c>
      <c r="O242" s="58" t="n">
        <f aca="false">IF(L242=1,M242+N242-$B$29,M242)</f>
        <v>146219.022491675</v>
      </c>
      <c r="P242" s="56" t="n">
        <f aca="false">IF(L242=1,IF($B$29&lt;=N242,1,0),0)</f>
        <v>0</v>
      </c>
      <c r="Q242" s="58" t="n">
        <f aca="false">Q241+N242</f>
        <v>182796.80579482</v>
      </c>
    </row>
    <row r="243" customFormat="false" ht="15" hidden="false" customHeight="false" outlineLevel="0" collapsed="false">
      <c r="K243" s="56" t="n">
        <f aca="false">K242+1</f>
        <v>236</v>
      </c>
      <c r="L243" s="57" t="n">
        <f aca="false">IF(AND(K243&lt;=Assumptions!$C$42,L242=1,P242=0,O242&gt;Assumptions!$C$43),1,0)</f>
        <v>1</v>
      </c>
      <c r="M243" s="58" t="n">
        <f aca="false">O242</f>
        <v>146219.022491675</v>
      </c>
      <c r="N243" s="58" t="n">
        <f aca="false">IF(L243=1,M243*$B$25,0)</f>
        <v>487.396741638915</v>
      </c>
      <c r="O243" s="58" t="n">
        <f aca="false">IF(L243=1,M243+N243-$B$29,M243)</f>
        <v>145274.173346917</v>
      </c>
      <c r="P243" s="56" t="n">
        <f aca="false">IF(L243=1,IF($B$29&lt;=N243,1,0),0)</f>
        <v>0</v>
      </c>
      <c r="Q243" s="58" t="n">
        <f aca="false">Q242+N243</f>
        <v>183284.202536459</v>
      </c>
    </row>
    <row r="244" customFormat="false" ht="15" hidden="false" customHeight="false" outlineLevel="0" collapsed="false">
      <c r="K244" s="56" t="n">
        <f aca="false">K243+1</f>
        <v>237</v>
      </c>
      <c r="L244" s="57" t="n">
        <f aca="false">IF(AND(K244&lt;=Assumptions!$C$42,L243=1,P243=0,O243&gt;Assumptions!$C$43),1,0)</f>
        <v>1</v>
      </c>
      <c r="M244" s="58" t="n">
        <f aca="false">O243</f>
        <v>145274.173346917</v>
      </c>
      <c r="N244" s="58" t="n">
        <f aca="false">IF(L244=1,M244*$B$25,0)</f>
        <v>484.247244489724</v>
      </c>
      <c r="O244" s="58" t="n">
        <f aca="false">IF(L244=1,M244+N244-$B$29,M244)</f>
        <v>144326.174705011</v>
      </c>
      <c r="P244" s="56" t="n">
        <f aca="false">IF(L244=1,IF($B$29&lt;=N244,1,0),0)</f>
        <v>0</v>
      </c>
      <c r="Q244" s="58" t="n">
        <f aca="false">Q243+N244</f>
        <v>183768.449780949</v>
      </c>
    </row>
    <row r="245" customFormat="false" ht="15" hidden="false" customHeight="false" outlineLevel="0" collapsed="false">
      <c r="K245" s="56" t="n">
        <f aca="false">K244+1</f>
        <v>238</v>
      </c>
      <c r="L245" s="57" t="n">
        <f aca="false">IF(AND(K245&lt;=Assumptions!$C$42,L244=1,P244=0,O244&gt;Assumptions!$C$43),1,0)</f>
        <v>1</v>
      </c>
      <c r="M245" s="58" t="n">
        <f aca="false">O244</f>
        <v>144326.174705011</v>
      </c>
      <c r="N245" s="58" t="n">
        <f aca="false">IF(L245=1,M245*$B$25,0)</f>
        <v>481.087249016702</v>
      </c>
      <c r="O245" s="58" t="n">
        <f aca="false">IF(L245=1,M245+N245-$B$29,M245)</f>
        <v>143375.016067631</v>
      </c>
      <c r="P245" s="56" t="n">
        <f aca="false">IF(L245=1,IF($B$29&lt;=N245,1,0),0)</f>
        <v>0</v>
      </c>
      <c r="Q245" s="58" t="n">
        <f aca="false">Q244+N245</f>
        <v>184249.537029965</v>
      </c>
    </row>
    <row r="246" customFormat="false" ht="15" hidden="false" customHeight="false" outlineLevel="0" collapsed="false">
      <c r="K246" s="56" t="n">
        <f aca="false">K245+1</f>
        <v>239</v>
      </c>
      <c r="L246" s="57" t="n">
        <f aca="false">IF(AND(K246&lt;=Assumptions!$C$42,L245=1,P245=0,O245&gt;Assumptions!$C$43),1,0)</f>
        <v>1</v>
      </c>
      <c r="M246" s="58" t="n">
        <f aca="false">O245</f>
        <v>143375.016067631</v>
      </c>
      <c r="N246" s="58" t="n">
        <f aca="false">IF(L246=1,M246*$B$25,0)</f>
        <v>477.916720225436</v>
      </c>
      <c r="O246" s="58" t="n">
        <f aca="false">IF(L246=1,M246+N246-$B$29,M246)</f>
        <v>142420.68690146</v>
      </c>
      <c r="P246" s="56" t="n">
        <f aca="false">IF(L246=1,IF($B$29&lt;=N246,1,0),0)</f>
        <v>0</v>
      </c>
      <c r="Q246" s="58" t="n">
        <f aca="false">Q245+N246</f>
        <v>184727.453750191</v>
      </c>
    </row>
    <row r="247" customFormat="false" ht="15" hidden="false" customHeight="false" outlineLevel="0" collapsed="false">
      <c r="K247" s="56" t="n">
        <f aca="false">K246+1</f>
        <v>240</v>
      </c>
      <c r="L247" s="57" t="n">
        <f aca="false">IF(AND(K247&lt;=Assumptions!$C$42,L246=1,P246=0,O246&gt;Assumptions!$C$43),1,0)</f>
        <v>1</v>
      </c>
      <c r="M247" s="58" t="n">
        <f aca="false">O246</f>
        <v>142420.68690146</v>
      </c>
      <c r="N247" s="58" t="n">
        <f aca="false">IF(L247=1,M247*$B$25,0)</f>
        <v>474.735623004867</v>
      </c>
      <c r="O247" s="58" t="n">
        <f aca="false">IF(L247=1,M247+N247-$B$29,M247)</f>
        <v>141463.176638068</v>
      </c>
      <c r="P247" s="56" t="n">
        <f aca="false">IF(L247=1,IF($B$29&lt;=N247,1,0),0)</f>
        <v>0</v>
      </c>
      <c r="Q247" s="58" t="n">
        <f aca="false">Q246+N247</f>
        <v>185202.189373196</v>
      </c>
    </row>
    <row r="248" customFormat="false" ht="15" hidden="false" customHeight="false" outlineLevel="0" collapsed="false">
      <c r="K248" s="56" t="n">
        <f aca="false">K247+1</f>
        <v>241</v>
      </c>
      <c r="L248" s="57" t="n">
        <f aca="false">IF(AND(K248&lt;=Assumptions!$C$42,L247=1,P247=0,O247&gt;Assumptions!$C$43),1,0)</f>
        <v>1</v>
      </c>
      <c r="M248" s="58" t="n">
        <f aca="false">O247</f>
        <v>141463.176638068</v>
      </c>
      <c r="N248" s="58" t="n">
        <f aca="false">IF(L248=1,M248*$B$25,0)</f>
        <v>471.543922126895</v>
      </c>
      <c r="O248" s="58" t="n">
        <f aca="false">IF(L248=1,M248+N248-$B$29,M248)</f>
        <v>140502.474673799</v>
      </c>
      <c r="P248" s="56" t="n">
        <f aca="false">IF(L248=1,IF($B$29&lt;=N248,1,0),0)</f>
        <v>0</v>
      </c>
      <c r="Q248" s="58" t="n">
        <f aca="false">Q247+N248</f>
        <v>185673.733295322</v>
      </c>
    </row>
    <row r="249" customFormat="false" ht="15" hidden="false" customHeight="false" outlineLevel="0" collapsed="false">
      <c r="K249" s="56" t="n">
        <f aca="false">K248+1</f>
        <v>242</v>
      </c>
      <c r="L249" s="57" t="n">
        <f aca="false">IF(AND(K249&lt;=Assumptions!$C$42,L248=1,P248=0,O248&gt;Assumptions!$C$43),1,0)</f>
        <v>1</v>
      </c>
      <c r="M249" s="58" t="n">
        <f aca="false">O248</f>
        <v>140502.474673799</v>
      </c>
      <c r="N249" s="58" t="n">
        <f aca="false">IF(L249=1,M249*$B$25,0)</f>
        <v>468.341582245997</v>
      </c>
      <c r="O249" s="58" t="n">
        <f aca="false">IF(L249=1,M249+N249-$B$29,M249)</f>
        <v>139538.570369649</v>
      </c>
      <c r="P249" s="56" t="n">
        <f aca="false">IF(L249=1,IF($B$29&lt;=N249,1,0),0)</f>
        <v>0</v>
      </c>
      <c r="Q249" s="58" t="n">
        <f aca="false">Q248+N249</f>
        <v>186142.074877568</v>
      </c>
    </row>
    <row r="250" customFormat="false" ht="15" hidden="false" customHeight="false" outlineLevel="0" collapsed="false">
      <c r="K250" s="56" t="n">
        <f aca="false">K249+1</f>
        <v>243</v>
      </c>
      <c r="L250" s="57" t="n">
        <f aca="false">IF(AND(K250&lt;=Assumptions!$C$42,L249=1,P249=0,O249&gt;Assumptions!$C$43),1,0)</f>
        <v>1</v>
      </c>
      <c r="M250" s="58" t="n">
        <f aca="false">O249</f>
        <v>139538.570369649</v>
      </c>
      <c r="N250" s="58" t="n">
        <f aca="false">IF(L250=1,M250*$B$25,0)</f>
        <v>465.128567898829</v>
      </c>
      <c r="O250" s="58" t="n">
        <f aca="false">IF(L250=1,M250+N250-$B$29,M250)</f>
        <v>138571.453051151</v>
      </c>
      <c r="P250" s="56" t="n">
        <f aca="false">IF(L250=1,IF($B$29&lt;=N250,1,0),0)</f>
        <v>0</v>
      </c>
      <c r="Q250" s="58" t="n">
        <f aca="false">Q249+N250</f>
        <v>186607.203445467</v>
      </c>
    </row>
    <row r="251" customFormat="false" ht="15" hidden="false" customHeight="false" outlineLevel="0" collapsed="false">
      <c r="K251" s="56" t="n">
        <f aca="false">K250+1</f>
        <v>244</v>
      </c>
      <c r="L251" s="57" t="n">
        <f aca="false">IF(AND(K251&lt;=Assumptions!$C$42,L250=1,P250=0,O250&gt;Assumptions!$C$43),1,0)</f>
        <v>1</v>
      </c>
      <c r="M251" s="58" t="n">
        <f aca="false">O250</f>
        <v>138571.453051151</v>
      </c>
      <c r="N251" s="58" t="n">
        <f aca="false">IF(L251=1,M251*$B$25,0)</f>
        <v>461.904843503837</v>
      </c>
      <c r="O251" s="58" t="n">
        <f aca="false">IF(L251=1,M251+N251-$B$29,M251)</f>
        <v>137601.112008259</v>
      </c>
      <c r="P251" s="56" t="n">
        <f aca="false">IF(L251=1,IF($B$29&lt;=N251,1,0),0)</f>
        <v>0</v>
      </c>
      <c r="Q251" s="58" t="n">
        <f aca="false">Q250+N251</f>
        <v>187069.108288971</v>
      </c>
    </row>
    <row r="252" customFormat="false" ht="15" hidden="false" customHeight="false" outlineLevel="0" collapsed="false">
      <c r="K252" s="56" t="n">
        <f aca="false">K251+1</f>
        <v>245</v>
      </c>
      <c r="L252" s="57" t="n">
        <f aca="false">IF(AND(K252&lt;=Assumptions!$C$42,L251=1,P251=0,O251&gt;Assumptions!$C$43),1,0)</f>
        <v>1</v>
      </c>
      <c r="M252" s="58" t="n">
        <f aca="false">O251</f>
        <v>137601.112008259</v>
      </c>
      <c r="N252" s="58" t="n">
        <f aca="false">IF(L252=1,M252*$B$25,0)</f>
        <v>458.670373360862</v>
      </c>
      <c r="O252" s="58" t="n">
        <f aca="false">IF(L252=1,M252+N252-$B$29,M252)</f>
        <v>136627.536495223</v>
      </c>
      <c r="P252" s="56" t="n">
        <f aca="false">IF(L252=1,IF($B$29&lt;=N252,1,0),0)</f>
        <v>0</v>
      </c>
      <c r="Q252" s="58" t="n">
        <f aca="false">Q251+N252</f>
        <v>187527.778662332</v>
      </c>
    </row>
    <row r="253" customFormat="false" ht="15" hidden="false" customHeight="false" outlineLevel="0" collapsed="false">
      <c r="K253" s="56" t="n">
        <f aca="false">K252+1</f>
        <v>246</v>
      </c>
      <c r="L253" s="57" t="n">
        <f aca="false">IF(AND(K253&lt;=Assumptions!$C$42,L252=1,P252=0,O252&gt;Assumptions!$C$43),1,0)</f>
        <v>1</v>
      </c>
      <c r="M253" s="58" t="n">
        <f aca="false">O252</f>
        <v>136627.536495223</v>
      </c>
      <c r="N253" s="58" t="n">
        <f aca="false">IF(L253=1,M253*$B$25,0)</f>
        <v>455.425121650744</v>
      </c>
      <c r="O253" s="58" t="n">
        <f aca="false">IF(L253=1,M253+N253-$B$29,M253)</f>
        <v>135650.715730478</v>
      </c>
      <c r="P253" s="56" t="n">
        <f aca="false">IF(L253=1,IF($B$29&lt;=N253,1,0),0)</f>
        <v>0</v>
      </c>
      <c r="Q253" s="58" t="n">
        <f aca="false">Q252+N253</f>
        <v>187983.203783983</v>
      </c>
    </row>
    <row r="254" customFormat="false" ht="15" hidden="false" customHeight="false" outlineLevel="0" collapsed="false">
      <c r="K254" s="56" t="n">
        <f aca="false">K253+1</f>
        <v>247</v>
      </c>
      <c r="L254" s="57" t="n">
        <f aca="false">IF(AND(K254&lt;=Assumptions!$C$42,L253=1,P253=0,O253&gt;Assumptions!$C$43),1,0)</f>
        <v>1</v>
      </c>
      <c r="M254" s="58" t="n">
        <f aca="false">O253</f>
        <v>135650.715730478</v>
      </c>
      <c r="N254" s="58" t="n">
        <f aca="false">IF(L254=1,M254*$B$25,0)</f>
        <v>452.169052434925</v>
      </c>
      <c r="O254" s="58" t="n">
        <f aca="false">IF(L254=1,M254+N254-$B$29,M254)</f>
        <v>134670.638896516</v>
      </c>
      <c r="P254" s="56" t="n">
        <f aca="false">IF(L254=1,IF($B$29&lt;=N254,1,0),0)</f>
        <v>0</v>
      </c>
      <c r="Q254" s="58" t="n">
        <f aca="false">Q253+N254</f>
        <v>188435.372836418</v>
      </c>
    </row>
    <row r="255" customFormat="false" ht="15" hidden="false" customHeight="false" outlineLevel="0" collapsed="false">
      <c r="K255" s="56" t="n">
        <f aca="false">K254+1</f>
        <v>248</v>
      </c>
      <c r="L255" s="57" t="n">
        <f aca="false">IF(AND(K255&lt;=Assumptions!$C$42,L254=1,P254=0,O254&gt;Assumptions!$C$43),1,0)</f>
        <v>1</v>
      </c>
      <c r="M255" s="58" t="n">
        <f aca="false">O254</f>
        <v>134670.638896516</v>
      </c>
      <c r="N255" s="58" t="n">
        <f aca="false">IF(L255=1,M255*$B$25,0)</f>
        <v>448.902129655054</v>
      </c>
      <c r="O255" s="58" t="n">
        <f aca="false">IF(L255=1,M255+N255-$B$29,M255)</f>
        <v>133687.295139775</v>
      </c>
      <c r="P255" s="56" t="n">
        <f aca="false">IF(L255=1,IF($B$29&lt;=N255,1,0),0)</f>
        <v>0</v>
      </c>
      <c r="Q255" s="58" t="n">
        <f aca="false">Q254+N255</f>
        <v>188884.274966073</v>
      </c>
    </row>
    <row r="256" customFormat="false" ht="15" hidden="false" customHeight="false" outlineLevel="0" collapsed="false">
      <c r="K256" s="56" t="n">
        <f aca="false">K255+1</f>
        <v>249</v>
      </c>
      <c r="L256" s="57" t="n">
        <f aca="false">IF(AND(K256&lt;=Assumptions!$C$42,L255=1,P255=0,O255&gt;Assumptions!$C$43),1,0)</f>
        <v>1</v>
      </c>
      <c r="M256" s="58" t="n">
        <f aca="false">O255</f>
        <v>133687.295139775</v>
      </c>
      <c r="N256" s="58" t="n">
        <f aca="false">IF(L256=1,M256*$B$25,0)</f>
        <v>445.624317132583</v>
      </c>
      <c r="O256" s="58" t="n">
        <f aca="false">IF(L256=1,M256+N256-$B$29,M256)</f>
        <v>132700.673570511</v>
      </c>
      <c r="P256" s="56" t="n">
        <f aca="false">IF(L256=1,IF($B$29&lt;=N256,1,0),0)</f>
        <v>0</v>
      </c>
      <c r="Q256" s="58" t="n">
        <f aca="false">Q255+N256</f>
        <v>189329.899283205</v>
      </c>
    </row>
    <row r="257" customFormat="false" ht="15" hidden="false" customHeight="false" outlineLevel="0" collapsed="false">
      <c r="K257" s="56" t="n">
        <f aca="false">K256+1</f>
        <v>250</v>
      </c>
      <c r="L257" s="57" t="n">
        <f aca="false">IF(AND(K257&lt;=Assumptions!$C$42,L256=1,P256=0,O256&gt;Assumptions!$C$43),1,0)</f>
        <v>1</v>
      </c>
      <c r="M257" s="58" t="n">
        <f aca="false">O256</f>
        <v>132700.673570511</v>
      </c>
      <c r="N257" s="58" t="n">
        <f aca="false">IF(L257=1,M257*$B$25,0)</f>
        <v>442.33557856837</v>
      </c>
      <c r="O257" s="58" t="n">
        <f aca="false">IF(L257=1,M257+N257-$B$29,M257)</f>
        <v>131710.763262683</v>
      </c>
      <c r="P257" s="56" t="n">
        <f aca="false">IF(L257=1,IF($B$29&lt;=N257,1,0),0)</f>
        <v>0</v>
      </c>
      <c r="Q257" s="58" t="n">
        <f aca="false">Q256+N257</f>
        <v>189772.234861774</v>
      </c>
    </row>
    <row r="258" customFormat="false" ht="15" hidden="false" customHeight="false" outlineLevel="0" collapsed="false">
      <c r="K258" s="56" t="n">
        <f aca="false">K257+1</f>
        <v>251</v>
      </c>
      <c r="L258" s="57" t="n">
        <f aca="false">IF(AND(K258&lt;=Assumptions!$C$42,L257=1,P257=0,O257&gt;Assumptions!$C$43),1,0)</f>
        <v>1</v>
      </c>
      <c r="M258" s="58" t="n">
        <f aca="false">O257</f>
        <v>131710.763262683</v>
      </c>
      <c r="N258" s="58" t="n">
        <f aca="false">IF(L258=1,M258*$B$25,0)</f>
        <v>439.035877542277</v>
      </c>
      <c r="O258" s="58" t="n">
        <f aca="false">IF(L258=1,M258+N258-$B$29,M258)</f>
        <v>130717.553253829</v>
      </c>
      <c r="P258" s="56" t="n">
        <f aca="false">IF(L258=1,IF($B$29&lt;=N258,1,0),0)</f>
        <v>0</v>
      </c>
      <c r="Q258" s="58" t="n">
        <f aca="false">Q257+N258</f>
        <v>190211.270739316</v>
      </c>
    </row>
    <row r="259" customFormat="false" ht="15" hidden="false" customHeight="false" outlineLevel="0" collapsed="false">
      <c r="K259" s="56" t="n">
        <f aca="false">K258+1</f>
        <v>252</v>
      </c>
      <c r="L259" s="57" t="n">
        <f aca="false">IF(AND(K259&lt;=Assumptions!$C$42,L258=1,P258=0,O258&gt;Assumptions!$C$43),1,0)</f>
        <v>1</v>
      </c>
      <c r="M259" s="58" t="n">
        <f aca="false">O258</f>
        <v>130717.553253829</v>
      </c>
      <c r="N259" s="58" t="n">
        <f aca="false">IF(L259=1,M259*$B$25,0)</f>
        <v>435.725177512763</v>
      </c>
      <c r="O259" s="58" t="n">
        <f aca="false">IF(L259=1,M259+N259-$B$29,M259)</f>
        <v>129721.032544945</v>
      </c>
      <c r="P259" s="56" t="n">
        <f aca="false">IF(L259=1,IF($B$29&lt;=N259,1,0),0)</f>
        <v>0</v>
      </c>
      <c r="Q259" s="58" t="n">
        <f aca="false">Q258+N259</f>
        <v>190646.995916829</v>
      </c>
    </row>
    <row r="260" customFormat="false" ht="15" hidden="false" customHeight="false" outlineLevel="0" collapsed="false">
      <c r="K260" s="56" t="n">
        <f aca="false">K259+1</f>
        <v>253</v>
      </c>
      <c r="L260" s="57" t="n">
        <f aca="false">IF(AND(K260&lt;=Assumptions!$C$42,L259=1,P259=0,O259&gt;Assumptions!$C$43),1,0)</f>
        <v>1</v>
      </c>
      <c r="M260" s="58" t="n">
        <f aca="false">O259</f>
        <v>129721.032544945</v>
      </c>
      <c r="N260" s="58" t="n">
        <f aca="false">IF(L260=1,M260*$B$25,0)</f>
        <v>432.403441816485</v>
      </c>
      <c r="O260" s="58" t="n">
        <f aca="false">IF(L260=1,M260+N260-$B$29,M260)</f>
        <v>128721.190100365</v>
      </c>
      <c r="P260" s="56" t="n">
        <f aca="false">IF(L260=1,IF($B$29&lt;=N260,1,0),0)</f>
        <v>0</v>
      </c>
      <c r="Q260" s="58" t="n">
        <f aca="false">Q259+N260</f>
        <v>191079.399358645</v>
      </c>
    </row>
    <row r="261" customFormat="false" ht="15" hidden="false" customHeight="false" outlineLevel="0" collapsed="false">
      <c r="K261" s="56" t="n">
        <f aca="false">K260+1</f>
        <v>254</v>
      </c>
      <c r="L261" s="57" t="n">
        <f aca="false">IF(AND(K261&lt;=Assumptions!$C$42,L260=1,P260=0,O260&gt;Assumptions!$C$43),1,0)</f>
        <v>1</v>
      </c>
      <c r="M261" s="58" t="n">
        <f aca="false">O260</f>
        <v>128721.190100365</v>
      </c>
      <c r="N261" s="58" t="n">
        <f aca="false">IF(L261=1,M261*$B$25,0)</f>
        <v>429.070633667885</v>
      </c>
      <c r="O261" s="58" t="n">
        <f aca="false">IF(L261=1,M261+N261-$B$29,M261)</f>
        <v>127718.014847637</v>
      </c>
      <c r="P261" s="56" t="n">
        <f aca="false">IF(L261=1,IF($B$29&lt;=N261,1,0),0)</f>
        <v>0</v>
      </c>
      <c r="Q261" s="58" t="n">
        <f aca="false">Q260+N261</f>
        <v>191508.469992313</v>
      </c>
    </row>
    <row r="262" customFormat="false" ht="15" hidden="false" customHeight="false" outlineLevel="0" collapsed="false">
      <c r="K262" s="56" t="n">
        <f aca="false">K261+1</f>
        <v>255</v>
      </c>
      <c r="L262" s="57" t="n">
        <f aca="false">IF(AND(K262&lt;=Assumptions!$C$42,L261=1,P261=0,O261&gt;Assumptions!$C$43),1,0)</f>
        <v>1</v>
      </c>
      <c r="M262" s="58" t="n">
        <f aca="false">O261</f>
        <v>127718.014847637</v>
      </c>
      <c r="N262" s="58" t="n">
        <f aca="false">IF(L262=1,M262*$B$25,0)</f>
        <v>425.72671615879</v>
      </c>
      <c r="O262" s="58" t="n">
        <f aca="false">IF(L262=1,M262+N262-$B$29,M262)</f>
        <v>126711.495677399</v>
      </c>
      <c r="P262" s="56" t="n">
        <f aca="false">IF(L262=1,IF($B$29&lt;=N262,1,0),0)</f>
        <v>0</v>
      </c>
      <c r="Q262" s="58" t="n">
        <f aca="false">Q261+N262</f>
        <v>191934.196708472</v>
      </c>
    </row>
    <row r="263" customFormat="false" ht="15" hidden="false" customHeight="false" outlineLevel="0" collapsed="false">
      <c r="K263" s="56" t="n">
        <f aca="false">K262+1</f>
        <v>256</v>
      </c>
      <c r="L263" s="57" t="n">
        <f aca="false">IF(AND(K263&lt;=Assumptions!$C$42,L262=1,P262=0,O262&gt;Assumptions!$C$43),1,0)</f>
        <v>1</v>
      </c>
      <c r="M263" s="58" t="n">
        <f aca="false">O262</f>
        <v>126711.495677399</v>
      </c>
      <c r="N263" s="58" t="n">
        <f aca="false">IF(L263=1,M263*$B$25,0)</f>
        <v>422.371652257998</v>
      </c>
      <c r="O263" s="58" t="n">
        <f aca="false">IF(L263=1,M263+N263-$B$29,M263)</f>
        <v>125701.621443261</v>
      </c>
      <c r="P263" s="56" t="n">
        <f aca="false">IF(L263=1,IF($B$29&lt;=N263,1,0),0)</f>
        <v>0</v>
      </c>
      <c r="Q263" s="58" t="n">
        <f aca="false">Q262+N263</f>
        <v>192356.56836073</v>
      </c>
    </row>
    <row r="264" customFormat="false" ht="15" hidden="false" customHeight="false" outlineLevel="0" collapsed="false">
      <c r="K264" s="56" t="n">
        <f aca="false">K263+1</f>
        <v>257</v>
      </c>
      <c r="L264" s="57" t="n">
        <f aca="false">IF(AND(K264&lt;=Assumptions!$C$42,L263=1,P263=0,O263&gt;Assumptions!$C$43),1,0)</f>
        <v>1</v>
      </c>
      <c r="M264" s="58" t="n">
        <f aca="false">O263</f>
        <v>125701.621443261</v>
      </c>
      <c r="N264" s="58" t="n">
        <f aca="false">IF(L264=1,M264*$B$25,0)</f>
        <v>419.00540481087</v>
      </c>
      <c r="O264" s="58" t="n">
        <f aca="false">IF(L264=1,M264+N264-$B$29,M264)</f>
        <v>124688.380961676</v>
      </c>
      <c r="P264" s="56" t="n">
        <f aca="false">IF(L264=1,IF($B$29&lt;=N264,1,0),0)</f>
        <v>0</v>
      </c>
      <c r="Q264" s="58" t="n">
        <f aca="false">Q263+N264</f>
        <v>192775.573765541</v>
      </c>
    </row>
    <row r="265" customFormat="false" ht="15" hidden="false" customHeight="false" outlineLevel="0" collapsed="false">
      <c r="K265" s="56" t="n">
        <f aca="false">K264+1</f>
        <v>258</v>
      </c>
      <c r="L265" s="57" t="n">
        <f aca="false">IF(AND(K265&lt;=Assumptions!$C$42,L264=1,P264=0,O264&gt;Assumptions!$C$43),1,0)</f>
        <v>1</v>
      </c>
      <c r="M265" s="58" t="n">
        <f aca="false">O264</f>
        <v>124688.380961676</v>
      </c>
      <c r="N265" s="58" t="n">
        <f aca="false">IF(L265=1,M265*$B$25,0)</f>
        <v>415.627936538919</v>
      </c>
      <c r="O265" s="58" t="n">
        <f aca="false">IF(L265=1,M265+N265-$B$29,M265)</f>
        <v>123671.763011818</v>
      </c>
      <c r="P265" s="56" t="n">
        <f aca="false">IF(L265=1,IF($B$29&lt;=N265,1,0),0)</f>
        <v>0</v>
      </c>
      <c r="Q265" s="58" t="n">
        <f aca="false">Q264+N265</f>
        <v>193191.20170208</v>
      </c>
    </row>
    <row r="266" customFormat="false" ht="15" hidden="false" customHeight="false" outlineLevel="0" collapsed="false">
      <c r="K266" s="56" t="n">
        <f aca="false">K265+1</f>
        <v>259</v>
      </c>
      <c r="L266" s="57" t="n">
        <f aca="false">IF(AND(K266&lt;=Assumptions!$C$42,L265=1,P265=0,O265&gt;Assumptions!$C$43),1,0)</f>
        <v>1</v>
      </c>
      <c r="M266" s="58" t="n">
        <f aca="false">O265</f>
        <v>123671.763011818</v>
      </c>
      <c r="N266" s="58" t="n">
        <f aca="false">IF(L266=1,M266*$B$25,0)</f>
        <v>412.239210039394</v>
      </c>
      <c r="O266" s="58" t="n">
        <f aca="false">IF(L266=1,M266+N266-$B$29,M266)</f>
        <v>122651.756335461</v>
      </c>
      <c r="P266" s="56" t="n">
        <f aca="false">IF(L266=1,IF($B$29&lt;=N266,1,0),0)</f>
        <v>0</v>
      </c>
      <c r="Q266" s="58" t="n">
        <f aca="false">Q265+N266</f>
        <v>193603.440912119</v>
      </c>
    </row>
    <row r="267" customFormat="false" ht="15" hidden="false" customHeight="false" outlineLevel="0" collapsed="false">
      <c r="K267" s="56" t="n">
        <f aca="false">K266+1</f>
        <v>260</v>
      </c>
      <c r="L267" s="57" t="n">
        <f aca="false">IF(AND(K267&lt;=Assumptions!$C$42,L266=1,P266=0,O266&gt;Assumptions!$C$43),1,0)</f>
        <v>1</v>
      </c>
      <c r="M267" s="58" t="n">
        <f aca="false">O266</f>
        <v>122651.756335461</v>
      </c>
      <c r="N267" s="58" t="n">
        <f aca="false">IF(L267=1,M267*$B$25,0)</f>
        <v>408.839187784871</v>
      </c>
      <c r="O267" s="58" t="n">
        <f aca="false">IF(L267=1,M267+N267-$B$29,M267)</f>
        <v>121628.34963685</v>
      </c>
      <c r="P267" s="56" t="n">
        <f aca="false">IF(L267=1,IF($B$29&lt;=N267,1,0),0)</f>
        <v>0</v>
      </c>
      <c r="Q267" s="58" t="n">
        <f aca="false">Q266+N267</f>
        <v>194012.280099904</v>
      </c>
    </row>
    <row r="268" customFormat="false" ht="15" hidden="false" customHeight="false" outlineLevel="0" collapsed="false">
      <c r="K268" s="56" t="n">
        <f aca="false">K267+1</f>
        <v>261</v>
      </c>
      <c r="L268" s="57" t="n">
        <f aca="false">IF(AND(K268&lt;=Assumptions!$C$42,L267=1,P267=0,O267&gt;Assumptions!$C$43),1,0)</f>
        <v>1</v>
      </c>
      <c r="M268" s="58" t="n">
        <f aca="false">O267</f>
        <v>121628.34963685</v>
      </c>
      <c r="N268" s="58" t="n">
        <f aca="false">IF(L268=1,M268*$B$25,0)</f>
        <v>405.427832122832</v>
      </c>
      <c r="O268" s="58" t="n">
        <f aca="false">IF(L268=1,M268+N268-$B$29,M268)</f>
        <v>120601.531582576</v>
      </c>
      <c r="P268" s="56" t="n">
        <f aca="false">IF(L268=1,IF($B$29&lt;=N268,1,0),0)</f>
        <v>0</v>
      </c>
      <c r="Q268" s="58" t="n">
        <f aca="false">Q267+N268</f>
        <v>194417.707932027</v>
      </c>
    </row>
    <row r="269" customFormat="false" ht="15" hidden="false" customHeight="false" outlineLevel="0" collapsed="false">
      <c r="K269" s="56" t="n">
        <f aca="false">K268+1</f>
        <v>262</v>
      </c>
      <c r="L269" s="57" t="n">
        <f aca="false">IF(AND(K269&lt;=Assumptions!$C$42,L268=1,P268=0,O268&gt;Assumptions!$C$43),1,0)</f>
        <v>1</v>
      </c>
      <c r="M269" s="58" t="n">
        <f aca="false">O268</f>
        <v>120601.531582576</v>
      </c>
      <c r="N269" s="58" t="n">
        <f aca="false">IF(L269=1,M269*$B$25,0)</f>
        <v>402.005105275254</v>
      </c>
      <c r="O269" s="58" t="n">
        <f aca="false">IF(L269=1,M269+N269-$B$29,M269)</f>
        <v>119571.290801455</v>
      </c>
      <c r="P269" s="56" t="n">
        <f aca="false">IF(L269=1,IF($B$29&lt;=N269,1,0),0)</f>
        <v>0</v>
      </c>
      <c r="Q269" s="58" t="n">
        <f aca="false">Q268+N269</f>
        <v>194819.713037302</v>
      </c>
    </row>
    <row r="270" customFormat="false" ht="15" hidden="false" customHeight="false" outlineLevel="0" collapsed="false">
      <c r="K270" s="56" t="n">
        <f aca="false">K269+1</f>
        <v>263</v>
      </c>
      <c r="L270" s="57" t="n">
        <f aca="false">IF(AND(K270&lt;=Assumptions!$C$42,L269=1,P269=0,O269&gt;Assumptions!$C$43),1,0)</f>
        <v>1</v>
      </c>
      <c r="M270" s="58" t="n">
        <f aca="false">O269</f>
        <v>119571.290801455</v>
      </c>
      <c r="N270" s="58" t="n">
        <f aca="false">IF(L270=1,M270*$B$25,0)</f>
        <v>398.570969338184</v>
      </c>
      <c r="O270" s="58" t="n">
        <f aca="false">IF(L270=1,M270+N270-$B$29,M270)</f>
        <v>118537.615884397</v>
      </c>
      <c r="P270" s="56" t="n">
        <f aca="false">IF(L270=1,IF($B$29&lt;=N270,1,0),0)</f>
        <v>0</v>
      </c>
      <c r="Q270" s="58" t="n">
        <f aca="false">Q269+N270</f>
        <v>195218.28400664</v>
      </c>
    </row>
    <row r="271" customFormat="false" ht="15" hidden="false" customHeight="false" outlineLevel="0" collapsed="false">
      <c r="K271" s="56" t="n">
        <f aca="false">K270+1</f>
        <v>264</v>
      </c>
      <c r="L271" s="57" t="n">
        <f aca="false">IF(AND(K271&lt;=Assumptions!$C$42,L270=1,P270=0,O270&gt;Assumptions!$C$43),1,0)</f>
        <v>1</v>
      </c>
      <c r="M271" s="58" t="n">
        <f aca="false">O270</f>
        <v>118537.615884397</v>
      </c>
      <c r="N271" s="58" t="n">
        <f aca="false">IF(L271=1,M271*$B$25,0)</f>
        <v>395.125386281323</v>
      </c>
      <c r="O271" s="58" t="n">
        <f aca="false">IF(L271=1,M271+N271-$B$29,M271)</f>
        <v>117500.495384282</v>
      </c>
      <c r="P271" s="56" t="n">
        <f aca="false">IF(L271=1,IF($B$29&lt;=N271,1,0),0)</f>
        <v>0</v>
      </c>
      <c r="Q271" s="58" t="n">
        <f aca="false">Q270+N271</f>
        <v>195613.409392922</v>
      </c>
    </row>
    <row r="272" customFormat="false" ht="15" hidden="false" customHeight="false" outlineLevel="0" collapsed="false">
      <c r="K272" s="56" t="n">
        <f aca="false">K271+1</f>
        <v>265</v>
      </c>
      <c r="L272" s="57" t="n">
        <f aca="false">IF(AND(K272&lt;=Assumptions!$C$42,L271=1,P271=0,O271&gt;Assumptions!$C$43),1,0)</f>
        <v>1</v>
      </c>
      <c r="M272" s="58" t="n">
        <f aca="false">O271</f>
        <v>117500.495384282</v>
      </c>
      <c r="N272" s="58" t="n">
        <f aca="false">IF(L272=1,M272*$B$25,0)</f>
        <v>391.668317947606</v>
      </c>
      <c r="O272" s="58" t="n">
        <f aca="false">IF(L272=1,M272+N272-$B$29,M272)</f>
        <v>116459.917815833</v>
      </c>
      <c r="P272" s="56" t="n">
        <f aca="false">IF(L272=1,IF($B$29&lt;=N272,1,0),0)</f>
        <v>0</v>
      </c>
      <c r="Q272" s="58" t="n">
        <f aca="false">Q271+N272</f>
        <v>196005.077710869</v>
      </c>
    </row>
    <row r="273" customFormat="false" ht="15" hidden="false" customHeight="false" outlineLevel="0" collapsed="false">
      <c r="K273" s="56" t="n">
        <f aca="false">K272+1</f>
        <v>266</v>
      </c>
      <c r="L273" s="57" t="n">
        <f aca="false">IF(AND(K273&lt;=Assumptions!$C$42,L272=1,P272=0,O272&gt;Assumptions!$C$43),1,0)</f>
        <v>1</v>
      </c>
      <c r="M273" s="58" t="n">
        <f aca="false">O272</f>
        <v>116459.917815833</v>
      </c>
      <c r="N273" s="58" t="n">
        <f aca="false">IF(L273=1,M273*$B$25,0)</f>
        <v>388.199726052777</v>
      </c>
      <c r="O273" s="58" t="n">
        <f aca="false">IF(L273=1,M273+N273-$B$29,M273)</f>
        <v>115415.87165549</v>
      </c>
      <c r="P273" s="56" t="n">
        <f aca="false">IF(L273=1,IF($B$29&lt;=N273,1,0),0)</f>
        <v>0</v>
      </c>
      <c r="Q273" s="58" t="n">
        <f aca="false">Q272+N273</f>
        <v>196393.277436922</v>
      </c>
    </row>
    <row r="274" customFormat="false" ht="15" hidden="false" customHeight="false" outlineLevel="0" collapsed="false">
      <c r="K274" s="56" t="n">
        <f aca="false">K273+1</f>
        <v>267</v>
      </c>
      <c r="L274" s="57" t="n">
        <f aca="false">IF(AND(K274&lt;=Assumptions!$C$42,L273=1,P273=0,O273&gt;Assumptions!$C$43),1,0)</f>
        <v>1</v>
      </c>
      <c r="M274" s="58" t="n">
        <f aca="false">O273</f>
        <v>115415.87165549</v>
      </c>
      <c r="N274" s="58" t="n">
        <f aca="false">IF(L274=1,M274*$B$25,0)</f>
        <v>384.719572184965</v>
      </c>
      <c r="O274" s="58" t="n">
        <f aca="false">IF(L274=1,M274+N274-$B$29,M274)</f>
        <v>114368.345341278</v>
      </c>
      <c r="P274" s="56" t="n">
        <f aca="false">IF(L274=1,IF($B$29&lt;=N274,1,0),0)</f>
        <v>0</v>
      </c>
      <c r="Q274" s="58" t="n">
        <f aca="false">Q273+N274</f>
        <v>196777.997009107</v>
      </c>
    </row>
    <row r="275" customFormat="false" ht="15" hidden="false" customHeight="false" outlineLevel="0" collapsed="false">
      <c r="K275" s="56" t="n">
        <f aca="false">K274+1</f>
        <v>268</v>
      </c>
      <c r="L275" s="57" t="n">
        <f aca="false">IF(AND(K275&lt;=Assumptions!$C$42,L274=1,P274=0,O274&gt;Assumptions!$C$43),1,0)</f>
        <v>1</v>
      </c>
      <c r="M275" s="58" t="n">
        <f aca="false">O274</f>
        <v>114368.345341278</v>
      </c>
      <c r="N275" s="58" t="n">
        <f aca="false">IF(L275=1,M275*$B$25,0)</f>
        <v>381.227817804261</v>
      </c>
      <c r="O275" s="58" t="n">
        <f aca="false">IF(L275=1,M275+N275-$B$29,M275)</f>
        <v>113317.327272686</v>
      </c>
      <c r="P275" s="56" t="n">
        <f aca="false">IF(L275=1,IF($B$29&lt;=N275,1,0),0)</f>
        <v>0</v>
      </c>
      <c r="Q275" s="58" t="n">
        <f aca="false">Q274+N275</f>
        <v>197159.224826911</v>
      </c>
    </row>
    <row r="276" customFormat="false" ht="15" hidden="false" customHeight="false" outlineLevel="0" collapsed="false">
      <c r="K276" s="56" t="n">
        <f aca="false">K275+1</f>
        <v>269</v>
      </c>
      <c r="L276" s="57" t="n">
        <f aca="false">IF(AND(K276&lt;=Assumptions!$C$42,L275=1,P275=0,O275&gt;Assumptions!$C$43),1,0)</f>
        <v>1</v>
      </c>
      <c r="M276" s="58" t="n">
        <f aca="false">O275</f>
        <v>113317.327272686</v>
      </c>
      <c r="N276" s="58" t="n">
        <f aca="false">IF(L276=1,M276*$B$25,0)</f>
        <v>377.724424242287</v>
      </c>
      <c r="O276" s="58" t="n">
        <f aca="false">IF(L276=1,M276+N276-$B$29,M276)</f>
        <v>112262.805810532</v>
      </c>
      <c r="P276" s="56" t="n">
        <f aca="false">IF(L276=1,IF($B$29&lt;=N276,1,0),0)</f>
        <v>0</v>
      </c>
      <c r="Q276" s="58" t="n">
        <f aca="false">Q275+N276</f>
        <v>197536.949251153</v>
      </c>
    </row>
    <row r="277" customFormat="false" ht="15" hidden="false" customHeight="false" outlineLevel="0" collapsed="false">
      <c r="K277" s="56" t="n">
        <f aca="false">K276+1</f>
        <v>270</v>
      </c>
      <c r="L277" s="57" t="n">
        <f aca="false">IF(AND(K277&lt;=Assumptions!$C$42,L276=1,P276=0,O276&gt;Assumptions!$C$43),1,0)</f>
        <v>1</v>
      </c>
      <c r="M277" s="58" t="n">
        <f aca="false">O276</f>
        <v>112262.805810532</v>
      </c>
      <c r="N277" s="58" t="n">
        <f aca="false">IF(L277=1,M277*$B$25,0)</f>
        <v>374.209352701773</v>
      </c>
      <c r="O277" s="58" t="n">
        <f aca="false">IF(L277=1,M277+N277-$B$29,M277)</f>
        <v>111204.769276837</v>
      </c>
      <c r="P277" s="56" t="n">
        <f aca="false">IF(L277=1,IF($B$29&lt;=N277,1,0),0)</f>
        <v>0</v>
      </c>
      <c r="Q277" s="58" t="n">
        <f aca="false">Q276+N277</f>
        <v>197911.158603855</v>
      </c>
    </row>
    <row r="278" customFormat="false" ht="15" hidden="false" customHeight="false" outlineLevel="0" collapsed="false">
      <c r="K278" s="56" t="n">
        <f aca="false">K277+1</f>
        <v>271</v>
      </c>
      <c r="L278" s="57" t="n">
        <f aca="false">IF(AND(K278&lt;=Assumptions!$C$42,L277=1,P277=0,O277&gt;Assumptions!$C$43),1,0)</f>
        <v>1</v>
      </c>
      <c r="M278" s="58" t="n">
        <f aca="false">O277</f>
        <v>111204.769276837</v>
      </c>
      <c r="N278" s="58" t="n">
        <f aca="false">IF(L278=1,M278*$B$25,0)</f>
        <v>370.682564256125</v>
      </c>
      <c r="O278" s="58" t="n">
        <f aca="false">IF(L278=1,M278+N278-$B$29,M278)</f>
        <v>110143.205954697</v>
      </c>
      <c r="P278" s="56" t="n">
        <f aca="false">IF(L278=1,IF($B$29&lt;=N278,1,0),0)</f>
        <v>0</v>
      </c>
      <c r="Q278" s="58" t="n">
        <f aca="false">Q277+N278</f>
        <v>198281.841168111</v>
      </c>
    </row>
    <row r="279" customFormat="false" ht="15" hidden="false" customHeight="false" outlineLevel="0" collapsed="false">
      <c r="K279" s="56" t="n">
        <f aca="false">K278+1</f>
        <v>272</v>
      </c>
      <c r="L279" s="57" t="n">
        <f aca="false">IF(AND(K279&lt;=Assumptions!$C$42,L278=1,P278=0,O278&gt;Assumptions!$C$43),1,0)</f>
        <v>1</v>
      </c>
      <c r="M279" s="58" t="n">
        <f aca="false">O278</f>
        <v>110143.205954697</v>
      </c>
      <c r="N279" s="58" t="n">
        <f aca="false">IF(L279=1,M279*$B$25,0)</f>
        <v>367.144019848991</v>
      </c>
      <c r="O279" s="58" t="n">
        <f aca="false">IF(L279=1,M279+N279-$B$29,M279)</f>
        <v>109078.10408815</v>
      </c>
      <c r="P279" s="56" t="n">
        <f aca="false">IF(L279=1,IF($B$29&lt;=N279,1,0),0)</f>
        <v>0</v>
      </c>
      <c r="Q279" s="58" t="n">
        <f aca="false">Q278+N279</f>
        <v>198648.98518796</v>
      </c>
    </row>
    <row r="280" customFormat="false" ht="15" hidden="false" customHeight="false" outlineLevel="0" collapsed="false">
      <c r="K280" s="56" t="n">
        <f aca="false">K279+1</f>
        <v>273</v>
      </c>
      <c r="L280" s="57" t="n">
        <f aca="false">IF(AND(K280&lt;=Assumptions!$C$42,L279=1,P279=0,O279&gt;Assumptions!$C$43),1,0)</f>
        <v>1</v>
      </c>
      <c r="M280" s="58" t="n">
        <f aca="false">O279</f>
        <v>109078.10408815</v>
      </c>
      <c r="N280" s="58" t="n">
        <f aca="false">IF(L280=1,M280*$B$25,0)</f>
        <v>363.593680293833</v>
      </c>
      <c r="O280" s="58" t="n">
        <f aca="false">IF(L280=1,M280+N280-$B$29,M280)</f>
        <v>108009.451882047</v>
      </c>
      <c r="P280" s="56" t="n">
        <f aca="false">IF(L280=1,IF($B$29&lt;=N280,1,0),0)</f>
        <v>0</v>
      </c>
      <c r="Q280" s="58" t="n">
        <f aca="false">Q279+N280</f>
        <v>199012.578868254</v>
      </c>
    </row>
    <row r="281" customFormat="false" ht="15" hidden="false" customHeight="false" outlineLevel="0" collapsed="false">
      <c r="K281" s="56" t="n">
        <f aca="false">K280+1</f>
        <v>274</v>
      </c>
      <c r="L281" s="57" t="n">
        <f aca="false">IF(AND(K281&lt;=Assumptions!$C$42,L280=1,P280=0,O280&gt;Assumptions!$C$43),1,0)</f>
        <v>1</v>
      </c>
      <c r="M281" s="58" t="n">
        <f aca="false">O280</f>
        <v>108009.451882047</v>
      </c>
      <c r="N281" s="58" t="n">
        <f aca="false">IF(L281=1,M281*$B$25,0)</f>
        <v>360.031506273491</v>
      </c>
      <c r="O281" s="58" t="n">
        <f aca="false">IF(L281=1,M281+N281-$B$29,M281)</f>
        <v>106937.237501924</v>
      </c>
      <c r="P281" s="56" t="n">
        <f aca="false">IF(L281=1,IF($B$29&lt;=N281,1,0),0)</f>
        <v>0</v>
      </c>
      <c r="Q281" s="58" t="n">
        <f aca="false">Q280+N281</f>
        <v>199372.610374528</v>
      </c>
    </row>
    <row r="282" customFormat="false" ht="15" hidden="false" customHeight="false" outlineLevel="0" collapsed="false">
      <c r="K282" s="56" t="n">
        <f aca="false">K281+1</f>
        <v>275</v>
      </c>
      <c r="L282" s="57" t="n">
        <f aca="false">IF(AND(K282&lt;=Assumptions!$C$42,L281=1,P281=0,O281&gt;Assumptions!$C$43),1,0)</f>
        <v>1</v>
      </c>
      <c r="M282" s="58" t="n">
        <f aca="false">O281</f>
        <v>106937.237501924</v>
      </c>
      <c r="N282" s="58" t="n">
        <f aca="false">IF(L282=1,M282*$B$25,0)</f>
        <v>356.457458339748</v>
      </c>
      <c r="O282" s="58" t="n">
        <f aca="false">IF(L282=1,M282+N282-$B$29,M282)</f>
        <v>105861.449073868</v>
      </c>
      <c r="P282" s="56" t="n">
        <f aca="false">IF(L282=1,IF($B$29&lt;=N282,1,0),0)</f>
        <v>0</v>
      </c>
      <c r="Q282" s="58" t="n">
        <f aca="false">Q281+N282</f>
        <v>199729.067832867</v>
      </c>
    </row>
    <row r="283" customFormat="false" ht="15" hidden="false" customHeight="false" outlineLevel="0" collapsed="false">
      <c r="K283" s="56" t="n">
        <f aca="false">K282+1</f>
        <v>276</v>
      </c>
      <c r="L283" s="57" t="n">
        <f aca="false">IF(AND(K283&lt;=Assumptions!$C$42,L282=1,P282=0,O282&gt;Assumptions!$C$43),1,0)</f>
        <v>1</v>
      </c>
      <c r="M283" s="58" t="n">
        <f aca="false">O282</f>
        <v>105861.449073868</v>
      </c>
      <c r="N283" s="58" t="n">
        <f aca="false">IF(L283=1,M283*$B$25,0)</f>
        <v>352.871496912893</v>
      </c>
      <c r="O283" s="58" t="n">
        <f aca="false">IF(L283=1,M283+N283-$B$29,M283)</f>
        <v>104782.074684384</v>
      </c>
      <c r="P283" s="56" t="n">
        <f aca="false">IF(L283=1,IF($B$29&lt;=N283,1,0),0)</f>
        <v>0</v>
      </c>
      <c r="Q283" s="58" t="n">
        <f aca="false">Q282+N283</f>
        <v>200081.93932978</v>
      </c>
    </row>
    <row r="284" customFormat="false" ht="15" hidden="false" customHeight="false" outlineLevel="0" collapsed="false">
      <c r="K284" s="56" t="n">
        <f aca="false">K283+1</f>
        <v>277</v>
      </c>
      <c r="L284" s="57" t="n">
        <f aca="false">IF(AND(K284&lt;=Assumptions!$C$42,L283=1,P283=0,O283&gt;Assumptions!$C$43),1,0)</f>
        <v>1</v>
      </c>
      <c r="M284" s="58" t="n">
        <f aca="false">O283</f>
        <v>104782.074684384</v>
      </c>
      <c r="N284" s="58" t="n">
        <f aca="false">IF(L284=1,M284*$B$25,0)</f>
        <v>349.273582281281</v>
      </c>
      <c r="O284" s="58" t="n">
        <f aca="false">IF(L284=1,M284+N284-$B$29,M284)</f>
        <v>103699.102380269</v>
      </c>
      <c r="P284" s="56" t="n">
        <f aca="false">IF(L284=1,IF($B$29&lt;=N284,1,0),0)</f>
        <v>0</v>
      </c>
      <c r="Q284" s="58" t="n">
        <f aca="false">Q283+N284</f>
        <v>200431.212912062</v>
      </c>
    </row>
    <row r="285" customFormat="false" ht="15" hidden="false" customHeight="false" outlineLevel="0" collapsed="false">
      <c r="K285" s="56" t="n">
        <f aca="false">K284+1</f>
        <v>278</v>
      </c>
      <c r="L285" s="57" t="n">
        <f aca="false">IF(AND(K285&lt;=Assumptions!$C$42,L284=1,P284=0,O284&gt;Assumptions!$C$43),1,0)</f>
        <v>1</v>
      </c>
      <c r="M285" s="58" t="n">
        <f aca="false">O284</f>
        <v>103699.102380269</v>
      </c>
      <c r="N285" s="58" t="n">
        <f aca="false">IF(L285=1,M285*$B$25,0)</f>
        <v>345.663674600898</v>
      </c>
      <c r="O285" s="58" t="n">
        <f aca="false">IF(L285=1,M285+N285-$B$29,M285)</f>
        <v>102612.520168474</v>
      </c>
      <c r="P285" s="56" t="n">
        <f aca="false">IF(L285=1,IF($B$29&lt;=N285,1,0),0)</f>
        <v>0</v>
      </c>
      <c r="Q285" s="58" t="n">
        <f aca="false">Q284+N285</f>
        <v>200776.876586662</v>
      </c>
    </row>
    <row r="286" customFormat="false" ht="15" hidden="false" customHeight="false" outlineLevel="0" collapsed="false">
      <c r="K286" s="56" t="n">
        <f aca="false">K285+1</f>
        <v>279</v>
      </c>
      <c r="L286" s="57" t="n">
        <f aca="false">IF(AND(K286&lt;=Assumptions!$C$42,L285=1,P285=0,O285&gt;Assumptions!$C$43),1,0)</f>
        <v>1</v>
      </c>
      <c r="M286" s="58" t="n">
        <f aca="false">O285</f>
        <v>102612.520168474</v>
      </c>
      <c r="N286" s="58" t="n">
        <f aca="false">IF(L286=1,M286*$B$25,0)</f>
        <v>342.041733894913</v>
      </c>
      <c r="O286" s="58" t="n">
        <f aca="false">IF(L286=1,M286+N286-$B$29,M286)</f>
        <v>101522.316015972</v>
      </c>
      <c r="P286" s="56" t="n">
        <f aca="false">IF(L286=1,IF($B$29&lt;=N286,1,0),0)</f>
        <v>0</v>
      </c>
      <c r="Q286" s="58" t="n">
        <f aca="false">Q285+N286</f>
        <v>201118.918320557</v>
      </c>
    </row>
    <row r="287" customFormat="false" ht="15" hidden="false" customHeight="false" outlineLevel="0" collapsed="false">
      <c r="K287" s="56" t="n">
        <f aca="false">K286+1</f>
        <v>280</v>
      </c>
      <c r="L287" s="57" t="n">
        <f aca="false">IF(AND(K287&lt;=Assumptions!$C$42,L286=1,P286=0,O286&gt;Assumptions!$C$43),1,0)</f>
        <v>1</v>
      </c>
      <c r="M287" s="58" t="n">
        <f aca="false">O286</f>
        <v>101522.316015972</v>
      </c>
      <c r="N287" s="58" t="n">
        <f aca="false">IF(L287=1,M287*$B$25,0)</f>
        <v>338.407720053241</v>
      </c>
      <c r="O287" s="58" t="n">
        <f aca="false">IF(L287=1,M287+N287-$B$29,M287)</f>
        <v>100428.477849629</v>
      </c>
      <c r="P287" s="56" t="n">
        <f aca="false">IF(L287=1,IF($B$29&lt;=N287,1,0),0)</f>
        <v>0</v>
      </c>
      <c r="Q287" s="58" t="n">
        <f aca="false">Q286+N287</f>
        <v>201457.326040611</v>
      </c>
    </row>
    <row r="288" customFormat="false" ht="15" hidden="false" customHeight="false" outlineLevel="0" collapsed="false">
      <c r="K288" s="56" t="n">
        <f aca="false">K287+1</f>
        <v>281</v>
      </c>
      <c r="L288" s="57" t="n">
        <f aca="false">IF(AND(K288&lt;=Assumptions!$C$42,L287=1,P287=0,O287&gt;Assumptions!$C$43),1,0)</f>
        <v>1</v>
      </c>
      <c r="M288" s="58" t="n">
        <f aca="false">O287</f>
        <v>100428.477849629</v>
      </c>
      <c r="N288" s="58" t="n">
        <f aca="false">IF(L288=1,M288*$B$25,0)</f>
        <v>334.761592832098</v>
      </c>
      <c r="O288" s="58" t="n">
        <f aca="false">IF(L288=1,M288+N288-$B$29,M288)</f>
        <v>99330.9935560651</v>
      </c>
      <c r="P288" s="56" t="n">
        <f aca="false">IF(L288=1,IF($B$29&lt;=N288,1,0),0)</f>
        <v>0</v>
      </c>
      <c r="Q288" s="58" t="n">
        <f aca="false">Q287+N288</f>
        <v>201792.087633443</v>
      </c>
    </row>
    <row r="289" customFormat="false" ht="15" hidden="false" customHeight="false" outlineLevel="0" collapsed="false">
      <c r="K289" s="56" t="n">
        <f aca="false">K288+1</f>
        <v>282</v>
      </c>
      <c r="L289" s="57" t="n">
        <f aca="false">IF(AND(K289&lt;=Assumptions!$C$42,L288=1,P288=0,O288&gt;Assumptions!$C$43),1,0)</f>
        <v>1</v>
      </c>
      <c r="M289" s="58" t="n">
        <f aca="false">O288</f>
        <v>99330.9935560651</v>
      </c>
      <c r="N289" s="58" t="n">
        <f aca="false">IF(L289=1,M289*$B$25,0)</f>
        <v>331.10331185355</v>
      </c>
      <c r="O289" s="58" t="n">
        <f aca="false">IF(L289=1,M289+N289-$B$29,M289)</f>
        <v>98229.8509815223</v>
      </c>
      <c r="P289" s="56" t="n">
        <f aca="false">IF(L289=1,IF($B$29&lt;=N289,1,0),0)</f>
        <v>0</v>
      </c>
      <c r="Q289" s="58" t="n">
        <f aca="false">Q288+N289</f>
        <v>202123.190945296</v>
      </c>
    </row>
    <row r="290" customFormat="false" ht="15" hidden="false" customHeight="false" outlineLevel="0" collapsed="false">
      <c r="K290" s="56" t="n">
        <f aca="false">K289+1</f>
        <v>283</v>
      </c>
      <c r="L290" s="57" t="n">
        <f aca="false">IF(AND(K290&lt;=Assumptions!$C$42,L289=1,P289=0,O289&gt;Assumptions!$C$43),1,0)</f>
        <v>1</v>
      </c>
      <c r="M290" s="58" t="n">
        <f aca="false">O289</f>
        <v>98229.8509815223</v>
      </c>
      <c r="N290" s="58" t="n">
        <f aca="false">IF(L290=1,M290*$B$25,0)</f>
        <v>327.432836605074</v>
      </c>
      <c r="O290" s="58" t="n">
        <f aca="false">IF(L290=1,M290+N290-$B$29,M290)</f>
        <v>97125.037931731</v>
      </c>
      <c r="P290" s="56" t="n">
        <f aca="false">IF(L290=1,IF($B$29&lt;=N290,1,0),0)</f>
        <v>0</v>
      </c>
      <c r="Q290" s="58" t="n">
        <f aca="false">Q289+N290</f>
        <v>202450.623781901</v>
      </c>
    </row>
    <row r="291" customFormat="false" ht="15" hidden="false" customHeight="false" outlineLevel="0" collapsed="false">
      <c r="K291" s="56" t="n">
        <f aca="false">K290+1</f>
        <v>284</v>
      </c>
      <c r="L291" s="57" t="n">
        <f aca="false">IF(AND(K291&lt;=Assumptions!$C$42,L290=1,P290=0,O290&gt;Assumptions!$C$43),1,0)</f>
        <v>1</v>
      </c>
      <c r="M291" s="58" t="n">
        <f aca="false">O290</f>
        <v>97125.037931731</v>
      </c>
      <c r="N291" s="58" t="n">
        <f aca="false">IF(L291=1,M291*$B$25,0)</f>
        <v>323.750126439103</v>
      </c>
      <c r="O291" s="58" t="n">
        <f aca="false">IF(L291=1,M291+N291-$B$29,M291)</f>
        <v>96016.5421717737</v>
      </c>
      <c r="P291" s="56" t="n">
        <f aca="false">IF(L291=1,IF($B$29&lt;=N291,1,0),0)</f>
        <v>0</v>
      </c>
      <c r="Q291" s="58" t="n">
        <f aca="false">Q290+N291</f>
        <v>202774.37390834</v>
      </c>
    </row>
    <row r="292" customFormat="false" ht="15" hidden="false" customHeight="false" outlineLevel="0" collapsed="false">
      <c r="K292" s="56" t="n">
        <f aca="false">K291+1</f>
        <v>285</v>
      </c>
      <c r="L292" s="57" t="n">
        <f aca="false">IF(AND(K292&lt;=Assumptions!$C$42,L291=1,P291=0,O291&gt;Assumptions!$C$43),1,0)</f>
        <v>1</v>
      </c>
      <c r="M292" s="58" t="n">
        <f aca="false">O291</f>
        <v>96016.5421717737</v>
      </c>
      <c r="N292" s="58" t="n">
        <f aca="false">IF(L292=1,M292*$B$25,0)</f>
        <v>320.055140572579</v>
      </c>
      <c r="O292" s="58" t="n">
        <f aca="false">IF(L292=1,M292+N292-$B$29,M292)</f>
        <v>94904.35142595</v>
      </c>
      <c r="P292" s="56" t="n">
        <f aca="false">IF(L292=1,IF($B$29&lt;=N292,1,0),0)</f>
        <v>0</v>
      </c>
      <c r="Q292" s="58" t="n">
        <f aca="false">Q291+N292</f>
        <v>203094.429048913</v>
      </c>
    </row>
    <row r="293" customFormat="false" ht="15" hidden="false" customHeight="false" outlineLevel="0" collapsed="false">
      <c r="K293" s="56" t="n">
        <f aca="false">K292+1</f>
        <v>286</v>
      </c>
      <c r="L293" s="57" t="n">
        <f aca="false">IF(AND(K293&lt;=Assumptions!$C$42,L292=1,P292=0,O292&gt;Assumptions!$C$43),1,0)</f>
        <v>1</v>
      </c>
      <c r="M293" s="58" t="n">
        <f aca="false">O292</f>
        <v>94904.35142595</v>
      </c>
      <c r="N293" s="58" t="n">
        <f aca="false">IF(L293=1,M293*$B$25,0)</f>
        <v>316.3478380865</v>
      </c>
      <c r="O293" s="58" t="n">
        <f aca="false">IF(L293=1,M293+N293-$B$29,M293)</f>
        <v>93788.4533776401</v>
      </c>
      <c r="P293" s="56" t="n">
        <f aca="false">IF(L293=1,IF($B$29&lt;=N293,1,0),0)</f>
        <v>0</v>
      </c>
      <c r="Q293" s="58" t="n">
        <f aca="false">Q292+N293</f>
        <v>203410.776886999</v>
      </c>
    </row>
    <row r="294" customFormat="false" ht="15" hidden="false" customHeight="false" outlineLevel="0" collapsed="false">
      <c r="K294" s="56" t="n">
        <f aca="false">K293+1</f>
        <v>287</v>
      </c>
      <c r="L294" s="57" t="n">
        <f aca="false">IF(AND(K294&lt;=Assumptions!$C$42,L293=1,P293=0,O293&gt;Assumptions!$C$43),1,0)</f>
        <v>1</v>
      </c>
      <c r="M294" s="58" t="n">
        <f aca="false">O293</f>
        <v>93788.4533776401</v>
      </c>
      <c r="N294" s="58" t="n">
        <f aca="false">IF(L294=1,M294*$B$25,0)</f>
        <v>312.628177925467</v>
      </c>
      <c r="O294" s="58" t="n">
        <f aca="false">IF(L294=1,M294+N294-$B$29,M294)</f>
        <v>92668.8356691692</v>
      </c>
      <c r="P294" s="56" t="n">
        <f aca="false">IF(L294=1,IF($B$29&lt;=N294,1,0),0)</f>
        <v>0</v>
      </c>
      <c r="Q294" s="58" t="n">
        <f aca="false">Q293+N294</f>
        <v>203723.405064925</v>
      </c>
    </row>
    <row r="295" customFormat="false" ht="15" hidden="false" customHeight="false" outlineLevel="0" collapsed="false">
      <c r="K295" s="56" t="n">
        <f aca="false">K294+1</f>
        <v>288</v>
      </c>
      <c r="L295" s="57" t="n">
        <f aca="false">IF(AND(K295&lt;=Assumptions!$C$42,L294=1,P294=0,O294&gt;Assumptions!$C$43),1,0)</f>
        <v>1</v>
      </c>
      <c r="M295" s="58" t="n">
        <f aca="false">O294</f>
        <v>92668.8356691692</v>
      </c>
      <c r="N295" s="58" t="n">
        <f aca="false">IF(L295=1,M295*$B$25,0)</f>
        <v>308.896118897231</v>
      </c>
      <c r="O295" s="58" t="n">
        <f aca="false">IF(L295=1,M295+N295-$B$29,M295)</f>
        <v>91545.4859016701</v>
      </c>
      <c r="P295" s="56" t="n">
        <f aca="false">IF(L295=1,IF($B$29&lt;=N295,1,0),0)</f>
        <v>0</v>
      </c>
      <c r="Q295" s="58" t="n">
        <f aca="false">Q294+N295</f>
        <v>204032.301183822</v>
      </c>
    </row>
    <row r="296" customFormat="false" ht="15" hidden="false" customHeight="false" outlineLevel="0" collapsed="false">
      <c r="K296" s="56" t="n">
        <f aca="false">K295+1</f>
        <v>289</v>
      </c>
      <c r="L296" s="57" t="n">
        <f aca="false">IF(AND(K296&lt;=Assumptions!$C$42,L295=1,P295=0,O295&gt;Assumptions!$C$43),1,0)</f>
        <v>1</v>
      </c>
      <c r="M296" s="58" t="n">
        <f aca="false">O295</f>
        <v>91545.4859016701</v>
      </c>
      <c r="N296" s="58" t="n">
        <f aca="false">IF(L296=1,M296*$B$25,0)</f>
        <v>305.151619672234</v>
      </c>
      <c r="O296" s="58" t="n">
        <f aca="false">IF(L296=1,M296+N296-$B$29,M296)</f>
        <v>90418.391634946</v>
      </c>
      <c r="P296" s="56" t="n">
        <f aca="false">IF(L296=1,IF($B$29&lt;=N296,1,0),0)</f>
        <v>0</v>
      </c>
      <c r="Q296" s="58" t="n">
        <f aca="false">Q295+N296</f>
        <v>204337.452803494</v>
      </c>
    </row>
    <row r="297" customFormat="false" ht="15" hidden="false" customHeight="false" outlineLevel="0" collapsed="false">
      <c r="K297" s="56" t="n">
        <f aca="false">K296+1</f>
        <v>290</v>
      </c>
      <c r="L297" s="57" t="n">
        <f aca="false">IF(AND(K297&lt;=Assumptions!$C$42,L296=1,P296=0,O296&gt;Assumptions!$C$43),1,0)</f>
        <v>1</v>
      </c>
      <c r="M297" s="58" t="n">
        <f aca="false">O296</f>
        <v>90418.391634946</v>
      </c>
      <c r="N297" s="58" t="n">
        <f aca="false">IF(L297=1,M297*$B$25,0)</f>
        <v>301.394638783153</v>
      </c>
      <c r="O297" s="58" t="n">
        <f aca="false">IF(L297=1,M297+N297-$B$29,M297)</f>
        <v>89287.5403873328</v>
      </c>
      <c r="P297" s="56" t="n">
        <f aca="false">IF(L297=1,IF($B$29&lt;=N297,1,0),0)</f>
        <v>0</v>
      </c>
      <c r="Q297" s="58" t="n">
        <f aca="false">Q296+N297</f>
        <v>204638.847442278</v>
      </c>
    </row>
    <row r="298" customFormat="false" ht="15" hidden="false" customHeight="false" outlineLevel="0" collapsed="false">
      <c r="K298" s="56" t="n">
        <f aca="false">K297+1</f>
        <v>291</v>
      </c>
      <c r="L298" s="57" t="n">
        <f aca="false">IF(AND(K298&lt;=Assumptions!$C$42,L297=1,P297=0,O297&gt;Assumptions!$C$43),1,0)</f>
        <v>1</v>
      </c>
      <c r="M298" s="58" t="n">
        <f aca="false">O297</f>
        <v>89287.5403873328</v>
      </c>
      <c r="N298" s="58" t="n">
        <f aca="false">IF(L298=1,M298*$B$25,0)</f>
        <v>297.625134624443</v>
      </c>
      <c r="O298" s="58" t="n">
        <f aca="false">IF(L298=1,M298+N298-$B$29,M298)</f>
        <v>88152.9196355609</v>
      </c>
      <c r="P298" s="56" t="n">
        <f aca="false">IF(L298=1,IF($B$29&lt;=N298,1,0),0)</f>
        <v>0</v>
      </c>
      <c r="Q298" s="58" t="n">
        <f aca="false">Q297+N298</f>
        <v>204936.472576902</v>
      </c>
    </row>
    <row r="299" customFormat="false" ht="15" hidden="false" customHeight="false" outlineLevel="0" collapsed="false">
      <c r="K299" s="56" t="n">
        <f aca="false">K298+1</f>
        <v>292</v>
      </c>
      <c r="L299" s="57" t="n">
        <f aca="false">IF(AND(K299&lt;=Assumptions!$C$42,L298=1,P298=0,O298&gt;Assumptions!$C$43),1,0)</f>
        <v>1</v>
      </c>
      <c r="M299" s="58" t="n">
        <f aca="false">O298</f>
        <v>88152.9196355609</v>
      </c>
      <c r="N299" s="58" t="n">
        <f aca="false">IF(L299=1,M299*$B$25,0)</f>
        <v>293.84306545187</v>
      </c>
      <c r="O299" s="58" t="n">
        <f aca="false">IF(L299=1,M299+N299-$B$29,M299)</f>
        <v>87014.5168146164</v>
      </c>
      <c r="P299" s="56" t="n">
        <f aca="false">IF(L299=1,IF($B$29&lt;=N299,1,0),0)</f>
        <v>0</v>
      </c>
      <c r="Q299" s="58" t="n">
        <f aca="false">Q298+N299</f>
        <v>205230.315642354</v>
      </c>
    </row>
    <row r="300" customFormat="false" ht="15" hidden="false" customHeight="false" outlineLevel="0" collapsed="false">
      <c r="K300" s="56" t="n">
        <f aca="false">K299+1</f>
        <v>293</v>
      </c>
      <c r="L300" s="57" t="n">
        <f aca="false">IF(AND(K300&lt;=Assumptions!$C$42,L299=1,P299=0,O299&gt;Assumptions!$C$43),1,0)</f>
        <v>1</v>
      </c>
      <c r="M300" s="58" t="n">
        <f aca="false">O299</f>
        <v>87014.5168146164</v>
      </c>
      <c r="N300" s="58" t="n">
        <f aca="false">IF(L300=1,M300*$B$25,0)</f>
        <v>290.048389382055</v>
      </c>
      <c r="O300" s="58" t="n">
        <f aca="false">IF(L300=1,M300+N300-$B$29,M300)</f>
        <v>85872.3193176021</v>
      </c>
      <c r="P300" s="56" t="n">
        <f aca="false">IF(L300=1,IF($B$29&lt;=N300,1,0),0)</f>
        <v>0</v>
      </c>
      <c r="Q300" s="58" t="n">
        <f aca="false">Q299+N300</f>
        <v>205520.364031736</v>
      </c>
    </row>
    <row r="301" customFormat="false" ht="15" hidden="false" customHeight="false" outlineLevel="0" collapsed="false">
      <c r="K301" s="56" t="n">
        <f aca="false">K300+1</f>
        <v>294</v>
      </c>
      <c r="L301" s="57" t="n">
        <f aca="false">IF(AND(K301&lt;=Assumptions!$C$42,L300=1,P300=0,O300&gt;Assumptions!$C$43),1,0)</f>
        <v>1</v>
      </c>
      <c r="M301" s="58" t="n">
        <f aca="false">O300</f>
        <v>85872.3193176021</v>
      </c>
      <c r="N301" s="58" t="n">
        <f aca="false">IF(L301=1,M301*$B$25,0)</f>
        <v>286.241064392007</v>
      </c>
      <c r="O301" s="58" t="n">
        <f aca="false">IF(L301=1,M301+N301-$B$29,M301)</f>
        <v>84726.3144955977</v>
      </c>
      <c r="P301" s="56" t="n">
        <f aca="false">IF(L301=1,IF($B$29&lt;=N301,1,0),0)</f>
        <v>0</v>
      </c>
      <c r="Q301" s="58" t="n">
        <f aca="false">Q300+N301</f>
        <v>205806.605096128</v>
      </c>
    </row>
    <row r="302" customFormat="false" ht="15" hidden="false" customHeight="false" outlineLevel="0" collapsed="false">
      <c r="K302" s="56" t="n">
        <f aca="false">K301+1</f>
        <v>295</v>
      </c>
      <c r="L302" s="57" t="n">
        <f aca="false">IF(AND(K302&lt;=Assumptions!$C$42,L301=1,P301=0,O301&gt;Assumptions!$C$43),1,0)</f>
        <v>1</v>
      </c>
      <c r="M302" s="58" t="n">
        <f aca="false">O301</f>
        <v>84726.3144955977</v>
      </c>
      <c r="N302" s="58" t="n">
        <f aca="false">IF(L302=1,M302*$B$25,0)</f>
        <v>282.421048318659</v>
      </c>
      <c r="O302" s="58" t="n">
        <f aca="false">IF(L302=1,M302+N302-$B$29,M302)</f>
        <v>83576.48965752</v>
      </c>
      <c r="P302" s="56" t="n">
        <f aca="false">IF(L302=1,IF($B$29&lt;=N302,1,0),0)</f>
        <v>0</v>
      </c>
      <c r="Q302" s="58" t="n">
        <f aca="false">Q301+N302</f>
        <v>206089.026144447</v>
      </c>
    </row>
    <row r="303" customFormat="false" ht="15" hidden="false" customHeight="false" outlineLevel="0" collapsed="false">
      <c r="K303" s="56" t="n">
        <f aca="false">K302+1</f>
        <v>296</v>
      </c>
      <c r="L303" s="57" t="n">
        <f aca="false">IF(AND(K303&lt;=Assumptions!$C$42,L302=1,P302=0,O302&gt;Assumptions!$C$43),1,0)</f>
        <v>1</v>
      </c>
      <c r="M303" s="58" t="n">
        <f aca="false">O302</f>
        <v>83576.48965752</v>
      </c>
      <c r="N303" s="58" t="n">
        <f aca="false">IF(L303=1,M303*$B$25,0)</f>
        <v>278.5882988584</v>
      </c>
      <c r="O303" s="58" t="n">
        <f aca="false">IF(L303=1,M303+N303-$B$29,M303)</f>
        <v>82422.8320699821</v>
      </c>
      <c r="P303" s="56" t="n">
        <f aca="false">IF(L303=1,IF($B$29&lt;=N303,1,0),0)</f>
        <v>0</v>
      </c>
      <c r="Q303" s="58" t="n">
        <f aca="false">Q302+N303</f>
        <v>206367.614443305</v>
      </c>
    </row>
    <row r="304" customFormat="false" ht="15" hidden="false" customHeight="false" outlineLevel="0" collapsed="false">
      <c r="K304" s="56" t="n">
        <f aca="false">K303+1</f>
        <v>297</v>
      </c>
      <c r="L304" s="57" t="n">
        <f aca="false">IF(AND(K304&lt;=Assumptions!$C$42,L303=1,P303=0,O303&gt;Assumptions!$C$43),1,0)</f>
        <v>1</v>
      </c>
      <c r="M304" s="58" t="n">
        <f aca="false">O303</f>
        <v>82422.8320699821</v>
      </c>
      <c r="N304" s="58" t="n">
        <f aca="false">IF(L304=1,M304*$B$25,0)</f>
        <v>274.742773566607</v>
      </c>
      <c r="O304" s="58" t="n">
        <f aca="false">IF(L304=1,M304+N304-$B$29,M304)</f>
        <v>81265.3289571523</v>
      </c>
      <c r="P304" s="56" t="n">
        <f aca="false">IF(L304=1,IF($B$29&lt;=N304,1,0),0)</f>
        <v>0</v>
      </c>
      <c r="Q304" s="58" t="n">
        <f aca="false">Q303+N304</f>
        <v>206642.357216872</v>
      </c>
    </row>
    <row r="305" customFormat="false" ht="15" hidden="false" customHeight="false" outlineLevel="0" collapsed="false">
      <c r="K305" s="56" t="n">
        <f aca="false">K304+1</f>
        <v>298</v>
      </c>
      <c r="L305" s="57" t="n">
        <f aca="false">IF(AND(K305&lt;=Assumptions!$C$42,L304=1,P304=0,O304&gt;Assumptions!$C$43),1,0)</f>
        <v>1</v>
      </c>
      <c r="M305" s="58" t="n">
        <f aca="false">O304</f>
        <v>81265.3289571523</v>
      </c>
      <c r="N305" s="58" t="n">
        <f aca="false">IF(L305=1,M305*$B$25,0)</f>
        <v>270.884429857174</v>
      </c>
      <c r="O305" s="58" t="n">
        <f aca="false">IF(L305=1,M305+N305-$B$29,M305)</f>
        <v>80103.9675006132</v>
      </c>
      <c r="P305" s="56" t="n">
        <f aca="false">IF(L305=1,IF($B$29&lt;=N305,1,0),0)</f>
        <v>0</v>
      </c>
      <c r="Q305" s="58" t="n">
        <f aca="false">Q304+N305</f>
        <v>206913.241646729</v>
      </c>
    </row>
    <row r="306" customFormat="false" ht="15" hidden="false" customHeight="false" outlineLevel="0" collapsed="false">
      <c r="K306" s="56" t="n">
        <f aca="false">K305+1</f>
        <v>299</v>
      </c>
      <c r="L306" s="57" t="n">
        <f aca="false">IF(AND(K306&lt;=Assumptions!$C$42,L305=1,P305=0,O305&gt;Assumptions!$C$43),1,0)</f>
        <v>1</v>
      </c>
      <c r="M306" s="58" t="n">
        <f aca="false">O305</f>
        <v>80103.9675006132</v>
      </c>
      <c r="N306" s="58" t="n">
        <f aca="false">IF(L306=1,M306*$B$25,0)</f>
        <v>267.013225002044</v>
      </c>
      <c r="O306" s="58" t="n">
        <f aca="false">IF(L306=1,M306+N306-$B$29,M306)</f>
        <v>78938.7348392188</v>
      </c>
      <c r="P306" s="56" t="n">
        <f aca="false">IF(L306=1,IF($B$29&lt;=N306,1,0),0)</f>
        <v>0</v>
      </c>
      <c r="Q306" s="58" t="n">
        <f aca="false">Q305+N306</f>
        <v>207180.254871731</v>
      </c>
    </row>
    <row r="307" customFormat="false" ht="15" hidden="false" customHeight="false" outlineLevel="0" collapsed="false">
      <c r="K307" s="56" t="n">
        <f aca="false">K306+1</f>
        <v>300</v>
      </c>
      <c r="L307" s="57" t="n">
        <f aca="false">IF(AND(K307&lt;=Assumptions!$C$42,L306=1,P306=0,O306&gt;Assumptions!$C$43),1,0)</f>
        <v>1</v>
      </c>
      <c r="M307" s="58" t="n">
        <f aca="false">O306</f>
        <v>78938.7348392188</v>
      </c>
      <c r="N307" s="58" t="n">
        <f aca="false">IF(L307=1,M307*$B$25,0)</f>
        <v>263.129116130729</v>
      </c>
      <c r="O307" s="58" t="n">
        <f aca="false">IF(L307=1,M307+N307-$B$29,M307)</f>
        <v>77769.6180689532</v>
      </c>
      <c r="P307" s="56" t="n">
        <f aca="false">IF(L307=1,IF($B$29&lt;=N307,1,0),0)</f>
        <v>0</v>
      </c>
      <c r="Q307" s="58" t="n">
        <f aca="false">Q306+N307</f>
        <v>207443.383987861</v>
      </c>
    </row>
    <row r="308" customFormat="false" ht="15" hidden="false" customHeight="false" outlineLevel="0" collapsed="false">
      <c r="K308" s="56" t="n">
        <f aca="false">K307+1</f>
        <v>301</v>
      </c>
      <c r="L308" s="57" t="n">
        <f aca="false">IF(AND(K308&lt;=Assumptions!$C$42,L307=1,P307=0,O307&gt;Assumptions!$C$43),1,0)</f>
        <v>1</v>
      </c>
      <c r="M308" s="58" t="n">
        <f aca="false">O307</f>
        <v>77769.6180689532</v>
      </c>
      <c r="N308" s="58" t="n">
        <f aca="false">IF(L308=1,M308*$B$25,0)</f>
        <v>259.232060229844</v>
      </c>
      <c r="O308" s="58" t="n">
        <f aca="false">IF(L308=1,M308+N308-$B$29,M308)</f>
        <v>76596.6042427867</v>
      </c>
      <c r="P308" s="56" t="n">
        <f aca="false">IF(L308=1,IF($B$29&lt;=N308,1,0),0)</f>
        <v>0</v>
      </c>
      <c r="Q308" s="58" t="n">
        <f aca="false">Q307+N308</f>
        <v>207702.616048091</v>
      </c>
    </row>
    <row r="309" customFormat="false" ht="15" hidden="false" customHeight="false" outlineLevel="0" collapsed="false">
      <c r="K309" s="56" t="n">
        <f aca="false">K308+1</f>
        <v>302</v>
      </c>
      <c r="L309" s="57" t="n">
        <f aca="false">IF(AND(K309&lt;=Assumptions!$C$42,L308=1,P308=0,O308&gt;Assumptions!$C$43),1,0)</f>
        <v>1</v>
      </c>
      <c r="M309" s="58" t="n">
        <f aca="false">O308</f>
        <v>76596.6042427867</v>
      </c>
      <c r="N309" s="58" t="n">
        <f aca="false">IF(L309=1,M309*$B$25,0)</f>
        <v>255.322014142622</v>
      </c>
      <c r="O309" s="58" t="n">
        <f aca="false">IF(L309=1,M309+N309-$B$29,M309)</f>
        <v>75419.680370533</v>
      </c>
      <c r="P309" s="56" t="n">
        <f aca="false">IF(L309=1,IF($B$29&lt;=N309,1,0),0)</f>
        <v>0</v>
      </c>
      <c r="Q309" s="58" t="n">
        <f aca="false">Q308+N309</f>
        <v>207957.938062234</v>
      </c>
    </row>
    <row r="310" customFormat="false" ht="15" hidden="false" customHeight="false" outlineLevel="0" collapsed="false">
      <c r="K310" s="56" t="n">
        <f aca="false">K309+1</f>
        <v>303</v>
      </c>
      <c r="L310" s="57" t="n">
        <f aca="false">IF(AND(K310&lt;=Assumptions!$C$42,L309=1,P309=0,O309&gt;Assumptions!$C$43),1,0)</f>
        <v>1</v>
      </c>
      <c r="M310" s="58" t="n">
        <f aca="false">O309</f>
        <v>75419.680370533</v>
      </c>
      <c r="N310" s="58" t="n">
        <f aca="false">IF(L310=1,M310*$B$25,0)</f>
        <v>251.398934568443</v>
      </c>
      <c r="O310" s="58" t="n">
        <f aca="false">IF(L310=1,M310+N310-$B$29,M310)</f>
        <v>74238.8334187051</v>
      </c>
      <c r="P310" s="56" t="n">
        <f aca="false">IF(L310=1,IF($B$29&lt;=N310,1,0),0)</f>
        <v>0</v>
      </c>
      <c r="Q310" s="58" t="n">
        <f aca="false">Q309+N310</f>
        <v>208209.336996802</v>
      </c>
    </row>
    <row r="311" customFormat="false" ht="15" hidden="false" customHeight="false" outlineLevel="0" collapsed="false">
      <c r="K311" s="56" t="n">
        <f aca="false">K310+1</f>
        <v>304</v>
      </c>
      <c r="L311" s="57" t="n">
        <f aca="false">IF(AND(K311&lt;=Assumptions!$C$42,L310=1,P310=0,O310&gt;Assumptions!$C$43),1,0)</f>
        <v>1</v>
      </c>
      <c r="M311" s="58" t="n">
        <f aca="false">O310</f>
        <v>74238.8334187051</v>
      </c>
      <c r="N311" s="58" t="n">
        <f aca="false">IF(L311=1,M311*$B$25,0)</f>
        <v>247.46277806235</v>
      </c>
      <c r="O311" s="58" t="n">
        <f aca="false">IF(L311=1,M311+N311-$B$29,M311)</f>
        <v>73054.0503103711</v>
      </c>
      <c r="P311" s="56" t="n">
        <f aca="false">IF(L311=1,IF($B$29&lt;=N311,1,0),0)</f>
        <v>0</v>
      </c>
      <c r="Q311" s="58" t="n">
        <f aca="false">Q310+N311</f>
        <v>208456.799774865</v>
      </c>
    </row>
    <row r="312" customFormat="false" ht="15" hidden="false" customHeight="false" outlineLevel="0" collapsed="false">
      <c r="K312" s="56" t="n">
        <f aca="false">K311+1</f>
        <v>305</v>
      </c>
      <c r="L312" s="57" t="n">
        <f aca="false">IF(AND(K312&lt;=Assumptions!$C$42,L311=1,P311=0,O311&gt;Assumptions!$C$43),1,0)</f>
        <v>1</v>
      </c>
      <c r="M312" s="58" t="n">
        <f aca="false">O311</f>
        <v>73054.0503103711</v>
      </c>
      <c r="N312" s="58" t="n">
        <f aca="false">IF(L312=1,M312*$B$25,0)</f>
        <v>243.51350103457</v>
      </c>
      <c r="O312" s="58" t="n">
        <f aca="false">IF(L312=1,M312+N312-$B$29,M312)</f>
        <v>71865.3179250093</v>
      </c>
      <c r="P312" s="56" t="n">
        <f aca="false">IF(L312=1,IF($B$29&lt;=N312,1,0),0)</f>
        <v>0</v>
      </c>
      <c r="Q312" s="58" t="n">
        <f aca="false">Q311+N312</f>
        <v>208700.313275899</v>
      </c>
    </row>
    <row r="313" customFormat="false" ht="15" hidden="false" customHeight="false" outlineLevel="0" collapsed="false">
      <c r="K313" s="56" t="n">
        <f aca="false">K312+1</f>
        <v>306</v>
      </c>
      <c r="L313" s="57" t="n">
        <f aca="false">IF(AND(K313&lt;=Assumptions!$C$42,L312=1,P312=0,O312&gt;Assumptions!$C$43),1,0)</f>
        <v>1</v>
      </c>
      <c r="M313" s="58" t="n">
        <f aca="false">O312</f>
        <v>71865.3179250093</v>
      </c>
      <c r="N313" s="58" t="n">
        <f aca="false">IF(L313=1,M313*$B$25,0)</f>
        <v>239.551059750031</v>
      </c>
      <c r="O313" s="58" t="n">
        <f aca="false">IF(L313=1,M313+N313-$B$29,M313)</f>
        <v>70672.623098363</v>
      </c>
      <c r="P313" s="56" t="n">
        <f aca="false">IF(L313=1,IF($B$29&lt;=N313,1,0),0)</f>
        <v>0</v>
      </c>
      <c r="Q313" s="58" t="n">
        <f aca="false">Q312+N313</f>
        <v>208939.864335649</v>
      </c>
    </row>
    <row r="314" customFormat="false" ht="15" hidden="false" customHeight="false" outlineLevel="0" collapsed="false">
      <c r="K314" s="56" t="n">
        <f aca="false">K313+1</f>
        <v>307</v>
      </c>
      <c r="L314" s="57" t="n">
        <f aca="false">IF(AND(K314&lt;=Assumptions!$C$42,L313=1,P313=0,O313&gt;Assumptions!$C$43),1,0)</f>
        <v>1</v>
      </c>
      <c r="M314" s="58" t="n">
        <f aca="false">O313</f>
        <v>70672.623098363</v>
      </c>
      <c r="N314" s="58" t="n">
        <f aca="false">IF(L314=1,M314*$B$25,0)</f>
        <v>235.575410327877</v>
      </c>
      <c r="O314" s="58" t="n">
        <f aca="false">IF(L314=1,M314+N314-$B$29,M314)</f>
        <v>69475.9526222945</v>
      </c>
      <c r="P314" s="56" t="n">
        <f aca="false">IF(L314=1,IF($B$29&lt;=N314,1,0),0)</f>
        <v>0</v>
      </c>
      <c r="Q314" s="58" t="n">
        <f aca="false">Q313+N314</f>
        <v>209175.439745977</v>
      </c>
    </row>
    <row r="315" customFormat="false" ht="15" hidden="false" customHeight="false" outlineLevel="0" collapsed="false">
      <c r="K315" s="56" t="n">
        <f aca="false">K314+1</f>
        <v>308</v>
      </c>
      <c r="L315" s="57" t="n">
        <f aca="false">IF(AND(K315&lt;=Assumptions!$C$42,L314=1,P314=0,O314&gt;Assumptions!$C$43),1,0)</f>
        <v>1</v>
      </c>
      <c r="M315" s="58" t="n">
        <f aca="false">O314</f>
        <v>69475.9526222945</v>
      </c>
      <c r="N315" s="58" t="n">
        <f aca="false">IF(L315=1,M315*$B$25,0)</f>
        <v>231.586508740982</v>
      </c>
      <c r="O315" s="58" t="n">
        <f aca="false">IF(L315=1,M315+N315-$B$29,M315)</f>
        <v>68275.2932446391</v>
      </c>
      <c r="P315" s="56" t="n">
        <f aca="false">IF(L315=1,IF($B$29&lt;=N315,1,0),0)</f>
        <v>0</v>
      </c>
      <c r="Q315" s="58" t="n">
        <f aca="false">Q314+N315</f>
        <v>209407.026254718</v>
      </c>
    </row>
    <row r="316" customFormat="false" ht="15" hidden="false" customHeight="false" outlineLevel="0" collapsed="false">
      <c r="K316" s="56" t="n">
        <f aca="false">K315+1</f>
        <v>309</v>
      </c>
      <c r="L316" s="57" t="n">
        <f aca="false">IF(AND(K316&lt;=Assumptions!$C$42,L315=1,P315=0,O315&gt;Assumptions!$C$43),1,0)</f>
        <v>1</v>
      </c>
      <c r="M316" s="58" t="n">
        <f aca="false">O315</f>
        <v>68275.2932446391</v>
      </c>
      <c r="N316" s="58" t="n">
        <f aca="false">IF(L316=1,M316*$B$25,0)</f>
        <v>227.584310815464</v>
      </c>
      <c r="O316" s="58" t="n">
        <f aca="false">IF(L316=1,M316+N316-$B$29,M316)</f>
        <v>67070.6316690582</v>
      </c>
      <c r="P316" s="56" t="n">
        <f aca="false">IF(L316=1,IF($B$29&lt;=N316,1,0),0)</f>
        <v>0</v>
      </c>
      <c r="Q316" s="58" t="n">
        <f aca="false">Q315+N316</f>
        <v>209634.610565534</v>
      </c>
    </row>
    <row r="317" customFormat="false" ht="15" hidden="false" customHeight="false" outlineLevel="0" collapsed="false">
      <c r="K317" s="56" t="n">
        <f aca="false">K316+1</f>
        <v>310</v>
      </c>
      <c r="L317" s="57" t="n">
        <f aca="false">IF(AND(K317&lt;=Assumptions!$C$42,L316=1,P316=0,O316&gt;Assumptions!$C$43),1,0)</f>
        <v>1</v>
      </c>
      <c r="M317" s="58" t="n">
        <f aca="false">O316</f>
        <v>67070.6316690582</v>
      </c>
      <c r="N317" s="58" t="n">
        <f aca="false">IF(L317=1,M317*$B$25,0)</f>
        <v>223.568772230194</v>
      </c>
      <c r="O317" s="58" t="n">
        <f aca="false">IF(L317=1,M317+N317-$B$29,M317)</f>
        <v>65861.954554892</v>
      </c>
      <c r="P317" s="56" t="n">
        <f aca="false">IF(L317=1,IF($B$29&lt;=N317,1,0),0)</f>
        <v>0</v>
      </c>
      <c r="Q317" s="58" t="n">
        <f aca="false">Q316+N317</f>
        <v>209858.179337764</v>
      </c>
    </row>
    <row r="318" customFormat="false" ht="15" hidden="false" customHeight="false" outlineLevel="0" collapsed="false">
      <c r="K318" s="56" t="n">
        <f aca="false">K317+1</f>
        <v>311</v>
      </c>
      <c r="L318" s="57" t="n">
        <f aca="false">IF(AND(K318&lt;=Assumptions!$C$42,L317=1,P317=0,O317&gt;Assumptions!$C$43),1,0)</f>
        <v>1</v>
      </c>
      <c r="M318" s="58" t="n">
        <f aca="false">O317</f>
        <v>65861.954554892</v>
      </c>
      <c r="N318" s="58" t="n">
        <f aca="false">IF(L318=1,M318*$B$25,0)</f>
        <v>219.539848516307</v>
      </c>
      <c r="O318" s="58" t="n">
        <f aca="false">IF(L318=1,M318+N318-$B$29,M318)</f>
        <v>64649.248517012</v>
      </c>
      <c r="P318" s="56" t="n">
        <f aca="false">IF(L318=1,IF($B$29&lt;=N318,1,0),0)</f>
        <v>0</v>
      </c>
      <c r="Q318" s="58" t="n">
        <f aca="false">Q317+N318</f>
        <v>210077.71918628</v>
      </c>
    </row>
    <row r="319" customFormat="false" ht="15" hidden="false" customHeight="false" outlineLevel="0" collapsed="false">
      <c r="K319" s="56" t="n">
        <f aca="false">K318+1</f>
        <v>312</v>
      </c>
      <c r="L319" s="57" t="n">
        <f aca="false">IF(AND(K319&lt;=Assumptions!$C$42,L318=1,P318=0,O318&gt;Assumptions!$C$43),1,0)</f>
        <v>1</v>
      </c>
      <c r="M319" s="58" t="n">
        <f aca="false">O318</f>
        <v>64649.248517012</v>
      </c>
      <c r="N319" s="58" t="n">
        <f aca="false">IF(L319=1,M319*$B$25,0)</f>
        <v>215.497495056707</v>
      </c>
      <c r="O319" s="58" t="n">
        <f aca="false">IF(L319=1,M319+N319-$B$29,M319)</f>
        <v>63432.5001256723</v>
      </c>
      <c r="P319" s="56" t="n">
        <f aca="false">IF(L319=1,IF($B$29&lt;=N319,1,0),0)</f>
        <v>0</v>
      </c>
      <c r="Q319" s="58" t="n">
        <f aca="false">Q318+N319</f>
        <v>210293.216681337</v>
      </c>
    </row>
    <row r="320" customFormat="false" ht="15" hidden="false" customHeight="false" outlineLevel="0" collapsed="false">
      <c r="K320" s="56" t="n">
        <f aca="false">K319+1</f>
        <v>313</v>
      </c>
      <c r="L320" s="57" t="n">
        <f aca="false">IF(AND(K320&lt;=Assumptions!$C$42,L319=1,P319=0,O319&gt;Assumptions!$C$43),1,0)</f>
        <v>1</v>
      </c>
      <c r="M320" s="58" t="n">
        <f aca="false">O319</f>
        <v>63432.5001256723</v>
      </c>
      <c r="N320" s="58" t="n">
        <f aca="false">IF(L320=1,M320*$B$25,0)</f>
        <v>211.441667085574</v>
      </c>
      <c r="O320" s="58" t="n">
        <f aca="false">IF(L320=1,M320+N320-$B$29,M320)</f>
        <v>62211.6959063615</v>
      </c>
      <c r="P320" s="56" t="n">
        <f aca="false">IF(L320=1,IF($B$29&lt;=N320,1,0),0)</f>
        <v>0</v>
      </c>
      <c r="Q320" s="58" t="n">
        <f aca="false">Q319+N320</f>
        <v>210504.658348422</v>
      </c>
    </row>
    <row r="321" customFormat="false" ht="15" hidden="false" customHeight="false" outlineLevel="0" collapsed="false">
      <c r="K321" s="56" t="n">
        <f aca="false">K320+1</f>
        <v>314</v>
      </c>
      <c r="L321" s="57" t="n">
        <f aca="false">IF(AND(K321&lt;=Assumptions!$C$42,L320=1,P320=0,O320&gt;Assumptions!$C$43),1,0)</f>
        <v>1</v>
      </c>
      <c r="M321" s="58" t="n">
        <f aca="false">O320</f>
        <v>62211.6959063615</v>
      </c>
      <c r="N321" s="58" t="n">
        <f aca="false">IF(L321=1,M321*$B$25,0)</f>
        <v>207.372319687872</v>
      </c>
      <c r="O321" s="58" t="n">
        <f aca="false">IF(L321=1,M321+N321-$B$29,M321)</f>
        <v>60986.822339653</v>
      </c>
      <c r="P321" s="56" t="n">
        <f aca="false">IF(L321=1,IF($B$29&lt;=N321,1,0),0)</f>
        <v>0</v>
      </c>
      <c r="Q321" s="58" t="n">
        <f aca="false">Q320+N321</f>
        <v>210712.03066811</v>
      </c>
    </row>
    <row r="322" customFormat="false" ht="15" hidden="false" customHeight="false" outlineLevel="0" collapsed="false">
      <c r="K322" s="56" t="n">
        <f aca="false">K321+1</f>
        <v>315</v>
      </c>
      <c r="L322" s="57" t="n">
        <f aca="false">IF(AND(K322&lt;=Assumptions!$C$42,L321=1,P321=0,O321&gt;Assumptions!$C$43),1,0)</f>
        <v>1</v>
      </c>
      <c r="M322" s="58" t="n">
        <f aca="false">O321</f>
        <v>60986.822339653</v>
      </c>
      <c r="N322" s="58" t="n">
        <f aca="false">IF(L322=1,M322*$B$25,0)</f>
        <v>203.289407798843</v>
      </c>
      <c r="O322" s="58" t="n">
        <f aca="false">IF(L322=1,M322+N322-$B$29,M322)</f>
        <v>59757.8658610555</v>
      </c>
      <c r="P322" s="56" t="n">
        <f aca="false">IF(L322=1,IF($B$29&lt;=N322,1,0),0)</f>
        <v>0</v>
      </c>
      <c r="Q322" s="58" t="n">
        <f aca="false">Q321+N322</f>
        <v>210915.320075909</v>
      </c>
    </row>
    <row r="323" customFormat="false" ht="15" hidden="false" customHeight="false" outlineLevel="0" collapsed="false">
      <c r="K323" s="56" t="n">
        <f aca="false">K322+1</f>
        <v>316</v>
      </c>
      <c r="L323" s="57" t="n">
        <f aca="false">IF(AND(K323&lt;=Assumptions!$C$42,L322=1,P322=0,O322&gt;Assumptions!$C$43),1,0)</f>
        <v>1</v>
      </c>
      <c r="M323" s="58" t="n">
        <f aca="false">O322</f>
        <v>59757.8658610555</v>
      </c>
      <c r="N323" s="58" t="n">
        <f aca="false">IF(L323=1,M323*$B$25,0)</f>
        <v>199.192886203518</v>
      </c>
      <c r="O323" s="58" t="n">
        <f aca="false">IF(L323=1,M323+N323-$B$29,M323)</f>
        <v>58524.8128608627</v>
      </c>
      <c r="P323" s="56" t="n">
        <f aca="false">IF(L323=1,IF($B$29&lt;=N323,1,0),0)</f>
        <v>0</v>
      </c>
      <c r="Q323" s="58" t="n">
        <f aca="false">Q322+N323</f>
        <v>211114.512962113</v>
      </c>
    </row>
    <row r="324" customFormat="false" ht="15" hidden="false" customHeight="false" outlineLevel="0" collapsed="false">
      <c r="K324" s="56" t="n">
        <f aca="false">K323+1</f>
        <v>317</v>
      </c>
      <c r="L324" s="57" t="n">
        <f aca="false">IF(AND(K324&lt;=Assumptions!$C$42,L323=1,P323=0,O323&gt;Assumptions!$C$43),1,0)</f>
        <v>1</v>
      </c>
      <c r="M324" s="58" t="n">
        <f aca="false">O323</f>
        <v>58524.8128608627</v>
      </c>
      <c r="N324" s="58" t="n">
        <f aca="false">IF(L324=1,M324*$B$25,0)</f>
        <v>195.082709536209</v>
      </c>
      <c r="O324" s="58" t="n">
        <f aca="false">IF(L324=1,M324+N324-$B$29,M324)</f>
        <v>57287.6496840025</v>
      </c>
      <c r="P324" s="56" t="n">
        <f aca="false">IF(L324=1,IF($B$29&lt;=N324,1,0),0)</f>
        <v>0</v>
      </c>
      <c r="Q324" s="58" t="n">
        <f aca="false">Q323+N324</f>
        <v>211309.595671649</v>
      </c>
    </row>
    <row r="325" customFormat="false" ht="15" hidden="false" customHeight="false" outlineLevel="0" collapsed="false">
      <c r="K325" s="56" t="n">
        <f aca="false">K324+1</f>
        <v>318</v>
      </c>
      <c r="L325" s="57" t="n">
        <f aca="false">IF(AND(K325&lt;=Assumptions!$C$42,L324=1,P324=0,O324&gt;Assumptions!$C$43),1,0)</f>
        <v>1</v>
      </c>
      <c r="M325" s="58" t="n">
        <f aca="false">O324</f>
        <v>57287.6496840025</v>
      </c>
      <c r="N325" s="58" t="n">
        <f aca="false">IF(L325=1,M325*$B$25,0)</f>
        <v>190.958832280008</v>
      </c>
      <c r="O325" s="58" t="n">
        <f aca="false">IF(L325=1,M325+N325-$B$29,M325)</f>
        <v>56046.3626298862</v>
      </c>
      <c r="P325" s="56" t="n">
        <f aca="false">IF(L325=1,IF($B$29&lt;=N325,1,0),0)</f>
        <v>0</v>
      </c>
      <c r="Q325" s="58" t="n">
        <f aca="false">Q324+N325</f>
        <v>211500.554503929</v>
      </c>
    </row>
    <row r="326" customFormat="false" ht="15" hidden="false" customHeight="false" outlineLevel="0" collapsed="false">
      <c r="K326" s="56" t="n">
        <f aca="false">K325+1</f>
        <v>319</v>
      </c>
      <c r="L326" s="57" t="n">
        <f aca="false">IF(AND(K326&lt;=Assumptions!$C$42,L325=1,P325=0,O325&gt;Assumptions!$C$43),1,0)</f>
        <v>1</v>
      </c>
      <c r="M326" s="58" t="n">
        <f aca="false">O325</f>
        <v>56046.3626298862</v>
      </c>
      <c r="N326" s="58" t="n">
        <f aca="false">IF(L326=1,M326*$B$25,0)</f>
        <v>186.821208766287</v>
      </c>
      <c r="O326" s="58" t="n">
        <f aca="false">IF(L326=1,M326+N326-$B$29,M326)</f>
        <v>54800.9379522561</v>
      </c>
      <c r="P326" s="56" t="n">
        <f aca="false">IF(L326=1,IF($B$29&lt;=N326,1,0),0)</f>
        <v>0</v>
      </c>
      <c r="Q326" s="58" t="n">
        <f aca="false">Q325+N326</f>
        <v>211687.375712695</v>
      </c>
    </row>
    <row r="327" customFormat="false" ht="15" hidden="false" customHeight="false" outlineLevel="0" collapsed="false">
      <c r="K327" s="56" t="n">
        <f aca="false">K326+1</f>
        <v>320</v>
      </c>
      <c r="L327" s="57" t="n">
        <f aca="false">IF(AND(K327&lt;=Assumptions!$C$42,L326=1,P326=0,O326&gt;Assumptions!$C$43),1,0)</f>
        <v>1</v>
      </c>
      <c r="M327" s="58" t="n">
        <f aca="false">O326</f>
        <v>54800.9379522561</v>
      </c>
      <c r="N327" s="58" t="n">
        <f aca="false">IF(L327=1,M327*$B$25,0)</f>
        <v>182.669793174187</v>
      </c>
      <c r="O327" s="58" t="n">
        <f aca="false">IF(L327=1,M327+N327-$B$29,M327)</f>
        <v>53551.3618590339</v>
      </c>
      <c r="P327" s="56" t="n">
        <f aca="false">IF(L327=1,IF($B$29&lt;=N327,1,0),0)</f>
        <v>0</v>
      </c>
      <c r="Q327" s="58" t="n">
        <f aca="false">Q326+N327</f>
        <v>211870.045505869</v>
      </c>
    </row>
    <row r="328" customFormat="false" ht="15" hidden="false" customHeight="false" outlineLevel="0" collapsed="false">
      <c r="K328" s="56" t="n">
        <f aca="false">K327+1</f>
        <v>321</v>
      </c>
      <c r="L328" s="57" t="n">
        <f aca="false">IF(AND(K328&lt;=Assumptions!$C$42,L327=1,P327=0,O327&gt;Assumptions!$C$43),1,0)</f>
        <v>1</v>
      </c>
      <c r="M328" s="58" t="n">
        <f aca="false">O327</f>
        <v>53551.3618590339</v>
      </c>
      <c r="N328" s="58" t="n">
        <f aca="false">IF(L328=1,M328*$B$25,0)</f>
        <v>178.504539530113</v>
      </c>
      <c r="O328" s="58" t="n">
        <f aca="false">IF(L328=1,M328+N328-$B$29,M328)</f>
        <v>52297.6205121677</v>
      </c>
      <c r="P328" s="56" t="n">
        <f aca="false">IF(L328=1,IF($B$29&lt;=N328,1,0),0)</f>
        <v>0</v>
      </c>
      <c r="Q328" s="58" t="n">
        <f aca="false">Q327+N328</f>
        <v>212048.5500454</v>
      </c>
    </row>
    <row r="329" customFormat="false" ht="15" hidden="false" customHeight="false" outlineLevel="0" collapsed="false">
      <c r="K329" s="56" t="n">
        <f aca="false">K328+1</f>
        <v>322</v>
      </c>
      <c r="L329" s="57" t="n">
        <f aca="false">IF(AND(K329&lt;=Assumptions!$C$42,L328=1,P328=0,O328&gt;Assumptions!$C$43),1,0)</f>
        <v>1</v>
      </c>
      <c r="M329" s="58" t="n">
        <f aca="false">O328</f>
        <v>52297.6205121677</v>
      </c>
      <c r="N329" s="58" t="n">
        <f aca="false">IF(L329=1,M329*$B$25,0)</f>
        <v>174.325401707226</v>
      </c>
      <c r="O329" s="58" t="n">
        <f aca="false">IF(L329=1,M329+N329-$B$29,M329)</f>
        <v>51039.7000274786</v>
      </c>
      <c r="P329" s="56" t="n">
        <f aca="false">IF(L329=1,IF($B$29&lt;=N329,1,0),0)</f>
        <v>0</v>
      </c>
      <c r="Q329" s="58" t="n">
        <f aca="false">Q328+N329</f>
        <v>212222.875447107</v>
      </c>
    </row>
    <row r="330" customFormat="false" ht="15" hidden="false" customHeight="false" outlineLevel="0" collapsed="false">
      <c r="K330" s="56" t="n">
        <f aca="false">K329+1</f>
        <v>323</v>
      </c>
      <c r="L330" s="57" t="n">
        <f aca="false">IF(AND(K330&lt;=Assumptions!$C$42,L329=1,P329=0,O329&gt;Assumptions!$C$43),1,0)</f>
        <v>1</v>
      </c>
      <c r="M330" s="58" t="n">
        <f aca="false">O329</f>
        <v>51039.7000274786</v>
      </c>
      <c r="N330" s="58" t="n">
        <f aca="false">IF(L330=1,M330*$B$25,0)</f>
        <v>170.132333424929</v>
      </c>
      <c r="O330" s="58" t="n">
        <f aca="false">IF(L330=1,M330+N330-$B$29,M330)</f>
        <v>49777.5864745071</v>
      </c>
      <c r="P330" s="56" t="n">
        <f aca="false">IF(L330=1,IF($B$29&lt;=N330,1,0),0)</f>
        <v>0</v>
      </c>
      <c r="Q330" s="58" t="n">
        <f aca="false">Q329+N330</f>
        <v>212393.007780532</v>
      </c>
    </row>
    <row r="331" customFormat="false" ht="15" hidden="false" customHeight="false" outlineLevel="0" collapsed="false">
      <c r="K331" s="56" t="n">
        <f aca="false">K330+1</f>
        <v>324</v>
      </c>
      <c r="L331" s="57" t="n">
        <f aca="false">IF(AND(K331&lt;=Assumptions!$C$42,L330=1,P330=0,O330&gt;Assumptions!$C$43),1,0)</f>
        <v>1</v>
      </c>
      <c r="M331" s="58" t="n">
        <f aca="false">O330</f>
        <v>49777.5864745071</v>
      </c>
      <c r="N331" s="58" t="n">
        <f aca="false">IF(L331=1,M331*$B$25,0)</f>
        <v>165.925288248357</v>
      </c>
      <c r="O331" s="58" t="n">
        <f aca="false">IF(L331=1,M331+N331-$B$29,M331)</f>
        <v>48511.2658763591</v>
      </c>
      <c r="P331" s="56" t="n">
        <f aca="false">IF(L331=1,IF($B$29&lt;=N331,1,0),0)</f>
        <v>0</v>
      </c>
      <c r="Q331" s="58" t="n">
        <f aca="false">Q330+N331</f>
        <v>212558.93306878</v>
      </c>
    </row>
    <row r="332" customFormat="false" ht="15" hidden="false" customHeight="false" outlineLevel="0" collapsed="false">
      <c r="K332" s="56" t="n">
        <f aca="false">K331+1</f>
        <v>325</v>
      </c>
      <c r="L332" s="57" t="n">
        <f aca="false">IF(AND(K332&lt;=Assumptions!$C$42,L331=1,P331=0,O331&gt;Assumptions!$C$43),1,0)</f>
        <v>1</v>
      </c>
      <c r="M332" s="58" t="n">
        <f aca="false">O331</f>
        <v>48511.2658763591</v>
      </c>
      <c r="N332" s="58" t="n">
        <f aca="false">IF(L332=1,M332*$B$25,0)</f>
        <v>161.704219587864</v>
      </c>
      <c r="O332" s="58" t="n">
        <f aca="false">IF(L332=1,M332+N332-$B$29,M332)</f>
        <v>47240.7242095506</v>
      </c>
      <c r="P332" s="56" t="n">
        <f aca="false">IF(L332=1,IF($B$29&lt;=N332,1,0),0)</f>
        <v>0</v>
      </c>
      <c r="Q332" s="58" t="n">
        <f aca="false">Q331+N332</f>
        <v>212720.637288368</v>
      </c>
    </row>
    <row r="333" customFormat="false" ht="15" hidden="false" customHeight="false" outlineLevel="0" collapsed="false">
      <c r="K333" s="56" t="n">
        <f aca="false">K332+1</f>
        <v>326</v>
      </c>
      <c r="L333" s="57" t="n">
        <f aca="false">IF(AND(K333&lt;=Assumptions!$C$42,L332=1,P332=0,O332&gt;Assumptions!$C$43),1,0)</f>
        <v>1</v>
      </c>
      <c r="M333" s="58" t="n">
        <f aca="false">O332</f>
        <v>47240.7242095506</v>
      </c>
      <c r="N333" s="58" t="n">
        <f aca="false">IF(L333=1,M333*$B$25,0)</f>
        <v>157.469080698502</v>
      </c>
      <c r="O333" s="58" t="n">
        <f aca="false">IF(L333=1,M333+N333-$B$29,M333)</f>
        <v>45965.9474038528</v>
      </c>
      <c r="P333" s="56" t="n">
        <f aca="false">IF(L333=1,IF($B$29&lt;=N333,1,0),0)</f>
        <v>0</v>
      </c>
      <c r="Q333" s="58" t="n">
        <f aca="false">Q332+N333</f>
        <v>212878.106369066</v>
      </c>
    </row>
    <row r="334" customFormat="false" ht="15" hidden="false" customHeight="false" outlineLevel="0" collapsed="false">
      <c r="K334" s="56" t="n">
        <f aca="false">K333+1</f>
        <v>327</v>
      </c>
      <c r="L334" s="57" t="n">
        <f aca="false">IF(AND(K334&lt;=Assumptions!$C$42,L333=1,P333=0,O333&gt;Assumptions!$C$43),1,0)</f>
        <v>1</v>
      </c>
      <c r="M334" s="58" t="n">
        <f aca="false">O333</f>
        <v>45965.9474038528</v>
      </c>
      <c r="N334" s="58" t="n">
        <f aca="false">IF(L334=1,M334*$B$25,0)</f>
        <v>153.219824679509</v>
      </c>
      <c r="O334" s="58" t="n">
        <f aca="false">IF(L334=1,M334+N334-$B$29,M334)</f>
        <v>44686.9213421359</v>
      </c>
      <c r="P334" s="56" t="n">
        <f aca="false">IF(L334=1,IF($B$29&lt;=N334,1,0),0)</f>
        <v>0</v>
      </c>
      <c r="Q334" s="58" t="n">
        <f aca="false">Q333+N334</f>
        <v>213031.326193746</v>
      </c>
    </row>
    <row r="335" customFormat="false" ht="15" hidden="false" customHeight="false" outlineLevel="0" collapsed="false">
      <c r="K335" s="56" t="n">
        <f aca="false">K334+1</f>
        <v>328</v>
      </c>
      <c r="L335" s="57" t="n">
        <f aca="false">IF(AND(K335&lt;=Assumptions!$C$42,L334=1,P334=0,O334&gt;Assumptions!$C$43),1,0)</f>
        <v>1</v>
      </c>
      <c r="M335" s="58" t="n">
        <f aca="false">O334</f>
        <v>44686.9213421359</v>
      </c>
      <c r="N335" s="58" t="n">
        <f aca="false">IF(L335=1,M335*$B$25,0)</f>
        <v>148.956404473786</v>
      </c>
      <c r="O335" s="58" t="n">
        <f aca="false">IF(L335=1,M335+N335-$B$29,M335)</f>
        <v>43403.6318602133</v>
      </c>
      <c r="P335" s="56" t="n">
        <f aca="false">IF(L335=1,IF($B$29&lt;=N335,1,0),0)</f>
        <v>0</v>
      </c>
      <c r="Q335" s="58" t="n">
        <f aca="false">Q334+N335</f>
        <v>213180.28259822</v>
      </c>
    </row>
    <row r="336" customFormat="false" ht="15" hidden="false" customHeight="false" outlineLevel="0" collapsed="false">
      <c r="K336" s="56" t="n">
        <f aca="false">K335+1</f>
        <v>329</v>
      </c>
      <c r="L336" s="57" t="n">
        <f aca="false">IF(AND(K336&lt;=Assumptions!$C$42,L335=1,P335=0,O335&gt;Assumptions!$C$43),1,0)</f>
        <v>1</v>
      </c>
      <c r="M336" s="58" t="n">
        <f aca="false">O335</f>
        <v>43403.6318602133</v>
      </c>
      <c r="N336" s="58" t="n">
        <f aca="false">IF(L336=1,M336*$B$25,0)</f>
        <v>144.678772867378</v>
      </c>
      <c r="O336" s="58" t="n">
        <f aca="false">IF(L336=1,M336+N336-$B$29,M336)</f>
        <v>42116.0647466843</v>
      </c>
      <c r="P336" s="56" t="n">
        <f aca="false">IF(L336=1,IF($B$29&lt;=N336,1,0),0)</f>
        <v>0</v>
      </c>
      <c r="Q336" s="58" t="n">
        <f aca="false">Q335+N336</f>
        <v>213324.961371087</v>
      </c>
    </row>
    <row r="337" customFormat="false" ht="15" hidden="false" customHeight="false" outlineLevel="0" collapsed="false">
      <c r="K337" s="56" t="n">
        <f aca="false">K336+1</f>
        <v>330</v>
      </c>
      <c r="L337" s="57" t="n">
        <f aca="false">IF(AND(K337&lt;=Assumptions!$C$42,L336=1,P336=0,O336&gt;Assumptions!$C$43),1,0)</f>
        <v>1</v>
      </c>
      <c r="M337" s="58" t="n">
        <f aca="false">O336</f>
        <v>42116.0647466843</v>
      </c>
      <c r="N337" s="58" t="n">
        <f aca="false">IF(L337=1,M337*$B$25,0)</f>
        <v>140.386882488948</v>
      </c>
      <c r="O337" s="58" t="n">
        <f aca="false">IF(L337=1,M337+N337-$B$29,M337)</f>
        <v>40824.2057427769</v>
      </c>
      <c r="P337" s="56" t="n">
        <f aca="false">IF(L337=1,IF($B$29&lt;=N337,1,0),0)</f>
        <v>0</v>
      </c>
      <c r="Q337" s="58" t="n">
        <f aca="false">Q336+N337</f>
        <v>213465.348253576</v>
      </c>
    </row>
    <row r="338" customFormat="false" ht="15" hidden="false" customHeight="false" outlineLevel="0" collapsed="false">
      <c r="K338" s="56" t="n">
        <f aca="false">K337+1</f>
        <v>331</v>
      </c>
      <c r="L338" s="57" t="n">
        <f aca="false">IF(AND(K338&lt;=Assumptions!$C$42,L337=1,P337=0,O337&gt;Assumptions!$C$43),1,0)</f>
        <v>1</v>
      </c>
      <c r="M338" s="58" t="n">
        <f aca="false">O337</f>
        <v>40824.2057427769</v>
      </c>
      <c r="N338" s="58" t="n">
        <f aca="false">IF(L338=1,M338*$B$25,0)</f>
        <v>136.080685809256</v>
      </c>
      <c r="O338" s="58" t="n">
        <f aca="false">IF(L338=1,M338+N338-$B$29,M338)</f>
        <v>39528.0405421898</v>
      </c>
      <c r="P338" s="56" t="n">
        <f aca="false">IF(L338=1,IF($B$29&lt;=N338,1,0),0)</f>
        <v>0</v>
      </c>
      <c r="Q338" s="58" t="n">
        <f aca="false">Q337+N338</f>
        <v>213601.428939385</v>
      </c>
    </row>
    <row r="339" customFormat="false" ht="15" hidden="false" customHeight="false" outlineLevel="0" collapsed="false">
      <c r="K339" s="56" t="n">
        <f aca="false">K338+1</f>
        <v>332</v>
      </c>
      <c r="L339" s="57" t="n">
        <f aca="false">IF(AND(K339&lt;=Assumptions!$C$42,L338=1,P338=0,O338&gt;Assumptions!$C$43),1,0)</f>
        <v>1</v>
      </c>
      <c r="M339" s="58" t="n">
        <f aca="false">O338</f>
        <v>39528.0405421898</v>
      </c>
      <c r="N339" s="58" t="n">
        <f aca="false">IF(L339=1,M339*$B$25,0)</f>
        <v>131.760135140633</v>
      </c>
      <c r="O339" s="58" t="n">
        <f aca="false">IF(L339=1,M339+N339-$B$29,M339)</f>
        <v>38227.5547909341</v>
      </c>
      <c r="P339" s="56" t="n">
        <f aca="false">IF(L339=1,IF($B$29&lt;=N339,1,0),0)</f>
        <v>0</v>
      </c>
      <c r="Q339" s="58" t="n">
        <f aca="false">Q338+N339</f>
        <v>213733.189074526</v>
      </c>
    </row>
    <row r="340" customFormat="false" ht="15" hidden="false" customHeight="false" outlineLevel="0" collapsed="false">
      <c r="K340" s="56" t="n">
        <f aca="false">K339+1</f>
        <v>333</v>
      </c>
      <c r="L340" s="57" t="n">
        <f aca="false">IF(AND(K340&lt;=Assumptions!$C$42,L339=1,P339=0,O339&gt;Assumptions!$C$43),1,0)</f>
        <v>1</v>
      </c>
      <c r="M340" s="58" t="n">
        <f aca="false">O339</f>
        <v>38227.5547909341</v>
      </c>
      <c r="N340" s="58" t="n">
        <f aca="false">IF(L340=1,M340*$B$25,0)</f>
        <v>127.425182636447</v>
      </c>
      <c r="O340" s="58" t="n">
        <f aca="false">IF(L340=1,M340+N340-$B$29,M340)</f>
        <v>36922.7340871742</v>
      </c>
      <c r="P340" s="56" t="n">
        <f aca="false">IF(L340=1,IF($B$29&lt;=N340,1,0),0)</f>
        <v>0</v>
      </c>
      <c r="Q340" s="58" t="n">
        <f aca="false">Q339+N340</f>
        <v>213860.614257162</v>
      </c>
    </row>
    <row r="341" customFormat="false" ht="15" hidden="false" customHeight="false" outlineLevel="0" collapsed="false">
      <c r="K341" s="56" t="n">
        <f aca="false">K340+1</f>
        <v>334</v>
      </c>
      <c r="L341" s="57" t="n">
        <f aca="false">IF(AND(K341&lt;=Assumptions!$C$42,L340=1,P340=0,O340&gt;Assumptions!$C$43),1,0)</f>
        <v>1</v>
      </c>
      <c r="M341" s="58" t="n">
        <f aca="false">O340</f>
        <v>36922.7340871742</v>
      </c>
      <c r="N341" s="58" t="n">
        <f aca="false">IF(L341=1,M341*$B$25,0)</f>
        <v>123.075780290581</v>
      </c>
      <c r="O341" s="58" t="n">
        <f aca="false">IF(L341=1,M341+N341-$B$29,M341)</f>
        <v>35613.5639810684</v>
      </c>
      <c r="P341" s="56" t="n">
        <f aca="false">IF(L341=1,IF($B$29&lt;=N341,1,0),0)</f>
        <v>0</v>
      </c>
      <c r="Q341" s="58" t="n">
        <f aca="false">Q340+N341</f>
        <v>213983.690037453</v>
      </c>
    </row>
    <row r="342" customFormat="false" ht="15" hidden="false" customHeight="false" outlineLevel="0" collapsed="false">
      <c r="K342" s="56" t="n">
        <f aca="false">K341+1</f>
        <v>335</v>
      </c>
      <c r="L342" s="57" t="n">
        <f aca="false">IF(AND(K342&lt;=Assumptions!$C$42,L341=1,P341=0,O341&gt;Assumptions!$C$43),1,0)</f>
        <v>1</v>
      </c>
      <c r="M342" s="58" t="n">
        <f aca="false">O341</f>
        <v>35613.5639810684</v>
      </c>
      <c r="N342" s="58" t="n">
        <f aca="false">IF(L342=1,M342*$B$25,0)</f>
        <v>118.711879936895</v>
      </c>
      <c r="O342" s="58" t="n">
        <f aca="false">IF(L342=1,M342+N342-$B$29,M342)</f>
        <v>34300.0299746089</v>
      </c>
      <c r="P342" s="56" t="n">
        <f aca="false">IF(L342=1,IF($B$29&lt;=N342,1,0),0)</f>
        <v>0</v>
      </c>
      <c r="Q342" s="58" t="n">
        <f aca="false">Q341+N342</f>
        <v>214102.40191739</v>
      </c>
    </row>
    <row r="343" customFormat="false" ht="15" hidden="false" customHeight="false" outlineLevel="0" collapsed="false">
      <c r="K343" s="56" t="n">
        <f aca="false">K342+1</f>
        <v>336</v>
      </c>
      <c r="L343" s="57" t="n">
        <f aca="false">IF(AND(K343&lt;=Assumptions!$C$42,L342=1,P342=0,O342&gt;Assumptions!$C$43),1,0)</f>
        <v>1</v>
      </c>
      <c r="M343" s="58" t="n">
        <f aca="false">O342</f>
        <v>34300.0299746089</v>
      </c>
      <c r="N343" s="58" t="n">
        <f aca="false">IF(L343=1,M343*$B$25,0)</f>
        <v>114.333433248696</v>
      </c>
      <c r="O343" s="58" t="n">
        <f aca="false">IF(L343=1,M343+N343-$B$29,M343)</f>
        <v>32982.1175214613</v>
      </c>
      <c r="P343" s="56" t="n">
        <f aca="false">IF(L343=1,IF($B$29&lt;=N343,1,0),0)</f>
        <v>0</v>
      </c>
      <c r="Q343" s="58" t="n">
        <f aca="false">Q342+N343</f>
        <v>214216.735350639</v>
      </c>
    </row>
    <row r="344" customFormat="false" ht="15" hidden="false" customHeight="false" outlineLevel="0" collapsed="false">
      <c r="K344" s="56" t="n">
        <f aca="false">K343+1</f>
        <v>337</v>
      </c>
      <c r="L344" s="57" t="n">
        <f aca="false">IF(AND(K344&lt;=Assumptions!$C$42,L343=1,P343=0,O343&gt;Assumptions!$C$43),1,0)</f>
        <v>1</v>
      </c>
      <c r="M344" s="58" t="n">
        <f aca="false">O343</f>
        <v>32982.1175214613</v>
      </c>
      <c r="N344" s="58" t="n">
        <f aca="false">IF(L344=1,M344*$B$25,0)</f>
        <v>109.940391738204</v>
      </c>
      <c r="O344" s="58" t="n">
        <f aca="false">IF(L344=1,M344+N344-$B$29,M344)</f>
        <v>31659.8120268031</v>
      </c>
      <c r="P344" s="56" t="n">
        <f aca="false">IF(L344=1,IF($B$29&lt;=N344,1,0),0)</f>
        <v>0</v>
      </c>
      <c r="Q344" s="58" t="n">
        <f aca="false">Q343+N344</f>
        <v>214326.675742377</v>
      </c>
    </row>
    <row r="345" customFormat="false" ht="15" hidden="false" customHeight="false" outlineLevel="0" collapsed="false">
      <c r="K345" s="56" t="n">
        <f aca="false">K344+1</f>
        <v>338</v>
      </c>
      <c r="L345" s="57" t="n">
        <f aca="false">IF(AND(K345&lt;=Assumptions!$C$42,L344=1,P344=0,O344&gt;Assumptions!$C$43),1,0)</f>
        <v>1</v>
      </c>
      <c r="M345" s="58" t="n">
        <f aca="false">O344</f>
        <v>31659.8120268031</v>
      </c>
      <c r="N345" s="58" t="n">
        <f aca="false">IF(L345=1,M345*$B$25,0)</f>
        <v>105.53270675601</v>
      </c>
      <c r="O345" s="58" t="n">
        <f aca="false">IF(L345=1,M345+N345-$B$29,M345)</f>
        <v>30333.0988471628</v>
      </c>
      <c r="P345" s="56" t="n">
        <f aca="false">IF(L345=1,IF($B$29&lt;=N345,1,0),0)</f>
        <v>0</v>
      </c>
      <c r="Q345" s="58" t="n">
        <f aca="false">Q344+N345</f>
        <v>214432.208449133</v>
      </c>
    </row>
    <row r="346" customFormat="false" ht="15" hidden="false" customHeight="false" outlineLevel="0" collapsed="false">
      <c r="K346" s="56" t="n">
        <f aca="false">K345+1</f>
        <v>339</v>
      </c>
      <c r="L346" s="57" t="n">
        <f aca="false">IF(AND(K346&lt;=Assumptions!$C$42,L345=1,P345=0,O345&gt;Assumptions!$C$43),1,0)</f>
        <v>1</v>
      </c>
      <c r="M346" s="58" t="n">
        <f aca="false">O345</f>
        <v>30333.0988471628</v>
      </c>
      <c r="N346" s="58" t="n">
        <f aca="false">IF(L346=1,M346*$B$25,0)</f>
        <v>101.110329490543</v>
      </c>
      <c r="O346" s="58" t="n">
        <f aca="false">IF(L346=1,M346+N346-$B$29,M346)</f>
        <v>29001.963290257</v>
      </c>
      <c r="P346" s="56" t="n">
        <f aca="false">IF(L346=1,IF($B$29&lt;=N346,1,0),0)</f>
        <v>0</v>
      </c>
      <c r="Q346" s="58" t="n">
        <f aca="false">Q345+N346</f>
        <v>214533.318778623</v>
      </c>
    </row>
    <row r="347" customFormat="false" ht="15" hidden="false" customHeight="false" outlineLevel="0" collapsed="false">
      <c r="K347" s="56" t="n">
        <f aca="false">K346+1</f>
        <v>340</v>
      </c>
      <c r="L347" s="57" t="n">
        <f aca="false">IF(AND(K347&lt;=Assumptions!$C$42,L346=1,P346=0,O346&gt;Assumptions!$C$43),1,0)</f>
        <v>1</v>
      </c>
      <c r="M347" s="58" t="n">
        <f aca="false">O346</f>
        <v>29001.963290257</v>
      </c>
      <c r="N347" s="58" t="n">
        <f aca="false">IF(L347=1,M347*$B$25,0)</f>
        <v>96.6732109675232</v>
      </c>
      <c r="O347" s="58" t="n">
        <f aca="false">IF(L347=1,M347+N347-$B$29,M347)</f>
        <v>27666.3906148281</v>
      </c>
      <c r="P347" s="56" t="n">
        <f aca="false">IF(L347=1,IF($B$29&lt;=N347,1,0),0)</f>
        <v>0</v>
      </c>
      <c r="Q347" s="58" t="n">
        <f aca="false">Q346+N347</f>
        <v>214629.991989591</v>
      </c>
    </row>
    <row r="348" customFormat="false" ht="15" hidden="false" customHeight="false" outlineLevel="0" collapsed="false">
      <c r="K348" s="56" t="n">
        <f aca="false">K347+1</f>
        <v>341</v>
      </c>
      <c r="L348" s="57" t="n">
        <f aca="false">IF(AND(K348&lt;=Assumptions!$C$42,L347=1,P347=0,O347&gt;Assumptions!$C$43),1,0)</f>
        <v>1</v>
      </c>
      <c r="M348" s="58" t="n">
        <f aca="false">O347</f>
        <v>27666.3906148281</v>
      </c>
      <c r="N348" s="58" t="n">
        <f aca="false">IF(L348=1,M348*$B$25,0)</f>
        <v>92.2213020494271</v>
      </c>
      <c r="O348" s="58" t="n">
        <f aca="false">IF(L348=1,M348+N348-$B$29,M348)</f>
        <v>26326.3660304812</v>
      </c>
      <c r="P348" s="56" t="n">
        <f aca="false">IF(L348=1,IF($B$29&lt;=N348,1,0),0)</f>
        <v>0</v>
      </c>
      <c r="Q348" s="58" t="n">
        <f aca="false">Q347+N348</f>
        <v>214722.21329164</v>
      </c>
    </row>
    <row r="349" customFormat="false" ht="15" hidden="false" customHeight="false" outlineLevel="0" collapsed="false">
      <c r="K349" s="56" t="n">
        <f aca="false">K348+1</f>
        <v>342</v>
      </c>
      <c r="L349" s="57" t="n">
        <f aca="false">IF(AND(K349&lt;=Assumptions!$C$42,L348=1,P348=0,O348&gt;Assumptions!$C$43),1,0)</f>
        <v>1</v>
      </c>
      <c r="M349" s="58" t="n">
        <f aca="false">O348</f>
        <v>26326.3660304812</v>
      </c>
      <c r="N349" s="58" t="n">
        <f aca="false">IF(L349=1,M349*$B$25,0)</f>
        <v>87.7545534349373</v>
      </c>
      <c r="O349" s="58" t="n">
        <f aca="false">IF(L349=1,M349+N349-$B$29,M349)</f>
        <v>24981.8746975198</v>
      </c>
      <c r="P349" s="56" t="n">
        <f aca="false">IF(L349=1,IF($B$29&lt;=N349,1,0),0)</f>
        <v>0</v>
      </c>
      <c r="Q349" s="58" t="n">
        <f aca="false">Q348+N349</f>
        <v>214809.967845075</v>
      </c>
    </row>
    <row r="350" customFormat="false" ht="15" hidden="false" customHeight="false" outlineLevel="0" collapsed="false">
      <c r="K350" s="56" t="n">
        <f aca="false">K349+1</f>
        <v>343</v>
      </c>
      <c r="L350" s="57" t="n">
        <f aca="false">IF(AND(K350&lt;=Assumptions!$C$42,L349=1,P349=0,O349&gt;Assumptions!$C$43),1,0)</f>
        <v>1</v>
      </c>
      <c r="M350" s="58" t="n">
        <f aca="false">O349</f>
        <v>24981.8746975198</v>
      </c>
      <c r="N350" s="58" t="n">
        <f aca="false">IF(L350=1,M350*$B$25,0)</f>
        <v>83.2729156583992</v>
      </c>
      <c r="O350" s="58" t="n">
        <f aca="false">IF(L350=1,M350+N350-$B$29,M350)</f>
        <v>23632.9017267818</v>
      </c>
      <c r="P350" s="56" t="n">
        <f aca="false">IF(L350=1,IF($B$29&lt;=N350,1,0),0)</f>
        <v>0</v>
      </c>
      <c r="Q350" s="58" t="n">
        <f aca="false">Q349+N350</f>
        <v>214893.240760734</v>
      </c>
    </row>
    <row r="351" customFormat="false" ht="15" hidden="false" customHeight="false" outlineLevel="0" collapsed="false">
      <c r="K351" s="56" t="n">
        <f aca="false">K350+1</f>
        <v>344</v>
      </c>
      <c r="L351" s="57" t="n">
        <f aca="false">IF(AND(K351&lt;=Assumptions!$C$42,L350=1,P350=0,O350&gt;Assumptions!$C$43),1,0)</f>
        <v>1</v>
      </c>
      <c r="M351" s="58" t="n">
        <f aca="false">O350</f>
        <v>23632.9017267818</v>
      </c>
      <c r="N351" s="58" t="n">
        <f aca="false">IF(L351=1,M351*$B$25,0)</f>
        <v>78.7763390892726</v>
      </c>
      <c r="O351" s="58" t="n">
        <f aca="false">IF(L351=1,M351+N351-$B$29,M351)</f>
        <v>22279.4321794747</v>
      </c>
      <c r="P351" s="56" t="n">
        <f aca="false">IF(L351=1,IF($B$29&lt;=N351,1,0),0)</f>
        <v>0</v>
      </c>
      <c r="Q351" s="58" t="n">
        <f aca="false">Q350+N351</f>
        <v>214972.017099823</v>
      </c>
    </row>
    <row r="352" customFormat="false" ht="15" hidden="false" customHeight="false" outlineLevel="0" collapsed="false">
      <c r="K352" s="56" t="n">
        <f aca="false">K351+1</f>
        <v>345</v>
      </c>
      <c r="L352" s="57" t="n">
        <f aca="false">IF(AND(K352&lt;=Assumptions!$C$42,L351=1,P351=0,O351&gt;Assumptions!$C$43),1,0)</f>
        <v>1</v>
      </c>
      <c r="M352" s="58" t="n">
        <f aca="false">O351</f>
        <v>22279.4321794747</v>
      </c>
      <c r="N352" s="58" t="n">
        <f aca="false">IF(L352=1,M352*$B$25,0)</f>
        <v>74.2647739315823</v>
      </c>
      <c r="O352" s="58" t="n">
        <f aca="false">IF(L352=1,M352+N352-$B$29,M352)</f>
        <v>20921.4510670099</v>
      </c>
      <c r="P352" s="56" t="n">
        <f aca="false">IF(L352=1,IF($B$29&lt;=N352,1,0),0)</f>
        <v>0</v>
      </c>
      <c r="Q352" s="58" t="n">
        <f aca="false">Q351+N352</f>
        <v>215046.281873754</v>
      </c>
    </row>
    <row r="353" customFormat="false" ht="15" hidden="false" customHeight="false" outlineLevel="0" collapsed="false">
      <c r="K353" s="56" t="n">
        <f aca="false">K352+1</f>
        <v>346</v>
      </c>
      <c r="L353" s="57" t="n">
        <f aca="false">IF(AND(K353&lt;=Assumptions!$C$42,L352=1,P352=0,O352&gt;Assumptions!$C$43),1,0)</f>
        <v>1</v>
      </c>
      <c r="M353" s="58" t="n">
        <f aca="false">O352</f>
        <v>20921.4510670099</v>
      </c>
      <c r="N353" s="58" t="n">
        <f aca="false">IF(L353=1,M353*$B$25,0)</f>
        <v>69.7381702233664</v>
      </c>
      <c r="O353" s="58" t="n">
        <f aca="false">IF(L353=1,M353+N353-$B$29,M353)</f>
        <v>19558.9433508369</v>
      </c>
      <c r="P353" s="56" t="n">
        <f aca="false">IF(L353=1,IF($B$29&lt;=N353,1,0),0)</f>
        <v>0</v>
      </c>
      <c r="Q353" s="58" t="n">
        <f aca="false">Q352+N353</f>
        <v>215116.020043978</v>
      </c>
    </row>
    <row r="354" customFormat="false" ht="15" hidden="false" customHeight="false" outlineLevel="0" collapsed="false">
      <c r="K354" s="56" t="n">
        <f aca="false">K353+1</f>
        <v>347</v>
      </c>
      <c r="L354" s="57" t="n">
        <f aca="false">IF(AND(K354&lt;=Assumptions!$C$42,L353=1,P353=0,O353&gt;Assumptions!$C$43),1,0)</f>
        <v>1</v>
      </c>
      <c r="M354" s="58" t="n">
        <f aca="false">O353</f>
        <v>19558.9433508369</v>
      </c>
      <c r="N354" s="58" t="n">
        <f aca="false">IF(L354=1,M354*$B$25,0)</f>
        <v>65.1964778361231</v>
      </c>
      <c r="O354" s="58" t="n">
        <f aca="false">IF(L354=1,M354+N354-$B$29,M354)</f>
        <v>18191.8939422767</v>
      </c>
      <c r="P354" s="56" t="n">
        <f aca="false">IF(L354=1,IF($B$29&lt;=N354,1,0),0)</f>
        <v>0</v>
      </c>
      <c r="Q354" s="58" t="n">
        <f aca="false">Q353+N354</f>
        <v>215181.216521814</v>
      </c>
    </row>
    <row r="355" customFormat="false" ht="15" hidden="false" customHeight="false" outlineLevel="0" collapsed="false">
      <c r="K355" s="56" t="n">
        <f aca="false">K354+1</f>
        <v>348</v>
      </c>
      <c r="L355" s="57" t="n">
        <f aca="false">IF(AND(K355&lt;=Assumptions!$C$42,L354=1,P354=0,O354&gt;Assumptions!$C$43),1,0)</f>
        <v>1</v>
      </c>
      <c r="M355" s="58" t="n">
        <f aca="false">O354</f>
        <v>18191.8939422767</v>
      </c>
      <c r="N355" s="58" t="n">
        <f aca="false">IF(L355=1,M355*$B$25,0)</f>
        <v>60.6396464742556</v>
      </c>
      <c r="O355" s="58" t="n">
        <f aca="false">IF(L355=1,M355+N355-$B$29,M355)</f>
        <v>16820.2877023546</v>
      </c>
      <c r="P355" s="56" t="n">
        <f aca="false">IF(L355=1,IF($B$29&lt;=N355,1,0),0)</f>
        <v>0</v>
      </c>
      <c r="Q355" s="58" t="n">
        <f aca="false">Q354+N355</f>
        <v>215241.856168288</v>
      </c>
    </row>
    <row r="356" customFormat="false" ht="15" hidden="false" customHeight="false" outlineLevel="0" collapsed="false">
      <c r="K356" s="56" t="n">
        <f aca="false">K355+1</f>
        <v>349</v>
      </c>
      <c r="L356" s="57" t="n">
        <f aca="false">IF(AND(K356&lt;=Assumptions!$C$42,L355=1,P355=0,O355&gt;Assumptions!$C$43),1,0)</f>
        <v>1</v>
      </c>
      <c r="M356" s="58" t="n">
        <f aca="false">O355</f>
        <v>16820.2877023546</v>
      </c>
      <c r="N356" s="58" t="n">
        <f aca="false">IF(L356=1,M356*$B$25,0)</f>
        <v>56.0676256745153</v>
      </c>
      <c r="O356" s="58" t="n">
        <f aca="false">IF(L356=1,M356+N356-$B$29,M356)</f>
        <v>15444.1094416327</v>
      </c>
      <c r="P356" s="56" t="n">
        <f aca="false">IF(L356=1,IF($B$29&lt;=N356,1,0),0)</f>
        <v>0</v>
      </c>
      <c r="Q356" s="58" t="n">
        <f aca="false">Q355+N356</f>
        <v>215297.923793963</v>
      </c>
    </row>
    <row r="357" customFormat="false" ht="15" hidden="false" customHeight="false" outlineLevel="0" collapsed="false">
      <c r="K357" s="56" t="n">
        <f aca="false">K356+1</f>
        <v>350</v>
      </c>
      <c r="L357" s="57" t="n">
        <f aca="false">IF(AND(K357&lt;=Assumptions!$C$42,L356=1,P356=0,O356&gt;Assumptions!$C$43),1,0)</f>
        <v>1</v>
      </c>
      <c r="M357" s="58" t="n">
        <f aca="false">O356</f>
        <v>15444.1094416327</v>
      </c>
      <c r="N357" s="58" t="n">
        <f aca="false">IF(L357=1,M357*$B$25,0)</f>
        <v>51.4803648054424</v>
      </c>
      <c r="O357" s="58" t="n">
        <f aca="false">IF(L357=1,M357+N357-$B$29,M357)</f>
        <v>14063.3439200418</v>
      </c>
      <c r="P357" s="56" t="n">
        <f aca="false">IF(L357=1,IF($B$29&lt;=N357,1,0),0)</f>
        <v>0</v>
      </c>
      <c r="Q357" s="58" t="n">
        <f aca="false">Q356+N357</f>
        <v>215349.404158768</v>
      </c>
    </row>
    <row r="358" customFormat="false" ht="15" hidden="false" customHeight="false" outlineLevel="0" collapsed="false">
      <c r="K358" s="56" t="n">
        <f aca="false">K357+1</f>
        <v>351</v>
      </c>
      <c r="L358" s="57" t="n">
        <f aca="false">IF(AND(K358&lt;=Assumptions!$C$42,L357=1,P357=0,O357&gt;Assumptions!$C$43),1,0)</f>
        <v>1</v>
      </c>
      <c r="M358" s="58" t="n">
        <f aca="false">O357</f>
        <v>14063.3439200418</v>
      </c>
      <c r="N358" s="58" t="n">
        <f aca="false">IF(L358=1,M358*$B$25,0)</f>
        <v>46.877813066806</v>
      </c>
      <c r="O358" s="58" t="n">
        <f aca="false">IF(L358=1,M358+N358-$B$29,M358)</f>
        <v>12677.9758467123</v>
      </c>
      <c r="P358" s="56" t="n">
        <f aca="false">IF(L358=1,IF($B$29&lt;=N358,1,0),0)</f>
        <v>0</v>
      </c>
      <c r="Q358" s="58" t="n">
        <f aca="false">Q357+N358</f>
        <v>215396.281971835</v>
      </c>
    </row>
    <row r="359" customFormat="false" ht="15" hidden="false" customHeight="false" outlineLevel="0" collapsed="false">
      <c r="K359" s="56" t="n">
        <f aca="false">K358+1</f>
        <v>352</v>
      </c>
      <c r="L359" s="57" t="n">
        <f aca="false">IF(AND(K359&lt;=Assumptions!$C$42,L358=1,P358=0,O358&gt;Assumptions!$C$43),1,0)</f>
        <v>1</v>
      </c>
      <c r="M359" s="58" t="n">
        <f aca="false">O358</f>
        <v>12677.9758467123</v>
      </c>
      <c r="N359" s="58" t="n">
        <f aca="false">IF(L359=1,M359*$B$25,0)</f>
        <v>42.2599194890408</v>
      </c>
      <c r="O359" s="58" t="n">
        <f aca="false">IF(L359=1,M359+N359-$B$29,M359)</f>
        <v>11287.9898798049</v>
      </c>
      <c r="P359" s="56" t="n">
        <f aca="false">IF(L359=1,IF($B$29&lt;=N359,1,0),0)</f>
        <v>0</v>
      </c>
      <c r="Q359" s="58" t="n">
        <f aca="false">Q358+N359</f>
        <v>215438.541891324</v>
      </c>
    </row>
    <row r="360" customFormat="false" ht="15" hidden="false" customHeight="false" outlineLevel="0" collapsed="false">
      <c r="K360" s="56" t="n">
        <f aca="false">K359+1</f>
        <v>353</v>
      </c>
      <c r="L360" s="57" t="n">
        <f aca="false">IF(AND(K360&lt;=Assumptions!$C$42,L359=1,P359=0,O359&gt;Assumptions!$C$43),1,0)</f>
        <v>1</v>
      </c>
      <c r="M360" s="58" t="n">
        <f aca="false">O359</f>
        <v>11287.9898798049</v>
      </c>
      <c r="N360" s="58" t="n">
        <f aca="false">IF(L360=1,M360*$B$25,0)</f>
        <v>37.6266329326831</v>
      </c>
      <c r="O360" s="58" t="n">
        <f aca="false">IF(L360=1,M360+N360-$B$29,M360)</f>
        <v>9893.37062634125</v>
      </c>
      <c r="P360" s="56" t="n">
        <f aca="false">IF(L360=1,IF($B$29&lt;=N360,1,0),0)</f>
        <v>0</v>
      </c>
      <c r="Q360" s="58" t="n">
        <f aca="false">Q359+N360</f>
        <v>215476.168524257</v>
      </c>
    </row>
    <row r="361" customFormat="false" ht="15" hidden="false" customHeight="false" outlineLevel="0" collapsed="false">
      <c r="K361" s="56" t="n">
        <f aca="false">K360+1</f>
        <v>354</v>
      </c>
      <c r="L361" s="57" t="n">
        <f aca="false">IF(AND(K361&lt;=Assumptions!$C$42,L360=1,P360=0,O360&gt;Assumptions!$C$43),1,0)</f>
        <v>1</v>
      </c>
      <c r="M361" s="58" t="n">
        <f aca="false">O360</f>
        <v>9893.37062634125</v>
      </c>
      <c r="N361" s="58" t="n">
        <f aca="false">IF(L361=1,M361*$B$25,0)</f>
        <v>32.9779020878042</v>
      </c>
      <c r="O361" s="58" t="n">
        <f aca="false">IF(L361=1,M361+N361-$B$29,M361)</f>
        <v>8494.10264203269</v>
      </c>
      <c r="P361" s="56" t="n">
        <f aca="false">IF(L361=1,IF($B$29&lt;=N361,1,0),0)</f>
        <v>0</v>
      </c>
      <c r="Q361" s="58" t="n">
        <f aca="false">Q360+N361</f>
        <v>215509.146426344</v>
      </c>
    </row>
    <row r="362" customFormat="false" ht="15" hidden="false" customHeight="false" outlineLevel="0" collapsed="false">
      <c r="K362" s="56" t="n">
        <f aca="false">K361+1</f>
        <v>355</v>
      </c>
      <c r="L362" s="57" t="n">
        <f aca="false">IF(AND(K362&lt;=Assumptions!$C$42,L361=1,P361=0,O361&gt;Assumptions!$C$43),1,0)</f>
        <v>1</v>
      </c>
      <c r="M362" s="58" t="n">
        <f aca="false">O361</f>
        <v>8494.10264203269</v>
      </c>
      <c r="N362" s="58" t="n">
        <f aca="false">IF(L362=1,M362*$B$25,0)</f>
        <v>28.3136754734423</v>
      </c>
      <c r="O362" s="58" t="n">
        <f aca="false">IF(L362=1,M362+N362-$B$29,M362)</f>
        <v>7090.17043110978</v>
      </c>
      <c r="P362" s="56" t="n">
        <f aca="false">IF(L362=1,IF($B$29&lt;=N362,1,0),0)</f>
        <v>0</v>
      </c>
      <c r="Q362" s="58" t="n">
        <f aca="false">Q361+N362</f>
        <v>215537.460101818</v>
      </c>
    </row>
    <row r="363" customFormat="false" ht="15" hidden="false" customHeight="false" outlineLevel="0" collapsed="false">
      <c r="K363" s="56" t="n">
        <f aca="false">K362+1</f>
        <v>356</v>
      </c>
      <c r="L363" s="57" t="n">
        <f aca="false">IF(AND(K363&lt;=Assumptions!$C$42,L362=1,P362=0,O362&gt;Assumptions!$C$43),1,0)</f>
        <v>1</v>
      </c>
      <c r="M363" s="58" t="n">
        <f aca="false">O362</f>
        <v>7090.17043110978</v>
      </c>
      <c r="N363" s="58" t="n">
        <f aca="false">IF(L363=1,M363*$B$25,0)</f>
        <v>23.6339014370326</v>
      </c>
      <c r="O363" s="58" t="n">
        <f aca="false">IF(L363=1,M363+N363-$B$29,M363)</f>
        <v>5681.55844615045</v>
      </c>
      <c r="P363" s="56" t="n">
        <f aca="false">IF(L363=1,IF($B$29&lt;=N363,1,0),0)</f>
        <v>0</v>
      </c>
      <c r="Q363" s="58" t="n">
        <f aca="false">Q362+N363</f>
        <v>215561.094003255</v>
      </c>
    </row>
    <row r="364" customFormat="false" ht="15" hidden="false" customHeight="false" outlineLevel="0" collapsed="false">
      <c r="K364" s="56" t="n">
        <f aca="false">K363+1</f>
        <v>357</v>
      </c>
      <c r="L364" s="57" t="n">
        <f aca="false">IF(AND(K364&lt;=Assumptions!$C$42,L363=1,P363=0,O363&gt;Assumptions!$C$43),1,0)</f>
        <v>1</v>
      </c>
      <c r="M364" s="58" t="n">
        <f aca="false">O363</f>
        <v>5681.55844615045</v>
      </c>
      <c r="N364" s="58" t="n">
        <f aca="false">IF(L364=1,M364*$B$25,0)</f>
        <v>18.9385281538348</v>
      </c>
      <c r="O364" s="58" t="n">
        <f aca="false">IF(L364=1,M364+N364-$B$29,M364)</f>
        <v>4268.25108790792</v>
      </c>
      <c r="P364" s="56" t="n">
        <f aca="false">IF(L364=1,IF($B$29&lt;=N364,1,0),0)</f>
        <v>0</v>
      </c>
      <c r="Q364" s="58" t="n">
        <f aca="false">Q363+N364</f>
        <v>215580.032531409</v>
      </c>
    </row>
    <row r="365" customFormat="false" ht="15" hidden="false" customHeight="false" outlineLevel="0" collapsed="false">
      <c r="K365" s="56" t="n">
        <f aca="false">K364+1</f>
        <v>358</v>
      </c>
      <c r="L365" s="57" t="n">
        <f aca="false">IF(AND(K365&lt;=Assumptions!$C$42,L364=1,P364=0,O364&gt;Assumptions!$C$43),1,0)</f>
        <v>1</v>
      </c>
      <c r="M365" s="58" t="n">
        <f aca="false">O364</f>
        <v>4268.25108790792</v>
      </c>
      <c r="N365" s="58" t="n">
        <f aca="false">IF(L365=1,M365*$B$25,0)</f>
        <v>14.2275036263597</v>
      </c>
      <c r="O365" s="58" t="n">
        <f aca="false">IF(L365=1,M365+N365-$B$29,M365)</f>
        <v>2850.23270513792</v>
      </c>
      <c r="P365" s="56" t="n">
        <f aca="false">IF(L365=1,IF($B$29&lt;=N365,1,0),0)</f>
        <v>0</v>
      </c>
      <c r="Q365" s="58" t="n">
        <f aca="false">Q364+N365</f>
        <v>215594.260035035</v>
      </c>
    </row>
    <row r="366" customFormat="false" ht="15" hidden="false" customHeight="false" outlineLevel="0" collapsed="false">
      <c r="K366" s="56" t="n">
        <f aca="false">K365+1</f>
        <v>359</v>
      </c>
      <c r="L366" s="57" t="n">
        <f aca="false">IF(AND(K366&lt;=Assumptions!$C$42,L365=1,P365=0,O365&gt;Assumptions!$C$43),1,0)</f>
        <v>1</v>
      </c>
      <c r="M366" s="58" t="n">
        <f aca="false">O365</f>
        <v>2850.23270513792</v>
      </c>
      <c r="N366" s="58" t="n">
        <f aca="false">IF(L366=1,M366*$B$25,0)</f>
        <v>9.50077568379306</v>
      </c>
      <c r="O366" s="58" t="n">
        <f aca="false">IF(L366=1,M366+N366-$B$29,M366)</f>
        <v>1427.48759442535</v>
      </c>
      <c r="P366" s="56" t="n">
        <f aca="false">IF(L366=1,IF($B$29&lt;=N366,1,0),0)</f>
        <v>0</v>
      </c>
      <c r="Q366" s="58" t="n">
        <f aca="false">Q365+N366</f>
        <v>215603.760810719</v>
      </c>
    </row>
    <row r="367" customFormat="false" ht="15" hidden="false" customHeight="false" outlineLevel="0" collapsed="false">
      <c r="K367" s="56" t="n">
        <f aca="false">K366+1</f>
        <v>360</v>
      </c>
      <c r="L367" s="57" t="n">
        <f aca="false">IF(AND(K367&lt;=Assumptions!$C$42,L366=1,P366=0,O366&gt;Assumptions!$C$43),1,0)</f>
        <v>1</v>
      </c>
      <c r="M367" s="58" t="n">
        <f aca="false">O366</f>
        <v>1427.48759442535</v>
      </c>
      <c r="N367" s="58" t="n">
        <f aca="false">IF(L367=1,M367*$B$25,0)</f>
        <v>4.75829198141783</v>
      </c>
      <c r="O367" s="58" t="n">
        <f aca="false">IF(L367=1,M367+N367-$B$29,M367)</f>
        <v>1.04062110040104E-008</v>
      </c>
      <c r="P367" s="56" t="n">
        <f aca="false">IF(L367=1,IF($B$29&lt;=N367,1,0),0)</f>
        <v>0</v>
      </c>
      <c r="Q367" s="58" t="n">
        <f aca="false">Q366+N367</f>
        <v>215608.5191027</v>
      </c>
    </row>
    <row r="368" customFormat="false" ht="15" hidden="false" customHeight="false" outlineLevel="0" collapsed="false">
      <c r="K368" s="56" t="n">
        <f aca="false">K367+1</f>
        <v>361</v>
      </c>
      <c r="L368" s="57" t="n">
        <f aca="false">IF(AND(K368&lt;=Assumptions!$C$42,L367=1,P367=0,O367&gt;Assumptions!$C$43),1,0)</f>
        <v>0</v>
      </c>
      <c r="M368" s="58" t="n">
        <f aca="false">O367</f>
        <v>1.04062110040104E-008</v>
      </c>
      <c r="N368" s="58" t="n">
        <f aca="false">IF(L368=1,M368*$B$25,0)</f>
        <v>0</v>
      </c>
      <c r="O368" s="58" t="n">
        <f aca="false">IF(L368=1,M368+N368-$B$29,M368)</f>
        <v>1.04062110040104E-008</v>
      </c>
      <c r="P368" s="56" t="n">
        <f aca="false">IF(L368=1,IF($B$29&lt;=N368,1,0),0)</f>
        <v>0</v>
      </c>
      <c r="Q368" s="58" t="n">
        <f aca="false">Q367+N368</f>
        <v>215608.5191027</v>
      </c>
    </row>
    <row r="369" customFormat="false" ht="15" hidden="false" customHeight="false" outlineLevel="0" collapsed="false">
      <c r="K369" s="56" t="n">
        <f aca="false">K368+1</f>
        <v>362</v>
      </c>
      <c r="L369" s="57" t="n">
        <f aca="false">IF(AND(K369&lt;=Assumptions!$C$42,L368=1,P368=0,O368&gt;Assumptions!$C$43),1,0)</f>
        <v>0</v>
      </c>
      <c r="M369" s="58" t="n">
        <f aca="false">O368</f>
        <v>1.04062110040104E-008</v>
      </c>
      <c r="N369" s="58" t="n">
        <f aca="false">IF(L369=1,M369*$B$25,0)</f>
        <v>0</v>
      </c>
      <c r="O369" s="58" t="n">
        <f aca="false">IF(L369=1,M369+N369-$B$29,M369)</f>
        <v>1.04062110040104E-008</v>
      </c>
      <c r="P369" s="56" t="n">
        <f aca="false">IF(L369=1,IF($B$29&lt;=N369,1,0),0)</f>
        <v>0</v>
      </c>
      <c r="Q369" s="58" t="n">
        <f aca="false">Q368+N369</f>
        <v>215608.5191027</v>
      </c>
    </row>
    <row r="370" customFormat="false" ht="15" hidden="false" customHeight="false" outlineLevel="0" collapsed="false">
      <c r="K370" s="56" t="n">
        <f aca="false">K369+1</f>
        <v>363</v>
      </c>
      <c r="L370" s="57" t="n">
        <f aca="false">IF(AND(K370&lt;=Assumptions!$C$42,L369=1,P369=0,O369&gt;Assumptions!$C$43),1,0)</f>
        <v>0</v>
      </c>
      <c r="M370" s="58" t="n">
        <f aca="false">O369</f>
        <v>1.04062110040104E-008</v>
      </c>
      <c r="N370" s="58" t="n">
        <f aca="false">IF(L370=1,M370*$B$25,0)</f>
        <v>0</v>
      </c>
      <c r="O370" s="58" t="n">
        <f aca="false">IF(L370=1,M370+N370-$B$29,M370)</f>
        <v>1.04062110040104E-008</v>
      </c>
      <c r="P370" s="56" t="n">
        <f aca="false">IF(L370=1,IF($B$29&lt;=N370,1,0),0)</f>
        <v>0</v>
      </c>
      <c r="Q370" s="58" t="n">
        <f aca="false">Q369+N370</f>
        <v>215608.5191027</v>
      </c>
    </row>
    <row r="371" customFormat="false" ht="15" hidden="false" customHeight="false" outlineLevel="0" collapsed="false">
      <c r="K371" s="56" t="n">
        <f aca="false">K370+1</f>
        <v>364</v>
      </c>
      <c r="L371" s="57" t="n">
        <f aca="false">IF(AND(K371&lt;=Assumptions!$C$42,L370=1,P370=0,O370&gt;Assumptions!$C$43),1,0)</f>
        <v>0</v>
      </c>
      <c r="M371" s="58" t="n">
        <f aca="false">O370</f>
        <v>1.04062110040104E-008</v>
      </c>
      <c r="N371" s="58" t="n">
        <f aca="false">IF(L371=1,M371*$B$25,0)</f>
        <v>0</v>
      </c>
      <c r="O371" s="58" t="n">
        <f aca="false">IF(L371=1,M371+N371-$B$29,M371)</f>
        <v>1.04062110040104E-008</v>
      </c>
      <c r="P371" s="56" t="n">
        <f aca="false">IF(L371=1,IF($B$29&lt;=N371,1,0),0)</f>
        <v>0</v>
      </c>
      <c r="Q371" s="58" t="n">
        <f aca="false">Q370+N371</f>
        <v>215608.5191027</v>
      </c>
    </row>
    <row r="372" customFormat="false" ht="15" hidden="false" customHeight="false" outlineLevel="0" collapsed="false">
      <c r="K372" s="56" t="n">
        <f aca="false">K371+1</f>
        <v>365</v>
      </c>
      <c r="L372" s="57" t="n">
        <f aca="false">IF(AND(K372&lt;=Assumptions!$C$42,L371=1,P371=0,O371&gt;Assumptions!$C$43),1,0)</f>
        <v>0</v>
      </c>
      <c r="M372" s="58" t="n">
        <f aca="false">O371</f>
        <v>1.04062110040104E-008</v>
      </c>
      <c r="N372" s="58" t="n">
        <f aca="false">IF(L372=1,M372*$B$25,0)</f>
        <v>0</v>
      </c>
      <c r="O372" s="58" t="n">
        <f aca="false">IF(L372=1,M372+N372-$B$29,M372)</f>
        <v>1.04062110040104E-008</v>
      </c>
      <c r="P372" s="56" t="n">
        <f aca="false">IF(L372=1,IF($B$29&lt;=N372,1,0),0)</f>
        <v>0</v>
      </c>
      <c r="Q372" s="58" t="n">
        <f aca="false">Q371+N372</f>
        <v>215608.5191027</v>
      </c>
    </row>
    <row r="373" customFormat="false" ht="15" hidden="false" customHeight="false" outlineLevel="0" collapsed="false">
      <c r="K373" s="56" t="n">
        <f aca="false">K372+1</f>
        <v>366</v>
      </c>
      <c r="L373" s="57" t="n">
        <f aca="false">IF(AND(K373&lt;=Assumptions!$C$42,L372=1,P372=0,O372&gt;Assumptions!$C$43),1,0)</f>
        <v>0</v>
      </c>
      <c r="M373" s="58" t="n">
        <f aca="false">O372</f>
        <v>1.04062110040104E-008</v>
      </c>
      <c r="N373" s="58" t="n">
        <f aca="false">IF(L373=1,M373*$B$25,0)</f>
        <v>0</v>
      </c>
      <c r="O373" s="58" t="n">
        <f aca="false">IF(L373=1,M373+N373-$B$29,M373)</f>
        <v>1.04062110040104E-008</v>
      </c>
      <c r="P373" s="56" t="n">
        <f aca="false">IF(L373=1,IF($B$29&lt;=N373,1,0),0)</f>
        <v>0</v>
      </c>
      <c r="Q373" s="58" t="n">
        <f aca="false">Q372+N373</f>
        <v>215608.5191027</v>
      </c>
    </row>
    <row r="374" customFormat="false" ht="15" hidden="false" customHeight="false" outlineLevel="0" collapsed="false">
      <c r="K374" s="56" t="n">
        <f aca="false">K373+1</f>
        <v>367</v>
      </c>
      <c r="L374" s="57" t="n">
        <f aca="false">IF(AND(K374&lt;=Assumptions!$C$42,L373=1,P373=0,O373&gt;Assumptions!$C$43),1,0)</f>
        <v>0</v>
      </c>
      <c r="M374" s="58" t="n">
        <f aca="false">O373</f>
        <v>1.04062110040104E-008</v>
      </c>
      <c r="N374" s="58" t="n">
        <f aca="false">IF(L374=1,M374*$B$25,0)</f>
        <v>0</v>
      </c>
      <c r="O374" s="58" t="n">
        <f aca="false">IF(L374=1,M374+N374-$B$29,M374)</f>
        <v>1.04062110040104E-008</v>
      </c>
      <c r="P374" s="56" t="n">
        <f aca="false">IF(L374=1,IF($B$29&lt;=N374,1,0),0)</f>
        <v>0</v>
      </c>
      <c r="Q374" s="58" t="n">
        <f aca="false">Q373+N374</f>
        <v>215608.5191027</v>
      </c>
    </row>
    <row r="375" customFormat="false" ht="15" hidden="false" customHeight="false" outlineLevel="0" collapsed="false">
      <c r="K375" s="56" t="n">
        <f aca="false">K374+1</f>
        <v>368</v>
      </c>
      <c r="L375" s="57" t="n">
        <f aca="false">IF(AND(K375&lt;=Assumptions!$C$42,L374=1,P374=0,O374&gt;Assumptions!$C$43),1,0)</f>
        <v>0</v>
      </c>
      <c r="M375" s="58" t="n">
        <f aca="false">O374</f>
        <v>1.04062110040104E-008</v>
      </c>
      <c r="N375" s="58" t="n">
        <f aca="false">IF(L375=1,M375*$B$25,0)</f>
        <v>0</v>
      </c>
      <c r="O375" s="58" t="n">
        <f aca="false">IF(L375=1,M375+N375-$B$29,M375)</f>
        <v>1.04062110040104E-008</v>
      </c>
      <c r="P375" s="56" t="n">
        <f aca="false">IF(L375=1,IF($B$29&lt;=N375,1,0),0)</f>
        <v>0</v>
      </c>
      <c r="Q375" s="58" t="n">
        <f aca="false">Q374+N375</f>
        <v>215608.5191027</v>
      </c>
    </row>
    <row r="376" customFormat="false" ht="15" hidden="false" customHeight="false" outlineLevel="0" collapsed="false">
      <c r="K376" s="56" t="n">
        <f aca="false">K375+1</f>
        <v>369</v>
      </c>
      <c r="L376" s="57" t="n">
        <f aca="false">IF(AND(K376&lt;=Assumptions!$C$42,L375=1,P375=0,O375&gt;Assumptions!$C$43),1,0)</f>
        <v>0</v>
      </c>
      <c r="M376" s="58" t="n">
        <f aca="false">O375</f>
        <v>1.04062110040104E-008</v>
      </c>
      <c r="N376" s="58" t="n">
        <f aca="false">IF(L376=1,M376*$B$25,0)</f>
        <v>0</v>
      </c>
      <c r="O376" s="58" t="n">
        <f aca="false">IF(L376=1,M376+N376-$B$29,M376)</f>
        <v>1.04062110040104E-008</v>
      </c>
      <c r="P376" s="56" t="n">
        <f aca="false">IF(L376=1,IF($B$29&lt;=N376,1,0),0)</f>
        <v>0</v>
      </c>
      <c r="Q376" s="58" t="n">
        <f aca="false">Q375+N376</f>
        <v>215608.5191027</v>
      </c>
    </row>
    <row r="377" customFormat="false" ht="15" hidden="false" customHeight="false" outlineLevel="0" collapsed="false">
      <c r="K377" s="56" t="n">
        <f aca="false">K376+1</f>
        <v>370</v>
      </c>
      <c r="L377" s="57" t="n">
        <f aca="false">IF(AND(K377&lt;=Assumptions!$C$42,L376=1,P376=0,O376&gt;Assumptions!$C$43),1,0)</f>
        <v>0</v>
      </c>
      <c r="M377" s="58" t="n">
        <f aca="false">O376</f>
        <v>1.04062110040104E-008</v>
      </c>
      <c r="N377" s="58" t="n">
        <f aca="false">IF(L377=1,M377*$B$25,0)</f>
        <v>0</v>
      </c>
      <c r="O377" s="58" t="n">
        <f aca="false">IF(L377=1,M377+N377-$B$29,M377)</f>
        <v>1.04062110040104E-008</v>
      </c>
      <c r="P377" s="56" t="n">
        <f aca="false">IF(L377=1,IF($B$29&lt;=N377,1,0),0)</f>
        <v>0</v>
      </c>
      <c r="Q377" s="58" t="n">
        <f aca="false">Q376+N377</f>
        <v>215608.5191027</v>
      </c>
    </row>
    <row r="378" customFormat="false" ht="15" hidden="false" customHeight="false" outlineLevel="0" collapsed="false">
      <c r="K378" s="56" t="n">
        <f aca="false">K377+1</f>
        <v>371</v>
      </c>
      <c r="L378" s="57" t="n">
        <f aca="false">IF(AND(K378&lt;=Assumptions!$C$42,L377=1,P377=0,O377&gt;Assumptions!$C$43),1,0)</f>
        <v>0</v>
      </c>
      <c r="M378" s="58" t="n">
        <f aca="false">O377</f>
        <v>1.04062110040104E-008</v>
      </c>
      <c r="N378" s="58" t="n">
        <f aca="false">IF(L378=1,M378*$B$25,0)</f>
        <v>0</v>
      </c>
      <c r="O378" s="58" t="n">
        <f aca="false">IF(L378=1,M378+N378-$B$29,M378)</f>
        <v>1.04062110040104E-008</v>
      </c>
      <c r="P378" s="56" t="n">
        <f aca="false">IF(L378=1,IF($B$29&lt;=N378,1,0),0)</f>
        <v>0</v>
      </c>
      <c r="Q378" s="58" t="n">
        <f aca="false">Q377+N378</f>
        <v>215608.5191027</v>
      </c>
    </row>
    <row r="379" customFormat="false" ht="15" hidden="false" customHeight="false" outlineLevel="0" collapsed="false">
      <c r="K379" s="56" t="n">
        <f aca="false">K378+1</f>
        <v>372</v>
      </c>
      <c r="L379" s="57" t="n">
        <f aca="false">IF(AND(K379&lt;=Assumptions!$C$42,L378=1,P378=0,O378&gt;Assumptions!$C$43),1,0)</f>
        <v>0</v>
      </c>
      <c r="M379" s="58" t="n">
        <f aca="false">O378</f>
        <v>1.04062110040104E-008</v>
      </c>
      <c r="N379" s="58" t="n">
        <f aca="false">IF(L379=1,M379*$B$25,0)</f>
        <v>0</v>
      </c>
      <c r="O379" s="58" t="n">
        <f aca="false">IF(L379=1,M379+N379-$B$29,M379)</f>
        <v>1.04062110040104E-008</v>
      </c>
      <c r="P379" s="56" t="n">
        <f aca="false">IF(L379=1,IF($B$29&lt;=N379,1,0),0)</f>
        <v>0</v>
      </c>
      <c r="Q379" s="58" t="n">
        <f aca="false">Q378+N379</f>
        <v>215608.5191027</v>
      </c>
    </row>
    <row r="380" customFormat="false" ht="15" hidden="false" customHeight="false" outlineLevel="0" collapsed="false">
      <c r="K380" s="56" t="n">
        <f aca="false">K379+1</f>
        <v>373</v>
      </c>
      <c r="L380" s="57" t="n">
        <f aca="false">IF(AND(K380&lt;=Assumptions!$C$42,L379=1,P379=0,O379&gt;Assumptions!$C$43),1,0)</f>
        <v>0</v>
      </c>
      <c r="M380" s="58" t="n">
        <f aca="false">O379</f>
        <v>1.04062110040104E-008</v>
      </c>
      <c r="N380" s="58" t="n">
        <f aca="false">IF(L380=1,M380*$B$25,0)</f>
        <v>0</v>
      </c>
      <c r="O380" s="58" t="n">
        <f aca="false">IF(L380=1,M380+N380-$B$29,M380)</f>
        <v>1.04062110040104E-008</v>
      </c>
      <c r="P380" s="56" t="n">
        <f aca="false">IF(L380=1,IF($B$29&lt;=N380,1,0),0)</f>
        <v>0</v>
      </c>
      <c r="Q380" s="58" t="n">
        <f aca="false">Q379+N380</f>
        <v>215608.5191027</v>
      </c>
    </row>
    <row r="381" customFormat="false" ht="15" hidden="false" customHeight="false" outlineLevel="0" collapsed="false">
      <c r="K381" s="56" t="n">
        <f aca="false">K380+1</f>
        <v>374</v>
      </c>
      <c r="L381" s="57" t="n">
        <f aca="false">IF(AND(K381&lt;=Assumptions!$C$42,L380=1,P380=0,O380&gt;Assumptions!$C$43),1,0)</f>
        <v>0</v>
      </c>
      <c r="M381" s="58" t="n">
        <f aca="false">O380</f>
        <v>1.04062110040104E-008</v>
      </c>
      <c r="N381" s="58" t="n">
        <f aca="false">IF(L381=1,M381*$B$25,0)</f>
        <v>0</v>
      </c>
      <c r="O381" s="58" t="n">
        <f aca="false">IF(L381=1,M381+N381-$B$29,M381)</f>
        <v>1.04062110040104E-008</v>
      </c>
      <c r="P381" s="56" t="n">
        <f aca="false">IF(L381=1,IF($B$29&lt;=N381,1,0),0)</f>
        <v>0</v>
      </c>
      <c r="Q381" s="58" t="n">
        <f aca="false">Q380+N381</f>
        <v>215608.5191027</v>
      </c>
    </row>
    <row r="382" customFormat="false" ht="15" hidden="false" customHeight="false" outlineLevel="0" collapsed="false">
      <c r="K382" s="56" t="n">
        <f aca="false">K381+1</f>
        <v>375</v>
      </c>
      <c r="L382" s="57" t="n">
        <f aca="false">IF(AND(K382&lt;=Assumptions!$C$42,L381=1,P381=0,O381&gt;Assumptions!$C$43),1,0)</f>
        <v>0</v>
      </c>
      <c r="M382" s="58" t="n">
        <f aca="false">O381</f>
        <v>1.04062110040104E-008</v>
      </c>
      <c r="N382" s="58" t="n">
        <f aca="false">IF(L382=1,M382*$B$25,0)</f>
        <v>0</v>
      </c>
      <c r="O382" s="58" t="n">
        <f aca="false">IF(L382=1,M382+N382-$B$29,M382)</f>
        <v>1.04062110040104E-008</v>
      </c>
      <c r="P382" s="56" t="n">
        <f aca="false">IF(L382=1,IF($B$29&lt;=N382,1,0),0)</f>
        <v>0</v>
      </c>
      <c r="Q382" s="58" t="n">
        <f aca="false">Q381+N382</f>
        <v>215608.5191027</v>
      </c>
    </row>
    <row r="383" customFormat="false" ht="15" hidden="false" customHeight="false" outlineLevel="0" collapsed="false">
      <c r="K383" s="56" t="n">
        <f aca="false">K382+1</f>
        <v>376</v>
      </c>
      <c r="L383" s="57" t="n">
        <f aca="false">IF(AND(K383&lt;=Assumptions!$C$42,L382=1,P382=0,O382&gt;Assumptions!$C$43),1,0)</f>
        <v>0</v>
      </c>
      <c r="M383" s="58" t="n">
        <f aca="false">O382</f>
        <v>1.04062110040104E-008</v>
      </c>
      <c r="N383" s="58" t="n">
        <f aca="false">IF(L383=1,M383*$B$25,0)</f>
        <v>0</v>
      </c>
      <c r="O383" s="58" t="n">
        <f aca="false">IF(L383=1,M383+N383-$B$29,M383)</f>
        <v>1.04062110040104E-008</v>
      </c>
      <c r="P383" s="56" t="n">
        <f aca="false">IF(L383=1,IF($B$29&lt;=N383,1,0),0)</f>
        <v>0</v>
      </c>
      <c r="Q383" s="58" t="n">
        <f aca="false">Q382+N383</f>
        <v>215608.5191027</v>
      </c>
    </row>
    <row r="384" customFormat="false" ht="15" hidden="false" customHeight="false" outlineLevel="0" collapsed="false">
      <c r="K384" s="56" t="n">
        <f aca="false">K383+1</f>
        <v>377</v>
      </c>
      <c r="L384" s="57" t="n">
        <f aca="false">IF(AND(K384&lt;=Assumptions!$C$42,L383=1,P383=0,O383&gt;Assumptions!$C$43),1,0)</f>
        <v>0</v>
      </c>
      <c r="M384" s="58" t="n">
        <f aca="false">O383</f>
        <v>1.04062110040104E-008</v>
      </c>
      <c r="N384" s="58" t="n">
        <f aca="false">IF(L384=1,M384*$B$25,0)</f>
        <v>0</v>
      </c>
      <c r="O384" s="58" t="n">
        <f aca="false">IF(L384=1,M384+N384-$B$29,M384)</f>
        <v>1.04062110040104E-008</v>
      </c>
      <c r="P384" s="56" t="n">
        <f aca="false">IF(L384=1,IF($B$29&lt;=N384,1,0),0)</f>
        <v>0</v>
      </c>
      <c r="Q384" s="58" t="n">
        <f aca="false">Q383+N384</f>
        <v>215608.5191027</v>
      </c>
    </row>
    <row r="385" customFormat="false" ht="15" hidden="false" customHeight="false" outlineLevel="0" collapsed="false">
      <c r="K385" s="56" t="n">
        <f aca="false">K384+1</f>
        <v>378</v>
      </c>
      <c r="L385" s="57" t="n">
        <f aca="false">IF(AND(K385&lt;=Assumptions!$C$42,L384=1,P384=0,O384&gt;Assumptions!$C$43),1,0)</f>
        <v>0</v>
      </c>
      <c r="M385" s="58" t="n">
        <f aca="false">O384</f>
        <v>1.04062110040104E-008</v>
      </c>
      <c r="N385" s="58" t="n">
        <f aca="false">IF(L385=1,M385*$B$25,0)</f>
        <v>0</v>
      </c>
      <c r="O385" s="58" t="n">
        <f aca="false">IF(L385=1,M385+N385-$B$29,M385)</f>
        <v>1.04062110040104E-008</v>
      </c>
      <c r="P385" s="56" t="n">
        <f aca="false">IF(L385=1,IF($B$29&lt;=N385,1,0),0)</f>
        <v>0</v>
      </c>
      <c r="Q385" s="58" t="n">
        <f aca="false">Q384+N385</f>
        <v>215608.5191027</v>
      </c>
    </row>
    <row r="386" customFormat="false" ht="15" hidden="false" customHeight="false" outlineLevel="0" collapsed="false">
      <c r="K386" s="56" t="n">
        <f aca="false">K385+1</f>
        <v>379</v>
      </c>
      <c r="L386" s="57" t="n">
        <f aca="false">IF(AND(K386&lt;=Assumptions!$C$42,L385=1,P385=0,O385&gt;Assumptions!$C$43),1,0)</f>
        <v>0</v>
      </c>
      <c r="M386" s="58" t="n">
        <f aca="false">O385</f>
        <v>1.04062110040104E-008</v>
      </c>
      <c r="N386" s="58" t="n">
        <f aca="false">IF(L386=1,M386*$B$25,0)</f>
        <v>0</v>
      </c>
      <c r="O386" s="58" t="n">
        <f aca="false">IF(L386=1,M386+N386-$B$29,M386)</f>
        <v>1.04062110040104E-008</v>
      </c>
      <c r="P386" s="56" t="n">
        <f aca="false">IF(L386=1,IF($B$29&lt;=N386,1,0),0)</f>
        <v>0</v>
      </c>
      <c r="Q386" s="58" t="n">
        <f aca="false">Q385+N386</f>
        <v>215608.5191027</v>
      </c>
    </row>
    <row r="387" customFormat="false" ht="15" hidden="false" customHeight="false" outlineLevel="0" collapsed="false">
      <c r="K387" s="56" t="n">
        <f aca="false">K386+1</f>
        <v>380</v>
      </c>
      <c r="L387" s="57" t="n">
        <f aca="false">IF(AND(K387&lt;=Assumptions!$C$42,L386=1,P386=0,O386&gt;Assumptions!$C$43),1,0)</f>
        <v>0</v>
      </c>
      <c r="M387" s="58" t="n">
        <f aca="false">O386</f>
        <v>1.04062110040104E-008</v>
      </c>
      <c r="N387" s="58" t="n">
        <f aca="false">IF(L387=1,M387*$B$25,0)</f>
        <v>0</v>
      </c>
      <c r="O387" s="58" t="n">
        <f aca="false">IF(L387=1,M387+N387-$B$29,M387)</f>
        <v>1.04062110040104E-008</v>
      </c>
      <c r="P387" s="56" t="n">
        <f aca="false">IF(L387=1,IF($B$29&lt;=N387,1,0),0)</f>
        <v>0</v>
      </c>
      <c r="Q387" s="58" t="n">
        <f aca="false">Q386+N387</f>
        <v>215608.5191027</v>
      </c>
    </row>
    <row r="388" customFormat="false" ht="15" hidden="false" customHeight="false" outlineLevel="0" collapsed="false">
      <c r="K388" s="56" t="n">
        <f aca="false">K387+1</f>
        <v>381</v>
      </c>
      <c r="L388" s="57" t="n">
        <f aca="false">IF(AND(K388&lt;=Assumptions!$C$42,L387=1,P387=0,O387&gt;Assumptions!$C$43),1,0)</f>
        <v>0</v>
      </c>
      <c r="M388" s="58" t="n">
        <f aca="false">O387</f>
        <v>1.04062110040104E-008</v>
      </c>
      <c r="N388" s="58" t="n">
        <f aca="false">IF(L388=1,M388*$B$25,0)</f>
        <v>0</v>
      </c>
      <c r="O388" s="58" t="n">
        <f aca="false">IF(L388=1,M388+N388-$B$29,M388)</f>
        <v>1.04062110040104E-008</v>
      </c>
      <c r="P388" s="56" t="n">
        <f aca="false">IF(L388=1,IF($B$29&lt;=N388,1,0),0)</f>
        <v>0</v>
      </c>
      <c r="Q388" s="58" t="n">
        <f aca="false">Q387+N388</f>
        <v>215608.5191027</v>
      </c>
    </row>
    <row r="389" customFormat="false" ht="15" hidden="false" customHeight="false" outlineLevel="0" collapsed="false">
      <c r="K389" s="56" t="n">
        <f aca="false">K388+1</f>
        <v>382</v>
      </c>
      <c r="L389" s="57" t="n">
        <f aca="false">IF(AND(K389&lt;=Assumptions!$C$42,L388=1,P388=0,O388&gt;Assumptions!$C$43),1,0)</f>
        <v>0</v>
      </c>
      <c r="M389" s="58" t="n">
        <f aca="false">O388</f>
        <v>1.04062110040104E-008</v>
      </c>
      <c r="N389" s="58" t="n">
        <f aca="false">IF(L389=1,M389*$B$25,0)</f>
        <v>0</v>
      </c>
      <c r="O389" s="58" t="n">
        <f aca="false">IF(L389=1,M389+N389-$B$29,M389)</f>
        <v>1.04062110040104E-008</v>
      </c>
      <c r="P389" s="56" t="n">
        <f aca="false">IF(L389=1,IF($B$29&lt;=N389,1,0),0)</f>
        <v>0</v>
      </c>
      <c r="Q389" s="58" t="n">
        <f aca="false">Q388+N389</f>
        <v>215608.5191027</v>
      </c>
    </row>
    <row r="390" customFormat="false" ht="15" hidden="false" customHeight="false" outlineLevel="0" collapsed="false">
      <c r="K390" s="56" t="n">
        <f aca="false">K389+1</f>
        <v>383</v>
      </c>
      <c r="L390" s="57" t="n">
        <f aca="false">IF(AND(K390&lt;=Assumptions!$C$42,L389=1,P389=0,O389&gt;Assumptions!$C$43),1,0)</f>
        <v>0</v>
      </c>
      <c r="M390" s="58" t="n">
        <f aca="false">O389</f>
        <v>1.04062110040104E-008</v>
      </c>
      <c r="N390" s="58" t="n">
        <f aca="false">IF(L390=1,M390*$B$25,0)</f>
        <v>0</v>
      </c>
      <c r="O390" s="58" t="n">
        <f aca="false">IF(L390=1,M390+N390-$B$29,M390)</f>
        <v>1.04062110040104E-008</v>
      </c>
      <c r="P390" s="56" t="n">
        <f aca="false">IF(L390=1,IF($B$29&lt;=N390,1,0),0)</f>
        <v>0</v>
      </c>
      <c r="Q390" s="58" t="n">
        <f aca="false">Q389+N390</f>
        <v>215608.5191027</v>
      </c>
    </row>
    <row r="391" customFormat="false" ht="15" hidden="false" customHeight="false" outlineLevel="0" collapsed="false">
      <c r="K391" s="56" t="n">
        <f aca="false">K390+1</f>
        <v>384</v>
      </c>
      <c r="L391" s="57" t="n">
        <f aca="false">IF(AND(K391&lt;=Assumptions!$C$42,L390=1,P390=0,O390&gt;Assumptions!$C$43),1,0)</f>
        <v>0</v>
      </c>
      <c r="M391" s="58" t="n">
        <f aca="false">O390</f>
        <v>1.04062110040104E-008</v>
      </c>
      <c r="N391" s="58" t="n">
        <f aca="false">IF(L391=1,M391*$B$25,0)</f>
        <v>0</v>
      </c>
      <c r="O391" s="58" t="n">
        <f aca="false">IF(L391=1,M391+N391-$B$29,M391)</f>
        <v>1.04062110040104E-008</v>
      </c>
      <c r="P391" s="56" t="n">
        <f aca="false">IF(L391=1,IF($B$29&lt;=N391,1,0),0)</f>
        <v>0</v>
      </c>
      <c r="Q391" s="58" t="n">
        <f aca="false">Q390+N391</f>
        <v>215608.5191027</v>
      </c>
    </row>
    <row r="392" customFormat="false" ht="15" hidden="false" customHeight="false" outlineLevel="0" collapsed="false">
      <c r="K392" s="56" t="n">
        <f aca="false">K391+1</f>
        <v>385</v>
      </c>
      <c r="L392" s="57" t="n">
        <f aca="false">IF(AND(K392&lt;=Assumptions!$C$42,L391=1,P391=0,O391&gt;Assumptions!$C$43),1,0)</f>
        <v>0</v>
      </c>
      <c r="M392" s="58" t="n">
        <f aca="false">O391</f>
        <v>1.04062110040104E-008</v>
      </c>
      <c r="N392" s="58" t="n">
        <f aca="false">IF(L392=1,M392*$B$25,0)</f>
        <v>0</v>
      </c>
      <c r="O392" s="58" t="n">
        <f aca="false">IF(L392=1,M392+N392-$B$29,M392)</f>
        <v>1.04062110040104E-008</v>
      </c>
      <c r="P392" s="56" t="n">
        <f aca="false">IF(L392=1,IF($B$29&lt;=N392,1,0),0)</f>
        <v>0</v>
      </c>
      <c r="Q392" s="58" t="n">
        <f aca="false">Q391+N392</f>
        <v>215608.5191027</v>
      </c>
    </row>
    <row r="393" customFormat="false" ht="15" hidden="false" customHeight="false" outlineLevel="0" collapsed="false">
      <c r="K393" s="56" t="n">
        <f aca="false">K392+1</f>
        <v>386</v>
      </c>
      <c r="L393" s="57" t="n">
        <f aca="false">IF(AND(K393&lt;=Assumptions!$C$42,L392=1,P392=0,O392&gt;Assumptions!$C$43),1,0)</f>
        <v>0</v>
      </c>
      <c r="M393" s="58" t="n">
        <f aca="false">O392</f>
        <v>1.04062110040104E-008</v>
      </c>
      <c r="N393" s="58" t="n">
        <f aca="false">IF(L393=1,M393*$B$25,0)</f>
        <v>0</v>
      </c>
      <c r="O393" s="58" t="n">
        <f aca="false">IF(L393=1,M393+N393-$B$29,M393)</f>
        <v>1.04062110040104E-008</v>
      </c>
      <c r="P393" s="56" t="n">
        <f aca="false">IF(L393=1,IF($B$29&lt;=N393,1,0),0)</f>
        <v>0</v>
      </c>
      <c r="Q393" s="58" t="n">
        <f aca="false">Q392+N393</f>
        <v>215608.5191027</v>
      </c>
    </row>
    <row r="394" customFormat="false" ht="15" hidden="false" customHeight="false" outlineLevel="0" collapsed="false">
      <c r="K394" s="56" t="n">
        <f aca="false">K393+1</f>
        <v>387</v>
      </c>
      <c r="L394" s="57" t="n">
        <f aca="false">IF(AND(K394&lt;=Assumptions!$C$42,L393=1,P393=0,O393&gt;Assumptions!$C$43),1,0)</f>
        <v>0</v>
      </c>
      <c r="M394" s="58" t="n">
        <f aca="false">O393</f>
        <v>1.04062110040104E-008</v>
      </c>
      <c r="N394" s="58" t="n">
        <f aca="false">IF(L394=1,M394*$B$25,0)</f>
        <v>0</v>
      </c>
      <c r="O394" s="58" t="n">
        <f aca="false">IF(L394=1,M394+N394-$B$29,M394)</f>
        <v>1.04062110040104E-008</v>
      </c>
      <c r="P394" s="56" t="n">
        <f aca="false">IF(L394=1,IF($B$29&lt;=N394,1,0),0)</f>
        <v>0</v>
      </c>
      <c r="Q394" s="58" t="n">
        <f aca="false">Q393+N394</f>
        <v>215608.5191027</v>
      </c>
    </row>
    <row r="395" customFormat="false" ht="15" hidden="false" customHeight="false" outlineLevel="0" collapsed="false">
      <c r="K395" s="56" t="n">
        <f aca="false">K394+1</f>
        <v>388</v>
      </c>
      <c r="L395" s="57" t="n">
        <f aca="false">IF(AND(K395&lt;=Assumptions!$C$42,L394=1,P394=0,O394&gt;Assumptions!$C$43),1,0)</f>
        <v>0</v>
      </c>
      <c r="M395" s="58" t="n">
        <f aca="false">O394</f>
        <v>1.04062110040104E-008</v>
      </c>
      <c r="N395" s="58" t="n">
        <f aca="false">IF(L395=1,M395*$B$25,0)</f>
        <v>0</v>
      </c>
      <c r="O395" s="58" t="n">
        <f aca="false">IF(L395=1,M395+N395-$B$29,M395)</f>
        <v>1.04062110040104E-008</v>
      </c>
      <c r="P395" s="56" t="n">
        <f aca="false">IF(L395=1,IF($B$29&lt;=N395,1,0),0)</f>
        <v>0</v>
      </c>
      <c r="Q395" s="58" t="n">
        <f aca="false">Q394+N395</f>
        <v>215608.5191027</v>
      </c>
    </row>
    <row r="396" customFormat="false" ht="15" hidden="false" customHeight="false" outlineLevel="0" collapsed="false">
      <c r="K396" s="56" t="n">
        <f aca="false">K395+1</f>
        <v>389</v>
      </c>
      <c r="L396" s="57" t="n">
        <f aca="false">IF(AND(K396&lt;=Assumptions!$C$42,L395=1,P395=0,O395&gt;Assumptions!$C$43),1,0)</f>
        <v>0</v>
      </c>
      <c r="M396" s="58" t="n">
        <f aca="false">O395</f>
        <v>1.04062110040104E-008</v>
      </c>
      <c r="N396" s="58" t="n">
        <f aca="false">IF(L396=1,M396*$B$25,0)</f>
        <v>0</v>
      </c>
      <c r="O396" s="58" t="n">
        <f aca="false">IF(L396=1,M396+N396-$B$29,M396)</f>
        <v>1.04062110040104E-008</v>
      </c>
      <c r="P396" s="56" t="n">
        <f aca="false">IF(L396=1,IF($B$29&lt;=N396,1,0),0)</f>
        <v>0</v>
      </c>
      <c r="Q396" s="58" t="n">
        <f aca="false">Q395+N396</f>
        <v>215608.5191027</v>
      </c>
    </row>
    <row r="397" customFormat="false" ht="15" hidden="false" customHeight="false" outlineLevel="0" collapsed="false">
      <c r="K397" s="56" t="n">
        <f aca="false">K396+1</f>
        <v>390</v>
      </c>
      <c r="L397" s="57" t="n">
        <f aca="false">IF(AND(K397&lt;=Assumptions!$C$42,L396=1,P396=0,O396&gt;Assumptions!$C$43),1,0)</f>
        <v>0</v>
      </c>
      <c r="M397" s="58" t="n">
        <f aca="false">O396</f>
        <v>1.04062110040104E-008</v>
      </c>
      <c r="N397" s="58" t="n">
        <f aca="false">IF(L397=1,M397*$B$25,0)</f>
        <v>0</v>
      </c>
      <c r="O397" s="58" t="n">
        <f aca="false">IF(L397=1,M397+N397-$B$29,M397)</f>
        <v>1.04062110040104E-008</v>
      </c>
      <c r="P397" s="56" t="n">
        <f aca="false">IF(L397=1,IF($B$29&lt;=N397,1,0),0)</f>
        <v>0</v>
      </c>
      <c r="Q397" s="58" t="n">
        <f aca="false">Q396+N397</f>
        <v>215608.5191027</v>
      </c>
    </row>
    <row r="398" customFormat="false" ht="15" hidden="false" customHeight="false" outlineLevel="0" collapsed="false">
      <c r="K398" s="56" t="n">
        <f aca="false">K397+1</f>
        <v>391</v>
      </c>
      <c r="L398" s="57" t="n">
        <f aca="false">IF(AND(K398&lt;=Assumptions!$C$42,L397=1,P397=0,O397&gt;Assumptions!$C$43),1,0)</f>
        <v>0</v>
      </c>
      <c r="M398" s="58" t="n">
        <f aca="false">O397</f>
        <v>1.04062110040104E-008</v>
      </c>
      <c r="N398" s="58" t="n">
        <f aca="false">IF(L398=1,M398*$B$25,0)</f>
        <v>0</v>
      </c>
      <c r="O398" s="58" t="n">
        <f aca="false">IF(L398=1,M398+N398-$B$29,M398)</f>
        <v>1.04062110040104E-008</v>
      </c>
      <c r="P398" s="56" t="n">
        <f aca="false">IF(L398=1,IF($B$29&lt;=N398,1,0),0)</f>
        <v>0</v>
      </c>
      <c r="Q398" s="58" t="n">
        <f aca="false">Q397+N398</f>
        <v>215608.5191027</v>
      </c>
    </row>
    <row r="399" customFormat="false" ht="15" hidden="false" customHeight="false" outlineLevel="0" collapsed="false">
      <c r="K399" s="56" t="n">
        <f aca="false">K398+1</f>
        <v>392</v>
      </c>
      <c r="L399" s="57" t="n">
        <f aca="false">IF(AND(K399&lt;=Assumptions!$C$42,L398=1,P398=0,O398&gt;Assumptions!$C$43),1,0)</f>
        <v>0</v>
      </c>
      <c r="M399" s="58" t="n">
        <f aca="false">O398</f>
        <v>1.04062110040104E-008</v>
      </c>
      <c r="N399" s="58" t="n">
        <f aca="false">IF(L399=1,M399*$B$25,0)</f>
        <v>0</v>
      </c>
      <c r="O399" s="58" t="n">
        <f aca="false">IF(L399=1,M399+N399-$B$29,M399)</f>
        <v>1.04062110040104E-008</v>
      </c>
      <c r="P399" s="56" t="n">
        <f aca="false">IF(L399=1,IF($B$29&lt;=N399,1,0),0)</f>
        <v>0</v>
      </c>
      <c r="Q399" s="58" t="n">
        <f aca="false">Q398+N399</f>
        <v>215608.5191027</v>
      </c>
    </row>
    <row r="400" customFormat="false" ht="15" hidden="false" customHeight="false" outlineLevel="0" collapsed="false">
      <c r="K400" s="56" t="n">
        <f aca="false">K399+1</f>
        <v>393</v>
      </c>
      <c r="L400" s="57" t="n">
        <f aca="false">IF(AND(K400&lt;=Assumptions!$C$42,L399=1,P399=0,O399&gt;Assumptions!$C$43),1,0)</f>
        <v>0</v>
      </c>
      <c r="M400" s="58" t="n">
        <f aca="false">O399</f>
        <v>1.04062110040104E-008</v>
      </c>
      <c r="N400" s="58" t="n">
        <f aca="false">IF(L400=1,M400*$B$25,0)</f>
        <v>0</v>
      </c>
      <c r="O400" s="58" t="n">
        <f aca="false">IF(L400=1,M400+N400-$B$29,M400)</f>
        <v>1.04062110040104E-008</v>
      </c>
      <c r="P400" s="56" t="n">
        <f aca="false">IF(L400=1,IF($B$29&lt;=N400,1,0),0)</f>
        <v>0</v>
      </c>
      <c r="Q400" s="58" t="n">
        <f aca="false">Q399+N400</f>
        <v>215608.5191027</v>
      </c>
    </row>
    <row r="401" customFormat="false" ht="15" hidden="false" customHeight="false" outlineLevel="0" collapsed="false">
      <c r="K401" s="56" t="n">
        <f aca="false">K400+1</f>
        <v>394</v>
      </c>
      <c r="L401" s="57" t="n">
        <f aca="false">IF(AND(K401&lt;=Assumptions!$C$42,L400=1,P400=0,O400&gt;Assumptions!$C$43),1,0)</f>
        <v>0</v>
      </c>
      <c r="M401" s="58" t="n">
        <f aca="false">O400</f>
        <v>1.04062110040104E-008</v>
      </c>
      <c r="N401" s="58" t="n">
        <f aca="false">IF(L401=1,M401*$B$25,0)</f>
        <v>0</v>
      </c>
      <c r="O401" s="58" t="n">
        <f aca="false">IF(L401=1,M401+N401-$B$29,M401)</f>
        <v>1.04062110040104E-008</v>
      </c>
      <c r="P401" s="56" t="n">
        <f aca="false">IF(L401=1,IF($B$29&lt;=N401,1,0),0)</f>
        <v>0</v>
      </c>
      <c r="Q401" s="58" t="n">
        <f aca="false">Q400+N401</f>
        <v>215608.5191027</v>
      </c>
    </row>
    <row r="402" customFormat="false" ht="15" hidden="false" customHeight="false" outlineLevel="0" collapsed="false">
      <c r="K402" s="56" t="n">
        <f aca="false">K401+1</f>
        <v>395</v>
      </c>
      <c r="L402" s="57" t="n">
        <f aca="false">IF(AND(K402&lt;=Assumptions!$C$42,L401=1,P401=0,O401&gt;Assumptions!$C$43),1,0)</f>
        <v>0</v>
      </c>
      <c r="M402" s="58" t="n">
        <f aca="false">O401</f>
        <v>1.04062110040104E-008</v>
      </c>
      <c r="N402" s="58" t="n">
        <f aca="false">IF(L402=1,M402*$B$25,0)</f>
        <v>0</v>
      </c>
      <c r="O402" s="58" t="n">
        <f aca="false">IF(L402=1,M402+N402-$B$29,M402)</f>
        <v>1.04062110040104E-008</v>
      </c>
      <c r="P402" s="56" t="n">
        <f aca="false">IF(L402=1,IF($B$29&lt;=N402,1,0),0)</f>
        <v>0</v>
      </c>
      <c r="Q402" s="58" t="n">
        <f aca="false">Q401+N402</f>
        <v>215608.5191027</v>
      </c>
    </row>
    <row r="403" customFormat="false" ht="15" hidden="false" customHeight="false" outlineLevel="0" collapsed="false">
      <c r="K403" s="56" t="n">
        <f aca="false">K402+1</f>
        <v>396</v>
      </c>
      <c r="L403" s="57" t="n">
        <f aca="false">IF(AND(K403&lt;=Assumptions!$C$42,L402=1,P402=0,O402&gt;Assumptions!$C$43),1,0)</f>
        <v>0</v>
      </c>
      <c r="M403" s="58" t="n">
        <f aca="false">O402</f>
        <v>1.04062110040104E-008</v>
      </c>
      <c r="N403" s="58" t="n">
        <f aca="false">IF(L403=1,M403*$B$25,0)</f>
        <v>0</v>
      </c>
      <c r="O403" s="58" t="n">
        <f aca="false">IF(L403=1,M403+N403-$B$29,M403)</f>
        <v>1.04062110040104E-008</v>
      </c>
      <c r="P403" s="56" t="n">
        <f aca="false">IF(L403=1,IF($B$29&lt;=N403,1,0),0)</f>
        <v>0</v>
      </c>
      <c r="Q403" s="58" t="n">
        <f aca="false">Q402+N403</f>
        <v>215608.5191027</v>
      </c>
    </row>
    <row r="404" customFormat="false" ht="15" hidden="false" customHeight="false" outlineLevel="0" collapsed="false">
      <c r="K404" s="56" t="n">
        <f aca="false">K403+1</f>
        <v>397</v>
      </c>
      <c r="L404" s="57" t="n">
        <f aca="false">IF(AND(K404&lt;=Assumptions!$C$42,L403=1,P403=0,O403&gt;Assumptions!$C$43),1,0)</f>
        <v>0</v>
      </c>
      <c r="M404" s="58" t="n">
        <f aca="false">O403</f>
        <v>1.04062110040104E-008</v>
      </c>
      <c r="N404" s="58" t="n">
        <f aca="false">IF(L404=1,M404*$B$25,0)</f>
        <v>0</v>
      </c>
      <c r="O404" s="58" t="n">
        <f aca="false">IF(L404=1,M404+N404-$B$29,M404)</f>
        <v>1.04062110040104E-008</v>
      </c>
      <c r="P404" s="56" t="n">
        <f aca="false">IF(L404=1,IF($B$29&lt;=N404,1,0),0)</f>
        <v>0</v>
      </c>
      <c r="Q404" s="58" t="n">
        <f aca="false">Q403+N404</f>
        <v>215608.5191027</v>
      </c>
    </row>
    <row r="405" customFormat="false" ht="15" hidden="false" customHeight="false" outlineLevel="0" collapsed="false">
      <c r="K405" s="56" t="n">
        <f aca="false">K404+1</f>
        <v>398</v>
      </c>
      <c r="L405" s="57" t="n">
        <f aca="false">IF(AND(K405&lt;=Assumptions!$C$42,L404=1,P404=0,O404&gt;Assumptions!$C$43),1,0)</f>
        <v>0</v>
      </c>
      <c r="M405" s="58" t="n">
        <f aca="false">O404</f>
        <v>1.04062110040104E-008</v>
      </c>
      <c r="N405" s="58" t="n">
        <f aca="false">IF(L405=1,M405*$B$25,0)</f>
        <v>0</v>
      </c>
      <c r="O405" s="58" t="n">
        <f aca="false">IF(L405=1,M405+N405-$B$29,M405)</f>
        <v>1.04062110040104E-008</v>
      </c>
      <c r="P405" s="56" t="n">
        <f aca="false">IF(L405=1,IF($B$29&lt;=N405,1,0),0)</f>
        <v>0</v>
      </c>
      <c r="Q405" s="58" t="n">
        <f aca="false">Q404+N405</f>
        <v>215608.5191027</v>
      </c>
    </row>
    <row r="406" customFormat="false" ht="15" hidden="false" customHeight="false" outlineLevel="0" collapsed="false">
      <c r="K406" s="56" t="n">
        <f aca="false">K405+1</f>
        <v>399</v>
      </c>
      <c r="L406" s="57" t="n">
        <f aca="false">IF(AND(K406&lt;=Assumptions!$C$42,L405=1,P405=0,O405&gt;Assumptions!$C$43),1,0)</f>
        <v>0</v>
      </c>
      <c r="M406" s="58" t="n">
        <f aca="false">O405</f>
        <v>1.04062110040104E-008</v>
      </c>
      <c r="N406" s="58" t="n">
        <f aca="false">IF(L406=1,M406*$B$25,0)</f>
        <v>0</v>
      </c>
      <c r="O406" s="58" t="n">
        <f aca="false">IF(L406=1,M406+N406-$B$29,M406)</f>
        <v>1.04062110040104E-008</v>
      </c>
      <c r="P406" s="56" t="n">
        <f aca="false">IF(L406=1,IF($B$29&lt;=N406,1,0),0)</f>
        <v>0</v>
      </c>
      <c r="Q406" s="58" t="n">
        <f aca="false">Q405+N406</f>
        <v>215608.5191027</v>
      </c>
    </row>
    <row r="407" customFormat="false" ht="15" hidden="false" customHeight="false" outlineLevel="0" collapsed="false">
      <c r="K407" s="56" t="n">
        <f aca="false">K406+1</f>
        <v>400</v>
      </c>
      <c r="L407" s="57" t="n">
        <f aca="false">IF(AND(K407&lt;=Assumptions!$C$42,L406=1,P406=0,O406&gt;Assumptions!$C$43),1,0)</f>
        <v>0</v>
      </c>
      <c r="M407" s="58" t="n">
        <f aca="false">O406</f>
        <v>1.04062110040104E-008</v>
      </c>
      <c r="N407" s="58" t="n">
        <f aca="false">IF(L407=1,M407*$B$25,0)</f>
        <v>0</v>
      </c>
      <c r="O407" s="58" t="n">
        <f aca="false">IF(L407=1,M407+N407-$B$29,M407)</f>
        <v>1.04062110040104E-008</v>
      </c>
      <c r="P407" s="56" t="n">
        <f aca="false">IF(L407=1,IF($B$29&lt;=N407,1,0),0)</f>
        <v>0</v>
      </c>
      <c r="Q407" s="58" t="n">
        <f aca="false">Q406+N407</f>
        <v>215608.5191027</v>
      </c>
    </row>
    <row r="408" customFormat="false" ht="15" hidden="false" customHeight="false" outlineLevel="0" collapsed="false">
      <c r="K408" s="56" t="n">
        <f aca="false">K407+1</f>
        <v>401</v>
      </c>
      <c r="L408" s="57" t="n">
        <f aca="false">IF(AND(K408&lt;=Assumptions!$C$42,L407=1,P407=0,O407&gt;Assumptions!$C$43),1,0)</f>
        <v>0</v>
      </c>
      <c r="M408" s="58" t="n">
        <f aca="false">O407</f>
        <v>1.04062110040104E-008</v>
      </c>
      <c r="N408" s="58" t="n">
        <f aca="false">IF(L408=1,M408*$B$25,0)</f>
        <v>0</v>
      </c>
      <c r="O408" s="58" t="n">
        <f aca="false">IF(L408=1,M408+N408-$B$29,M408)</f>
        <v>1.04062110040104E-008</v>
      </c>
      <c r="P408" s="56" t="n">
        <f aca="false">IF(L408=1,IF($B$29&lt;=N408,1,0),0)</f>
        <v>0</v>
      </c>
      <c r="Q408" s="58" t="n">
        <f aca="false">Q407+N408</f>
        <v>215608.5191027</v>
      </c>
    </row>
    <row r="409" customFormat="false" ht="15" hidden="false" customHeight="false" outlineLevel="0" collapsed="false">
      <c r="K409" s="56" t="n">
        <f aca="false">K408+1</f>
        <v>402</v>
      </c>
      <c r="L409" s="57" t="n">
        <f aca="false">IF(AND(K409&lt;=Assumptions!$C$42,L408=1,P408=0,O408&gt;Assumptions!$C$43),1,0)</f>
        <v>0</v>
      </c>
      <c r="M409" s="58" t="n">
        <f aca="false">O408</f>
        <v>1.04062110040104E-008</v>
      </c>
      <c r="N409" s="58" t="n">
        <f aca="false">IF(L409=1,M409*$B$25,0)</f>
        <v>0</v>
      </c>
      <c r="O409" s="58" t="n">
        <f aca="false">IF(L409=1,M409+N409-$B$29,M409)</f>
        <v>1.04062110040104E-008</v>
      </c>
      <c r="P409" s="56" t="n">
        <f aca="false">IF(L409=1,IF($B$29&lt;=N409,1,0),0)</f>
        <v>0</v>
      </c>
      <c r="Q409" s="58" t="n">
        <f aca="false">Q408+N409</f>
        <v>215608.5191027</v>
      </c>
    </row>
    <row r="410" customFormat="false" ht="15" hidden="false" customHeight="false" outlineLevel="0" collapsed="false">
      <c r="K410" s="56" t="n">
        <f aca="false">K409+1</f>
        <v>403</v>
      </c>
      <c r="L410" s="57" t="n">
        <f aca="false">IF(AND(K410&lt;=Assumptions!$C$42,L409=1,P409=0,O409&gt;Assumptions!$C$43),1,0)</f>
        <v>0</v>
      </c>
      <c r="M410" s="58" t="n">
        <f aca="false">O409</f>
        <v>1.04062110040104E-008</v>
      </c>
      <c r="N410" s="58" t="n">
        <f aca="false">IF(L410=1,M410*$B$25,0)</f>
        <v>0</v>
      </c>
      <c r="O410" s="58" t="n">
        <f aca="false">IF(L410=1,M410+N410-$B$29,M410)</f>
        <v>1.04062110040104E-008</v>
      </c>
      <c r="P410" s="56" t="n">
        <f aca="false">IF(L410=1,IF($B$29&lt;=N410,1,0),0)</f>
        <v>0</v>
      </c>
      <c r="Q410" s="58" t="n">
        <f aca="false">Q409+N410</f>
        <v>215608.5191027</v>
      </c>
    </row>
    <row r="411" customFormat="false" ht="15" hidden="false" customHeight="false" outlineLevel="0" collapsed="false">
      <c r="K411" s="56" t="n">
        <f aca="false">K410+1</f>
        <v>404</v>
      </c>
      <c r="L411" s="57" t="n">
        <f aca="false">IF(AND(K411&lt;=Assumptions!$C$42,L410=1,P410=0,O410&gt;Assumptions!$C$43),1,0)</f>
        <v>0</v>
      </c>
      <c r="M411" s="58" t="n">
        <f aca="false">O410</f>
        <v>1.04062110040104E-008</v>
      </c>
      <c r="N411" s="58" t="n">
        <f aca="false">IF(L411=1,M411*$B$25,0)</f>
        <v>0</v>
      </c>
      <c r="O411" s="58" t="n">
        <f aca="false">IF(L411=1,M411+N411-$B$29,M411)</f>
        <v>1.04062110040104E-008</v>
      </c>
      <c r="P411" s="56" t="n">
        <f aca="false">IF(L411=1,IF($B$29&lt;=N411,1,0),0)</f>
        <v>0</v>
      </c>
      <c r="Q411" s="58" t="n">
        <f aca="false">Q410+N411</f>
        <v>215608.5191027</v>
      </c>
    </row>
    <row r="412" customFormat="false" ht="15" hidden="false" customHeight="false" outlineLevel="0" collapsed="false">
      <c r="K412" s="56" t="n">
        <f aca="false">K411+1</f>
        <v>405</v>
      </c>
      <c r="L412" s="57" t="n">
        <f aca="false">IF(AND(K412&lt;=Assumptions!$C$42,L411=1,P411=0,O411&gt;Assumptions!$C$43),1,0)</f>
        <v>0</v>
      </c>
      <c r="M412" s="58" t="n">
        <f aca="false">O411</f>
        <v>1.04062110040104E-008</v>
      </c>
      <c r="N412" s="58" t="n">
        <f aca="false">IF(L412=1,M412*$B$25,0)</f>
        <v>0</v>
      </c>
      <c r="O412" s="58" t="n">
        <f aca="false">IF(L412=1,M412+N412-$B$29,M412)</f>
        <v>1.04062110040104E-008</v>
      </c>
      <c r="P412" s="56" t="n">
        <f aca="false">IF(L412=1,IF($B$29&lt;=N412,1,0),0)</f>
        <v>0</v>
      </c>
      <c r="Q412" s="58" t="n">
        <f aca="false">Q411+N412</f>
        <v>215608.5191027</v>
      </c>
    </row>
    <row r="413" customFormat="false" ht="15" hidden="false" customHeight="false" outlineLevel="0" collapsed="false">
      <c r="K413" s="56" t="n">
        <f aca="false">K412+1</f>
        <v>406</v>
      </c>
      <c r="L413" s="57" t="n">
        <f aca="false">IF(AND(K413&lt;=Assumptions!$C$42,L412=1,P412=0,O412&gt;Assumptions!$C$43),1,0)</f>
        <v>0</v>
      </c>
      <c r="M413" s="58" t="n">
        <f aca="false">O412</f>
        <v>1.04062110040104E-008</v>
      </c>
      <c r="N413" s="58" t="n">
        <f aca="false">IF(L413=1,M413*$B$25,0)</f>
        <v>0</v>
      </c>
      <c r="O413" s="58" t="n">
        <f aca="false">IF(L413=1,M413+N413-$B$29,M413)</f>
        <v>1.04062110040104E-008</v>
      </c>
      <c r="P413" s="56" t="n">
        <f aca="false">IF(L413=1,IF($B$29&lt;=N413,1,0),0)</f>
        <v>0</v>
      </c>
      <c r="Q413" s="58" t="n">
        <f aca="false">Q412+N413</f>
        <v>215608.5191027</v>
      </c>
    </row>
    <row r="414" customFormat="false" ht="15" hidden="false" customHeight="false" outlineLevel="0" collapsed="false">
      <c r="K414" s="56" t="n">
        <f aca="false">K413+1</f>
        <v>407</v>
      </c>
      <c r="L414" s="57" t="n">
        <f aca="false">IF(AND(K414&lt;=Assumptions!$C$42,L413=1,P413=0,O413&gt;Assumptions!$C$43),1,0)</f>
        <v>0</v>
      </c>
      <c r="M414" s="58" t="n">
        <f aca="false">O413</f>
        <v>1.04062110040104E-008</v>
      </c>
      <c r="N414" s="58" t="n">
        <f aca="false">IF(L414=1,M414*$B$25,0)</f>
        <v>0</v>
      </c>
      <c r="O414" s="58" t="n">
        <f aca="false">IF(L414=1,M414+N414-$B$29,M414)</f>
        <v>1.04062110040104E-008</v>
      </c>
      <c r="P414" s="56" t="n">
        <f aca="false">IF(L414=1,IF($B$29&lt;=N414,1,0),0)</f>
        <v>0</v>
      </c>
      <c r="Q414" s="58" t="n">
        <f aca="false">Q413+N414</f>
        <v>215608.5191027</v>
      </c>
    </row>
    <row r="415" customFormat="false" ht="15" hidden="false" customHeight="false" outlineLevel="0" collapsed="false">
      <c r="K415" s="56" t="n">
        <f aca="false">K414+1</f>
        <v>408</v>
      </c>
      <c r="L415" s="57" t="n">
        <f aca="false">IF(AND(K415&lt;=Assumptions!$C$42,L414=1,P414=0,O414&gt;Assumptions!$C$43),1,0)</f>
        <v>0</v>
      </c>
      <c r="M415" s="58" t="n">
        <f aca="false">O414</f>
        <v>1.04062110040104E-008</v>
      </c>
      <c r="N415" s="58" t="n">
        <f aca="false">IF(L415=1,M415*$B$25,0)</f>
        <v>0</v>
      </c>
      <c r="O415" s="58" t="n">
        <f aca="false">IF(L415=1,M415+N415-$B$29,M415)</f>
        <v>1.04062110040104E-008</v>
      </c>
      <c r="P415" s="56" t="n">
        <f aca="false">IF(L415=1,IF($B$29&lt;=N415,1,0),0)</f>
        <v>0</v>
      </c>
      <c r="Q415" s="58" t="n">
        <f aca="false">Q414+N415</f>
        <v>215608.5191027</v>
      </c>
    </row>
    <row r="416" customFormat="false" ht="15" hidden="false" customHeight="false" outlineLevel="0" collapsed="false">
      <c r="K416" s="56" t="n">
        <f aca="false">K415+1</f>
        <v>409</v>
      </c>
      <c r="L416" s="57" t="n">
        <f aca="false">IF(AND(K416&lt;=Assumptions!$C$42,L415=1,P415=0,O415&gt;Assumptions!$C$43),1,0)</f>
        <v>0</v>
      </c>
      <c r="M416" s="58" t="n">
        <f aca="false">O415</f>
        <v>1.04062110040104E-008</v>
      </c>
      <c r="N416" s="58" t="n">
        <f aca="false">IF(L416=1,M416*$B$25,0)</f>
        <v>0</v>
      </c>
      <c r="O416" s="58" t="n">
        <f aca="false">IF(L416=1,M416+N416-$B$29,M416)</f>
        <v>1.04062110040104E-008</v>
      </c>
      <c r="P416" s="56" t="n">
        <f aca="false">IF(L416=1,IF($B$29&lt;=N416,1,0),0)</f>
        <v>0</v>
      </c>
      <c r="Q416" s="58" t="n">
        <f aca="false">Q415+N416</f>
        <v>215608.5191027</v>
      </c>
    </row>
    <row r="417" customFormat="false" ht="15" hidden="false" customHeight="false" outlineLevel="0" collapsed="false">
      <c r="K417" s="56" t="n">
        <f aca="false">K416+1</f>
        <v>410</v>
      </c>
      <c r="L417" s="57" t="n">
        <f aca="false">IF(AND(K417&lt;=Assumptions!$C$42,L416=1,P416=0,O416&gt;Assumptions!$C$43),1,0)</f>
        <v>0</v>
      </c>
      <c r="M417" s="58" t="n">
        <f aca="false">O416</f>
        <v>1.04062110040104E-008</v>
      </c>
      <c r="N417" s="58" t="n">
        <f aca="false">IF(L417=1,M417*$B$25,0)</f>
        <v>0</v>
      </c>
      <c r="O417" s="58" t="n">
        <f aca="false">IF(L417=1,M417+N417-$B$29,M417)</f>
        <v>1.04062110040104E-008</v>
      </c>
      <c r="P417" s="56" t="n">
        <f aca="false">IF(L417=1,IF($B$29&lt;=N417,1,0),0)</f>
        <v>0</v>
      </c>
      <c r="Q417" s="58" t="n">
        <f aca="false">Q416+N417</f>
        <v>215608.5191027</v>
      </c>
    </row>
    <row r="418" customFormat="false" ht="15" hidden="false" customHeight="false" outlineLevel="0" collapsed="false">
      <c r="K418" s="56" t="n">
        <f aca="false">K417+1</f>
        <v>411</v>
      </c>
      <c r="L418" s="57" t="n">
        <f aca="false">IF(AND(K418&lt;=Assumptions!$C$42,L417=1,P417=0,O417&gt;Assumptions!$C$43),1,0)</f>
        <v>0</v>
      </c>
      <c r="M418" s="58" t="n">
        <f aca="false">O417</f>
        <v>1.04062110040104E-008</v>
      </c>
      <c r="N418" s="58" t="n">
        <f aca="false">IF(L418=1,M418*$B$25,0)</f>
        <v>0</v>
      </c>
      <c r="O418" s="58" t="n">
        <f aca="false">IF(L418=1,M418+N418-$B$29,M418)</f>
        <v>1.04062110040104E-008</v>
      </c>
      <c r="P418" s="56" t="n">
        <f aca="false">IF(L418=1,IF($B$29&lt;=N418,1,0),0)</f>
        <v>0</v>
      </c>
      <c r="Q418" s="58" t="n">
        <f aca="false">Q417+N418</f>
        <v>215608.5191027</v>
      </c>
    </row>
    <row r="419" customFormat="false" ht="15" hidden="false" customHeight="false" outlineLevel="0" collapsed="false">
      <c r="K419" s="56" t="n">
        <f aca="false">K418+1</f>
        <v>412</v>
      </c>
      <c r="L419" s="57" t="n">
        <f aca="false">IF(AND(K419&lt;=Assumptions!$C$42,L418=1,P418=0,O418&gt;Assumptions!$C$43),1,0)</f>
        <v>0</v>
      </c>
      <c r="M419" s="58" t="n">
        <f aca="false">O418</f>
        <v>1.04062110040104E-008</v>
      </c>
      <c r="N419" s="58" t="n">
        <f aca="false">IF(L419=1,M419*$B$25,0)</f>
        <v>0</v>
      </c>
      <c r="O419" s="58" t="n">
        <f aca="false">IF(L419=1,M419+N419-$B$29,M419)</f>
        <v>1.04062110040104E-008</v>
      </c>
      <c r="P419" s="56" t="n">
        <f aca="false">IF(L419=1,IF($B$29&lt;=N419,1,0),0)</f>
        <v>0</v>
      </c>
      <c r="Q419" s="58" t="n">
        <f aca="false">Q418+N419</f>
        <v>215608.5191027</v>
      </c>
    </row>
    <row r="420" customFormat="false" ht="15" hidden="false" customHeight="false" outlineLevel="0" collapsed="false">
      <c r="K420" s="56" t="n">
        <f aca="false">K419+1</f>
        <v>413</v>
      </c>
      <c r="L420" s="57" t="n">
        <f aca="false">IF(AND(K420&lt;=Assumptions!$C$42,L419=1,P419=0,O419&gt;Assumptions!$C$43),1,0)</f>
        <v>0</v>
      </c>
      <c r="M420" s="58" t="n">
        <f aca="false">O419</f>
        <v>1.04062110040104E-008</v>
      </c>
      <c r="N420" s="58" t="n">
        <f aca="false">IF(L420=1,M420*$B$25,0)</f>
        <v>0</v>
      </c>
      <c r="O420" s="58" t="n">
        <f aca="false">IF(L420=1,M420+N420-$B$29,M420)</f>
        <v>1.04062110040104E-008</v>
      </c>
      <c r="P420" s="56" t="n">
        <f aca="false">IF(L420=1,IF($B$29&lt;=N420,1,0),0)</f>
        <v>0</v>
      </c>
      <c r="Q420" s="58" t="n">
        <f aca="false">Q419+N420</f>
        <v>215608.5191027</v>
      </c>
    </row>
    <row r="421" customFormat="false" ht="15" hidden="false" customHeight="false" outlineLevel="0" collapsed="false">
      <c r="K421" s="56" t="n">
        <f aca="false">K420+1</f>
        <v>414</v>
      </c>
      <c r="L421" s="57" t="n">
        <f aca="false">IF(AND(K421&lt;=Assumptions!$C$42,L420=1,P420=0,O420&gt;Assumptions!$C$43),1,0)</f>
        <v>0</v>
      </c>
      <c r="M421" s="58" t="n">
        <f aca="false">O420</f>
        <v>1.04062110040104E-008</v>
      </c>
      <c r="N421" s="58" t="n">
        <f aca="false">IF(L421=1,M421*$B$25,0)</f>
        <v>0</v>
      </c>
      <c r="O421" s="58" t="n">
        <f aca="false">IF(L421=1,M421+N421-$B$29,M421)</f>
        <v>1.04062110040104E-008</v>
      </c>
      <c r="P421" s="56" t="n">
        <f aca="false">IF(L421=1,IF($B$29&lt;=N421,1,0),0)</f>
        <v>0</v>
      </c>
      <c r="Q421" s="58" t="n">
        <f aca="false">Q420+N421</f>
        <v>215608.5191027</v>
      </c>
    </row>
    <row r="422" customFormat="false" ht="15" hidden="false" customHeight="false" outlineLevel="0" collapsed="false">
      <c r="K422" s="56" t="n">
        <f aca="false">K421+1</f>
        <v>415</v>
      </c>
      <c r="L422" s="57" t="n">
        <f aca="false">IF(AND(K422&lt;=Assumptions!$C$42,L421=1,P421=0,O421&gt;Assumptions!$C$43),1,0)</f>
        <v>0</v>
      </c>
      <c r="M422" s="58" t="n">
        <f aca="false">O421</f>
        <v>1.04062110040104E-008</v>
      </c>
      <c r="N422" s="58" t="n">
        <f aca="false">IF(L422=1,M422*$B$25,0)</f>
        <v>0</v>
      </c>
      <c r="O422" s="58" t="n">
        <f aca="false">IF(L422=1,M422+N422-$B$29,M422)</f>
        <v>1.04062110040104E-008</v>
      </c>
      <c r="P422" s="56" t="n">
        <f aca="false">IF(L422=1,IF($B$29&lt;=N422,1,0),0)</f>
        <v>0</v>
      </c>
      <c r="Q422" s="58" t="n">
        <f aca="false">Q421+N422</f>
        <v>215608.5191027</v>
      </c>
    </row>
    <row r="423" customFormat="false" ht="15" hidden="false" customHeight="false" outlineLevel="0" collapsed="false">
      <c r="K423" s="56" t="n">
        <f aca="false">K422+1</f>
        <v>416</v>
      </c>
      <c r="L423" s="57" t="n">
        <f aca="false">IF(AND(K423&lt;=Assumptions!$C$42,L422=1,P422=0,O422&gt;Assumptions!$C$43),1,0)</f>
        <v>0</v>
      </c>
      <c r="M423" s="58" t="n">
        <f aca="false">O422</f>
        <v>1.04062110040104E-008</v>
      </c>
      <c r="N423" s="58" t="n">
        <f aca="false">IF(L423=1,M423*$B$25,0)</f>
        <v>0</v>
      </c>
      <c r="O423" s="58" t="n">
        <f aca="false">IF(L423=1,M423+N423-$B$29,M423)</f>
        <v>1.04062110040104E-008</v>
      </c>
      <c r="P423" s="56" t="n">
        <f aca="false">IF(L423=1,IF($B$29&lt;=N423,1,0),0)</f>
        <v>0</v>
      </c>
      <c r="Q423" s="58" t="n">
        <f aca="false">Q422+N423</f>
        <v>215608.5191027</v>
      </c>
    </row>
    <row r="424" customFormat="false" ht="15" hidden="false" customHeight="false" outlineLevel="0" collapsed="false">
      <c r="K424" s="56" t="n">
        <f aca="false">K423+1</f>
        <v>417</v>
      </c>
      <c r="L424" s="57" t="n">
        <f aca="false">IF(AND(K424&lt;=Assumptions!$C$42,L423=1,P423=0,O423&gt;Assumptions!$C$43),1,0)</f>
        <v>0</v>
      </c>
      <c r="M424" s="58" t="n">
        <f aca="false">O423</f>
        <v>1.04062110040104E-008</v>
      </c>
      <c r="N424" s="58" t="n">
        <f aca="false">IF(L424=1,M424*$B$25,0)</f>
        <v>0</v>
      </c>
      <c r="O424" s="58" t="n">
        <f aca="false">IF(L424=1,M424+N424-$B$29,M424)</f>
        <v>1.04062110040104E-008</v>
      </c>
      <c r="P424" s="56" t="n">
        <f aca="false">IF(L424=1,IF($B$29&lt;=N424,1,0),0)</f>
        <v>0</v>
      </c>
      <c r="Q424" s="58" t="n">
        <f aca="false">Q423+N424</f>
        <v>215608.5191027</v>
      </c>
    </row>
    <row r="425" customFormat="false" ht="15" hidden="false" customHeight="false" outlineLevel="0" collapsed="false">
      <c r="K425" s="56" t="n">
        <f aca="false">K424+1</f>
        <v>418</v>
      </c>
      <c r="L425" s="57" t="n">
        <f aca="false">IF(AND(K425&lt;=Assumptions!$C$42,L424=1,P424=0,O424&gt;Assumptions!$C$43),1,0)</f>
        <v>0</v>
      </c>
      <c r="M425" s="58" t="n">
        <f aca="false">O424</f>
        <v>1.04062110040104E-008</v>
      </c>
      <c r="N425" s="58" t="n">
        <f aca="false">IF(L425=1,M425*$B$25,0)</f>
        <v>0</v>
      </c>
      <c r="O425" s="58" t="n">
        <f aca="false">IF(L425=1,M425+N425-$B$29,M425)</f>
        <v>1.04062110040104E-008</v>
      </c>
      <c r="P425" s="56" t="n">
        <f aca="false">IF(L425=1,IF($B$29&lt;=N425,1,0),0)</f>
        <v>0</v>
      </c>
      <c r="Q425" s="58" t="n">
        <f aca="false">Q424+N425</f>
        <v>215608.5191027</v>
      </c>
    </row>
    <row r="426" customFormat="false" ht="15" hidden="false" customHeight="false" outlineLevel="0" collapsed="false">
      <c r="K426" s="56" t="n">
        <f aca="false">K425+1</f>
        <v>419</v>
      </c>
      <c r="L426" s="57" t="n">
        <f aca="false">IF(AND(K426&lt;=Assumptions!$C$42,L425=1,P425=0,O425&gt;Assumptions!$C$43),1,0)</f>
        <v>0</v>
      </c>
      <c r="M426" s="58" t="n">
        <f aca="false">O425</f>
        <v>1.04062110040104E-008</v>
      </c>
      <c r="N426" s="58" t="n">
        <f aca="false">IF(L426=1,M426*$B$25,0)</f>
        <v>0</v>
      </c>
      <c r="O426" s="58" t="n">
        <f aca="false">IF(L426=1,M426+N426-$B$29,M426)</f>
        <v>1.04062110040104E-008</v>
      </c>
      <c r="P426" s="56" t="n">
        <f aca="false">IF(L426=1,IF($B$29&lt;=N426,1,0),0)</f>
        <v>0</v>
      </c>
      <c r="Q426" s="58" t="n">
        <f aca="false">Q425+N426</f>
        <v>215608.5191027</v>
      </c>
    </row>
    <row r="427" customFormat="false" ht="15" hidden="false" customHeight="false" outlineLevel="0" collapsed="false">
      <c r="K427" s="56" t="n">
        <f aca="false">K426+1</f>
        <v>420</v>
      </c>
      <c r="L427" s="57" t="n">
        <f aca="false">IF(AND(K427&lt;=Assumptions!$C$42,L426=1,P426=0,O426&gt;Assumptions!$C$43),1,0)</f>
        <v>0</v>
      </c>
      <c r="M427" s="58" t="n">
        <f aca="false">O426</f>
        <v>1.04062110040104E-008</v>
      </c>
      <c r="N427" s="58" t="n">
        <f aca="false">IF(L427=1,M427*$B$25,0)</f>
        <v>0</v>
      </c>
      <c r="O427" s="58" t="n">
        <f aca="false">IF(L427=1,M427+N427-$B$29,M427)</f>
        <v>1.04062110040104E-008</v>
      </c>
      <c r="P427" s="56" t="n">
        <f aca="false">IF(L427=1,IF($B$29&lt;=N427,1,0),0)</f>
        <v>0</v>
      </c>
      <c r="Q427" s="58" t="n">
        <f aca="false">Q426+N427</f>
        <v>215608.5191027</v>
      </c>
    </row>
    <row r="428" customFormat="false" ht="15" hidden="false" customHeight="false" outlineLevel="0" collapsed="false">
      <c r="K428" s="56" t="n">
        <f aca="false">K427+1</f>
        <v>421</v>
      </c>
      <c r="L428" s="57" t="n">
        <f aca="false">IF(AND(K428&lt;=Assumptions!$C$42,L427=1,P427=0,O427&gt;Assumptions!$C$43),1,0)</f>
        <v>0</v>
      </c>
      <c r="M428" s="58" t="n">
        <f aca="false">O427</f>
        <v>1.04062110040104E-008</v>
      </c>
      <c r="N428" s="58" t="n">
        <f aca="false">IF(L428=1,M428*$B$25,0)</f>
        <v>0</v>
      </c>
      <c r="O428" s="58" t="n">
        <f aca="false">IF(L428=1,M428+N428-$B$29,M428)</f>
        <v>1.04062110040104E-008</v>
      </c>
      <c r="P428" s="56" t="n">
        <f aca="false">IF(L428=1,IF($B$29&lt;=N428,1,0),0)</f>
        <v>0</v>
      </c>
      <c r="Q428" s="58" t="n">
        <f aca="false">Q427+N428</f>
        <v>215608.5191027</v>
      </c>
    </row>
    <row r="429" customFormat="false" ht="15" hidden="false" customHeight="false" outlineLevel="0" collapsed="false">
      <c r="K429" s="56" t="n">
        <f aca="false">K428+1</f>
        <v>422</v>
      </c>
      <c r="L429" s="57" t="n">
        <f aca="false">IF(AND(K429&lt;=Assumptions!$C$42,L428=1,P428=0,O428&gt;Assumptions!$C$43),1,0)</f>
        <v>0</v>
      </c>
      <c r="M429" s="58" t="n">
        <f aca="false">O428</f>
        <v>1.04062110040104E-008</v>
      </c>
      <c r="N429" s="58" t="n">
        <f aca="false">IF(L429=1,M429*$B$25,0)</f>
        <v>0</v>
      </c>
      <c r="O429" s="58" t="n">
        <f aca="false">IF(L429=1,M429+N429-$B$29,M429)</f>
        <v>1.04062110040104E-008</v>
      </c>
      <c r="P429" s="56" t="n">
        <f aca="false">IF(L429=1,IF($B$29&lt;=N429,1,0),0)</f>
        <v>0</v>
      </c>
      <c r="Q429" s="58" t="n">
        <f aca="false">Q428+N429</f>
        <v>215608.5191027</v>
      </c>
    </row>
    <row r="430" customFormat="false" ht="15" hidden="false" customHeight="false" outlineLevel="0" collapsed="false">
      <c r="K430" s="56" t="n">
        <f aca="false">K429+1</f>
        <v>423</v>
      </c>
      <c r="L430" s="57" t="n">
        <f aca="false">IF(AND(K430&lt;=Assumptions!$C$42,L429=1,P429=0,O429&gt;Assumptions!$C$43),1,0)</f>
        <v>0</v>
      </c>
      <c r="M430" s="58" t="n">
        <f aca="false">O429</f>
        <v>1.04062110040104E-008</v>
      </c>
      <c r="N430" s="58" t="n">
        <f aca="false">IF(L430=1,M430*$B$25,0)</f>
        <v>0</v>
      </c>
      <c r="O430" s="58" t="n">
        <f aca="false">IF(L430=1,M430+N430-$B$29,M430)</f>
        <v>1.04062110040104E-008</v>
      </c>
      <c r="P430" s="56" t="n">
        <f aca="false">IF(L430=1,IF($B$29&lt;=N430,1,0),0)</f>
        <v>0</v>
      </c>
      <c r="Q430" s="58" t="n">
        <f aca="false">Q429+N430</f>
        <v>215608.5191027</v>
      </c>
    </row>
    <row r="431" customFormat="false" ht="15" hidden="false" customHeight="false" outlineLevel="0" collapsed="false">
      <c r="K431" s="56" t="n">
        <f aca="false">K430+1</f>
        <v>424</v>
      </c>
      <c r="L431" s="57" t="n">
        <f aca="false">IF(AND(K431&lt;=Assumptions!$C$42,L430=1,P430=0,O430&gt;Assumptions!$C$43),1,0)</f>
        <v>0</v>
      </c>
      <c r="M431" s="58" t="n">
        <f aca="false">O430</f>
        <v>1.04062110040104E-008</v>
      </c>
      <c r="N431" s="58" t="n">
        <f aca="false">IF(L431=1,M431*$B$25,0)</f>
        <v>0</v>
      </c>
      <c r="O431" s="58" t="n">
        <f aca="false">IF(L431=1,M431+N431-$B$29,M431)</f>
        <v>1.04062110040104E-008</v>
      </c>
      <c r="P431" s="56" t="n">
        <f aca="false">IF(L431=1,IF($B$29&lt;=N431,1,0),0)</f>
        <v>0</v>
      </c>
      <c r="Q431" s="58" t="n">
        <f aca="false">Q430+N431</f>
        <v>215608.5191027</v>
      </c>
    </row>
    <row r="432" customFormat="false" ht="15" hidden="false" customHeight="false" outlineLevel="0" collapsed="false">
      <c r="K432" s="56" t="n">
        <f aca="false">K431+1</f>
        <v>425</v>
      </c>
      <c r="L432" s="57" t="n">
        <f aca="false">IF(AND(K432&lt;=Assumptions!$C$42,L431=1,P431=0,O431&gt;Assumptions!$C$43),1,0)</f>
        <v>0</v>
      </c>
      <c r="M432" s="58" t="n">
        <f aca="false">O431</f>
        <v>1.04062110040104E-008</v>
      </c>
      <c r="N432" s="58" t="n">
        <f aca="false">IF(L432=1,M432*$B$25,0)</f>
        <v>0</v>
      </c>
      <c r="O432" s="58" t="n">
        <f aca="false">IF(L432=1,M432+N432-$B$29,M432)</f>
        <v>1.04062110040104E-008</v>
      </c>
      <c r="P432" s="56" t="n">
        <f aca="false">IF(L432=1,IF($B$29&lt;=N432,1,0),0)</f>
        <v>0</v>
      </c>
      <c r="Q432" s="58" t="n">
        <f aca="false">Q431+N432</f>
        <v>215608.5191027</v>
      </c>
    </row>
    <row r="433" customFormat="false" ht="15" hidden="false" customHeight="false" outlineLevel="0" collapsed="false">
      <c r="K433" s="56" t="n">
        <f aca="false">K432+1</f>
        <v>426</v>
      </c>
      <c r="L433" s="57" t="n">
        <f aca="false">IF(AND(K433&lt;=Assumptions!$C$42,L432=1,P432=0,O432&gt;Assumptions!$C$43),1,0)</f>
        <v>0</v>
      </c>
      <c r="M433" s="58" t="n">
        <f aca="false">O432</f>
        <v>1.04062110040104E-008</v>
      </c>
      <c r="N433" s="58" t="n">
        <f aca="false">IF(L433=1,M433*$B$25,0)</f>
        <v>0</v>
      </c>
      <c r="O433" s="58" t="n">
        <f aca="false">IF(L433=1,M433+N433-$B$29,M433)</f>
        <v>1.04062110040104E-008</v>
      </c>
      <c r="P433" s="56" t="n">
        <f aca="false">IF(L433=1,IF($B$29&lt;=N433,1,0),0)</f>
        <v>0</v>
      </c>
      <c r="Q433" s="58" t="n">
        <f aca="false">Q432+N433</f>
        <v>215608.5191027</v>
      </c>
    </row>
    <row r="434" customFormat="false" ht="15" hidden="false" customHeight="false" outlineLevel="0" collapsed="false">
      <c r="K434" s="56" t="n">
        <f aca="false">K433+1</f>
        <v>427</v>
      </c>
      <c r="L434" s="57" t="n">
        <f aca="false">IF(AND(K434&lt;=Assumptions!$C$42,L433=1,P433=0,O433&gt;Assumptions!$C$43),1,0)</f>
        <v>0</v>
      </c>
      <c r="M434" s="58" t="n">
        <f aca="false">O433</f>
        <v>1.04062110040104E-008</v>
      </c>
      <c r="N434" s="58" t="n">
        <f aca="false">IF(L434=1,M434*$B$25,0)</f>
        <v>0</v>
      </c>
      <c r="O434" s="58" t="n">
        <f aca="false">IF(L434=1,M434+N434-$B$29,M434)</f>
        <v>1.04062110040104E-008</v>
      </c>
      <c r="P434" s="56" t="n">
        <f aca="false">IF(L434=1,IF($B$29&lt;=N434,1,0),0)</f>
        <v>0</v>
      </c>
      <c r="Q434" s="58" t="n">
        <f aca="false">Q433+N434</f>
        <v>215608.5191027</v>
      </c>
    </row>
    <row r="435" customFormat="false" ht="15" hidden="false" customHeight="false" outlineLevel="0" collapsed="false">
      <c r="K435" s="56" t="n">
        <f aca="false">K434+1</f>
        <v>428</v>
      </c>
      <c r="L435" s="57" t="n">
        <f aca="false">IF(AND(K435&lt;=Assumptions!$C$42,L434=1,P434=0,O434&gt;Assumptions!$C$43),1,0)</f>
        <v>0</v>
      </c>
      <c r="M435" s="58" t="n">
        <f aca="false">O434</f>
        <v>1.04062110040104E-008</v>
      </c>
      <c r="N435" s="58" t="n">
        <f aca="false">IF(L435=1,M435*$B$25,0)</f>
        <v>0</v>
      </c>
      <c r="O435" s="58" t="n">
        <f aca="false">IF(L435=1,M435+N435-$B$29,M435)</f>
        <v>1.04062110040104E-008</v>
      </c>
      <c r="P435" s="56" t="n">
        <f aca="false">IF(L435=1,IF($B$29&lt;=N435,1,0),0)</f>
        <v>0</v>
      </c>
      <c r="Q435" s="58" t="n">
        <f aca="false">Q434+N435</f>
        <v>215608.5191027</v>
      </c>
    </row>
    <row r="436" customFormat="false" ht="15" hidden="false" customHeight="false" outlineLevel="0" collapsed="false">
      <c r="K436" s="56" t="n">
        <f aca="false">K435+1</f>
        <v>429</v>
      </c>
      <c r="L436" s="57" t="n">
        <f aca="false">IF(AND(K436&lt;=Assumptions!$C$42,L435=1,P435=0,O435&gt;Assumptions!$C$43),1,0)</f>
        <v>0</v>
      </c>
      <c r="M436" s="58" t="n">
        <f aca="false">O435</f>
        <v>1.04062110040104E-008</v>
      </c>
      <c r="N436" s="58" t="n">
        <f aca="false">IF(L436=1,M436*$B$25,0)</f>
        <v>0</v>
      </c>
      <c r="O436" s="58" t="n">
        <f aca="false">IF(L436=1,M436+N436-$B$29,M436)</f>
        <v>1.04062110040104E-008</v>
      </c>
      <c r="P436" s="56" t="n">
        <f aca="false">IF(L436=1,IF($B$29&lt;=N436,1,0),0)</f>
        <v>0</v>
      </c>
      <c r="Q436" s="58" t="n">
        <f aca="false">Q435+N436</f>
        <v>215608.5191027</v>
      </c>
    </row>
    <row r="437" customFormat="false" ht="15" hidden="false" customHeight="false" outlineLevel="0" collapsed="false">
      <c r="K437" s="56" t="n">
        <f aca="false">K436+1</f>
        <v>430</v>
      </c>
      <c r="L437" s="57" t="n">
        <f aca="false">IF(AND(K437&lt;=Assumptions!$C$42,L436=1,P436=0,O436&gt;Assumptions!$C$43),1,0)</f>
        <v>0</v>
      </c>
      <c r="M437" s="58" t="n">
        <f aca="false">O436</f>
        <v>1.04062110040104E-008</v>
      </c>
      <c r="N437" s="58" t="n">
        <f aca="false">IF(L437=1,M437*$B$25,0)</f>
        <v>0</v>
      </c>
      <c r="O437" s="58" t="n">
        <f aca="false">IF(L437=1,M437+N437-$B$29,M437)</f>
        <v>1.04062110040104E-008</v>
      </c>
      <c r="P437" s="56" t="n">
        <f aca="false">IF(L437=1,IF($B$29&lt;=N437,1,0),0)</f>
        <v>0</v>
      </c>
      <c r="Q437" s="58" t="n">
        <f aca="false">Q436+N437</f>
        <v>215608.5191027</v>
      </c>
    </row>
    <row r="438" customFormat="false" ht="15" hidden="false" customHeight="false" outlineLevel="0" collapsed="false">
      <c r="K438" s="56" t="n">
        <f aca="false">K437+1</f>
        <v>431</v>
      </c>
      <c r="L438" s="57" t="n">
        <f aca="false">IF(AND(K438&lt;=Assumptions!$C$42,L437=1,P437=0,O437&gt;Assumptions!$C$43),1,0)</f>
        <v>0</v>
      </c>
      <c r="M438" s="58" t="n">
        <f aca="false">O437</f>
        <v>1.04062110040104E-008</v>
      </c>
      <c r="N438" s="58" t="n">
        <f aca="false">IF(L438=1,M438*$B$25,0)</f>
        <v>0</v>
      </c>
      <c r="O438" s="58" t="n">
        <f aca="false">IF(L438=1,M438+N438-$B$29,M438)</f>
        <v>1.04062110040104E-008</v>
      </c>
      <c r="P438" s="56" t="n">
        <f aca="false">IF(L438=1,IF($B$29&lt;=N438,1,0),0)</f>
        <v>0</v>
      </c>
      <c r="Q438" s="58" t="n">
        <f aca="false">Q437+N438</f>
        <v>215608.5191027</v>
      </c>
    </row>
    <row r="439" customFormat="false" ht="15" hidden="false" customHeight="false" outlineLevel="0" collapsed="false">
      <c r="K439" s="56" t="n">
        <f aca="false">K438+1</f>
        <v>432</v>
      </c>
      <c r="L439" s="57" t="n">
        <f aca="false">IF(AND(K439&lt;=Assumptions!$C$42,L438=1,P438=0,O438&gt;Assumptions!$C$43),1,0)</f>
        <v>0</v>
      </c>
      <c r="M439" s="58" t="n">
        <f aca="false">O438</f>
        <v>1.04062110040104E-008</v>
      </c>
      <c r="N439" s="58" t="n">
        <f aca="false">IF(L439=1,M439*$B$25,0)</f>
        <v>0</v>
      </c>
      <c r="O439" s="58" t="n">
        <f aca="false">IF(L439=1,M439+N439-$B$29,M439)</f>
        <v>1.04062110040104E-008</v>
      </c>
      <c r="P439" s="56" t="n">
        <f aca="false">IF(L439=1,IF($B$29&lt;=N439,1,0),0)</f>
        <v>0</v>
      </c>
      <c r="Q439" s="58" t="n">
        <f aca="false">Q438+N439</f>
        <v>215608.5191027</v>
      </c>
    </row>
    <row r="440" customFormat="false" ht="15" hidden="false" customHeight="false" outlineLevel="0" collapsed="false">
      <c r="K440" s="56" t="n">
        <f aca="false">K439+1</f>
        <v>433</v>
      </c>
      <c r="L440" s="57" t="n">
        <f aca="false">IF(AND(K440&lt;=Assumptions!$C$42,L439=1,P439=0,O439&gt;Assumptions!$C$43),1,0)</f>
        <v>0</v>
      </c>
      <c r="M440" s="58" t="n">
        <f aca="false">O439</f>
        <v>1.04062110040104E-008</v>
      </c>
      <c r="N440" s="58" t="n">
        <f aca="false">IF(L440=1,M440*$B$25,0)</f>
        <v>0</v>
      </c>
      <c r="O440" s="58" t="n">
        <f aca="false">IF(L440=1,M440+N440-$B$29,M440)</f>
        <v>1.04062110040104E-008</v>
      </c>
      <c r="P440" s="56" t="n">
        <f aca="false">IF(L440=1,IF($B$29&lt;=N440,1,0),0)</f>
        <v>0</v>
      </c>
      <c r="Q440" s="58" t="n">
        <f aca="false">Q439+N440</f>
        <v>215608.5191027</v>
      </c>
    </row>
    <row r="441" customFormat="false" ht="15" hidden="false" customHeight="false" outlineLevel="0" collapsed="false">
      <c r="K441" s="56" t="n">
        <f aca="false">K440+1</f>
        <v>434</v>
      </c>
      <c r="L441" s="57" t="n">
        <f aca="false">IF(AND(K441&lt;=Assumptions!$C$42,L440=1,P440=0,O440&gt;Assumptions!$C$43),1,0)</f>
        <v>0</v>
      </c>
      <c r="M441" s="58" t="n">
        <f aca="false">O440</f>
        <v>1.04062110040104E-008</v>
      </c>
      <c r="N441" s="58" t="n">
        <f aca="false">IF(L441=1,M441*$B$25,0)</f>
        <v>0</v>
      </c>
      <c r="O441" s="58" t="n">
        <f aca="false">IF(L441=1,M441+N441-$B$29,M441)</f>
        <v>1.04062110040104E-008</v>
      </c>
      <c r="P441" s="56" t="n">
        <f aca="false">IF(L441=1,IF($B$29&lt;=N441,1,0),0)</f>
        <v>0</v>
      </c>
      <c r="Q441" s="58" t="n">
        <f aca="false">Q440+N441</f>
        <v>215608.5191027</v>
      </c>
    </row>
    <row r="442" customFormat="false" ht="15" hidden="false" customHeight="false" outlineLevel="0" collapsed="false">
      <c r="K442" s="56" t="n">
        <f aca="false">K441+1</f>
        <v>435</v>
      </c>
      <c r="L442" s="57" t="n">
        <f aca="false">IF(AND(K442&lt;=Assumptions!$C$42,L441=1,P441=0,O441&gt;Assumptions!$C$43),1,0)</f>
        <v>0</v>
      </c>
      <c r="M442" s="58" t="n">
        <f aca="false">O441</f>
        <v>1.04062110040104E-008</v>
      </c>
      <c r="N442" s="58" t="n">
        <f aca="false">IF(L442=1,M442*$B$25,0)</f>
        <v>0</v>
      </c>
      <c r="O442" s="58" t="n">
        <f aca="false">IF(L442=1,M442+N442-$B$29,M442)</f>
        <v>1.04062110040104E-008</v>
      </c>
      <c r="P442" s="56" t="n">
        <f aca="false">IF(L442=1,IF($B$29&lt;=N442,1,0),0)</f>
        <v>0</v>
      </c>
      <c r="Q442" s="58" t="n">
        <f aca="false">Q441+N442</f>
        <v>215608.5191027</v>
      </c>
    </row>
    <row r="443" customFormat="false" ht="15" hidden="false" customHeight="false" outlineLevel="0" collapsed="false">
      <c r="K443" s="56" t="n">
        <f aca="false">K442+1</f>
        <v>436</v>
      </c>
      <c r="L443" s="57" t="n">
        <f aca="false">IF(AND(K443&lt;=Assumptions!$C$42,L442=1,P442=0,O442&gt;Assumptions!$C$43),1,0)</f>
        <v>0</v>
      </c>
      <c r="M443" s="58" t="n">
        <f aca="false">O442</f>
        <v>1.04062110040104E-008</v>
      </c>
      <c r="N443" s="58" t="n">
        <f aca="false">IF(L443=1,M443*$B$25,0)</f>
        <v>0</v>
      </c>
      <c r="O443" s="58" t="n">
        <f aca="false">IF(L443=1,M443+N443-$B$29,M443)</f>
        <v>1.04062110040104E-008</v>
      </c>
      <c r="P443" s="56" t="n">
        <f aca="false">IF(L443=1,IF($B$29&lt;=N443,1,0),0)</f>
        <v>0</v>
      </c>
      <c r="Q443" s="58" t="n">
        <f aca="false">Q442+N443</f>
        <v>215608.5191027</v>
      </c>
    </row>
    <row r="444" customFormat="false" ht="15" hidden="false" customHeight="false" outlineLevel="0" collapsed="false">
      <c r="K444" s="56" t="n">
        <f aca="false">K443+1</f>
        <v>437</v>
      </c>
      <c r="L444" s="57" t="n">
        <f aca="false">IF(AND(K444&lt;=Assumptions!$C$42,L443=1,P443=0,O443&gt;Assumptions!$C$43),1,0)</f>
        <v>0</v>
      </c>
      <c r="M444" s="58" t="n">
        <f aca="false">O443</f>
        <v>1.04062110040104E-008</v>
      </c>
      <c r="N444" s="58" t="n">
        <f aca="false">IF(L444=1,M444*$B$25,0)</f>
        <v>0</v>
      </c>
      <c r="O444" s="58" t="n">
        <f aca="false">IF(L444=1,M444+N444-$B$29,M444)</f>
        <v>1.04062110040104E-008</v>
      </c>
      <c r="P444" s="56" t="n">
        <f aca="false">IF(L444=1,IF($B$29&lt;=N444,1,0),0)</f>
        <v>0</v>
      </c>
      <c r="Q444" s="58" t="n">
        <f aca="false">Q443+N444</f>
        <v>215608.5191027</v>
      </c>
    </row>
    <row r="445" customFormat="false" ht="15" hidden="false" customHeight="false" outlineLevel="0" collapsed="false">
      <c r="K445" s="56" t="n">
        <f aca="false">K444+1</f>
        <v>438</v>
      </c>
      <c r="L445" s="57" t="n">
        <f aca="false">IF(AND(K445&lt;=Assumptions!$C$42,L444=1,P444=0,O444&gt;Assumptions!$C$43),1,0)</f>
        <v>0</v>
      </c>
      <c r="M445" s="58" t="n">
        <f aca="false">O444</f>
        <v>1.04062110040104E-008</v>
      </c>
      <c r="N445" s="58" t="n">
        <f aca="false">IF(L445=1,M445*$B$25,0)</f>
        <v>0</v>
      </c>
      <c r="O445" s="58" t="n">
        <f aca="false">IF(L445=1,M445+N445-$B$29,M445)</f>
        <v>1.04062110040104E-008</v>
      </c>
      <c r="P445" s="56" t="n">
        <f aca="false">IF(L445=1,IF($B$29&lt;=N445,1,0),0)</f>
        <v>0</v>
      </c>
      <c r="Q445" s="58" t="n">
        <f aca="false">Q444+N445</f>
        <v>215608.5191027</v>
      </c>
    </row>
    <row r="446" customFormat="false" ht="15" hidden="false" customHeight="false" outlineLevel="0" collapsed="false">
      <c r="K446" s="56" t="n">
        <f aca="false">K445+1</f>
        <v>439</v>
      </c>
      <c r="L446" s="57" t="n">
        <f aca="false">IF(AND(K446&lt;=Assumptions!$C$42,L445=1,P445=0,O445&gt;Assumptions!$C$43),1,0)</f>
        <v>0</v>
      </c>
      <c r="M446" s="58" t="n">
        <f aca="false">O445</f>
        <v>1.04062110040104E-008</v>
      </c>
      <c r="N446" s="58" t="n">
        <f aca="false">IF(L446=1,M446*$B$25,0)</f>
        <v>0</v>
      </c>
      <c r="O446" s="58" t="n">
        <f aca="false">IF(L446=1,M446+N446-$B$29,M446)</f>
        <v>1.04062110040104E-008</v>
      </c>
      <c r="P446" s="56" t="n">
        <f aca="false">IF(L446=1,IF($B$29&lt;=N446,1,0),0)</f>
        <v>0</v>
      </c>
      <c r="Q446" s="58" t="n">
        <f aca="false">Q445+N446</f>
        <v>215608.5191027</v>
      </c>
    </row>
    <row r="447" customFormat="false" ht="15" hidden="false" customHeight="false" outlineLevel="0" collapsed="false">
      <c r="K447" s="56" t="n">
        <f aca="false">K446+1</f>
        <v>440</v>
      </c>
      <c r="L447" s="57" t="n">
        <f aca="false">IF(AND(K447&lt;=Assumptions!$C$42,L446=1,P446=0,O446&gt;Assumptions!$C$43),1,0)</f>
        <v>0</v>
      </c>
      <c r="M447" s="58" t="n">
        <f aca="false">O446</f>
        <v>1.04062110040104E-008</v>
      </c>
      <c r="N447" s="58" t="n">
        <f aca="false">IF(L447=1,M447*$B$25,0)</f>
        <v>0</v>
      </c>
      <c r="O447" s="58" t="n">
        <f aca="false">IF(L447=1,M447+N447-$B$29,M447)</f>
        <v>1.04062110040104E-008</v>
      </c>
      <c r="P447" s="56" t="n">
        <f aca="false">IF(L447=1,IF($B$29&lt;=N447,1,0),0)</f>
        <v>0</v>
      </c>
      <c r="Q447" s="58" t="n">
        <f aca="false">Q446+N447</f>
        <v>215608.5191027</v>
      </c>
    </row>
    <row r="448" customFormat="false" ht="15" hidden="false" customHeight="false" outlineLevel="0" collapsed="false">
      <c r="K448" s="56" t="n">
        <f aca="false">K447+1</f>
        <v>441</v>
      </c>
      <c r="L448" s="57" t="n">
        <f aca="false">IF(AND(K448&lt;=Assumptions!$C$42,L447=1,P447=0,O447&gt;Assumptions!$C$43),1,0)</f>
        <v>0</v>
      </c>
      <c r="M448" s="58" t="n">
        <f aca="false">O447</f>
        <v>1.04062110040104E-008</v>
      </c>
      <c r="N448" s="58" t="n">
        <f aca="false">IF(L448=1,M448*$B$25,0)</f>
        <v>0</v>
      </c>
      <c r="O448" s="58" t="n">
        <f aca="false">IF(L448=1,M448+N448-$B$29,M448)</f>
        <v>1.04062110040104E-008</v>
      </c>
      <c r="P448" s="56" t="n">
        <f aca="false">IF(L448=1,IF($B$29&lt;=N448,1,0),0)</f>
        <v>0</v>
      </c>
      <c r="Q448" s="58" t="n">
        <f aca="false">Q447+N448</f>
        <v>215608.5191027</v>
      </c>
    </row>
    <row r="449" customFormat="false" ht="15" hidden="false" customHeight="false" outlineLevel="0" collapsed="false">
      <c r="K449" s="56" t="n">
        <f aca="false">K448+1</f>
        <v>442</v>
      </c>
      <c r="L449" s="57" t="n">
        <f aca="false">IF(AND(K449&lt;=Assumptions!$C$42,L448=1,P448=0,O448&gt;Assumptions!$C$43),1,0)</f>
        <v>0</v>
      </c>
      <c r="M449" s="58" t="n">
        <f aca="false">O448</f>
        <v>1.04062110040104E-008</v>
      </c>
      <c r="N449" s="58" t="n">
        <f aca="false">IF(L449=1,M449*$B$25,0)</f>
        <v>0</v>
      </c>
      <c r="O449" s="58" t="n">
        <f aca="false">IF(L449=1,M449+N449-$B$29,M449)</f>
        <v>1.04062110040104E-008</v>
      </c>
      <c r="P449" s="56" t="n">
        <f aca="false">IF(L449=1,IF($B$29&lt;=N449,1,0),0)</f>
        <v>0</v>
      </c>
      <c r="Q449" s="58" t="n">
        <f aca="false">Q448+N449</f>
        <v>215608.5191027</v>
      </c>
    </row>
    <row r="450" customFormat="false" ht="15" hidden="false" customHeight="false" outlineLevel="0" collapsed="false">
      <c r="K450" s="56" t="n">
        <f aca="false">K449+1</f>
        <v>443</v>
      </c>
      <c r="L450" s="57" t="n">
        <f aca="false">IF(AND(K450&lt;=Assumptions!$C$42,L449=1,P449=0,O449&gt;Assumptions!$C$43),1,0)</f>
        <v>0</v>
      </c>
      <c r="M450" s="58" t="n">
        <f aca="false">O449</f>
        <v>1.04062110040104E-008</v>
      </c>
      <c r="N450" s="58" t="n">
        <f aca="false">IF(L450=1,M450*$B$25,0)</f>
        <v>0</v>
      </c>
      <c r="O450" s="58" t="n">
        <f aca="false">IF(L450=1,M450+N450-$B$29,M450)</f>
        <v>1.04062110040104E-008</v>
      </c>
      <c r="P450" s="56" t="n">
        <f aca="false">IF(L450=1,IF($B$29&lt;=N450,1,0),0)</f>
        <v>0</v>
      </c>
      <c r="Q450" s="58" t="n">
        <f aca="false">Q449+N450</f>
        <v>215608.5191027</v>
      </c>
    </row>
    <row r="451" customFormat="false" ht="15" hidden="false" customHeight="false" outlineLevel="0" collapsed="false">
      <c r="K451" s="56" t="n">
        <f aca="false">K450+1</f>
        <v>444</v>
      </c>
      <c r="L451" s="57" t="n">
        <f aca="false">IF(AND(K451&lt;=Assumptions!$C$42,L450=1,P450=0,O450&gt;Assumptions!$C$43),1,0)</f>
        <v>0</v>
      </c>
      <c r="M451" s="58" t="n">
        <f aca="false">O450</f>
        <v>1.04062110040104E-008</v>
      </c>
      <c r="N451" s="58" t="n">
        <f aca="false">IF(L451=1,M451*$B$25,0)</f>
        <v>0</v>
      </c>
      <c r="O451" s="58" t="n">
        <f aca="false">IF(L451=1,M451+N451-$B$29,M451)</f>
        <v>1.04062110040104E-008</v>
      </c>
      <c r="P451" s="56" t="n">
        <f aca="false">IF(L451=1,IF($B$29&lt;=N451,1,0),0)</f>
        <v>0</v>
      </c>
      <c r="Q451" s="58" t="n">
        <f aca="false">Q450+N451</f>
        <v>215608.5191027</v>
      </c>
    </row>
    <row r="452" customFormat="false" ht="15" hidden="false" customHeight="false" outlineLevel="0" collapsed="false">
      <c r="K452" s="56" t="n">
        <f aca="false">K451+1</f>
        <v>445</v>
      </c>
      <c r="L452" s="57" t="n">
        <f aca="false">IF(AND(K452&lt;=Assumptions!$C$42,L451=1,P451=0,O451&gt;Assumptions!$C$43),1,0)</f>
        <v>0</v>
      </c>
      <c r="M452" s="58" t="n">
        <f aca="false">O451</f>
        <v>1.04062110040104E-008</v>
      </c>
      <c r="N452" s="58" t="n">
        <f aca="false">IF(L452=1,M452*$B$25,0)</f>
        <v>0</v>
      </c>
      <c r="O452" s="58" t="n">
        <f aca="false">IF(L452=1,M452+N452-$B$29,M452)</f>
        <v>1.04062110040104E-008</v>
      </c>
      <c r="P452" s="56" t="n">
        <f aca="false">IF(L452=1,IF($B$29&lt;=N452,1,0),0)</f>
        <v>0</v>
      </c>
      <c r="Q452" s="58" t="n">
        <f aca="false">Q451+N452</f>
        <v>215608.5191027</v>
      </c>
    </row>
    <row r="453" customFormat="false" ht="15" hidden="false" customHeight="false" outlineLevel="0" collapsed="false">
      <c r="K453" s="56" t="n">
        <f aca="false">K452+1</f>
        <v>446</v>
      </c>
      <c r="L453" s="57" t="n">
        <f aca="false">IF(AND(K453&lt;=Assumptions!$C$42,L452=1,P452=0,O452&gt;Assumptions!$C$43),1,0)</f>
        <v>0</v>
      </c>
      <c r="M453" s="58" t="n">
        <f aca="false">O452</f>
        <v>1.04062110040104E-008</v>
      </c>
      <c r="N453" s="58" t="n">
        <f aca="false">IF(L453=1,M453*$B$25,0)</f>
        <v>0</v>
      </c>
      <c r="O453" s="58" t="n">
        <f aca="false">IF(L453=1,M453+N453-$B$29,M453)</f>
        <v>1.04062110040104E-008</v>
      </c>
      <c r="P453" s="56" t="n">
        <f aca="false">IF(L453=1,IF($B$29&lt;=N453,1,0),0)</f>
        <v>0</v>
      </c>
      <c r="Q453" s="58" t="n">
        <f aca="false">Q452+N453</f>
        <v>215608.5191027</v>
      </c>
    </row>
    <row r="454" customFormat="false" ht="15" hidden="false" customHeight="false" outlineLevel="0" collapsed="false">
      <c r="K454" s="56" t="n">
        <f aca="false">K453+1</f>
        <v>447</v>
      </c>
      <c r="L454" s="57" t="n">
        <f aca="false">IF(AND(K454&lt;=Assumptions!$C$42,L453=1,P453=0,O453&gt;Assumptions!$C$43),1,0)</f>
        <v>0</v>
      </c>
      <c r="M454" s="58" t="n">
        <f aca="false">O453</f>
        <v>1.04062110040104E-008</v>
      </c>
      <c r="N454" s="58" t="n">
        <f aca="false">IF(L454=1,M454*$B$25,0)</f>
        <v>0</v>
      </c>
      <c r="O454" s="58" t="n">
        <f aca="false">IF(L454=1,M454+N454-$B$29,M454)</f>
        <v>1.04062110040104E-008</v>
      </c>
      <c r="P454" s="56" t="n">
        <f aca="false">IF(L454=1,IF($B$29&lt;=N454,1,0),0)</f>
        <v>0</v>
      </c>
      <c r="Q454" s="58" t="n">
        <f aca="false">Q453+N454</f>
        <v>215608.5191027</v>
      </c>
    </row>
    <row r="455" customFormat="false" ht="15" hidden="false" customHeight="false" outlineLevel="0" collapsed="false">
      <c r="K455" s="56" t="n">
        <f aca="false">K454+1</f>
        <v>448</v>
      </c>
      <c r="L455" s="57" t="n">
        <f aca="false">IF(AND(K455&lt;=Assumptions!$C$42,L454=1,P454=0,O454&gt;Assumptions!$C$43),1,0)</f>
        <v>0</v>
      </c>
      <c r="M455" s="58" t="n">
        <f aca="false">O454</f>
        <v>1.04062110040104E-008</v>
      </c>
      <c r="N455" s="58" t="n">
        <f aca="false">IF(L455=1,M455*$B$25,0)</f>
        <v>0</v>
      </c>
      <c r="O455" s="58" t="n">
        <f aca="false">IF(L455=1,M455+N455-$B$29,M455)</f>
        <v>1.04062110040104E-008</v>
      </c>
      <c r="P455" s="56" t="n">
        <f aca="false">IF(L455=1,IF($B$29&lt;=N455,1,0),0)</f>
        <v>0</v>
      </c>
      <c r="Q455" s="58" t="n">
        <f aca="false">Q454+N455</f>
        <v>215608.5191027</v>
      </c>
    </row>
    <row r="456" customFormat="false" ht="15" hidden="false" customHeight="false" outlineLevel="0" collapsed="false">
      <c r="K456" s="56" t="n">
        <f aca="false">K455+1</f>
        <v>449</v>
      </c>
      <c r="L456" s="57" t="n">
        <f aca="false">IF(AND(K456&lt;=Assumptions!$C$42,L455=1,P455=0,O455&gt;Assumptions!$C$43),1,0)</f>
        <v>0</v>
      </c>
      <c r="M456" s="58" t="n">
        <f aca="false">O455</f>
        <v>1.04062110040104E-008</v>
      </c>
      <c r="N456" s="58" t="n">
        <f aca="false">IF(L456=1,M456*$B$25,0)</f>
        <v>0</v>
      </c>
      <c r="O456" s="58" t="n">
        <f aca="false">IF(L456=1,M456+N456-$B$29,M456)</f>
        <v>1.04062110040104E-008</v>
      </c>
      <c r="P456" s="56" t="n">
        <f aca="false">IF(L456=1,IF($B$29&lt;=N456,1,0),0)</f>
        <v>0</v>
      </c>
      <c r="Q456" s="58" t="n">
        <f aca="false">Q455+N456</f>
        <v>215608.5191027</v>
      </c>
    </row>
    <row r="457" customFormat="false" ht="15" hidden="false" customHeight="false" outlineLevel="0" collapsed="false">
      <c r="K457" s="56" t="n">
        <f aca="false">K456+1</f>
        <v>450</v>
      </c>
      <c r="L457" s="57" t="n">
        <f aca="false">IF(AND(K457&lt;=Assumptions!$C$42,L456=1,P456=0,O456&gt;Assumptions!$C$43),1,0)</f>
        <v>0</v>
      </c>
      <c r="M457" s="58" t="n">
        <f aca="false">O456</f>
        <v>1.04062110040104E-008</v>
      </c>
      <c r="N457" s="58" t="n">
        <f aca="false">IF(L457=1,M457*$B$25,0)</f>
        <v>0</v>
      </c>
      <c r="O457" s="58" t="n">
        <f aca="false">IF(L457=1,M457+N457-$B$29,M457)</f>
        <v>1.04062110040104E-008</v>
      </c>
      <c r="P457" s="56" t="n">
        <f aca="false">IF(L457=1,IF($B$29&lt;=N457,1,0),0)</f>
        <v>0</v>
      </c>
      <c r="Q457" s="58" t="n">
        <f aca="false">Q456+N457</f>
        <v>215608.5191027</v>
      </c>
    </row>
    <row r="458" customFormat="false" ht="15" hidden="false" customHeight="false" outlineLevel="0" collapsed="false">
      <c r="K458" s="56" t="n">
        <f aca="false">K457+1</f>
        <v>451</v>
      </c>
      <c r="L458" s="57" t="n">
        <f aca="false">IF(AND(K458&lt;=Assumptions!$C$42,L457=1,P457=0,O457&gt;Assumptions!$C$43),1,0)</f>
        <v>0</v>
      </c>
      <c r="M458" s="58" t="n">
        <f aca="false">O457</f>
        <v>1.04062110040104E-008</v>
      </c>
      <c r="N458" s="58" t="n">
        <f aca="false">IF(L458=1,M458*$B$25,0)</f>
        <v>0</v>
      </c>
      <c r="O458" s="58" t="n">
        <f aca="false">IF(L458=1,M458+N458-$B$29,M458)</f>
        <v>1.04062110040104E-008</v>
      </c>
      <c r="P458" s="56" t="n">
        <f aca="false">IF(L458=1,IF($B$29&lt;=N458,1,0),0)</f>
        <v>0</v>
      </c>
      <c r="Q458" s="58" t="n">
        <f aca="false">Q457+N458</f>
        <v>215608.5191027</v>
      </c>
    </row>
    <row r="459" customFormat="false" ht="15" hidden="false" customHeight="false" outlineLevel="0" collapsed="false">
      <c r="K459" s="56" t="n">
        <f aca="false">K458+1</f>
        <v>452</v>
      </c>
      <c r="L459" s="57" t="n">
        <f aca="false">IF(AND(K459&lt;=Assumptions!$C$42,L458=1,P458=0,O458&gt;Assumptions!$C$43),1,0)</f>
        <v>0</v>
      </c>
      <c r="M459" s="58" t="n">
        <f aca="false">O458</f>
        <v>1.04062110040104E-008</v>
      </c>
      <c r="N459" s="58" t="n">
        <f aca="false">IF(L459=1,M459*$B$25,0)</f>
        <v>0</v>
      </c>
      <c r="O459" s="58" t="n">
        <f aca="false">IF(L459=1,M459+N459-$B$29,M459)</f>
        <v>1.04062110040104E-008</v>
      </c>
      <c r="P459" s="56" t="n">
        <f aca="false">IF(L459=1,IF($B$29&lt;=N459,1,0),0)</f>
        <v>0</v>
      </c>
      <c r="Q459" s="58" t="n">
        <f aca="false">Q458+N459</f>
        <v>215608.5191027</v>
      </c>
    </row>
    <row r="460" customFormat="false" ht="15" hidden="false" customHeight="false" outlineLevel="0" collapsed="false">
      <c r="K460" s="56" t="n">
        <f aca="false">K459+1</f>
        <v>453</v>
      </c>
      <c r="L460" s="57" t="n">
        <f aca="false">IF(AND(K460&lt;=Assumptions!$C$42,L459=1,P459=0,O459&gt;Assumptions!$C$43),1,0)</f>
        <v>0</v>
      </c>
      <c r="M460" s="58" t="n">
        <f aca="false">O459</f>
        <v>1.04062110040104E-008</v>
      </c>
      <c r="N460" s="58" t="n">
        <f aca="false">IF(L460=1,M460*$B$25,0)</f>
        <v>0</v>
      </c>
      <c r="O460" s="58" t="n">
        <f aca="false">IF(L460=1,M460+N460-$B$29,M460)</f>
        <v>1.04062110040104E-008</v>
      </c>
      <c r="P460" s="56" t="n">
        <f aca="false">IF(L460=1,IF($B$29&lt;=N460,1,0),0)</f>
        <v>0</v>
      </c>
      <c r="Q460" s="58" t="n">
        <f aca="false">Q459+N460</f>
        <v>215608.5191027</v>
      </c>
    </row>
    <row r="461" customFormat="false" ht="15" hidden="false" customHeight="false" outlineLevel="0" collapsed="false">
      <c r="K461" s="56" t="n">
        <f aca="false">K460+1</f>
        <v>454</v>
      </c>
      <c r="L461" s="57" t="n">
        <f aca="false">IF(AND(K461&lt;=Assumptions!$C$42,L460=1,P460=0,O460&gt;Assumptions!$C$43),1,0)</f>
        <v>0</v>
      </c>
      <c r="M461" s="58" t="n">
        <f aca="false">O460</f>
        <v>1.04062110040104E-008</v>
      </c>
      <c r="N461" s="58" t="n">
        <f aca="false">IF(L461=1,M461*$B$25,0)</f>
        <v>0</v>
      </c>
      <c r="O461" s="58" t="n">
        <f aca="false">IF(L461=1,M461+N461-$B$29,M461)</f>
        <v>1.04062110040104E-008</v>
      </c>
      <c r="P461" s="56" t="n">
        <f aca="false">IF(L461=1,IF($B$29&lt;=N461,1,0),0)</f>
        <v>0</v>
      </c>
      <c r="Q461" s="58" t="n">
        <f aca="false">Q460+N461</f>
        <v>215608.5191027</v>
      </c>
    </row>
    <row r="462" customFormat="false" ht="15" hidden="false" customHeight="false" outlineLevel="0" collapsed="false">
      <c r="K462" s="56" t="n">
        <f aca="false">K461+1</f>
        <v>455</v>
      </c>
      <c r="L462" s="57" t="n">
        <f aca="false">IF(AND(K462&lt;=Assumptions!$C$42,L461=1,P461=0,O461&gt;Assumptions!$C$43),1,0)</f>
        <v>0</v>
      </c>
      <c r="M462" s="58" t="n">
        <f aca="false">O461</f>
        <v>1.04062110040104E-008</v>
      </c>
      <c r="N462" s="58" t="n">
        <f aca="false">IF(L462=1,M462*$B$25,0)</f>
        <v>0</v>
      </c>
      <c r="O462" s="58" t="n">
        <f aca="false">IF(L462=1,M462+N462-$B$29,M462)</f>
        <v>1.04062110040104E-008</v>
      </c>
      <c r="P462" s="56" t="n">
        <f aca="false">IF(L462=1,IF($B$29&lt;=N462,1,0),0)</f>
        <v>0</v>
      </c>
      <c r="Q462" s="58" t="n">
        <f aca="false">Q461+N462</f>
        <v>215608.5191027</v>
      </c>
    </row>
    <row r="463" customFormat="false" ht="15" hidden="false" customHeight="false" outlineLevel="0" collapsed="false">
      <c r="K463" s="56" t="n">
        <f aca="false">K462+1</f>
        <v>456</v>
      </c>
      <c r="L463" s="57" t="n">
        <f aca="false">IF(AND(K463&lt;=Assumptions!$C$42,L462=1,P462=0,O462&gt;Assumptions!$C$43),1,0)</f>
        <v>0</v>
      </c>
      <c r="M463" s="58" t="n">
        <f aca="false">O462</f>
        <v>1.04062110040104E-008</v>
      </c>
      <c r="N463" s="58" t="n">
        <f aca="false">IF(L463=1,M463*$B$25,0)</f>
        <v>0</v>
      </c>
      <c r="O463" s="58" t="n">
        <f aca="false">IF(L463=1,M463+N463-$B$29,M463)</f>
        <v>1.04062110040104E-008</v>
      </c>
      <c r="P463" s="56" t="n">
        <f aca="false">IF(L463=1,IF($B$29&lt;=N463,1,0),0)</f>
        <v>0</v>
      </c>
      <c r="Q463" s="58" t="n">
        <f aca="false">Q462+N463</f>
        <v>215608.5191027</v>
      </c>
    </row>
    <row r="464" customFormat="false" ht="15" hidden="false" customHeight="false" outlineLevel="0" collapsed="false">
      <c r="K464" s="56" t="n">
        <f aca="false">K463+1</f>
        <v>457</v>
      </c>
      <c r="L464" s="57" t="n">
        <f aca="false">IF(AND(K464&lt;=Assumptions!$C$42,L463=1,P463=0,O463&gt;Assumptions!$C$43),1,0)</f>
        <v>0</v>
      </c>
      <c r="M464" s="58" t="n">
        <f aca="false">O463</f>
        <v>1.04062110040104E-008</v>
      </c>
      <c r="N464" s="58" t="n">
        <f aca="false">IF(L464=1,M464*$B$25,0)</f>
        <v>0</v>
      </c>
      <c r="O464" s="58" t="n">
        <f aca="false">IF(L464=1,M464+N464-$B$29,M464)</f>
        <v>1.04062110040104E-008</v>
      </c>
      <c r="P464" s="56" t="n">
        <f aca="false">IF(L464=1,IF($B$29&lt;=N464,1,0),0)</f>
        <v>0</v>
      </c>
      <c r="Q464" s="58" t="n">
        <f aca="false">Q463+N464</f>
        <v>215608.5191027</v>
      </c>
    </row>
    <row r="465" customFormat="false" ht="15" hidden="false" customHeight="false" outlineLevel="0" collapsed="false">
      <c r="K465" s="56" t="n">
        <f aca="false">K464+1</f>
        <v>458</v>
      </c>
      <c r="L465" s="57" t="n">
        <f aca="false">IF(AND(K465&lt;=Assumptions!$C$42,L464=1,P464=0,O464&gt;Assumptions!$C$43),1,0)</f>
        <v>0</v>
      </c>
      <c r="M465" s="58" t="n">
        <f aca="false">O464</f>
        <v>1.04062110040104E-008</v>
      </c>
      <c r="N465" s="58" t="n">
        <f aca="false">IF(L465=1,M465*$B$25,0)</f>
        <v>0</v>
      </c>
      <c r="O465" s="58" t="n">
        <f aca="false">IF(L465=1,M465+N465-$B$29,M465)</f>
        <v>1.04062110040104E-008</v>
      </c>
      <c r="P465" s="56" t="n">
        <f aca="false">IF(L465=1,IF($B$29&lt;=N465,1,0),0)</f>
        <v>0</v>
      </c>
      <c r="Q465" s="58" t="n">
        <f aca="false">Q464+N465</f>
        <v>215608.5191027</v>
      </c>
    </row>
    <row r="466" customFormat="false" ht="15" hidden="false" customHeight="false" outlineLevel="0" collapsed="false">
      <c r="K466" s="56" t="n">
        <f aca="false">K465+1</f>
        <v>459</v>
      </c>
      <c r="L466" s="57" t="n">
        <f aca="false">IF(AND(K466&lt;=Assumptions!$C$42,L465=1,P465=0,O465&gt;Assumptions!$C$43),1,0)</f>
        <v>0</v>
      </c>
      <c r="M466" s="58" t="n">
        <f aca="false">O465</f>
        <v>1.04062110040104E-008</v>
      </c>
      <c r="N466" s="58" t="n">
        <f aca="false">IF(L466=1,M466*$B$25,0)</f>
        <v>0</v>
      </c>
      <c r="O466" s="58" t="n">
        <f aca="false">IF(L466=1,M466+N466-$B$29,M466)</f>
        <v>1.04062110040104E-008</v>
      </c>
      <c r="P466" s="56" t="n">
        <f aca="false">IF(L466=1,IF($B$29&lt;=N466,1,0),0)</f>
        <v>0</v>
      </c>
      <c r="Q466" s="58" t="n">
        <f aca="false">Q465+N466</f>
        <v>215608.5191027</v>
      </c>
    </row>
    <row r="467" customFormat="false" ht="15" hidden="false" customHeight="false" outlineLevel="0" collapsed="false">
      <c r="K467" s="56" t="n">
        <f aca="false">K466+1</f>
        <v>460</v>
      </c>
      <c r="L467" s="57" t="n">
        <f aca="false">IF(AND(K467&lt;=Assumptions!$C$42,L466=1,P466=0,O466&gt;Assumptions!$C$43),1,0)</f>
        <v>0</v>
      </c>
      <c r="M467" s="58" t="n">
        <f aca="false">O466</f>
        <v>1.04062110040104E-008</v>
      </c>
      <c r="N467" s="58" t="n">
        <f aca="false">IF(L467=1,M467*$B$25,0)</f>
        <v>0</v>
      </c>
      <c r="O467" s="58" t="n">
        <f aca="false">IF(L467=1,M467+N467-$B$29,M467)</f>
        <v>1.04062110040104E-008</v>
      </c>
      <c r="P467" s="56" t="n">
        <f aca="false">IF(L467=1,IF($B$29&lt;=N467,1,0),0)</f>
        <v>0</v>
      </c>
      <c r="Q467" s="58" t="n">
        <f aca="false">Q466+N467</f>
        <v>215608.5191027</v>
      </c>
    </row>
    <row r="468" customFormat="false" ht="15" hidden="false" customHeight="false" outlineLevel="0" collapsed="false">
      <c r="K468" s="56" t="n">
        <f aca="false">K467+1</f>
        <v>461</v>
      </c>
      <c r="L468" s="57" t="n">
        <f aca="false">IF(AND(K468&lt;=Assumptions!$C$42,L467=1,P467=0,O467&gt;Assumptions!$C$43),1,0)</f>
        <v>0</v>
      </c>
      <c r="M468" s="58" t="n">
        <f aca="false">O467</f>
        <v>1.04062110040104E-008</v>
      </c>
      <c r="N468" s="58" t="n">
        <f aca="false">IF(L468=1,M468*$B$25,0)</f>
        <v>0</v>
      </c>
      <c r="O468" s="58" t="n">
        <f aca="false">IF(L468=1,M468+N468-$B$29,M468)</f>
        <v>1.04062110040104E-008</v>
      </c>
      <c r="P468" s="56" t="n">
        <f aca="false">IF(L468=1,IF($B$29&lt;=N468,1,0),0)</f>
        <v>0</v>
      </c>
      <c r="Q468" s="58" t="n">
        <f aca="false">Q467+N468</f>
        <v>215608.5191027</v>
      </c>
    </row>
    <row r="469" customFormat="false" ht="15" hidden="false" customHeight="false" outlineLevel="0" collapsed="false">
      <c r="K469" s="56" t="n">
        <f aca="false">K468+1</f>
        <v>462</v>
      </c>
      <c r="L469" s="57" t="n">
        <f aca="false">IF(AND(K469&lt;=Assumptions!$C$42,L468=1,P468=0,O468&gt;Assumptions!$C$43),1,0)</f>
        <v>0</v>
      </c>
      <c r="M469" s="58" t="n">
        <f aca="false">O468</f>
        <v>1.04062110040104E-008</v>
      </c>
      <c r="N469" s="58" t="n">
        <f aca="false">IF(L469=1,M469*$B$25,0)</f>
        <v>0</v>
      </c>
      <c r="O469" s="58" t="n">
        <f aca="false">IF(L469=1,M469+N469-$B$29,M469)</f>
        <v>1.04062110040104E-008</v>
      </c>
      <c r="P469" s="56" t="n">
        <f aca="false">IF(L469=1,IF($B$29&lt;=N469,1,0),0)</f>
        <v>0</v>
      </c>
      <c r="Q469" s="58" t="n">
        <f aca="false">Q468+N469</f>
        <v>215608.5191027</v>
      </c>
    </row>
    <row r="470" customFormat="false" ht="15" hidden="false" customHeight="false" outlineLevel="0" collapsed="false">
      <c r="K470" s="56" t="n">
        <f aca="false">K469+1</f>
        <v>463</v>
      </c>
      <c r="L470" s="57" t="n">
        <f aca="false">IF(AND(K470&lt;=Assumptions!$C$42,L469=1,P469=0,O469&gt;Assumptions!$C$43),1,0)</f>
        <v>0</v>
      </c>
      <c r="M470" s="58" t="n">
        <f aca="false">O469</f>
        <v>1.04062110040104E-008</v>
      </c>
      <c r="N470" s="58" t="n">
        <f aca="false">IF(L470=1,M470*$B$25,0)</f>
        <v>0</v>
      </c>
      <c r="O470" s="58" t="n">
        <f aca="false">IF(L470=1,M470+N470-$B$29,M470)</f>
        <v>1.04062110040104E-008</v>
      </c>
      <c r="P470" s="56" t="n">
        <f aca="false">IF(L470=1,IF($B$29&lt;=N470,1,0),0)</f>
        <v>0</v>
      </c>
      <c r="Q470" s="58" t="n">
        <f aca="false">Q469+N470</f>
        <v>215608.5191027</v>
      </c>
    </row>
    <row r="471" customFormat="false" ht="15" hidden="false" customHeight="false" outlineLevel="0" collapsed="false">
      <c r="K471" s="56" t="n">
        <f aca="false">K470+1</f>
        <v>464</v>
      </c>
      <c r="L471" s="57" t="n">
        <f aca="false">IF(AND(K471&lt;=Assumptions!$C$42,L470=1,P470=0,O470&gt;Assumptions!$C$43),1,0)</f>
        <v>0</v>
      </c>
      <c r="M471" s="58" t="n">
        <f aca="false">O470</f>
        <v>1.04062110040104E-008</v>
      </c>
      <c r="N471" s="58" t="n">
        <f aca="false">IF(L471=1,M471*$B$25,0)</f>
        <v>0</v>
      </c>
      <c r="O471" s="58" t="n">
        <f aca="false">IF(L471=1,M471+N471-$B$29,M471)</f>
        <v>1.04062110040104E-008</v>
      </c>
      <c r="P471" s="56" t="n">
        <f aca="false">IF(L471=1,IF($B$29&lt;=N471,1,0),0)</f>
        <v>0</v>
      </c>
      <c r="Q471" s="58" t="n">
        <f aca="false">Q470+N471</f>
        <v>215608.5191027</v>
      </c>
    </row>
    <row r="472" customFormat="false" ht="15" hidden="false" customHeight="false" outlineLevel="0" collapsed="false">
      <c r="K472" s="56" t="n">
        <f aca="false">K471+1</f>
        <v>465</v>
      </c>
      <c r="L472" s="57" t="n">
        <f aca="false">IF(AND(K472&lt;=Assumptions!$C$42,L471=1,P471=0,O471&gt;Assumptions!$C$43),1,0)</f>
        <v>0</v>
      </c>
      <c r="M472" s="58" t="n">
        <f aca="false">O471</f>
        <v>1.04062110040104E-008</v>
      </c>
      <c r="N472" s="58" t="n">
        <f aca="false">IF(L472=1,M472*$B$25,0)</f>
        <v>0</v>
      </c>
      <c r="O472" s="58" t="n">
        <f aca="false">IF(L472=1,M472+N472-$B$29,M472)</f>
        <v>1.04062110040104E-008</v>
      </c>
      <c r="P472" s="56" t="n">
        <f aca="false">IF(L472=1,IF($B$29&lt;=N472,1,0),0)</f>
        <v>0</v>
      </c>
      <c r="Q472" s="58" t="n">
        <f aca="false">Q471+N472</f>
        <v>215608.5191027</v>
      </c>
    </row>
    <row r="473" customFormat="false" ht="15" hidden="false" customHeight="false" outlineLevel="0" collapsed="false">
      <c r="K473" s="56" t="n">
        <f aca="false">K472+1</f>
        <v>466</v>
      </c>
      <c r="L473" s="57" t="n">
        <f aca="false">IF(AND(K473&lt;=Assumptions!$C$42,L472=1,P472=0,O472&gt;Assumptions!$C$43),1,0)</f>
        <v>0</v>
      </c>
      <c r="M473" s="58" t="n">
        <f aca="false">O472</f>
        <v>1.04062110040104E-008</v>
      </c>
      <c r="N473" s="58" t="n">
        <f aca="false">IF(L473=1,M473*$B$25,0)</f>
        <v>0</v>
      </c>
      <c r="O473" s="58" t="n">
        <f aca="false">IF(L473=1,M473+N473-$B$29,M473)</f>
        <v>1.04062110040104E-008</v>
      </c>
      <c r="P473" s="56" t="n">
        <f aca="false">IF(L473=1,IF($B$29&lt;=N473,1,0),0)</f>
        <v>0</v>
      </c>
      <c r="Q473" s="58" t="n">
        <f aca="false">Q472+N473</f>
        <v>215608.5191027</v>
      </c>
    </row>
    <row r="474" customFormat="false" ht="15" hidden="false" customHeight="false" outlineLevel="0" collapsed="false">
      <c r="K474" s="56" t="n">
        <f aca="false">K473+1</f>
        <v>467</v>
      </c>
      <c r="L474" s="57" t="n">
        <f aca="false">IF(AND(K474&lt;=Assumptions!$C$42,L473=1,P473=0,O473&gt;Assumptions!$C$43),1,0)</f>
        <v>0</v>
      </c>
      <c r="M474" s="58" t="n">
        <f aca="false">O473</f>
        <v>1.04062110040104E-008</v>
      </c>
      <c r="N474" s="58" t="n">
        <f aca="false">IF(L474=1,M474*$B$25,0)</f>
        <v>0</v>
      </c>
      <c r="O474" s="58" t="n">
        <f aca="false">IF(L474=1,M474+N474-$B$29,M474)</f>
        <v>1.04062110040104E-008</v>
      </c>
      <c r="P474" s="56" t="n">
        <f aca="false">IF(L474=1,IF($B$29&lt;=N474,1,0),0)</f>
        <v>0</v>
      </c>
      <c r="Q474" s="58" t="n">
        <f aca="false">Q473+N474</f>
        <v>215608.5191027</v>
      </c>
    </row>
    <row r="475" customFormat="false" ht="15" hidden="false" customHeight="false" outlineLevel="0" collapsed="false">
      <c r="K475" s="56" t="n">
        <f aca="false">K474+1</f>
        <v>468</v>
      </c>
      <c r="L475" s="57" t="n">
        <f aca="false">IF(AND(K475&lt;=Assumptions!$C$42,L474=1,P474=0,O474&gt;Assumptions!$C$43),1,0)</f>
        <v>0</v>
      </c>
      <c r="M475" s="58" t="n">
        <f aca="false">O474</f>
        <v>1.04062110040104E-008</v>
      </c>
      <c r="N475" s="58" t="n">
        <f aca="false">IF(L475=1,M475*$B$25,0)</f>
        <v>0</v>
      </c>
      <c r="O475" s="58" t="n">
        <f aca="false">IF(L475=1,M475+N475-$B$29,M475)</f>
        <v>1.04062110040104E-008</v>
      </c>
      <c r="P475" s="56" t="n">
        <f aca="false">IF(L475=1,IF($B$29&lt;=N475,1,0),0)</f>
        <v>0</v>
      </c>
      <c r="Q475" s="58" t="n">
        <f aca="false">Q474+N475</f>
        <v>215608.5191027</v>
      </c>
    </row>
    <row r="476" customFormat="false" ht="15" hidden="false" customHeight="false" outlineLevel="0" collapsed="false">
      <c r="K476" s="56" t="n">
        <f aca="false">K475+1</f>
        <v>469</v>
      </c>
      <c r="L476" s="57" t="n">
        <f aca="false">IF(AND(K476&lt;=Assumptions!$C$42,L475=1,P475=0,O475&gt;Assumptions!$C$43),1,0)</f>
        <v>0</v>
      </c>
      <c r="M476" s="58" t="n">
        <f aca="false">O475</f>
        <v>1.04062110040104E-008</v>
      </c>
      <c r="N476" s="58" t="n">
        <f aca="false">IF(L476=1,M476*$B$25,0)</f>
        <v>0</v>
      </c>
      <c r="O476" s="58" t="n">
        <f aca="false">IF(L476=1,M476+N476-$B$29,M476)</f>
        <v>1.04062110040104E-008</v>
      </c>
      <c r="P476" s="56" t="n">
        <f aca="false">IF(L476=1,IF($B$29&lt;=N476,1,0),0)</f>
        <v>0</v>
      </c>
      <c r="Q476" s="58" t="n">
        <f aca="false">Q475+N476</f>
        <v>215608.5191027</v>
      </c>
    </row>
    <row r="477" customFormat="false" ht="15" hidden="false" customHeight="false" outlineLevel="0" collapsed="false">
      <c r="K477" s="56" t="n">
        <f aca="false">K476+1</f>
        <v>470</v>
      </c>
      <c r="L477" s="57" t="n">
        <f aca="false">IF(AND(K477&lt;=Assumptions!$C$42,L476=1,P476=0,O476&gt;Assumptions!$C$43),1,0)</f>
        <v>0</v>
      </c>
      <c r="M477" s="58" t="n">
        <f aca="false">O476</f>
        <v>1.04062110040104E-008</v>
      </c>
      <c r="N477" s="58" t="n">
        <f aca="false">IF(L477=1,M477*$B$25,0)</f>
        <v>0</v>
      </c>
      <c r="O477" s="58" t="n">
        <f aca="false">IF(L477=1,M477+N477-$B$29,M477)</f>
        <v>1.04062110040104E-008</v>
      </c>
      <c r="P477" s="56" t="n">
        <f aca="false">IF(L477=1,IF($B$29&lt;=N477,1,0),0)</f>
        <v>0</v>
      </c>
      <c r="Q477" s="58" t="n">
        <f aca="false">Q476+N477</f>
        <v>215608.5191027</v>
      </c>
    </row>
    <row r="478" customFormat="false" ht="15" hidden="false" customHeight="false" outlineLevel="0" collapsed="false">
      <c r="K478" s="56" t="n">
        <f aca="false">K477+1</f>
        <v>471</v>
      </c>
      <c r="L478" s="57" t="n">
        <f aca="false">IF(AND(K478&lt;=Assumptions!$C$42,L477=1,P477=0,O477&gt;Assumptions!$C$43),1,0)</f>
        <v>0</v>
      </c>
      <c r="M478" s="58" t="n">
        <f aca="false">O477</f>
        <v>1.04062110040104E-008</v>
      </c>
      <c r="N478" s="58" t="n">
        <f aca="false">IF(L478=1,M478*$B$25,0)</f>
        <v>0</v>
      </c>
      <c r="O478" s="58" t="n">
        <f aca="false">IF(L478=1,M478+N478-$B$29,M478)</f>
        <v>1.04062110040104E-008</v>
      </c>
      <c r="P478" s="56" t="n">
        <f aca="false">IF(L478=1,IF($B$29&lt;=N478,1,0),0)</f>
        <v>0</v>
      </c>
      <c r="Q478" s="58" t="n">
        <f aca="false">Q477+N478</f>
        <v>215608.5191027</v>
      </c>
    </row>
    <row r="479" customFormat="false" ht="15" hidden="false" customHeight="false" outlineLevel="0" collapsed="false">
      <c r="K479" s="56" t="n">
        <f aca="false">K478+1</f>
        <v>472</v>
      </c>
      <c r="L479" s="57" t="n">
        <f aca="false">IF(AND(K479&lt;=Assumptions!$C$42,L478=1,P478=0,O478&gt;Assumptions!$C$43),1,0)</f>
        <v>0</v>
      </c>
      <c r="M479" s="58" t="n">
        <f aca="false">O478</f>
        <v>1.04062110040104E-008</v>
      </c>
      <c r="N479" s="58" t="n">
        <f aca="false">IF(L479=1,M479*$B$25,0)</f>
        <v>0</v>
      </c>
      <c r="O479" s="58" t="n">
        <f aca="false">IF(L479=1,M479+N479-$B$29,M479)</f>
        <v>1.04062110040104E-008</v>
      </c>
      <c r="P479" s="56" t="n">
        <f aca="false">IF(L479=1,IF($B$29&lt;=N479,1,0),0)</f>
        <v>0</v>
      </c>
      <c r="Q479" s="58" t="n">
        <f aca="false">Q478+N479</f>
        <v>215608.5191027</v>
      </c>
    </row>
    <row r="480" customFormat="false" ht="15" hidden="false" customHeight="false" outlineLevel="0" collapsed="false">
      <c r="K480" s="56" t="n">
        <f aca="false">K479+1</f>
        <v>473</v>
      </c>
      <c r="L480" s="57" t="n">
        <f aca="false">IF(AND(K480&lt;=Assumptions!$C$42,L479=1,P479=0,O479&gt;Assumptions!$C$43),1,0)</f>
        <v>0</v>
      </c>
      <c r="M480" s="58" t="n">
        <f aca="false">O479</f>
        <v>1.04062110040104E-008</v>
      </c>
      <c r="N480" s="58" t="n">
        <f aca="false">IF(L480=1,M480*$B$25,0)</f>
        <v>0</v>
      </c>
      <c r="O480" s="58" t="n">
        <f aca="false">IF(L480=1,M480+N480-$B$29,M480)</f>
        <v>1.04062110040104E-008</v>
      </c>
      <c r="P480" s="56" t="n">
        <f aca="false">IF(L480=1,IF($B$29&lt;=N480,1,0),0)</f>
        <v>0</v>
      </c>
      <c r="Q480" s="58" t="n">
        <f aca="false">Q479+N480</f>
        <v>215608.5191027</v>
      </c>
    </row>
    <row r="481" customFormat="false" ht="15" hidden="false" customHeight="false" outlineLevel="0" collapsed="false">
      <c r="K481" s="56" t="n">
        <f aca="false">K480+1</f>
        <v>474</v>
      </c>
      <c r="L481" s="57" t="n">
        <f aca="false">IF(AND(K481&lt;=Assumptions!$C$42,L480=1,P480=0,O480&gt;Assumptions!$C$43),1,0)</f>
        <v>0</v>
      </c>
      <c r="M481" s="58" t="n">
        <f aca="false">O480</f>
        <v>1.04062110040104E-008</v>
      </c>
      <c r="N481" s="58" t="n">
        <f aca="false">IF(L481=1,M481*$B$25,0)</f>
        <v>0</v>
      </c>
      <c r="O481" s="58" t="n">
        <f aca="false">IF(L481=1,M481+N481-$B$29,M481)</f>
        <v>1.04062110040104E-008</v>
      </c>
      <c r="P481" s="56" t="n">
        <f aca="false">IF(L481=1,IF($B$29&lt;=N481,1,0),0)</f>
        <v>0</v>
      </c>
      <c r="Q481" s="58" t="n">
        <f aca="false">Q480+N481</f>
        <v>215608.5191027</v>
      </c>
    </row>
    <row r="482" customFormat="false" ht="15" hidden="false" customHeight="false" outlineLevel="0" collapsed="false">
      <c r="K482" s="56" t="n">
        <f aca="false">K481+1</f>
        <v>475</v>
      </c>
      <c r="L482" s="57" t="n">
        <f aca="false">IF(AND(K482&lt;=Assumptions!$C$42,L481=1,P481=0,O481&gt;Assumptions!$C$43),1,0)</f>
        <v>0</v>
      </c>
      <c r="M482" s="58" t="n">
        <f aca="false">O481</f>
        <v>1.04062110040104E-008</v>
      </c>
      <c r="N482" s="58" t="n">
        <f aca="false">IF(L482=1,M482*$B$25,0)</f>
        <v>0</v>
      </c>
      <c r="O482" s="58" t="n">
        <f aca="false">IF(L482=1,M482+N482-$B$29,M482)</f>
        <v>1.04062110040104E-008</v>
      </c>
      <c r="P482" s="56" t="n">
        <f aca="false">IF(L482=1,IF($B$29&lt;=N482,1,0),0)</f>
        <v>0</v>
      </c>
      <c r="Q482" s="58" t="n">
        <f aca="false">Q481+N482</f>
        <v>215608.5191027</v>
      </c>
    </row>
    <row r="483" customFormat="false" ht="15" hidden="false" customHeight="false" outlineLevel="0" collapsed="false">
      <c r="K483" s="56" t="n">
        <f aca="false">K482+1</f>
        <v>476</v>
      </c>
      <c r="L483" s="57" t="n">
        <f aca="false">IF(AND(K483&lt;=Assumptions!$C$42,L482=1,P482=0,O482&gt;Assumptions!$C$43),1,0)</f>
        <v>0</v>
      </c>
      <c r="M483" s="58" t="n">
        <f aca="false">O482</f>
        <v>1.04062110040104E-008</v>
      </c>
      <c r="N483" s="58" t="n">
        <f aca="false">IF(L483=1,M483*$B$25,0)</f>
        <v>0</v>
      </c>
      <c r="O483" s="58" t="n">
        <f aca="false">IF(L483=1,M483+N483-$B$29,M483)</f>
        <v>1.04062110040104E-008</v>
      </c>
      <c r="P483" s="56" t="n">
        <f aca="false">IF(L483=1,IF($B$29&lt;=N483,1,0),0)</f>
        <v>0</v>
      </c>
      <c r="Q483" s="58" t="n">
        <f aca="false">Q482+N483</f>
        <v>215608.5191027</v>
      </c>
    </row>
    <row r="484" customFormat="false" ht="15" hidden="false" customHeight="false" outlineLevel="0" collapsed="false">
      <c r="K484" s="56" t="n">
        <f aca="false">K483+1</f>
        <v>477</v>
      </c>
      <c r="L484" s="57" t="n">
        <f aca="false">IF(AND(K484&lt;=Assumptions!$C$42,L483=1,P483=0,O483&gt;Assumptions!$C$43),1,0)</f>
        <v>0</v>
      </c>
      <c r="M484" s="58" t="n">
        <f aca="false">O483</f>
        <v>1.04062110040104E-008</v>
      </c>
      <c r="N484" s="58" t="n">
        <f aca="false">IF(L484=1,M484*$B$25,0)</f>
        <v>0</v>
      </c>
      <c r="O484" s="58" t="n">
        <f aca="false">IF(L484=1,M484+N484-$B$29,M484)</f>
        <v>1.04062110040104E-008</v>
      </c>
      <c r="P484" s="56" t="n">
        <f aca="false">IF(L484=1,IF($B$29&lt;=N484,1,0),0)</f>
        <v>0</v>
      </c>
      <c r="Q484" s="58" t="n">
        <f aca="false">Q483+N484</f>
        <v>215608.5191027</v>
      </c>
    </row>
    <row r="485" customFormat="false" ht="15" hidden="false" customHeight="false" outlineLevel="0" collapsed="false">
      <c r="K485" s="56" t="n">
        <f aca="false">K484+1</f>
        <v>478</v>
      </c>
      <c r="L485" s="57" t="n">
        <f aca="false">IF(AND(K485&lt;=Assumptions!$C$42,L484=1,P484=0,O484&gt;Assumptions!$C$43),1,0)</f>
        <v>0</v>
      </c>
      <c r="M485" s="58" t="n">
        <f aca="false">O484</f>
        <v>1.04062110040104E-008</v>
      </c>
      <c r="N485" s="58" t="n">
        <f aca="false">IF(L485=1,M485*$B$25,0)</f>
        <v>0</v>
      </c>
      <c r="O485" s="58" t="n">
        <f aca="false">IF(L485=1,M485+N485-$B$29,M485)</f>
        <v>1.04062110040104E-008</v>
      </c>
      <c r="P485" s="56" t="n">
        <f aca="false">IF(L485=1,IF($B$29&lt;=N485,1,0),0)</f>
        <v>0</v>
      </c>
      <c r="Q485" s="58" t="n">
        <f aca="false">Q484+N485</f>
        <v>215608.5191027</v>
      </c>
    </row>
    <row r="486" customFormat="false" ht="15" hidden="false" customHeight="false" outlineLevel="0" collapsed="false">
      <c r="K486" s="56" t="n">
        <f aca="false">K485+1</f>
        <v>479</v>
      </c>
      <c r="L486" s="57" t="n">
        <f aca="false">IF(AND(K486&lt;=Assumptions!$C$42,L485=1,P485=0,O485&gt;Assumptions!$C$43),1,0)</f>
        <v>0</v>
      </c>
      <c r="M486" s="58" t="n">
        <f aca="false">O485</f>
        <v>1.04062110040104E-008</v>
      </c>
      <c r="N486" s="58" t="n">
        <f aca="false">IF(L486=1,M486*$B$25,0)</f>
        <v>0</v>
      </c>
      <c r="O486" s="58" t="n">
        <f aca="false">IF(L486=1,M486+N486-$B$29,M486)</f>
        <v>1.04062110040104E-008</v>
      </c>
      <c r="P486" s="56" t="n">
        <f aca="false">IF(L486=1,IF($B$29&lt;=N486,1,0),0)</f>
        <v>0</v>
      </c>
      <c r="Q486" s="58" t="n">
        <f aca="false">Q485+N486</f>
        <v>215608.5191027</v>
      </c>
    </row>
    <row r="487" customFormat="false" ht="15" hidden="false" customHeight="false" outlineLevel="0" collapsed="false">
      <c r="K487" s="56" t="n">
        <f aca="false">K486+1</f>
        <v>480</v>
      </c>
      <c r="L487" s="57" t="n">
        <f aca="false">IF(AND(K487&lt;=Assumptions!$C$42,L486=1,P486=0,O486&gt;Assumptions!$C$43),1,0)</f>
        <v>0</v>
      </c>
      <c r="M487" s="58" t="n">
        <f aca="false">O486</f>
        <v>1.04062110040104E-008</v>
      </c>
      <c r="N487" s="58" t="n">
        <f aca="false">IF(L487=1,M487*$B$25,0)</f>
        <v>0</v>
      </c>
      <c r="O487" s="58" t="n">
        <f aca="false">IF(L487=1,M487+N487-$B$29,M487)</f>
        <v>1.04062110040104E-008</v>
      </c>
      <c r="P487" s="56" t="n">
        <f aca="false">IF(L487=1,IF($B$29&lt;=N487,1,0),0)</f>
        <v>0</v>
      </c>
      <c r="Q487" s="58" t="n">
        <f aca="false">Q486+N487</f>
        <v>215608.5191027</v>
      </c>
    </row>
    <row r="488" customFormat="false" ht="15" hidden="false" customHeight="false" outlineLevel="0" collapsed="false">
      <c r="K488" s="56" t="n">
        <f aca="false">K487+1</f>
        <v>481</v>
      </c>
      <c r="L488" s="57" t="n">
        <f aca="false">IF(AND(K488&lt;=Assumptions!$C$42,L487=1,P487=0,O487&gt;Assumptions!$C$43),1,0)</f>
        <v>0</v>
      </c>
      <c r="M488" s="58" t="n">
        <f aca="false">O487</f>
        <v>1.04062110040104E-008</v>
      </c>
      <c r="N488" s="58" t="n">
        <f aca="false">IF(L488=1,M488*$B$25,0)</f>
        <v>0</v>
      </c>
      <c r="O488" s="58" t="n">
        <f aca="false">IF(L488=1,M488+N488-$B$29,M488)</f>
        <v>1.04062110040104E-008</v>
      </c>
      <c r="P488" s="56" t="n">
        <f aca="false">IF(L488=1,IF($B$29&lt;=N488,1,0),0)</f>
        <v>0</v>
      </c>
      <c r="Q488" s="58" t="n">
        <f aca="false">Q487+N488</f>
        <v>215608.5191027</v>
      </c>
    </row>
    <row r="489" customFormat="false" ht="15" hidden="false" customHeight="false" outlineLevel="0" collapsed="false">
      <c r="K489" s="56" t="n">
        <f aca="false">K488+1</f>
        <v>482</v>
      </c>
      <c r="L489" s="57" t="n">
        <f aca="false">IF(AND(K489&lt;=Assumptions!$C$42,L488=1,P488=0,O488&gt;Assumptions!$C$43),1,0)</f>
        <v>0</v>
      </c>
      <c r="M489" s="58" t="n">
        <f aca="false">O488</f>
        <v>1.04062110040104E-008</v>
      </c>
      <c r="N489" s="58" t="n">
        <f aca="false">IF(L489=1,M489*$B$25,0)</f>
        <v>0</v>
      </c>
      <c r="O489" s="58" t="n">
        <f aca="false">IF(L489=1,M489+N489-$B$29,M489)</f>
        <v>1.04062110040104E-008</v>
      </c>
      <c r="P489" s="56" t="n">
        <f aca="false">IF(L489=1,IF($B$29&lt;=N489,1,0),0)</f>
        <v>0</v>
      </c>
      <c r="Q489" s="58" t="n">
        <f aca="false">Q488+N489</f>
        <v>215608.5191027</v>
      </c>
    </row>
    <row r="490" customFormat="false" ht="15" hidden="false" customHeight="false" outlineLevel="0" collapsed="false">
      <c r="K490" s="56" t="n">
        <f aca="false">K489+1</f>
        <v>483</v>
      </c>
      <c r="L490" s="57" t="n">
        <f aca="false">IF(AND(K490&lt;=Assumptions!$C$42,L489=1,P489=0,O489&gt;Assumptions!$C$43),1,0)</f>
        <v>0</v>
      </c>
      <c r="M490" s="58" t="n">
        <f aca="false">O489</f>
        <v>1.04062110040104E-008</v>
      </c>
      <c r="N490" s="58" t="n">
        <f aca="false">IF(L490=1,M490*$B$25,0)</f>
        <v>0</v>
      </c>
      <c r="O490" s="58" t="n">
        <f aca="false">IF(L490=1,M490+N490-$B$29,M490)</f>
        <v>1.04062110040104E-008</v>
      </c>
      <c r="P490" s="56" t="n">
        <f aca="false">IF(L490=1,IF($B$29&lt;=N490,1,0),0)</f>
        <v>0</v>
      </c>
      <c r="Q490" s="58" t="n">
        <f aca="false">Q489+N490</f>
        <v>215608.5191027</v>
      </c>
    </row>
    <row r="491" customFormat="false" ht="15" hidden="false" customHeight="false" outlineLevel="0" collapsed="false">
      <c r="K491" s="56" t="n">
        <f aca="false">K490+1</f>
        <v>484</v>
      </c>
      <c r="L491" s="57" t="n">
        <f aca="false">IF(AND(K491&lt;=Assumptions!$C$42,L490=1,P490=0,O490&gt;Assumptions!$C$43),1,0)</f>
        <v>0</v>
      </c>
      <c r="M491" s="58" t="n">
        <f aca="false">O490</f>
        <v>1.04062110040104E-008</v>
      </c>
      <c r="N491" s="58" t="n">
        <f aca="false">IF(L491=1,M491*$B$25,0)</f>
        <v>0</v>
      </c>
      <c r="O491" s="58" t="n">
        <f aca="false">IF(L491=1,M491+N491-$B$29,M491)</f>
        <v>1.04062110040104E-008</v>
      </c>
      <c r="P491" s="56" t="n">
        <f aca="false">IF(L491=1,IF($B$29&lt;=N491,1,0),0)</f>
        <v>0</v>
      </c>
      <c r="Q491" s="58" t="n">
        <f aca="false">Q490+N491</f>
        <v>215608.5191027</v>
      </c>
    </row>
    <row r="492" customFormat="false" ht="15" hidden="false" customHeight="false" outlineLevel="0" collapsed="false">
      <c r="K492" s="56" t="n">
        <f aca="false">K491+1</f>
        <v>485</v>
      </c>
      <c r="L492" s="57" t="n">
        <f aca="false">IF(AND(K492&lt;=Assumptions!$C$42,L491=1,P491=0,O491&gt;Assumptions!$C$43),1,0)</f>
        <v>0</v>
      </c>
      <c r="M492" s="58" t="n">
        <f aca="false">O491</f>
        <v>1.04062110040104E-008</v>
      </c>
      <c r="N492" s="58" t="n">
        <f aca="false">IF(L492=1,M492*$B$25,0)</f>
        <v>0</v>
      </c>
      <c r="O492" s="58" t="n">
        <f aca="false">IF(L492=1,M492+N492-$B$29,M492)</f>
        <v>1.04062110040104E-008</v>
      </c>
      <c r="P492" s="56" t="n">
        <f aca="false">IF(L492=1,IF($B$29&lt;=N492,1,0),0)</f>
        <v>0</v>
      </c>
      <c r="Q492" s="58" t="n">
        <f aca="false">Q491+N492</f>
        <v>215608.5191027</v>
      </c>
    </row>
    <row r="493" customFormat="false" ht="15" hidden="false" customHeight="false" outlineLevel="0" collapsed="false">
      <c r="K493" s="56" t="n">
        <f aca="false">K492+1</f>
        <v>486</v>
      </c>
      <c r="L493" s="57" t="n">
        <f aca="false">IF(AND(K493&lt;=Assumptions!$C$42,L492=1,P492=0,O492&gt;Assumptions!$C$43),1,0)</f>
        <v>0</v>
      </c>
      <c r="M493" s="58" t="n">
        <f aca="false">O492</f>
        <v>1.04062110040104E-008</v>
      </c>
      <c r="N493" s="58" t="n">
        <f aca="false">IF(L493=1,M493*$B$25,0)</f>
        <v>0</v>
      </c>
      <c r="O493" s="58" t="n">
        <f aca="false">IF(L493=1,M493+N493-$B$29,M493)</f>
        <v>1.04062110040104E-008</v>
      </c>
      <c r="P493" s="56" t="n">
        <f aca="false">IF(L493=1,IF($B$29&lt;=N493,1,0),0)</f>
        <v>0</v>
      </c>
      <c r="Q493" s="58" t="n">
        <f aca="false">Q492+N493</f>
        <v>215608.5191027</v>
      </c>
    </row>
    <row r="494" customFormat="false" ht="15" hidden="false" customHeight="false" outlineLevel="0" collapsed="false">
      <c r="K494" s="56" t="n">
        <f aca="false">K493+1</f>
        <v>487</v>
      </c>
      <c r="L494" s="57" t="n">
        <f aca="false">IF(AND(K494&lt;=Assumptions!$C$42,L493=1,P493=0,O493&gt;Assumptions!$C$43),1,0)</f>
        <v>0</v>
      </c>
      <c r="M494" s="58" t="n">
        <f aca="false">O493</f>
        <v>1.04062110040104E-008</v>
      </c>
      <c r="N494" s="58" t="n">
        <f aca="false">IF(L494=1,M494*$B$25,0)</f>
        <v>0</v>
      </c>
      <c r="O494" s="58" t="n">
        <f aca="false">IF(L494=1,M494+N494-$B$29,M494)</f>
        <v>1.04062110040104E-008</v>
      </c>
      <c r="P494" s="56" t="n">
        <f aca="false">IF(L494=1,IF($B$29&lt;=N494,1,0),0)</f>
        <v>0</v>
      </c>
      <c r="Q494" s="58" t="n">
        <f aca="false">Q493+N494</f>
        <v>215608.5191027</v>
      </c>
    </row>
    <row r="495" customFormat="false" ht="15" hidden="false" customHeight="false" outlineLevel="0" collapsed="false">
      <c r="K495" s="56" t="n">
        <f aca="false">K494+1</f>
        <v>488</v>
      </c>
      <c r="L495" s="57" t="n">
        <f aca="false">IF(AND(K495&lt;=Assumptions!$C$42,L494=1,P494=0,O494&gt;Assumptions!$C$43),1,0)</f>
        <v>0</v>
      </c>
      <c r="M495" s="58" t="n">
        <f aca="false">O494</f>
        <v>1.04062110040104E-008</v>
      </c>
      <c r="N495" s="58" t="n">
        <f aca="false">IF(L495=1,M495*$B$25,0)</f>
        <v>0</v>
      </c>
      <c r="O495" s="58" t="n">
        <f aca="false">IF(L495=1,M495+N495-$B$29,M495)</f>
        <v>1.04062110040104E-008</v>
      </c>
      <c r="P495" s="56" t="n">
        <f aca="false">IF(L495=1,IF($B$29&lt;=N495,1,0),0)</f>
        <v>0</v>
      </c>
      <c r="Q495" s="58" t="n">
        <f aca="false">Q494+N495</f>
        <v>215608.5191027</v>
      </c>
    </row>
    <row r="496" customFormat="false" ht="15" hidden="false" customHeight="false" outlineLevel="0" collapsed="false">
      <c r="K496" s="56" t="n">
        <f aca="false">K495+1</f>
        <v>489</v>
      </c>
      <c r="L496" s="57" t="n">
        <f aca="false">IF(AND(K496&lt;=Assumptions!$C$42,L495=1,P495=0,O495&gt;Assumptions!$C$43),1,0)</f>
        <v>0</v>
      </c>
      <c r="M496" s="58" t="n">
        <f aca="false">O495</f>
        <v>1.04062110040104E-008</v>
      </c>
      <c r="N496" s="58" t="n">
        <f aca="false">IF(L496=1,M496*$B$25,0)</f>
        <v>0</v>
      </c>
      <c r="O496" s="58" t="n">
        <f aca="false">IF(L496=1,M496+N496-$B$29,M496)</f>
        <v>1.04062110040104E-008</v>
      </c>
      <c r="P496" s="56" t="n">
        <f aca="false">IF(L496=1,IF($B$29&lt;=N496,1,0),0)</f>
        <v>0</v>
      </c>
      <c r="Q496" s="58" t="n">
        <f aca="false">Q495+N496</f>
        <v>215608.5191027</v>
      </c>
    </row>
    <row r="497" customFormat="false" ht="15" hidden="false" customHeight="false" outlineLevel="0" collapsed="false">
      <c r="K497" s="56" t="n">
        <f aca="false">K496+1</f>
        <v>490</v>
      </c>
      <c r="L497" s="57" t="n">
        <f aca="false">IF(AND(K497&lt;=Assumptions!$C$42,L496=1,P496=0,O496&gt;Assumptions!$C$43),1,0)</f>
        <v>0</v>
      </c>
      <c r="M497" s="58" t="n">
        <f aca="false">O496</f>
        <v>1.04062110040104E-008</v>
      </c>
      <c r="N497" s="58" t="n">
        <f aca="false">IF(L497=1,M497*$B$25,0)</f>
        <v>0</v>
      </c>
      <c r="O497" s="58" t="n">
        <f aca="false">IF(L497=1,M497+N497-$B$29,M497)</f>
        <v>1.04062110040104E-008</v>
      </c>
      <c r="P497" s="56" t="n">
        <f aca="false">IF(L497=1,IF($B$29&lt;=N497,1,0),0)</f>
        <v>0</v>
      </c>
      <c r="Q497" s="58" t="n">
        <f aca="false">Q496+N497</f>
        <v>215608.5191027</v>
      </c>
    </row>
    <row r="498" customFormat="false" ht="15" hidden="false" customHeight="false" outlineLevel="0" collapsed="false">
      <c r="K498" s="56" t="n">
        <f aca="false">K497+1</f>
        <v>491</v>
      </c>
      <c r="L498" s="57" t="n">
        <f aca="false">IF(AND(K498&lt;=Assumptions!$C$42,L497=1,P497=0,O497&gt;Assumptions!$C$43),1,0)</f>
        <v>0</v>
      </c>
      <c r="M498" s="58" t="n">
        <f aca="false">O497</f>
        <v>1.04062110040104E-008</v>
      </c>
      <c r="N498" s="58" t="n">
        <f aca="false">IF(L498=1,M498*$B$25,0)</f>
        <v>0</v>
      </c>
      <c r="O498" s="58" t="n">
        <f aca="false">IF(L498=1,M498+N498-$B$29,M498)</f>
        <v>1.04062110040104E-008</v>
      </c>
      <c r="P498" s="56" t="n">
        <f aca="false">IF(L498=1,IF($B$29&lt;=N498,1,0),0)</f>
        <v>0</v>
      </c>
      <c r="Q498" s="58" t="n">
        <f aca="false">Q497+N498</f>
        <v>215608.5191027</v>
      </c>
    </row>
    <row r="499" customFormat="false" ht="15" hidden="false" customHeight="false" outlineLevel="0" collapsed="false">
      <c r="K499" s="56" t="n">
        <f aca="false">K498+1</f>
        <v>492</v>
      </c>
      <c r="L499" s="57" t="n">
        <f aca="false">IF(AND(K499&lt;=Assumptions!$C$42,L498=1,P498=0,O498&gt;Assumptions!$C$43),1,0)</f>
        <v>0</v>
      </c>
      <c r="M499" s="58" t="n">
        <f aca="false">O498</f>
        <v>1.04062110040104E-008</v>
      </c>
      <c r="N499" s="58" t="n">
        <f aca="false">IF(L499=1,M499*$B$25,0)</f>
        <v>0</v>
      </c>
      <c r="O499" s="58" t="n">
        <f aca="false">IF(L499=1,M499+N499-$B$29,M499)</f>
        <v>1.04062110040104E-008</v>
      </c>
      <c r="P499" s="56" t="n">
        <f aca="false">IF(L499=1,IF($B$29&lt;=N499,1,0),0)</f>
        <v>0</v>
      </c>
      <c r="Q499" s="58" t="n">
        <f aca="false">Q498+N499</f>
        <v>215608.5191027</v>
      </c>
    </row>
    <row r="500" customFormat="false" ht="15" hidden="false" customHeight="false" outlineLevel="0" collapsed="false">
      <c r="K500" s="56" t="n">
        <f aca="false">K499+1</f>
        <v>493</v>
      </c>
      <c r="L500" s="57" t="n">
        <f aca="false">IF(AND(K500&lt;=Assumptions!$C$42,L499=1,P499=0,O499&gt;Assumptions!$C$43),1,0)</f>
        <v>0</v>
      </c>
      <c r="M500" s="58" t="n">
        <f aca="false">O499</f>
        <v>1.04062110040104E-008</v>
      </c>
      <c r="N500" s="58" t="n">
        <f aca="false">IF(L500=1,M500*$B$25,0)</f>
        <v>0</v>
      </c>
      <c r="O500" s="58" t="n">
        <f aca="false">IF(L500=1,M500+N500-$B$29,M500)</f>
        <v>1.04062110040104E-008</v>
      </c>
      <c r="P500" s="56" t="n">
        <f aca="false">IF(L500=1,IF($B$29&lt;=N500,1,0),0)</f>
        <v>0</v>
      </c>
      <c r="Q500" s="58" t="n">
        <f aca="false">Q499+N500</f>
        <v>215608.5191027</v>
      </c>
    </row>
    <row r="501" customFormat="false" ht="15" hidden="false" customHeight="false" outlineLevel="0" collapsed="false">
      <c r="K501" s="56" t="n">
        <f aca="false">K500+1</f>
        <v>494</v>
      </c>
      <c r="L501" s="57" t="n">
        <f aca="false">IF(AND(K501&lt;=Assumptions!$C$42,L500=1,P500=0,O500&gt;Assumptions!$C$43),1,0)</f>
        <v>0</v>
      </c>
      <c r="M501" s="58" t="n">
        <f aca="false">O500</f>
        <v>1.04062110040104E-008</v>
      </c>
      <c r="N501" s="58" t="n">
        <f aca="false">IF(L501=1,M501*$B$25,0)</f>
        <v>0</v>
      </c>
      <c r="O501" s="58" t="n">
        <f aca="false">IF(L501=1,M501+N501-$B$29,M501)</f>
        <v>1.04062110040104E-008</v>
      </c>
      <c r="P501" s="56" t="n">
        <f aca="false">IF(L501=1,IF($B$29&lt;=N501,1,0),0)</f>
        <v>0</v>
      </c>
      <c r="Q501" s="58" t="n">
        <f aca="false">Q500+N501</f>
        <v>215608.5191027</v>
      </c>
    </row>
    <row r="502" customFormat="false" ht="15" hidden="false" customHeight="false" outlineLevel="0" collapsed="false">
      <c r="K502" s="56" t="n">
        <f aca="false">K501+1</f>
        <v>495</v>
      </c>
      <c r="L502" s="57" t="n">
        <f aca="false">IF(AND(K502&lt;=Assumptions!$C$42,L501=1,P501=0,O501&gt;Assumptions!$C$43),1,0)</f>
        <v>0</v>
      </c>
      <c r="M502" s="58" t="n">
        <f aca="false">O501</f>
        <v>1.04062110040104E-008</v>
      </c>
      <c r="N502" s="58" t="n">
        <f aca="false">IF(L502=1,M502*$B$25,0)</f>
        <v>0</v>
      </c>
      <c r="O502" s="58" t="n">
        <f aca="false">IF(L502=1,M502+N502-$B$29,M502)</f>
        <v>1.04062110040104E-008</v>
      </c>
      <c r="P502" s="56" t="n">
        <f aca="false">IF(L502=1,IF($B$29&lt;=N502,1,0),0)</f>
        <v>0</v>
      </c>
      <c r="Q502" s="58" t="n">
        <f aca="false">Q501+N502</f>
        <v>215608.5191027</v>
      </c>
    </row>
    <row r="503" customFormat="false" ht="15" hidden="false" customHeight="false" outlineLevel="0" collapsed="false">
      <c r="K503" s="56" t="n">
        <f aca="false">K502+1</f>
        <v>496</v>
      </c>
      <c r="L503" s="57" t="n">
        <f aca="false">IF(AND(K503&lt;=Assumptions!$C$42,L502=1,P502=0,O502&gt;Assumptions!$C$43),1,0)</f>
        <v>0</v>
      </c>
      <c r="M503" s="58" t="n">
        <f aca="false">O502</f>
        <v>1.04062110040104E-008</v>
      </c>
      <c r="N503" s="58" t="n">
        <f aca="false">IF(L503=1,M503*$B$25,0)</f>
        <v>0</v>
      </c>
      <c r="O503" s="58" t="n">
        <f aca="false">IF(L503=1,M503+N503-$B$29,M503)</f>
        <v>1.04062110040104E-008</v>
      </c>
      <c r="P503" s="56" t="n">
        <f aca="false">IF(L503=1,IF($B$29&lt;=N503,1,0),0)</f>
        <v>0</v>
      </c>
      <c r="Q503" s="58" t="n">
        <f aca="false">Q502+N503</f>
        <v>215608.5191027</v>
      </c>
    </row>
    <row r="504" customFormat="false" ht="15" hidden="false" customHeight="false" outlineLevel="0" collapsed="false">
      <c r="K504" s="56" t="n">
        <f aca="false">K503+1</f>
        <v>497</v>
      </c>
      <c r="L504" s="57" t="n">
        <f aca="false">IF(AND(K504&lt;=Assumptions!$C$42,L503=1,P503=0,O503&gt;Assumptions!$C$43),1,0)</f>
        <v>0</v>
      </c>
      <c r="M504" s="58" t="n">
        <f aca="false">O503</f>
        <v>1.04062110040104E-008</v>
      </c>
      <c r="N504" s="58" t="n">
        <f aca="false">IF(L504=1,M504*$B$25,0)</f>
        <v>0</v>
      </c>
      <c r="O504" s="58" t="n">
        <f aca="false">IF(L504=1,M504+N504-$B$29,M504)</f>
        <v>1.04062110040104E-008</v>
      </c>
      <c r="P504" s="56" t="n">
        <f aca="false">IF(L504=1,IF($B$29&lt;=N504,1,0),0)</f>
        <v>0</v>
      </c>
      <c r="Q504" s="58" t="n">
        <f aca="false">Q503+N504</f>
        <v>215608.5191027</v>
      </c>
    </row>
    <row r="505" customFormat="false" ht="15" hidden="false" customHeight="false" outlineLevel="0" collapsed="false">
      <c r="K505" s="56" t="n">
        <f aca="false">K504+1</f>
        <v>498</v>
      </c>
      <c r="L505" s="57" t="n">
        <f aca="false">IF(AND(K505&lt;=Assumptions!$C$42,L504=1,P504=0,O504&gt;Assumptions!$C$43),1,0)</f>
        <v>0</v>
      </c>
      <c r="M505" s="58" t="n">
        <f aca="false">O504</f>
        <v>1.04062110040104E-008</v>
      </c>
      <c r="N505" s="58" t="n">
        <f aca="false">IF(L505=1,M505*$B$25,0)</f>
        <v>0</v>
      </c>
      <c r="O505" s="58" t="n">
        <f aca="false">IF(L505=1,M505+N505-$B$29,M505)</f>
        <v>1.04062110040104E-008</v>
      </c>
      <c r="P505" s="56" t="n">
        <f aca="false">IF(L505=1,IF($B$29&lt;=N505,1,0),0)</f>
        <v>0</v>
      </c>
      <c r="Q505" s="58" t="n">
        <f aca="false">Q504+N505</f>
        <v>215608.5191027</v>
      </c>
    </row>
    <row r="506" customFormat="false" ht="15" hidden="false" customHeight="false" outlineLevel="0" collapsed="false">
      <c r="K506" s="56" t="n">
        <f aca="false">K505+1</f>
        <v>499</v>
      </c>
      <c r="L506" s="57" t="n">
        <f aca="false">IF(AND(K506&lt;=Assumptions!$C$42,L505=1,P505=0,O505&gt;Assumptions!$C$43),1,0)</f>
        <v>0</v>
      </c>
      <c r="M506" s="58" t="n">
        <f aca="false">O505</f>
        <v>1.04062110040104E-008</v>
      </c>
      <c r="N506" s="58" t="n">
        <f aca="false">IF(L506=1,M506*$B$25,0)</f>
        <v>0</v>
      </c>
      <c r="O506" s="58" t="n">
        <f aca="false">IF(L506=1,M506+N506-$B$29,M506)</f>
        <v>1.04062110040104E-008</v>
      </c>
      <c r="P506" s="56" t="n">
        <f aca="false">IF(L506=1,IF($B$29&lt;=N506,1,0),0)</f>
        <v>0</v>
      </c>
      <c r="Q506" s="58" t="n">
        <f aca="false">Q505+N506</f>
        <v>215608.5191027</v>
      </c>
    </row>
    <row r="507" customFormat="false" ht="15" hidden="false" customHeight="false" outlineLevel="0" collapsed="false">
      <c r="K507" s="56" t="n">
        <f aca="false">K506+1</f>
        <v>500</v>
      </c>
      <c r="L507" s="57" t="n">
        <f aca="false">IF(AND(K507&lt;=Assumptions!$C$42,L506=1,P506=0,O506&gt;Assumptions!$C$43),1,0)</f>
        <v>0</v>
      </c>
      <c r="M507" s="58" t="n">
        <f aca="false">O506</f>
        <v>1.04062110040104E-008</v>
      </c>
      <c r="N507" s="58" t="n">
        <f aca="false">IF(L507=1,M507*$B$25,0)</f>
        <v>0</v>
      </c>
      <c r="O507" s="58" t="n">
        <f aca="false">IF(L507=1,M507+N507-$B$29,M507)</f>
        <v>1.04062110040104E-008</v>
      </c>
      <c r="P507" s="56" t="n">
        <f aca="false">IF(L507=1,IF($B$29&lt;=N507,1,0),0)</f>
        <v>0</v>
      </c>
      <c r="Q507" s="58" t="n">
        <f aca="false">Q506+N507</f>
        <v>215608.5191027</v>
      </c>
    </row>
    <row r="508" customFormat="false" ht="15" hidden="false" customHeight="false" outlineLevel="0" collapsed="false">
      <c r="K508" s="56" t="n">
        <f aca="false">K507+1</f>
        <v>501</v>
      </c>
      <c r="L508" s="57" t="n">
        <f aca="false">IF(AND(K508&lt;=Assumptions!$C$42,L507=1,P507=0,O507&gt;Assumptions!$C$43),1,0)</f>
        <v>0</v>
      </c>
      <c r="M508" s="58" t="n">
        <f aca="false">O507</f>
        <v>1.04062110040104E-008</v>
      </c>
      <c r="N508" s="58" t="n">
        <f aca="false">IF(L508=1,M508*$B$25,0)</f>
        <v>0</v>
      </c>
      <c r="O508" s="58" t="n">
        <f aca="false">IF(L508=1,M508+N508-$B$29,M508)</f>
        <v>1.04062110040104E-008</v>
      </c>
      <c r="P508" s="56" t="n">
        <f aca="false">IF(L508=1,IF($B$29&lt;=N508,1,0),0)</f>
        <v>0</v>
      </c>
      <c r="Q508" s="58" t="n">
        <f aca="false">Q507+N508</f>
        <v>215608.5191027</v>
      </c>
    </row>
    <row r="509" customFormat="false" ht="15" hidden="false" customHeight="false" outlineLevel="0" collapsed="false">
      <c r="K509" s="56" t="n">
        <f aca="false">K508+1</f>
        <v>502</v>
      </c>
      <c r="L509" s="57" t="n">
        <f aca="false">IF(AND(K509&lt;=Assumptions!$C$42,L508=1,P508=0,O508&gt;Assumptions!$C$43),1,0)</f>
        <v>0</v>
      </c>
      <c r="M509" s="58" t="n">
        <f aca="false">O508</f>
        <v>1.04062110040104E-008</v>
      </c>
      <c r="N509" s="58" t="n">
        <f aca="false">IF(L509=1,M509*$B$25,0)</f>
        <v>0</v>
      </c>
      <c r="O509" s="58" t="n">
        <f aca="false">IF(L509=1,M509+N509-$B$29,M509)</f>
        <v>1.04062110040104E-008</v>
      </c>
      <c r="P509" s="56" t="n">
        <f aca="false">IF(L509=1,IF($B$29&lt;=N509,1,0),0)</f>
        <v>0</v>
      </c>
      <c r="Q509" s="58" t="n">
        <f aca="false">Q508+N509</f>
        <v>215608.5191027</v>
      </c>
    </row>
    <row r="510" customFormat="false" ht="15" hidden="false" customHeight="false" outlineLevel="0" collapsed="false">
      <c r="K510" s="56" t="n">
        <f aca="false">K509+1</f>
        <v>503</v>
      </c>
      <c r="L510" s="57" t="n">
        <f aca="false">IF(AND(K510&lt;=Assumptions!$C$42,L509=1,P509=0,O509&gt;Assumptions!$C$43),1,0)</f>
        <v>0</v>
      </c>
      <c r="M510" s="58" t="n">
        <f aca="false">O509</f>
        <v>1.04062110040104E-008</v>
      </c>
      <c r="N510" s="58" t="n">
        <f aca="false">IF(L510=1,M510*$B$25,0)</f>
        <v>0</v>
      </c>
      <c r="O510" s="58" t="n">
        <f aca="false">IF(L510=1,M510+N510-$B$29,M510)</f>
        <v>1.04062110040104E-008</v>
      </c>
      <c r="P510" s="56" t="n">
        <f aca="false">IF(L510=1,IF($B$29&lt;=N510,1,0),0)</f>
        <v>0</v>
      </c>
      <c r="Q510" s="58" t="n">
        <f aca="false">Q509+N510</f>
        <v>215608.5191027</v>
      </c>
    </row>
    <row r="511" customFormat="false" ht="15" hidden="false" customHeight="false" outlineLevel="0" collapsed="false">
      <c r="K511" s="56" t="n">
        <f aca="false">K510+1</f>
        <v>504</v>
      </c>
      <c r="L511" s="57" t="n">
        <f aca="false">IF(AND(K511&lt;=Assumptions!$C$42,L510=1,P510=0,O510&gt;Assumptions!$C$43),1,0)</f>
        <v>0</v>
      </c>
      <c r="M511" s="58" t="n">
        <f aca="false">O510</f>
        <v>1.04062110040104E-008</v>
      </c>
      <c r="N511" s="58" t="n">
        <f aca="false">IF(L511=1,M511*$B$25,0)</f>
        <v>0</v>
      </c>
      <c r="O511" s="58" t="n">
        <f aca="false">IF(L511=1,M511+N511-$B$29,M511)</f>
        <v>1.04062110040104E-008</v>
      </c>
      <c r="P511" s="56" t="n">
        <f aca="false">IF(L511=1,IF($B$29&lt;=N511,1,0),0)</f>
        <v>0</v>
      </c>
      <c r="Q511" s="58" t="n">
        <f aca="false">Q510+N511</f>
        <v>215608.5191027</v>
      </c>
    </row>
    <row r="512" customFormat="false" ht="15" hidden="false" customHeight="false" outlineLevel="0" collapsed="false">
      <c r="K512" s="56" t="n">
        <f aca="false">K511+1</f>
        <v>505</v>
      </c>
      <c r="L512" s="57" t="n">
        <f aca="false">IF(AND(K512&lt;=Assumptions!$C$42,L511=1,P511=0,O511&gt;Assumptions!$C$43),1,0)</f>
        <v>0</v>
      </c>
      <c r="M512" s="58" t="n">
        <f aca="false">O511</f>
        <v>1.04062110040104E-008</v>
      </c>
      <c r="N512" s="58" t="n">
        <f aca="false">IF(L512=1,M512*$B$25,0)</f>
        <v>0</v>
      </c>
      <c r="O512" s="58" t="n">
        <f aca="false">IF(L512=1,M512+N512-$B$29,M512)</f>
        <v>1.04062110040104E-008</v>
      </c>
      <c r="P512" s="56" t="n">
        <f aca="false">IF(L512=1,IF($B$29&lt;=N512,1,0),0)</f>
        <v>0</v>
      </c>
      <c r="Q512" s="58" t="n">
        <f aca="false">Q511+N512</f>
        <v>215608.5191027</v>
      </c>
    </row>
    <row r="513" customFormat="false" ht="15" hidden="false" customHeight="false" outlineLevel="0" collapsed="false">
      <c r="K513" s="56" t="n">
        <f aca="false">K512+1</f>
        <v>506</v>
      </c>
      <c r="L513" s="57" t="n">
        <f aca="false">IF(AND(K513&lt;=Assumptions!$C$42,L512=1,P512=0,O512&gt;Assumptions!$C$43),1,0)</f>
        <v>0</v>
      </c>
      <c r="M513" s="58" t="n">
        <f aca="false">O512</f>
        <v>1.04062110040104E-008</v>
      </c>
      <c r="N513" s="58" t="n">
        <f aca="false">IF(L513=1,M513*$B$25,0)</f>
        <v>0</v>
      </c>
      <c r="O513" s="58" t="n">
        <f aca="false">IF(L513=1,M513+N513-$B$29,M513)</f>
        <v>1.04062110040104E-008</v>
      </c>
      <c r="P513" s="56" t="n">
        <f aca="false">IF(L513=1,IF($B$29&lt;=N513,1,0),0)</f>
        <v>0</v>
      </c>
      <c r="Q513" s="58" t="n">
        <f aca="false">Q512+N513</f>
        <v>215608.5191027</v>
      </c>
    </row>
    <row r="514" customFormat="false" ht="15" hidden="false" customHeight="false" outlineLevel="0" collapsed="false">
      <c r="K514" s="56" t="n">
        <f aca="false">K513+1</f>
        <v>507</v>
      </c>
      <c r="L514" s="57" t="n">
        <f aca="false">IF(AND(K514&lt;=Assumptions!$C$42,L513=1,P513=0,O513&gt;Assumptions!$C$43),1,0)</f>
        <v>0</v>
      </c>
      <c r="M514" s="58" t="n">
        <f aca="false">O513</f>
        <v>1.04062110040104E-008</v>
      </c>
      <c r="N514" s="58" t="n">
        <f aca="false">IF(L514=1,M514*$B$25,0)</f>
        <v>0</v>
      </c>
      <c r="O514" s="58" t="n">
        <f aca="false">IF(L514=1,M514+N514-$B$29,M514)</f>
        <v>1.04062110040104E-008</v>
      </c>
      <c r="P514" s="56" t="n">
        <f aca="false">IF(L514=1,IF($B$29&lt;=N514,1,0),0)</f>
        <v>0</v>
      </c>
      <c r="Q514" s="58" t="n">
        <f aca="false">Q513+N514</f>
        <v>215608.5191027</v>
      </c>
    </row>
    <row r="515" customFormat="false" ht="15" hidden="false" customHeight="false" outlineLevel="0" collapsed="false">
      <c r="K515" s="56" t="n">
        <f aca="false">K514+1</f>
        <v>508</v>
      </c>
      <c r="L515" s="57" t="n">
        <f aca="false">IF(AND(K515&lt;=Assumptions!$C$42,L514=1,P514=0,O514&gt;Assumptions!$C$43),1,0)</f>
        <v>0</v>
      </c>
      <c r="M515" s="58" t="n">
        <f aca="false">O514</f>
        <v>1.04062110040104E-008</v>
      </c>
      <c r="N515" s="58" t="n">
        <f aca="false">IF(L515=1,M515*$B$25,0)</f>
        <v>0</v>
      </c>
      <c r="O515" s="58" t="n">
        <f aca="false">IF(L515=1,M515+N515-$B$29,M515)</f>
        <v>1.04062110040104E-008</v>
      </c>
      <c r="P515" s="56" t="n">
        <f aca="false">IF(L515=1,IF($B$29&lt;=N515,1,0),0)</f>
        <v>0</v>
      </c>
      <c r="Q515" s="58" t="n">
        <f aca="false">Q514+N515</f>
        <v>215608.5191027</v>
      </c>
    </row>
    <row r="516" customFormat="false" ht="15" hidden="false" customHeight="false" outlineLevel="0" collapsed="false">
      <c r="K516" s="56" t="n">
        <f aca="false">K515+1</f>
        <v>509</v>
      </c>
      <c r="L516" s="57" t="n">
        <f aca="false">IF(AND(K516&lt;=Assumptions!$C$42,L515=1,P515=0,O515&gt;Assumptions!$C$43),1,0)</f>
        <v>0</v>
      </c>
      <c r="M516" s="58" t="n">
        <f aca="false">O515</f>
        <v>1.04062110040104E-008</v>
      </c>
      <c r="N516" s="58" t="n">
        <f aca="false">IF(L516=1,M516*$B$25,0)</f>
        <v>0</v>
      </c>
      <c r="O516" s="58" t="n">
        <f aca="false">IF(L516=1,M516+N516-$B$29,M516)</f>
        <v>1.04062110040104E-008</v>
      </c>
      <c r="P516" s="56" t="n">
        <f aca="false">IF(L516=1,IF($B$29&lt;=N516,1,0),0)</f>
        <v>0</v>
      </c>
      <c r="Q516" s="58" t="n">
        <f aca="false">Q515+N516</f>
        <v>215608.5191027</v>
      </c>
    </row>
    <row r="517" customFormat="false" ht="15" hidden="false" customHeight="false" outlineLevel="0" collapsed="false">
      <c r="K517" s="56" t="n">
        <f aca="false">K516+1</f>
        <v>510</v>
      </c>
      <c r="L517" s="57" t="n">
        <f aca="false">IF(AND(K517&lt;=Assumptions!$C$42,L516=1,P516=0,O516&gt;Assumptions!$C$43),1,0)</f>
        <v>0</v>
      </c>
      <c r="M517" s="58" t="n">
        <f aca="false">O516</f>
        <v>1.04062110040104E-008</v>
      </c>
      <c r="N517" s="58" t="n">
        <f aca="false">IF(L517=1,M517*$B$25,0)</f>
        <v>0</v>
      </c>
      <c r="O517" s="58" t="n">
        <f aca="false">IF(L517=1,M517+N517-$B$29,M517)</f>
        <v>1.04062110040104E-008</v>
      </c>
      <c r="P517" s="56" t="n">
        <f aca="false">IF(L517=1,IF($B$29&lt;=N517,1,0),0)</f>
        <v>0</v>
      </c>
      <c r="Q517" s="58" t="n">
        <f aca="false">Q516+N517</f>
        <v>215608.5191027</v>
      </c>
    </row>
    <row r="518" customFormat="false" ht="15" hidden="false" customHeight="false" outlineLevel="0" collapsed="false">
      <c r="K518" s="56" t="n">
        <f aca="false">K517+1</f>
        <v>511</v>
      </c>
      <c r="L518" s="57" t="n">
        <f aca="false">IF(AND(K518&lt;=Assumptions!$C$42,L517=1,P517=0,O517&gt;Assumptions!$C$43),1,0)</f>
        <v>0</v>
      </c>
      <c r="M518" s="58" t="n">
        <f aca="false">O517</f>
        <v>1.04062110040104E-008</v>
      </c>
      <c r="N518" s="58" t="n">
        <f aca="false">IF(L518=1,M518*$B$25,0)</f>
        <v>0</v>
      </c>
      <c r="O518" s="58" t="n">
        <f aca="false">IF(L518=1,M518+N518-$B$29,M518)</f>
        <v>1.04062110040104E-008</v>
      </c>
      <c r="P518" s="56" t="n">
        <f aca="false">IF(L518=1,IF($B$29&lt;=N518,1,0),0)</f>
        <v>0</v>
      </c>
      <c r="Q518" s="58" t="n">
        <f aca="false">Q517+N518</f>
        <v>215608.5191027</v>
      </c>
    </row>
    <row r="519" customFormat="false" ht="15" hidden="false" customHeight="false" outlineLevel="0" collapsed="false">
      <c r="K519" s="56" t="n">
        <f aca="false">K518+1</f>
        <v>512</v>
      </c>
      <c r="L519" s="57" t="n">
        <f aca="false">IF(AND(K519&lt;=Assumptions!$C$42,L518=1,P518=0,O518&gt;Assumptions!$C$43),1,0)</f>
        <v>0</v>
      </c>
      <c r="M519" s="58" t="n">
        <f aca="false">O518</f>
        <v>1.04062110040104E-008</v>
      </c>
      <c r="N519" s="58" t="n">
        <f aca="false">IF(L519=1,M519*$B$25,0)</f>
        <v>0</v>
      </c>
      <c r="O519" s="58" t="n">
        <f aca="false">IF(L519=1,M519+N519-$B$29,M519)</f>
        <v>1.04062110040104E-008</v>
      </c>
      <c r="P519" s="56" t="n">
        <f aca="false">IF(L519=1,IF($B$29&lt;=N519,1,0),0)</f>
        <v>0</v>
      </c>
      <c r="Q519" s="58" t="n">
        <f aca="false">Q518+N519</f>
        <v>215608.5191027</v>
      </c>
    </row>
    <row r="520" customFormat="false" ht="15" hidden="false" customHeight="false" outlineLevel="0" collapsed="false">
      <c r="K520" s="56" t="n">
        <f aca="false">K519+1</f>
        <v>513</v>
      </c>
      <c r="L520" s="57" t="n">
        <f aca="false">IF(AND(K520&lt;=Assumptions!$C$42,L519=1,P519=0,O519&gt;Assumptions!$C$43),1,0)</f>
        <v>0</v>
      </c>
      <c r="M520" s="58" t="n">
        <f aca="false">O519</f>
        <v>1.04062110040104E-008</v>
      </c>
      <c r="N520" s="58" t="n">
        <f aca="false">IF(L520=1,M520*$B$25,0)</f>
        <v>0</v>
      </c>
      <c r="O520" s="58" t="n">
        <f aca="false">IF(L520=1,M520+N520-$B$29,M520)</f>
        <v>1.04062110040104E-008</v>
      </c>
      <c r="P520" s="56" t="n">
        <f aca="false">IF(L520=1,IF($B$29&lt;=N520,1,0),0)</f>
        <v>0</v>
      </c>
      <c r="Q520" s="58" t="n">
        <f aca="false">Q519+N520</f>
        <v>215608.5191027</v>
      </c>
    </row>
    <row r="521" customFormat="false" ht="15" hidden="false" customHeight="false" outlineLevel="0" collapsed="false">
      <c r="K521" s="56" t="n">
        <f aca="false">K520+1</f>
        <v>514</v>
      </c>
      <c r="L521" s="57" t="n">
        <f aca="false">IF(AND(K521&lt;=Assumptions!$C$42,L520=1,P520=0,O520&gt;Assumptions!$C$43),1,0)</f>
        <v>0</v>
      </c>
      <c r="M521" s="58" t="n">
        <f aca="false">O520</f>
        <v>1.04062110040104E-008</v>
      </c>
      <c r="N521" s="58" t="n">
        <f aca="false">IF(L521=1,M521*$B$25,0)</f>
        <v>0</v>
      </c>
      <c r="O521" s="58" t="n">
        <f aca="false">IF(L521=1,M521+N521-$B$29,M521)</f>
        <v>1.04062110040104E-008</v>
      </c>
      <c r="P521" s="56" t="n">
        <f aca="false">IF(L521=1,IF($B$29&lt;=N521,1,0),0)</f>
        <v>0</v>
      </c>
      <c r="Q521" s="58" t="n">
        <f aca="false">Q520+N521</f>
        <v>215608.5191027</v>
      </c>
    </row>
    <row r="522" customFormat="false" ht="15" hidden="false" customHeight="false" outlineLevel="0" collapsed="false">
      <c r="K522" s="56" t="n">
        <f aca="false">K521+1</f>
        <v>515</v>
      </c>
      <c r="L522" s="57" t="n">
        <f aca="false">IF(AND(K522&lt;=Assumptions!$C$42,L521=1,P521=0,O521&gt;Assumptions!$C$43),1,0)</f>
        <v>0</v>
      </c>
      <c r="M522" s="58" t="n">
        <f aca="false">O521</f>
        <v>1.04062110040104E-008</v>
      </c>
      <c r="N522" s="58" t="n">
        <f aca="false">IF(L522=1,M522*$B$25,0)</f>
        <v>0</v>
      </c>
      <c r="O522" s="58" t="n">
        <f aca="false">IF(L522=1,M522+N522-$B$29,M522)</f>
        <v>1.04062110040104E-008</v>
      </c>
      <c r="P522" s="56" t="n">
        <f aca="false">IF(L522=1,IF($B$29&lt;=N522,1,0),0)</f>
        <v>0</v>
      </c>
      <c r="Q522" s="58" t="n">
        <f aca="false">Q521+N522</f>
        <v>215608.5191027</v>
      </c>
    </row>
    <row r="523" customFormat="false" ht="15" hidden="false" customHeight="false" outlineLevel="0" collapsed="false">
      <c r="K523" s="56" t="n">
        <f aca="false">K522+1</f>
        <v>516</v>
      </c>
      <c r="L523" s="57" t="n">
        <f aca="false">IF(AND(K523&lt;=Assumptions!$C$42,L522=1,P522=0,O522&gt;Assumptions!$C$43),1,0)</f>
        <v>0</v>
      </c>
      <c r="M523" s="58" t="n">
        <f aca="false">O522</f>
        <v>1.04062110040104E-008</v>
      </c>
      <c r="N523" s="58" t="n">
        <f aca="false">IF(L523=1,M523*$B$25,0)</f>
        <v>0</v>
      </c>
      <c r="O523" s="58" t="n">
        <f aca="false">IF(L523=1,M523+N523-$B$29,M523)</f>
        <v>1.04062110040104E-008</v>
      </c>
      <c r="P523" s="56" t="n">
        <f aca="false">IF(L523=1,IF($B$29&lt;=N523,1,0),0)</f>
        <v>0</v>
      </c>
      <c r="Q523" s="58" t="n">
        <f aca="false">Q522+N523</f>
        <v>215608.5191027</v>
      </c>
    </row>
    <row r="524" customFormat="false" ht="15" hidden="false" customHeight="false" outlineLevel="0" collapsed="false">
      <c r="K524" s="56" t="n">
        <f aca="false">K523+1</f>
        <v>517</v>
      </c>
      <c r="L524" s="57" t="n">
        <f aca="false">IF(AND(K524&lt;=Assumptions!$C$42,L523=1,P523=0,O523&gt;Assumptions!$C$43),1,0)</f>
        <v>0</v>
      </c>
      <c r="M524" s="58" t="n">
        <f aca="false">O523</f>
        <v>1.04062110040104E-008</v>
      </c>
      <c r="N524" s="58" t="n">
        <f aca="false">IF(L524=1,M524*$B$25,0)</f>
        <v>0</v>
      </c>
      <c r="O524" s="58" t="n">
        <f aca="false">IF(L524=1,M524+N524-$B$29,M524)</f>
        <v>1.04062110040104E-008</v>
      </c>
      <c r="P524" s="56" t="n">
        <f aca="false">IF(L524=1,IF($B$29&lt;=N524,1,0),0)</f>
        <v>0</v>
      </c>
      <c r="Q524" s="58" t="n">
        <f aca="false">Q523+N524</f>
        <v>215608.5191027</v>
      </c>
    </row>
    <row r="525" customFormat="false" ht="15" hidden="false" customHeight="false" outlineLevel="0" collapsed="false">
      <c r="K525" s="56" t="n">
        <f aca="false">K524+1</f>
        <v>518</v>
      </c>
      <c r="L525" s="57" t="n">
        <f aca="false">IF(AND(K525&lt;=Assumptions!$C$42,L524=1,P524=0,O524&gt;Assumptions!$C$43),1,0)</f>
        <v>0</v>
      </c>
      <c r="M525" s="58" t="n">
        <f aca="false">O524</f>
        <v>1.04062110040104E-008</v>
      </c>
      <c r="N525" s="58" t="n">
        <f aca="false">IF(L525=1,M525*$B$25,0)</f>
        <v>0</v>
      </c>
      <c r="O525" s="58" t="n">
        <f aca="false">IF(L525=1,M525+N525-$B$29,M525)</f>
        <v>1.04062110040104E-008</v>
      </c>
      <c r="P525" s="56" t="n">
        <f aca="false">IF(L525=1,IF($B$29&lt;=N525,1,0),0)</f>
        <v>0</v>
      </c>
      <c r="Q525" s="58" t="n">
        <f aca="false">Q524+N525</f>
        <v>215608.5191027</v>
      </c>
    </row>
    <row r="526" customFormat="false" ht="15" hidden="false" customHeight="false" outlineLevel="0" collapsed="false">
      <c r="K526" s="56" t="n">
        <f aca="false">K525+1</f>
        <v>519</v>
      </c>
      <c r="L526" s="57" t="n">
        <f aca="false">IF(AND(K526&lt;=Assumptions!$C$42,L525=1,P525=0,O525&gt;Assumptions!$C$43),1,0)</f>
        <v>0</v>
      </c>
      <c r="M526" s="58" t="n">
        <f aca="false">O525</f>
        <v>1.04062110040104E-008</v>
      </c>
      <c r="N526" s="58" t="n">
        <f aca="false">IF(L526=1,M526*$B$25,0)</f>
        <v>0</v>
      </c>
      <c r="O526" s="58" t="n">
        <f aca="false">IF(L526=1,M526+N526-$B$29,M526)</f>
        <v>1.04062110040104E-008</v>
      </c>
      <c r="P526" s="56" t="n">
        <f aca="false">IF(L526=1,IF($B$29&lt;=N526,1,0),0)</f>
        <v>0</v>
      </c>
      <c r="Q526" s="58" t="n">
        <f aca="false">Q525+N526</f>
        <v>215608.5191027</v>
      </c>
    </row>
    <row r="527" customFormat="false" ht="15" hidden="false" customHeight="false" outlineLevel="0" collapsed="false">
      <c r="K527" s="56" t="n">
        <f aca="false">K526+1</f>
        <v>520</v>
      </c>
      <c r="L527" s="57" t="n">
        <f aca="false">IF(AND(K527&lt;=Assumptions!$C$42,L526=1,P526=0,O526&gt;Assumptions!$C$43),1,0)</f>
        <v>0</v>
      </c>
      <c r="M527" s="58" t="n">
        <f aca="false">O526</f>
        <v>1.04062110040104E-008</v>
      </c>
      <c r="N527" s="58" t="n">
        <f aca="false">IF(L527=1,M527*$B$25,0)</f>
        <v>0</v>
      </c>
      <c r="O527" s="58" t="n">
        <f aca="false">IF(L527=1,M527+N527-$B$29,M527)</f>
        <v>1.04062110040104E-008</v>
      </c>
      <c r="P527" s="56" t="n">
        <f aca="false">IF(L527=1,IF($B$29&lt;=N527,1,0),0)</f>
        <v>0</v>
      </c>
      <c r="Q527" s="58" t="n">
        <f aca="false">Q526+N527</f>
        <v>215608.5191027</v>
      </c>
    </row>
    <row r="528" customFormat="false" ht="15" hidden="false" customHeight="false" outlineLevel="0" collapsed="false">
      <c r="K528" s="56" t="n">
        <f aca="false">K527+1</f>
        <v>521</v>
      </c>
      <c r="L528" s="57" t="n">
        <f aca="false">IF(AND(K528&lt;=Assumptions!$C$42,L527=1,P527=0,O527&gt;Assumptions!$C$43),1,0)</f>
        <v>0</v>
      </c>
      <c r="M528" s="58" t="n">
        <f aca="false">O527</f>
        <v>1.04062110040104E-008</v>
      </c>
      <c r="N528" s="58" t="n">
        <f aca="false">IF(L528=1,M528*$B$25,0)</f>
        <v>0</v>
      </c>
      <c r="O528" s="58" t="n">
        <f aca="false">IF(L528=1,M528+N528-$B$29,M528)</f>
        <v>1.04062110040104E-008</v>
      </c>
      <c r="P528" s="56" t="n">
        <f aca="false">IF(L528=1,IF($B$29&lt;=N528,1,0),0)</f>
        <v>0</v>
      </c>
      <c r="Q528" s="58" t="n">
        <f aca="false">Q527+N528</f>
        <v>215608.5191027</v>
      </c>
    </row>
    <row r="529" customFormat="false" ht="15" hidden="false" customHeight="false" outlineLevel="0" collapsed="false">
      <c r="K529" s="56" t="n">
        <f aca="false">K528+1</f>
        <v>522</v>
      </c>
      <c r="L529" s="57" t="n">
        <f aca="false">IF(AND(K529&lt;=Assumptions!$C$42,L528=1,P528=0,O528&gt;Assumptions!$C$43),1,0)</f>
        <v>0</v>
      </c>
      <c r="M529" s="58" t="n">
        <f aca="false">O528</f>
        <v>1.04062110040104E-008</v>
      </c>
      <c r="N529" s="58" t="n">
        <f aca="false">IF(L529=1,M529*$B$25,0)</f>
        <v>0</v>
      </c>
      <c r="O529" s="58" t="n">
        <f aca="false">IF(L529=1,M529+N529-$B$29,M529)</f>
        <v>1.04062110040104E-008</v>
      </c>
      <c r="P529" s="56" t="n">
        <f aca="false">IF(L529=1,IF($B$29&lt;=N529,1,0),0)</f>
        <v>0</v>
      </c>
      <c r="Q529" s="58" t="n">
        <f aca="false">Q528+N529</f>
        <v>215608.5191027</v>
      </c>
    </row>
    <row r="530" customFormat="false" ht="15" hidden="false" customHeight="false" outlineLevel="0" collapsed="false">
      <c r="K530" s="56" t="n">
        <f aca="false">K529+1</f>
        <v>523</v>
      </c>
      <c r="L530" s="57" t="n">
        <f aca="false">IF(AND(K530&lt;=Assumptions!$C$42,L529=1,P529=0,O529&gt;Assumptions!$C$43),1,0)</f>
        <v>0</v>
      </c>
      <c r="M530" s="58" t="n">
        <f aca="false">O529</f>
        <v>1.04062110040104E-008</v>
      </c>
      <c r="N530" s="58" t="n">
        <f aca="false">IF(L530=1,M530*$B$25,0)</f>
        <v>0</v>
      </c>
      <c r="O530" s="58" t="n">
        <f aca="false">IF(L530=1,M530+N530-$B$29,M530)</f>
        <v>1.04062110040104E-008</v>
      </c>
      <c r="P530" s="56" t="n">
        <f aca="false">IF(L530=1,IF($B$29&lt;=N530,1,0),0)</f>
        <v>0</v>
      </c>
      <c r="Q530" s="58" t="n">
        <f aca="false">Q529+N530</f>
        <v>215608.5191027</v>
      </c>
    </row>
    <row r="531" customFormat="false" ht="15" hidden="false" customHeight="false" outlineLevel="0" collapsed="false">
      <c r="K531" s="56" t="n">
        <f aca="false">K530+1</f>
        <v>524</v>
      </c>
      <c r="L531" s="57" t="n">
        <f aca="false">IF(AND(K531&lt;=Assumptions!$C$42,L530=1,P530=0,O530&gt;Assumptions!$C$43),1,0)</f>
        <v>0</v>
      </c>
      <c r="M531" s="58" t="n">
        <f aca="false">O530</f>
        <v>1.04062110040104E-008</v>
      </c>
      <c r="N531" s="58" t="n">
        <f aca="false">IF(L531=1,M531*$B$25,0)</f>
        <v>0</v>
      </c>
      <c r="O531" s="58" t="n">
        <f aca="false">IF(L531=1,M531+N531-$B$29,M531)</f>
        <v>1.04062110040104E-008</v>
      </c>
      <c r="P531" s="56" t="n">
        <f aca="false">IF(L531=1,IF($B$29&lt;=N531,1,0),0)</f>
        <v>0</v>
      </c>
      <c r="Q531" s="58" t="n">
        <f aca="false">Q530+N531</f>
        <v>215608.5191027</v>
      </c>
    </row>
    <row r="532" customFormat="false" ht="15" hidden="false" customHeight="false" outlineLevel="0" collapsed="false">
      <c r="K532" s="56" t="n">
        <f aca="false">K531+1</f>
        <v>525</v>
      </c>
      <c r="L532" s="57" t="n">
        <f aca="false">IF(AND(K532&lt;=Assumptions!$C$42,L531=1,P531=0,O531&gt;Assumptions!$C$43),1,0)</f>
        <v>0</v>
      </c>
      <c r="M532" s="58" t="n">
        <f aca="false">O531</f>
        <v>1.04062110040104E-008</v>
      </c>
      <c r="N532" s="58" t="n">
        <f aca="false">IF(L532=1,M532*$B$25,0)</f>
        <v>0</v>
      </c>
      <c r="O532" s="58" t="n">
        <f aca="false">IF(L532=1,M532+N532-$B$29,M532)</f>
        <v>1.04062110040104E-008</v>
      </c>
      <c r="P532" s="56" t="n">
        <f aca="false">IF(L532=1,IF($B$29&lt;=N532,1,0),0)</f>
        <v>0</v>
      </c>
      <c r="Q532" s="58" t="n">
        <f aca="false">Q531+N532</f>
        <v>215608.5191027</v>
      </c>
    </row>
    <row r="533" customFormat="false" ht="15" hidden="false" customHeight="false" outlineLevel="0" collapsed="false">
      <c r="K533" s="56" t="n">
        <f aca="false">K532+1</f>
        <v>526</v>
      </c>
      <c r="L533" s="57" t="n">
        <f aca="false">IF(AND(K533&lt;=Assumptions!$C$42,L532=1,P532=0,O532&gt;Assumptions!$C$43),1,0)</f>
        <v>0</v>
      </c>
      <c r="M533" s="58" t="n">
        <f aca="false">O532</f>
        <v>1.04062110040104E-008</v>
      </c>
      <c r="N533" s="58" t="n">
        <f aca="false">IF(L533=1,M533*$B$25,0)</f>
        <v>0</v>
      </c>
      <c r="O533" s="58" t="n">
        <f aca="false">IF(L533=1,M533+N533-$B$29,M533)</f>
        <v>1.04062110040104E-008</v>
      </c>
      <c r="P533" s="56" t="n">
        <f aca="false">IF(L533=1,IF($B$29&lt;=N533,1,0),0)</f>
        <v>0</v>
      </c>
      <c r="Q533" s="58" t="n">
        <f aca="false">Q532+N533</f>
        <v>215608.5191027</v>
      </c>
    </row>
    <row r="534" customFormat="false" ht="15" hidden="false" customHeight="false" outlineLevel="0" collapsed="false">
      <c r="K534" s="56" t="n">
        <f aca="false">K533+1</f>
        <v>527</v>
      </c>
      <c r="L534" s="57" t="n">
        <f aca="false">IF(AND(K534&lt;=Assumptions!$C$42,L533=1,P533=0,O533&gt;Assumptions!$C$43),1,0)</f>
        <v>0</v>
      </c>
      <c r="M534" s="58" t="n">
        <f aca="false">O533</f>
        <v>1.04062110040104E-008</v>
      </c>
      <c r="N534" s="58" t="n">
        <f aca="false">IF(L534=1,M534*$B$25,0)</f>
        <v>0</v>
      </c>
      <c r="O534" s="58" t="n">
        <f aca="false">IF(L534=1,M534+N534-$B$29,M534)</f>
        <v>1.04062110040104E-008</v>
      </c>
      <c r="P534" s="56" t="n">
        <f aca="false">IF(L534=1,IF($B$29&lt;=N534,1,0),0)</f>
        <v>0</v>
      </c>
      <c r="Q534" s="58" t="n">
        <f aca="false">Q533+N534</f>
        <v>215608.5191027</v>
      </c>
    </row>
    <row r="535" customFormat="false" ht="15" hidden="false" customHeight="false" outlineLevel="0" collapsed="false">
      <c r="K535" s="56" t="n">
        <f aca="false">K534+1</f>
        <v>528</v>
      </c>
      <c r="L535" s="57" t="n">
        <f aca="false">IF(AND(K535&lt;=Assumptions!$C$42,L534=1,P534=0,O534&gt;Assumptions!$C$43),1,0)</f>
        <v>0</v>
      </c>
      <c r="M535" s="58" t="n">
        <f aca="false">O534</f>
        <v>1.04062110040104E-008</v>
      </c>
      <c r="N535" s="58" t="n">
        <f aca="false">IF(L535=1,M535*$B$25,0)</f>
        <v>0</v>
      </c>
      <c r="O535" s="58" t="n">
        <f aca="false">IF(L535=1,M535+N535-$B$29,M535)</f>
        <v>1.04062110040104E-008</v>
      </c>
      <c r="P535" s="56" t="n">
        <f aca="false">IF(L535=1,IF($B$29&lt;=N535,1,0),0)</f>
        <v>0</v>
      </c>
      <c r="Q535" s="58" t="n">
        <f aca="false">Q534+N535</f>
        <v>215608.5191027</v>
      </c>
    </row>
    <row r="536" customFormat="false" ht="15" hidden="false" customHeight="false" outlineLevel="0" collapsed="false">
      <c r="K536" s="56" t="n">
        <f aca="false">K535+1</f>
        <v>529</v>
      </c>
      <c r="L536" s="57" t="n">
        <f aca="false">IF(AND(K536&lt;=Assumptions!$C$42,L535=1,P535=0,O535&gt;Assumptions!$C$43),1,0)</f>
        <v>0</v>
      </c>
      <c r="M536" s="58" t="n">
        <f aca="false">O535</f>
        <v>1.04062110040104E-008</v>
      </c>
      <c r="N536" s="58" t="n">
        <f aca="false">IF(L536=1,M536*$B$25,0)</f>
        <v>0</v>
      </c>
      <c r="O536" s="58" t="n">
        <f aca="false">IF(L536=1,M536+N536-$B$29,M536)</f>
        <v>1.04062110040104E-008</v>
      </c>
      <c r="P536" s="56" t="n">
        <f aca="false">IF(L536=1,IF($B$29&lt;=N536,1,0),0)</f>
        <v>0</v>
      </c>
      <c r="Q536" s="58" t="n">
        <f aca="false">Q535+N536</f>
        <v>215608.5191027</v>
      </c>
    </row>
    <row r="537" customFormat="false" ht="15" hidden="false" customHeight="false" outlineLevel="0" collapsed="false">
      <c r="K537" s="56" t="n">
        <f aca="false">K536+1</f>
        <v>530</v>
      </c>
      <c r="L537" s="57" t="n">
        <f aca="false">IF(AND(K537&lt;=Assumptions!$C$42,L536=1,P536=0,O536&gt;Assumptions!$C$43),1,0)</f>
        <v>0</v>
      </c>
      <c r="M537" s="58" t="n">
        <f aca="false">O536</f>
        <v>1.04062110040104E-008</v>
      </c>
      <c r="N537" s="58" t="n">
        <f aca="false">IF(L537=1,M537*$B$25,0)</f>
        <v>0</v>
      </c>
      <c r="O537" s="58" t="n">
        <f aca="false">IF(L537=1,M537+N537-$B$29,M537)</f>
        <v>1.04062110040104E-008</v>
      </c>
      <c r="P537" s="56" t="n">
        <f aca="false">IF(L537=1,IF($B$29&lt;=N537,1,0),0)</f>
        <v>0</v>
      </c>
      <c r="Q537" s="58" t="n">
        <f aca="false">Q536+N537</f>
        <v>215608.5191027</v>
      </c>
    </row>
    <row r="538" customFormat="false" ht="15" hidden="false" customHeight="false" outlineLevel="0" collapsed="false">
      <c r="K538" s="56" t="n">
        <f aca="false">K537+1</f>
        <v>531</v>
      </c>
      <c r="L538" s="57" t="n">
        <f aca="false">IF(AND(K538&lt;=Assumptions!$C$42,L537=1,P537=0,O537&gt;Assumptions!$C$43),1,0)</f>
        <v>0</v>
      </c>
      <c r="M538" s="58" t="n">
        <f aca="false">O537</f>
        <v>1.04062110040104E-008</v>
      </c>
      <c r="N538" s="58" t="n">
        <f aca="false">IF(L538=1,M538*$B$25,0)</f>
        <v>0</v>
      </c>
      <c r="O538" s="58" t="n">
        <f aca="false">IF(L538=1,M538+N538-$B$29,M538)</f>
        <v>1.04062110040104E-008</v>
      </c>
      <c r="P538" s="56" t="n">
        <f aca="false">IF(L538=1,IF($B$29&lt;=N538,1,0),0)</f>
        <v>0</v>
      </c>
      <c r="Q538" s="58" t="n">
        <f aca="false">Q537+N538</f>
        <v>215608.5191027</v>
      </c>
    </row>
    <row r="539" customFormat="false" ht="15" hidden="false" customHeight="false" outlineLevel="0" collapsed="false">
      <c r="K539" s="56" t="n">
        <f aca="false">K538+1</f>
        <v>532</v>
      </c>
      <c r="L539" s="57" t="n">
        <f aca="false">IF(AND(K539&lt;=Assumptions!$C$42,L538=1,P538=0,O538&gt;Assumptions!$C$43),1,0)</f>
        <v>0</v>
      </c>
      <c r="M539" s="58" t="n">
        <f aca="false">O538</f>
        <v>1.04062110040104E-008</v>
      </c>
      <c r="N539" s="58" t="n">
        <f aca="false">IF(L539=1,M539*$B$25,0)</f>
        <v>0</v>
      </c>
      <c r="O539" s="58" t="n">
        <f aca="false">IF(L539=1,M539+N539-$B$29,M539)</f>
        <v>1.04062110040104E-008</v>
      </c>
      <c r="P539" s="56" t="n">
        <f aca="false">IF(L539=1,IF($B$29&lt;=N539,1,0),0)</f>
        <v>0</v>
      </c>
      <c r="Q539" s="58" t="n">
        <f aca="false">Q538+N539</f>
        <v>215608.5191027</v>
      </c>
    </row>
    <row r="540" customFormat="false" ht="15" hidden="false" customHeight="false" outlineLevel="0" collapsed="false">
      <c r="K540" s="56" t="n">
        <f aca="false">K539+1</f>
        <v>533</v>
      </c>
      <c r="L540" s="57" t="n">
        <f aca="false">IF(AND(K540&lt;=Assumptions!$C$42,L539=1,P539=0,O539&gt;Assumptions!$C$43),1,0)</f>
        <v>0</v>
      </c>
      <c r="M540" s="58" t="n">
        <f aca="false">O539</f>
        <v>1.04062110040104E-008</v>
      </c>
      <c r="N540" s="58" t="n">
        <f aca="false">IF(L540=1,M540*$B$25,0)</f>
        <v>0</v>
      </c>
      <c r="O540" s="58" t="n">
        <f aca="false">IF(L540=1,M540+N540-$B$29,M540)</f>
        <v>1.04062110040104E-008</v>
      </c>
      <c r="P540" s="56" t="n">
        <f aca="false">IF(L540=1,IF($B$29&lt;=N540,1,0),0)</f>
        <v>0</v>
      </c>
      <c r="Q540" s="58" t="n">
        <f aca="false">Q539+N540</f>
        <v>215608.5191027</v>
      </c>
    </row>
    <row r="541" customFormat="false" ht="15" hidden="false" customHeight="false" outlineLevel="0" collapsed="false">
      <c r="K541" s="56" t="n">
        <f aca="false">K540+1</f>
        <v>534</v>
      </c>
      <c r="L541" s="57" t="n">
        <f aca="false">IF(AND(K541&lt;=Assumptions!$C$42,L540=1,P540=0,O540&gt;Assumptions!$C$43),1,0)</f>
        <v>0</v>
      </c>
      <c r="M541" s="58" t="n">
        <f aca="false">O540</f>
        <v>1.04062110040104E-008</v>
      </c>
      <c r="N541" s="58" t="n">
        <f aca="false">IF(L541=1,M541*$B$25,0)</f>
        <v>0</v>
      </c>
      <c r="O541" s="58" t="n">
        <f aca="false">IF(L541=1,M541+N541-$B$29,M541)</f>
        <v>1.04062110040104E-008</v>
      </c>
      <c r="P541" s="56" t="n">
        <f aca="false">IF(L541=1,IF($B$29&lt;=N541,1,0),0)</f>
        <v>0</v>
      </c>
      <c r="Q541" s="58" t="n">
        <f aca="false">Q540+N541</f>
        <v>215608.5191027</v>
      </c>
    </row>
    <row r="542" customFormat="false" ht="15" hidden="false" customHeight="false" outlineLevel="0" collapsed="false">
      <c r="K542" s="56" t="n">
        <f aca="false">K541+1</f>
        <v>535</v>
      </c>
      <c r="L542" s="57" t="n">
        <f aca="false">IF(AND(K542&lt;=Assumptions!$C$42,L541=1,P541=0,O541&gt;Assumptions!$C$43),1,0)</f>
        <v>0</v>
      </c>
      <c r="M542" s="58" t="n">
        <f aca="false">O541</f>
        <v>1.04062110040104E-008</v>
      </c>
      <c r="N542" s="58" t="n">
        <f aca="false">IF(L542=1,M542*$B$25,0)</f>
        <v>0</v>
      </c>
      <c r="O542" s="58" t="n">
        <f aca="false">IF(L542=1,M542+N542-$B$29,M542)</f>
        <v>1.04062110040104E-008</v>
      </c>
      <c r="P542" s="56" t="n">
        <f aca="false">IF(L542=1,IF($B$29&lt;=N542,1,0),0)</f>
        <v>0</v>
      </c>
      <c r="Q542" s="58" t="n">
        <f aca="false">Q541+N542</f>
        <v>215608.5191027</v>
      </c>
    </row>
    <row r="543" customFormat="false" ht="15" hidden="false" customHeight="false" outlineLevel="0" collapsed="false">
      <c r="K543" s="56" t="n">
        <f aca="false">K542+1</f>
        <v>536</v>
      </c>
      <c r="L543" s="57" t="n">
        <f aca="false">IF(AND(K543&lt;=Assumptions!$C$42,L542=1,P542=0,O542&gt;Assumptions!$C$43),1,0)</f>
        <v>0</v>
      </c>
      <c r="M543" s="58" t="n">
        <f aca="false">O542</f>
        <v>1.04062110040104E-008</v>
      </c>
      <c r="N543" s="58" t="n">
        <f aca="false">IF(L543=1,M543*$B$25,0)</f>
        <v>0</v>
      </c>
      <c r="O543" s="58" t="n">
        <f aca="false">IF(L543=1,M543+N543-$B$29,M543)</f>
        <v>1.04062110040104E-008</v>
      </c>
      <c r="P543" s="56" t="n">
        <f aca="false">IF(L543=1,IF($B$29&lt;=N543,1,0),0)</f>
        <v>0</v>
      </c>
      <c r="Q543" s="58" t="n">
        <f aca="false">Q542+N543</f>
        <v>215608.5191027</v>
      </c>
    </row>
    <row r="544" customFormat="false" ht="15" hidden="false" customHeight="false" outlineLevel="0" collapsed="false">
      <c r="K544" s="56" t="n">
        <f aca="false">K543+1</f>
        <v>537</v>
      </c>
      <c r="L544" s="57" t="n">
        <f aca="false">IF(AND(K544&lt;=Assumptions!$C$42,L543=1,P543=0,O543&gt;Assumptions!$C$43),1,0)</f>
        <v>0</v>
      </c>
      <c r="M544" s="58" t="n">
        <f aca="false">O543</f>
        <v>1.04062110040104E-008</v>
      </c>
      <c r="N544" s="58" t="n">
        <f aca="false">IF(L544=1,M544*$B$25,0)</f>
        <v>0</v>
      </c>
      <c r="O544" s="58" t="n">
        <f aca="false">IF(L544=1,M544+N544-$B$29,M544)</f>
        <v>1.04062110040104E-008</v>
      </c>
      <c r="P544" s="56" t="n">
        <f aca="false">IF(L544=1,IF($B$29&lt;=N544,1,0),0)</f>
        <v>0</v>
      </c>
      <c r="Q544" s="58" t="n">
        <f aca="false">Q543+N544</f>
        <v>215608.5191027</v>
      </c>
    </row>
    <row r="545" customFormat="false" ht="15" hidden="false" customHeight="false" outlineLevel="0" collapsed="false">
      <c r="K545" s="56" t="n">
        <f aca="false">K544+1</f>
        <v>538</v>
      </c>
      <c r="L545" s="57" t="n">
        <f aca="false">IF(AND(K545&lt;=Assumptions!$C$42,L544=1,P544=0,O544&gt;Assumptions!$C$43),1,0)</f>
        <v>0</v>
      </c>
      <c r="M545" s="58" t="n">
        <f aca="false">O544</f>
        <v>1.04062110040104E-008</v>
      </c>
      <c r="N545" s="58" t="n">
        <f aca="false">IF(L545=1,M545*$B$25,0)</f>
        <v>0</v>
      </c>
      <c r="O545" s="58" t="n">
        <f aca="false">IF(L545=1,M545+N545-$B$29,M545)</f>
        <v>1.04062110040104E-008</v>
      </c>
      <c r="P545" s="56" t="n">
        <f aca="false">IF(L545=1,IF($B$29&lt;=N545,1,0),0)</f>
        <v>0</v>
      </c>
      <c r="Q545" s="58" t="n">
        <f aca="false">Q544+N545</f>
        <v>215608.5191027</v>
      </c>
    </row>
    <row r="546" customFormat="false" ht="15" hidden="false" customHeight="false" outlineLevel="0" collapsed="false">
      <c r="K546" s="56" t="n">
        <f aca="false">K545+1</f>
        <v>539</v>
      </c>
      <c r="L546" s="57" t="n">
        <f aca="false">IF(AND(K546&lt;=Assumptions!$C$42,L545=1,P545=0,O545&gt;Assumptions!$C$43),1,0)</f>
        <v>0</v>
      </c>
      <c r="M546" s="58" t="n">
        <f aca="false">O545</f>
        <v>1.04062110040104E-008</v>
      </c>
      <c r="N546" s="58" t="n">
        <f aca="false">IF(L546=1,M546*$B$25,0)</f>
        <v>0</v>
      </c>
      <c r="O546" s="58" t="n">
        <f aca="false">IF(L546=1,M546+N546-$B$29,M546)</f>
        <v>1.04062110040104E-008</v>
      </c>
      <c r="P546" s="56" t="n">
        <f aca="false">IF(L546=1,IF($B$29&lt;=N546,1,0),0)</f>
        <v>0</v>
      </c>
      <c r="Q546" s="58" t="n">
        <f aca="false">Q545+N546</f>
        <v>215608.5191027</v>
      </c>
    </row>
    <row r="547" customFormat="false" ht="15" hidden="false" customHeight="false" outlineLevel="0" collapsed="false">
      <c r="K547" s="56" t="n">
        <f aca="false">K546+1</f>
        <v>540</v>
      </c>
      <c r="L547" s="57" t="n">
        <f aca="false">IF(AND(K547&lt;=Assumptions!$C$42,L546=1,P546=0,O546&gt;Assumptions!$C$43),1,0)</f>
        <v>0</v>
      </c>
      <c r="M547" s="58" t="n">
        <f aca="false">O546</f>
        <v>1.04062110040104E-008</v>
      </c>
      <c r="N547" s="58" t="n">
        <f aca="false">IF(L547=1,M547*$B$25,0)</f>
        <v>0</v>
      </c>
      <c r="O547" s="58" t="n">
        <f aca="false">IF(L547=1,M547+N547-$B$29,M547)</f>
        <v>1.04062110040104E-008</v>
      </c>
      <c r="P547" s="56" t="n">
        <f aca="false">IF(L547=1,IF($B$29&lt;=N547,1,0),0)</f>
        <v>0</v>
      </c>
      <c r="Q547" s="58" t="n">
        <f aca="false">Q546+N547</f>
        <v>215608.5191027</v>
      </c>
    </row>
    <row r="548" customFormat="false" ht="15" hidden="false" customHeight="false" outlineLevel="0" collapsed="false">
      <c r="K548" s="56" t="n">
        <f aca="false">K547+1</f>
        <v>541</v>
      </c>
      <c r="L548" s="57" t="n">
        <f aca="false">IF(AND(K548&lt;=Assumptions!$C$42,L547=1,P547=0,O547&gt;Assumptions!$C$43),1,0)</f>
        <v>0</v>
      </c>
      <c r="M548" s="58" t="n">
        <f aca="false">O547</f>
        <v>1.04062110040104E-008</v>
      </c>
      <c r="N548" s="58" t="n">
        <f aca="false">IF(L548=1,M548*$B$25,0)</f>
        <v>0</v>
      </c>
      <c r="O548" s="58" t="n">
        <f aca="false">IF(L548=1,M548+N548-$B$29,M548)</f>
        <v>1.04062110040104E-008</v>
      </c>
      <c r="P548" s="56" t="n">
        <f aca="false">IF(L548=1,IF($B$29&lt;=N548,1,0),0)</f>
        <v>0</v>
      </c>
      <c r="Q548" s="58" t="n">
        <f aca="false">Q547+N548</f>
        <v>215608.5191027</v>
      </c>
    </row>
    <row r="549" customFormat="false" ht="15" hidden="false" customHeight="false" outlineLevel="0" collapsed="false">
      <c r="K549" s="56" t="n">
        <f aca="false">K548+1</f>
        <v>542</v>
      </c>
      <c r="L549" s="57" t="n">
        <f aca="false">IF(AND(K549&lt;=Assumptions!$C$42,L548=1,P548=0,O548&gt;Assumptions!$C$43),1,0)</f>
        <v>0</v>
      </c>
      <c r="M549" s="58" t="n">
        <f aca="false">O548</f>
        <v>1.04062110040104E-008</v>
      </c>
      <c r="N549" s="58" t="n">
        <f aca="false">IF(L549=1,M549*$B$25,0)</f>
        <v>0</v>
      </c>
      <c r="O549" s="58" t="n">
        <f aca="false">IF(L549=1,M549+N549-$B$29,M549)</f>
        <v>1.04062110040104E-008</v>
      </c>
      <c r="P549" s="56" t="n">
        <f aca="false">IF(L549=1,IF($B$29&lt;=N549,1,0),0)</f>
        <v>0</v>
      </c>
      <c r="Q549" s="58" t="n">
        <f aca="false">Q548+N549</f>
        <v>215608.5191027</v>
      </c>
    </row>
    <row r="550" customFormat="false" ht="15" hidden="false" customHeight="false" outlineLevel="0" collapsed="false">
      <c r="K550" s="56" t="n">
        <f aca="false">K549+1</f>
        <v>543</v>
      </c>
      <c r="L550" s="57" t="n">
        <f aca="false">IF(AND(K550&lt;=Assumptions!$C$42,L549=1,P549=0,O549&gt;Assumptions!$C$43),1,0)</f>
        <v>0</v>
      </c>
      <c r="M550" s="58" t="n">
        <f aca="false">O549</f>
        <v>1.04062110040104E-008</v>
      </c>
      <c r="N550" s="58" t="n">
        <f aca="false">IF(L550=1,M550*$B$25,0)</f>
        <v>0</v>
      </c>
      <c r="O550" s="58" t="n">
        <f aca="false">IF(L550=1,M550+N550-$B$29,M550)</f>
        <v>1.04062110040104E-008</v>
      </c>
      <c r="P550" s="56" t="n">
        <f aca="false">IF(L550=1,IF($B$29&lt;=N550,1,0),0)</f>
        <v>0</v>
      </c>
      <c r="Q550" s="58" t="n">
        <f aca="false">Q549+N550</f>
        <v>215608.5191027</v>
      </c>
    </row>
    <row r="551" customFormat="false" ht="15" hidden="false" customHeight="false" outlineLevel="0" collapsed="false">
      <c r="K551" s="56" t="n">
        <f aca="false">K550+1</f>
        <v>544</v>
      </c>
      <c r="L551" s="57" t="n">
        <f aca="false">IF(AND(K551&lt;=Assumptions!$C$42,L550=1,P550=0,O550&gt;Assumptions!$C$43),1,0)</f>
        <v>0</v>
      </c>
      <c r="M551" s="58" t="n">
        <f aca="false">O550</f>
        <v>1.04062110040104E-008</v>
      </c>
      <c r="N551" s="58" t="n">
        <f aca="false">IF(L551=1,M551*$B$25,0)</f>
        <v>0</v>
      </c>
      <c r="O551" s="58" t="n">
        <f aca="false">IF(L551=1,M551+N551-$B$29,M551)</f>
        <v>1.04062110040104E-008</v>
      </c>
      <c r="P551" s="56" t="n">
        <f aca="false">IF(L551=1,IF($B$29&lt;=N551,1,0),0)</f>
        <v>0</v>
      </c>
      <c r="Q551" s="58" t="n">
        <f aca="false">Q550+N551</f>
        <v>215608.5191027</v>
      </c>
    </row>
    <row r="552" customFormat="false" ht="15" hidden="false" customHeight="false" outlineLevel="0" collapsed="false">
      <c r="K552" s="56" t="n">
        <f aca="false">K551+1</f>
        <v>545</v>
      </c>
      <c r="L552" s="57" t="n">
        <f aca="false">IF(AND(K552&lt;=Assumptions!$C$42,L551=1,P551=0,O551&gt;Assumptions!$C$43),1,0)</f>
        <v>0</v>
      </c>
      <c r="M552" s="58" t="n">
        <f aca="false">O551</f>
        <v>1.04062110040104E-008</v>
      </c>
      <c r="N552" s="58" t="n">
        <f aca="false">IF(L552=1,M552*$B$25,0)</f>
        <v>0</v>
      </c>
      <c r="O552" s="58" t="n">
        <f aca="false">IF(L552=1,M552+N552-$B$29,M552)</f>
        <v>1.04062110040104E-008</v>
      </c>
      <c r="P552" s="56" t="n">
        <f aca="false">IF(L552=1,IF($B$29&lt;=N552,1,0),0)</f>
        <v>0</v>
      </c>
      <c r="Q552" s="58" t="n">
        <f aca="false">Q551+N552</f>
        <v>215608.5191027</v>
      </c>
    </row>
    <row r="553" customFormat="false" ht="15" hidden="false" customHeight="false" outlineLevel="0" collapsed="false">
      <c r="K553" s="56" t="n">
        <f aca="false">K552+1</f>
        <v>546</v>
      </c>
      <c r="L553" s="57" t="n">
        <f aca="false">IF(AND(K553&lt;=Assumptions!$C$42,L552=1,P552=0,O552&gt;Assumptions!$C$43),1,0)</f>
        <v>0</v>
      </c>
      <c r="M553" s="58" t="n">
        <f aca="false">O552</f>
        <v>1.04062110040104E-008</v>
      </c>
      <c r="N553" s="58" t="n">
        <f aca="false">IF(L553=1,M553*$B$25,0)</f>
        <v>0</v>
      </c>
      <c r="O553" s="58" t="n">
        <f aca="false">IF(L553=1,M553+N553-$B$29,M553)</f>
        <v>1.04062110040104E-008</v>
      </c>
      <c r="P553" s="56" t="n">
        <f aca="false">IF(L553=1,IF($B$29&lt;=N553,1,0),0)</f>
        <v>0</v>
      </c>
      <c r="Q553" s="58" t="n">
        <f aca="false">Q552+N553</f>
        <v>215608.5191027</v>
      </c>
    </row>
    <row r="554" customFormat="false" ht="15" hidden="false" customHeight="false" outlineLevel="0" collapsed="false">
      <c r="K554" s="56" t="n">
        <f aca="false">K553+1</f>
        <v>547</v>
      </c>
      <c r="L554" s="57" t="n">
        <f aca="false">IF(AND(K554&lt;=Assumptions!$C$42,L553=1,P553=0,O553&gt;Assumptions!$C$43),1,0)</f>
        <v>0</v>
      </c>
      <c r="M554" s="58" t="n">
        <f aca="false">O553</f>
        <v>1.04062110040104E-008</v>
      </c>
      <c r="N554" s="58" t="n">
        <f aca="false">IF(L554=1,M554*$B$25,0)</f>
        <v>0</v>
      </c>
      <c r="O554" s="58" t="n">
        <f aca="false">IF(L554=1,M554+N554-$B$29,M554)</f>
        <v>1.04062110040104E-008</v>
      </c>
      <c r="P554" s="56" t="n">
        <f aca="false">IF(L554=1,IF($B$29&lt;=N554,1,0),0)</f>
        <v>0</v>
      </c>
      <c r="Q554" s="58" t="n">
        <f aca="false">Q553+N554</f>
        <v>215608.5191027</v>
      </c>
    </row>
    <row r="555" customFormat="false" ht="15" hidden="false" customHeight="false" outlineLevel="0" collapsed="false">
      <c r="K555" s="56" t="n">
        <f aca="false">K554+1</f>
        <v>548</v>
      </c>
      <c r="L555" s="57" t="n">
        <f aca="false">IF(AND(K555&lt;=Assumptions!$C$42,L554=1,P554=0,O554&gt;Assumptions!$C$43),1,0)</f>
        <v>0</v>
      </c>
      <c r="M555" s="58" t="n">
        <f aca="false">O554</f>
        <v>1.04062110040104E-008</v>
      </c>
      <c r="N555" s="58" t="n">
        <f aca="false">IF(L555=1,M555*$B$25,0)</f>
        <v>0</v>
      </c>
      <c r="O555" s="58" t="n">
        <f aca="false">IF(L555=1,M555+N555-$B$29,M555)</f>
        <v>1.04062110040104E-008</v>
      </c>
      <c r="P555" s="56" t="n">
        <f aca="false">IF(L555=1,IF($B$29&lt;=N555,1,0),0)</f>
        <v>0</v>
      </c>
      <c r="Q555" s="58" t="n">
        <f aca="false">Q554+N555</f>
        <v>215608.5191027</v>
      </c>
    </row>
    <row r="556" customFormat="false" ht="15" hidden="false" customHeight="false" outlineLevel="0" collapsed="false">
      <c r="K556" s="56" t="n">
        <f aca="false">K555+1</f>
        <v>549</v>
      </c>
      <c r="L556" s="57" t="n">
        <f aca="false">IF(AND(K556&lt;=Assumptions!$C$42,L555=1,P555=0,O555&gt;Assumptions!$C$43),1,0)</f>
        <v>0</v>
      </c>
      <c r="M556" s="58" t="n">
        <f aca="false">O555</f>
        <v>1.04062110040104E-008</v>
      </c>
      <c r="N556" s="58" t="n">
        <f aca="false">IF(L556=1,M556*$B$25,0)</f>
        <v>0</v>
      </c>
      <c r="O556" s="58" t="n">
        <f aca="false">IF(L556=1,M556+N556-$B$29,M556)</f>
        <v>1.04062110040104E-008</v>
      </c>
      <c r="P556" s="56" t="n">
        <f aca="false">IF(L556=1,IF($B$29&lt;=N556,1,0),0)</f>
        <v>0</v>
      </c>
      <c r="Q556" s="58" t="n">
        <f aca="false">Q555+N556</f>
        <v>215608.5191027</v>
      </c>
    </row>
    <row r="557" customFormat="false" ht="15" hidden="false" customHeight="false" outlineLevel="0" collapsed="false">
      <c r="K557" s="56" t="n">
        <f aca="false">K556+1</f>
        <v>550</v>
      </c>
      <c r="L557" s="57" t="n">
        <f aca="false">IF(AND(K557&lt;=Assumptions!$C$42,L556=1,P556=0,O556&gt;Assumptions!$C$43),1,0)</f>
        <v>0</v>
      </c>
      <c r="M557" s="58" t="n">
        <f aca="false">O556</f>
        <v>1.04062110040104E-008</v>
      </c>
      <c r="N557" s="58" t="n">
        <f aca="false">IF(L557=1,M557*$B$25,0)</f>
        <v>0</v>
      </c>
      <c r="O557" s="58" t="n">
        <f aca="false">IF(L557=1,M557+N557-$B$29,M557)</f>
        <v>1.04062110040104E-008</v>
      </c>
      <c r="P557" s="56" t="n">
        <f aca="false">IF(L557=1,IF($B$29&lt;=N557,1,0),0)</f>
        <v>0</v>
      </c>
      <c r="Q557" s="58" t="n">
        <f aca="false">Q556+N557</f>
        <v>215608.5191027</v>
      </c>
    </row>
    <row r="558" customFormat="false" ht="15" hidden="false" customHeight="false" outlineLevel="0" collapsed="false">
      <c r="K558" s="56" t="n">
        <f aca="false">K557+1</f>
        <v>551</v>
      </c>
      <c r="L558" s="57" t="n">
        <f aca="false">IF(AND(K558&lt;=Assumptions!$C$42,L557=1,P557=0,O557&gt;Assumptions!$C$43),1,0)</f>
        <v>0</v>
      </c>
      <c r="M558" s="58" t="n">
        <f aca="false">O557</f>
        <v>1.04062110040104E-008</v>
      </c>
      <c r="N558" s="58" t="n">
        <f aca="false">IF(L558=1,M558*$B$25,0)</f>
        <v>0</v>
      </c>
      <c r="O558" s="58" t="n">
        <f aca="false">IF(L558=1,M558+N558-$B$29,M558)</f>
        <v>1.04062110040104E-008</v>
      </c>
      <c r="P558" s="56" t="n">
        <f aca="false">IF(L558=1,IF($B$29&lt;=N558,1,0),0)</f>
        <v>0</v>
      </c>
      <c r="Q558" s="58" t="n">
        <f aca="false">Q557+N558</f>
        <v>215608.5191027</v>
      </c>
    </row>
    <row r="559" customFormat="false" ht="15" hidden="false" customHeight="false" outlineLevel="0" collapsed="false">
      <c r="K559" s="56" t="n">
        <f aca="false">K558+1</f>
        <v>552</v>
      </c>
      <c r="L559" s="57" t="n">
        <f aca="false">IF(AND(K559&lt;=Assumptions!$C$42,L558=1,P558=0,O558&gt;Assumptions!$C$43),1,0)</f>
        <v>0</v>
      </c>
      <c r="M559" s="58" t="n">
        <f aca="false">O558</f>
        <v>1.04062110040104E-008</v>
      </c>
      <c r="N559" s="58" t="n">
        <f aca="false">IF(L559=1,M559*$B$25,0)</f>
        <v>0</v>
      </c>
      <c r="O559" s="58" t="n">
        <f aca="false">IF(L559=1,M559+N559-$B$29,M559)</f>
        <v>1.04062110040104E-008</v>
      </c>
      <c r="P559" s="56" t="n">
        <f aca="false">IF(L559=1,IF($B$29&lt;=N559,1,0),0)</f>
        <v>0</v>
      </c>
      <c r="Q559" s="58" t="n">
        <f aca="false">Q558+N559</f>
        <v>215608.5191027</v>
      </c>
    </row>
    <row r="560" customFormat="false" ht="15" hidden="false" customHeight="false" outlineLevel="0" collapsed="false">
      <c r="K560" s="56" t="n">
        <f aca="false">K559+1</f>
        <v>553</v>
      </c>
      <c r="L560" s="57" t="n">
        <f aca="false">IF(AND(K560&lt;=Assumptions!$C$42,L559=1,P559=0,O559&gt;Assumptions!$C$43),1,0)</f>
        <v>0</v>
      </c>
      <c r="M560" s="58" t="n">
        <f aca="false">O559</f>
        <v>1.04062110040104E-008</v>
      </c>
      <c r="N560" s="58" t="n">
        <f aca="false">IF(L560=1,M560*$B$25,0)</f>
        <v>0</v>
      </c>
      <c r="O560" s="58" t="n">
        <f aca="false">IF(L560=1,M560+N560-$B$29,M560)</f>
        <v>1.04062110040104E-008</v>
      </c>
      <c r="P560" s="56" t="n">
        <f aca="false">IF(L560=1,IF($B$29&lt;=N560,1,0),0)</f>
        <v>0</v>
      </c>
      <c r="Q560" s="58" t="n">
        <f aca="false">Q559+N560</f>
        <v>215608.5191027</v>
      </c>
    </row>
    <row r="561" customFormat="false" ht="15" hidden="false" customHeight="false" outlineLevel="0" collapsed="false">
      <c r="K561" s="56" t="n">
        <f aca="false">K560+1</f>
        <v>554</v>
      </c>
      <c r="L561" s="57" t="n">
        <f aca="false">IF(AND(K561&lt;=Assumptions!$C$42,L560=1,P560=0,O560&gt;Assumptions!$C$43),1,0)</f>
        <v>0</v>
      </c>
      <c r="M561" s="58" t="n">
        <f aca="false">O560</f>
        <v>1.04062110040104E-008</v>
      </c>
      <c r="N561" s="58" t="n">
        <f aca="false">IF(L561=1,M561*$B$25,0)</f>
        <v>0</v>
      </c>
      <c r="O561" s="58" t="n">
        <f aca="false">IF(L561=1,M561+N561-$B$29,M561)</f>
        <v>1.04062110040104E-008</v>
      </c>
      <c r="P561" s="56" t="n">
        <f aca="false">IF(L561=1,IF($B$29&lt;=N561,1,0),0)</f>
        <v>0</v>
      </c>
      <c r="Q561" s="58" t="n">
        <f aca="false">Q560+N561</f>
        <v>215608.5191027</v>
      </c>
    </row>
    <row r="562" customFormat="false" ht="15" hidden="false" customHeight="false" outlineLevel="0" collapsed="false">
      <c r="K562" s="56" t="n">
        <f aca="false">K561+1</f>
        <v>555</v>
      </c>
      <c r="L562" s="57" t="n">
        <f aca="false">IF(AND(K562&lt;=Assumptions!$C$42,L561=1,P561=0,O561&gt;Assumptions!$C$43),1,0)</f>
        <v>0</v>
      </c>
      <c r="M562" s="58" t="n">
        <f aca="false">O561</f>
        <v>1.04062110040104E-008</v>
      </c>
      <c r="N562" s="58" t="n">
        <f aca="false">IF(L562=1,M562*$B$25,0)</f>
        <v>0</v>
      </c>
      <c r="O562" s="58" t="n">
        <f aca="false">IF(L562=1,M562+N562-$B$29,M562)</f>
        <v>1.04062110040104E-008</v>
      </c>
      <c r="P562" s="56" t="n">
        <f aca="false">IF(L562=1,IF($B$29&lt;=N562,1,0),0)</f>
        <v>0</v>
      </c>
      <c r="Q562" s="58" t="n">
        <f aca="false">Q561+N562</f>
        <v>215608.5191027</v>
      </c>
    </row>
    <row r="563" customFormat="false" ht="15" hidden="false" customHeight="false" outlineLevel="0" collapsed="false">
      <c r="K563" s="56" t="n">
        <f aca="false">K562+1</f>
        <v>556</v>
      </c>
      <c r="L563" s="57" t="n">
        <f aca="false">IF(AND(K563&lt;=Assumptions!$C$42,L562=1,P562=0,O562&gt;Assumptions!$C$43),1,0)</f>
        <v>0</v>
      </c>
      <c r="M563" s="58" t="n">
        <f aca="false">O562</f>
        <v>1.04062110040104E-008</v>
      </c>
      <c r="N563" s="58" t="n">
        <f aca="false">IF(L563=1,M563*$B$25,0)</f>
        <v>0</v>
      </c>
      <c r="O563" s="58" t="n">
        <f aca="false">IF(L563=1,M563+N563-$B$29,M563)</f>
        <v>1.04062110040104E-008</v>
      </c>
      <c r="P563" s="56" t="n">
        <f aca="false">IF(L563=1,IF($B$29&lt;=N563,1,0),0)</f>
        <v>0</v>
      </c>
      <c r="Q563" s="58" t="n">
        <f aca="false">Q562+N563</f>
        <v>215608.5191027</v>
      </c>
    </row>
    <row r="564" customFormat="false" ht="15" hidden="false" customHeight="false" outlineLevel="0" collapsed="false">
      <c r="K564" s="56" t="n">
        <f aca="false">K563+1</f>
        <v>557</v>
      </c>
      <c r="L564" s="57" t="n">
        <f aca="false">IF(AND(K564&lt;=Assumptions!$C$42,L563=1,P563=0,O563&gt;Assumptions!$C$43),1,0)</f>
        <v>0</v>
      </c>
      <c r="M564" s="58" t="n">
        <f aca="false">O563</f>
        <v>1.04062110040104E-008</v>
      </c>
      <c r="N564" s="58" t="n">
        <f aca="false">IF(L564=1,M564*$B$25,0)</f>
        <v>0</v>
      </c>
      <c r="O564" s="58" t="n">
        <f aca="false">IF(L564=1,M564+N564-$B$29,M564)</f>
        <v>1.04062110040104E-008</v>
      </c>
      <c r="P564" s="56" t="n">
        <f aca="false">IF(L564=1,IF($B$29&lt;=N564,1,0),0)</f>
        <v>0</v>
      </c>
      <c r="Q564" s="58" t="n">
        <f aca="false">Q563+N564</f>
        <v>215608.5191027</v>
      </c>
    </row>
    <row r="565" customFormat="false" ht="15" hidden="false" customHeight="false" outlineLevel="0" collapsed="false">
      <c r="K565" s="56" t="n">
        <f aca="false">K564+1</f>
        <v>558</v>
      </c>
      <c r="L565" s="57" t="n">
        <f aca="false">IF(AND(K565&lt;=Assumptions!$C$42,L564=1,P564=0,O564&gt;Assumptions!$C$43),1,0)</f>
        <v>0</v>
      </c>
      <c r="M565" s="58" t="n">
        <f aca="false">O564</f>
        <v>1.04062110040104E-008</v>
      </c>
      <c r="N565" s="58" t="n">
        <f aca="false">IF(L565=1,M565*$B$25,0)</f>
        <v>0</v>
      </c>
      <c r="O565" s="58" t="n">
        <f aca="false">IF(L565=1,M565+N565-$B$29,M565)</f>
        <v>1.04062110040104E-008</v>
      </c>
      <c r="P565" s="56" t="n">
        <f aca="false">IF(L565=1,IF($B$29&lt;=N565,1,0),0)</f>
        <v>0</v>
      </c>
      <c r="Q565" s="58" t="n">
        <f aca="false">Q564+N565</f>
        <v>215608.5191027</v>
      </c>
    </row>
    <row r="566" customFormat="false" ht="15" hidden="false" customHeight="false" outlineLevel="0" collapsed="false">
      <c r="K566" s="56" t="n">
        <f aca="false">K565+1</f>
        <v>559</v>
      </c>
      <c r="L566" s="57" t="n">
        <f aca="false">IF(AND(K566&lt;=Assumptions!$C$42,L565=1,P565=0,O565&gt;Assumptions!$C$43),1,0)</f>
        <v>0</v>
      </c>
      <c r="M566" s="58" t="n">
        <f aca="false">O565</f>
        <v>1.04062110040104E-008</v>
      </c>
      <c r="N566" s="58" t="n">
        <f aca="false">IF(L566=1,M566*$B$25,0)</f>
        <v>0</v>
      </c>
      <c r="O566" s="58" t="n">
        <f aca="false">IF(L566=1,M566+N566-$B$29,M566)</f>
        <v>1.04062110040104E-008</v>
      </c>
      <c r="P566" s="56" t="n">
        <f aca="false">IF(L566=1,IF($B$29&lt;=N566,1,0),0)</f>
        <v>0</v>
      </c>
      <c r="Q566" s="58" t="n">
        <f aca="false">Q565+N566</f>
        <v>215608.5191027</v>
      </c>
    </row>
    <row r="567" customFormat="false" ht="15" hidden="false" customHeight="false" outlineLevel="0" collapsed="false">
      <c r="K567" s="56" t="n">
        <f aca="false">K566+1</f>
        <v>560</v>
      </c>
      <c r="L567" s="57" t="n">
        <f aca="false">IF(AND(K567&lt;=Assumptions!$C$42,L566=1,P566=0,O566&gt;Assumptions!$C$43),1,0)</f>
        <v>0</v>
      </c>
      <c r="M567" s="58" t="n">
        <f aca="false">O566</f>
        <v>1.04062110040104E-008</v>
      </c>
      <c r="N567" s="58" t="n">
        <f aca="false">IF(L567=1,M567*$B$25,0)</f>
        <v>0</v>
      </c>
      <c r="O567" s="58" t="n">
        <f aca="false">IF(L567=1,M567+N567-$B$29,M567)</f>
        <v>1.04062110040104E-008</v>
      </c>
      <c r="P567" s="56" t="n">
        <f aca="false">IF(L567=1,IF($B$29&lt;=N567,1,0),0)</f>
        <v>0</v>
      </c>
      <c r="Q567" s="58" t="n">
        <f aca="false">Q566+N567</f>
        <v>215608.5191027</v>
      </c>
    </row>
    <row r="568" customFormat="false" ht="15" hidden="false" customHeight="false" outlineLevel="0" collapsed="false">
      <c r="K568" s="56" t="n">
        <f aca="false">K567+1</f>
        <v>561</v>
      </c>
      <c r="L568" s="57" t="n">
        <f aca="false">IF(AND(K568&lt;=Assumptions!$C$42,L567=1,P567=0,O567&gt;Assumptions!$C$43),1,0)</f>
        <v>0</v>
      </c>
      <c r="M568" s="58" t="n">
        <f aca="false">O567</f>
        <v>1.04062110040104E-008</v>
      </c>
      <c r="N568" s="58" t="n">
        <f aca="false">IF(L568=1,M568*$B$25,0)</f>
        <v>0</v>
      </c>
      <c r="O568" s="58" t="n">
        <f aca="false">IF(L568=1,M568+N568-$B$29,M568)</f>
        <v>1.04062110040104E-008</v>
      </c>
      <c r="P568" s="56" t="n">
        <f aca="false">IF(L568=1,IF($B$29&lt;=N568,1,0),0)</f>
        <v>0</v>
      </c>
      <c r="Q568" s="58" t="n">
        <f aca="false">Q567+N568</f>
        <v>215608.5191027</v>
      </c>
    </row>
    <row r="569" customFormat="false" ht="15" hidden="false" customHeight="false" outlineLevel="0" collapsed="false">
      <c r="K569" s="56" t="n">
        <f aca="false">K568+1</f>
        <v>562</v>
      </c>
      <c r="L569" s="57" t="n">
        <f aca="false">IF(AND(K569&lt;=Assumptions!$C$42,L568=1,P568=0,O568&gt;Assumptions!$C$43),1,0)</f>
        <v>0</v>
      </c>
      <c r="M569" s="58" t="n">
        <f aca="false">O568</f>
        <v>1.04062110040104E-008</v>
      </c>
      <c r="N569" s="58" t="n">
        <f aca="false">IF(L569=1,M569*$B$25,0)</f>
        <v>0</v>
      </c>
      <c r="O569" s="58" t="n">
        <f aca="false">IF(L569=1,M569+N569-$B$29,M569)</f>
        <v>1.04062110040104E-008</v>
      </c>
      <c r="P569" s="56" t="n">
        <f aca="false">IF(L569=1,IF($B$29&lt;=N569,1,0),0)</f>
        <v>0</v>
      </c>
      <c r="Q569" s="58" t="n">
        <f aca="false">Q568+N569</f>
        <v>215608.5191027</v>
      </c>
    </row>
    <row r="570" customFormat="false" ht="15" hidden="false" customHeight="false" outlineLevel="0" collapsed="false">
      <c r="K570" s="56" t="n">
        <f aca="false">K569+1</f>
        <v>563</v>
      </c>
      <c r="L570" s="57" t="n">
        <f aca="false">IF(AND(K570&lt;=Assumptions!$C$42,L569=1,P569=0,O569&gt;Assumptions!$C$43),1,0)</f>
        <v>0</v>
      </c>
      <c r="M570" s="58" t="n">
        <f aca="false">O569</f>
        <v>1.04062110040104E-008</v>
      </c>
      <c r="N570" s="58" t="n">
        <f aca="false">IF(L570=1,M570*$B$25,0)</f>
        <v>0</v>
      </c>
      <c r="O570" s="58" t="n">
        <f aca="false">IF(L570=1,M570+N570-$B$29,M570)</f>
        <v>1.04062110040104E-008</v>
      </c>
      <c r="P570" s="56" t="n">
        <f aca="false">IF(L570=1,IF($B$29&lt;=N570,1,0),0)</f>
        <v>0</v>
      </c>
      <c r="Q570" s="58" t="n">
        <f aca="false">Q569+N570</f>
        <v>215608.5191027</v>
      </c>
    </row>
    <row r="571" customFormat="false" ht="15" hidden="false" customHeight="false" outlineLevel="0" collapsed="false">
      <c r="K571" s="56" t="n">
        <f aca="false">K570+1</f>
        <v>564</v>
      </c>
      <c r="L571" s="57" t="n">
        <f aca="false">IF(AND(K571&lt;=Assumptions!$C$42,L570=1,P570=0,O570&gt;Assumptions!$C$43),1,0)</f>
        <v>0</v>
      </c>
      <c r="M571" s="58" t="n">
        <f aca="false">O570</f>
        <v>1.04062110040104E-008</v>
      </c>
      <c r="N571" s="58" t="n">
        <f aca="false">IF(L571=1,M571*$B$25,0)</f>
        <v>0</v>
      </c>
      <c r="O571" s="58" t="n">
        <f aca="false">IF(L571=1,M571+N571-$B$29,M571)</f>
        <v>1.04062110040104E-008</v>
      </c>
      <c r="P571" s="56" t="n">
        <f aca="false">IF(L571=1,IF($B$29&lt;=N571,1,0),0)</f>
        <v>0</v>
      </c>
      <c r="Q571" s="58" t="n">
        <f aca="false">Q570+N571</f>
        <v>215608.5191027</v>
      </c>
    </row>
    <row r="572" customFormat="false" ht="15" hidden="false" customHeight="false" outlineLevel="0" collapsed="false">
      <c r="K572" s="56" t="n">
        <f aca="false">K571+1</f>
        <v>565</v>
      </c>
      <c r="L572" s="57" t="n">
        <f aca="false">IF(AND(K572&lt;=Assumptions!$C$42,L571=1,P571=0,O571&gt;Assumptions!$C$43),1,0)</f>
        <v>0</v>
      </c>
      <c r="M572" s="58" t="n">
        <f aca="false">O571</f>
        <v>1.04062110040104E-008</v>
      </c>
      <c r="N572" s="58" t="n">
        <f aca="false">IF(L572=1,M572*$B$25,0)</f>
        <v>0</v>
      </c>
      <c r="O572" s="58" t="n">
        <f aca="false">IF(L572=1,M572+N572-$B$29,M572)</f>
        <v>1.04062110040104E-008</v>
      </c>
      <c r="P572" s="56" t="n">
        <f aca="false">IF(L572=1,IF($B$29&lt;=N572,1,0),0)</f>
        <v>0</v>
      </c>
      <c r="Q572" s="58" t="n">
        <f aca="false">Q571+N572</f>
        <v>215608.5191027</v>
      </c>
    </row>
    <row r="573" customFormat="false" ht="15" hidden="false" customHeight="false" outlineLevel="0" collapsed="false">
      <c r="K573" s="56" t="n">
        <f aca="false">K572+1</f>
        <v>566</v>
      </c>
      <c r="L573" s="57" t="n">
        <f aca="false">IF(AND(K573&lt;=Assumptions!$C$42,L572=1,P572=0,O572&gt;Assumptions!$C$43),1,0)</f>
        <v>0</v>
      </c>
      <c r="M573" s="58" t="n">
        <f aca="false">O572</f>
        <v>1.04062110040104E-008</v>
      </c>
      <c r="N573" s="58" t="n">
        <f aca="false">IF(L573=1,M573*$B$25,0)</f>
        <v>0</v>
      </c>
      <c r="O573" s="58" t="n">
        <f aca="false">IF(L573=1,M573+N573-$B$29,M573)</f>
        <v>1.04062110040104E-008</v>
      </c>
      <c r="P573" s="56" t="n">
        <f aca="false">IF(L573=1,IF($B$29&lt;=N573,1,0),0)</f>
        <v>0</v>
      </c>
      <c r="Q573" s="58" t="n">
        <f aca="false">Q572+N573</f>
        <v>215608.5191027</v>
      </c>
    </row>
    <row r="574" customFormat="false" ht="15" hidden="false" customHeight="false" outlineLevel="0" collapsed="false">
      <c r="K574" s="56" t="n">
        <f aca="false">K573+1</f>
        <v>567</v>
      </c>
      <c r="L574" s="57" t="n">
        <f aca="false">IF(AND(K574&lt;=Assumptions!$C$42,L573=1,P573=0,O573&gt;Assumptions!$C$43),1,0)</f>
        <v>0</v>
      </c>
      <c r="M574" s="58" t="n">
        <f aca="false">O573</f>
        <v>1.04062110040104E-008</v>
      </c>
      <c r="N574" s="58" t="n">
        <f aca="false">IF(L574=1,M574*$B$25,0)</f>
        <v>0</v>
      </c>
      <c r="O574" s="58" t="n">
        <f aca="false">IF(L574=1,M574+N574-$B$29,M574)</f>
        <v>1.04062110040104E-008</v>
      </c>
      <c r="P574" s="56" t="n">
        <f aca="false">IF(L574=1,IF($B$29&lt;=N574,1,0),0)</f>
        <v>0</v>
      </c>
      <c r="Q574" s="58" t="n">
        <f aca="false">Q573+N574</f>
        <v>215608.5191027</v>
      </c>
    </row>
    <row r="575" customFormat="false" ht="15" hidden="false" customHeight="false" outlineLevel="0" collapsed="false">
      <c r="K575" s="56" t="n">
        <f aca="false">K574+1</f>
        <v>568</v>
      </c>
      <c r="L575" s="57" t="n">
        <f aca="false">IF(AND(K575&lt;=Assumptions!$C$42,L574=1,P574=0,O574&gt;Assumptions!$C$43),1,0)</f>
        <v>0</v>
      </c>
      <c r="M575" s="58" t="n">
        <f aca="false">O574</f>
        <v>1.04062110040104E-008</v>
      </c>
      <c r="N575" s="58" t="n">
        <f aca="false">IF(L575=1,M575*$B$25,0)</f>
        <v>0</v>
      </c>
      <c r="O575" s="58" t="n">
        <f aca="false">IF(L575=1,M575+N575-$B$29,M575)</f>
        <v>1.04062110040104E-008</v>
      </c>
      <c r="P575" s="56" t="n">
        <f aca="false">IF(L575=1,IF($B$29&lt;=N575,1,0),0)</f>
        <v>0</v>
      </c>
      <c r="Q575" s="58" t="n">
        <f aca="false">Q574+N575</f>
        <v>215608.5191027</v>
      </c>
    </row>
    <row r="576" customFormat="false" ht="15" hidden="false" customHeight="false" outlineLevel="0" collapsed="false">
      <c r="K576" s="56" t="n">
        <f aca="false">K575+1</f>
        <v>569</v>
      </c>
      <c r="L576" s="57" t="n">
        <f aca="false">IF(AND(K576&lt;=Assumptions!$C$42,L575=1,P575=0,O575&gt;Assumptions!$C$43),1,0)</f>
        <v>0</v>
      </c>
      <c r="M576" s="58" t="n">
        <f aca="false">O575</f>
        <v>1.04062110040104E-008</v>
      </c>
      <c r="N576" s="58" t="n">
        <f aca="false">IF(L576=1,M576*$B$25,0)</f>
        <v>0</v>
      </c>
      <c r="O576" s="58" t="n">
        <f aca="false">IF(L576=1,M576+N576-$B$29,M576)</f>
        <v>1.04062110040104E-008</v>
      </c>
      <c r="P576" s="56" t="n">
        <f aca="false">IF(L576=1,IF($B$29&lt;=N576,1,0),0)</f>
        <v>0</v>
      </c>
      <c r="Q576" s="58" t="n">
        <f aca="false">Q575+N576</f>
        <v>215608.5191027</v>
      </c>
    </row>
    <row r="577" customFormat="false" ht="15" hidden="false" customHeight="false" outlineLevel="0" collapsed="false">
      <c r="K577" s="56" t="n">
        <f aca="false">K576+1</f>
        <v>570</v>
      </c>
      <c r="L577" s="57" t="n">
        <f aca="false">IF(AND(K577&lt;=Assumptions!$C$42,L576=1,P576=0,O576&gt;Assumptions!$C$43),1,0)</f>
        <v>0</v>
      </c>
      <c r="M577" s="58" t="n">
        <f aca="false">O576</f>
        <v>1.04062110040104E-008</v>
      </c>
      <c r="N577" s="58" t="n">
        <f aca="false">IF(L577=1,M577*$B$25,0)</f>
        <v>0</v>
      </c>
      <c r="O577" s="58" t="n">
        <f aca="false">IF(L577=1,M577+N577-$B$29,M577)</f>
        <v>1.04062110040104E-008</v>
      </c>
      <c r="P577" s="56" t="n">
        <f aca="false">IF(L577=1,IF($B$29&lt;=N577,1,0),0)</f>
        <v>0</v>
      </c>
      <c r="Q577" s="58" t="n">
        <f aca="false">Q576+N577</f>
        <v>215608.5191027</v>
      </c>
    </row>
    <row r="578" customFormat="false" ht="15" hidden="false" customHeight="false" outlineLevel="0" collapsed="false">
      <c r="K578" s="56" t="n">
        <f aca="false">K577+1</f>
        <v>571</v>
      </c>
      <c r="L578" s="57" t="n">
        <f aca="false">IF(AND(K578&lt;=Assumptions!$C$42,L577=1,P577=0,O577&gt;Assumptions!$C$43),1,0)</f>
        <v>0</v>
      </c>
      <c r="M578" s="58" t="n">
        <f aca="false">O577</f>
        <v>1.04062110040104E-008</v>
      </c>
      <c r="N578" s="58" t="n">
        <f aca="false">IF(L578=1,M578*$B$25,0)</f>
        <v>0</v>
      </c>
      <c r="O578" s="58" t="n">
        <f aca="false">IF(L578=1,M578+N578-$B$29,M578)</f>
        <v>1.04062110040104E-008</v>
      </c>
      <c r="P578" s="56" t="n">
        <f aca="false">IF(L578=1,IF($B$29&lt;=N578,1,0),0)</f>
        <v>0</v>
      </c>
      <c r="Q578" s="58" t="n">
        <f aca="false">Q577+N578</f>
        <v>215608.5191027</v>
      </c>
    </row>
    <row r="579" customFormat="false" ht="15" hidden="false" customHeight="false" outlineLevel="0" collapsed="false">
      <c r="K579" s="56" t="n">
        <f aca="false">K578+1</f>
        <v>572</v>
      </c>
      <c r="L579" s="57" t="n">
        <f aca="false">IF(AND(K579&lt;=Assumptions!$C$42,L578=1,P578=0,O578&gt;Assumptions!$C$43),1,0)</f>
        <v>0</v>
      </c>
      <c r="M579" s="58" t="n">
        <f aca="false">O578</f>
        <v>1.04062110040104E-008</v>
      </c>
      <c r="N579" s="58" t="n">
        <f aca="false">IF(L579=1,M579*$B$25,0)</f>
        <v>0</v>
      </c>
      <c r="O579" s="58" t="n">
        <f aca="false">IF(L579=1,M579+N579-$B$29,M579)</f>
        <v>1.04062110040104E-008</v>
      </c>
      <c r="P579" s="56" t="n">
        <f aca="false">IF(L579=1,IF($B$29&lt;=N579,1,0),0)</f>
        <v>0</v>
      </c>
      <c r="Q579" s="58" t="n">
        <f aca="false">Q578+N579</f>
        <v>215608.5191027</v>
      </c>
    </row>
    <row r="580" customFormat="false" ht="15" hidden="false" customHeight="false" outlineLevel="0" collapsed="false">
      <c r="K580" s="56" t="n">
        <f aca="false">K579+1</f>
        <v>573</v>
      </c>
      <c r="L580" s="57" t="n">
        <f aca="false">IF(AND(K580&lt;=Assumptions!$C$42,L579=1,P579=0,O579&gt;Assumptions!$C$43),1,0)</f>
        <v>0</v>
      </c>
      <c r="M580" s="58" t="n">
        <f aca="false">O579</f>
        <v>1.04062110040104E-008</v>
      </c>
      <c r="N580" s="58" t="n">
        <f aca="false">IF(L580=1,M580*$B$25,0)</f>
        <v>0</v>
      </c>
      <c r="O580" s="58" t="n">
        <f aca="false">IF(L580=1,M580+N580-$B$29,M580)</f>
        <v>1.04062110040104E-008</v>
      </c>
      <c r="P580" s="56" t="n">
        <f aca="false">IF(L580=1,IF($B$29&lt;=N580,1,0),0)</f>
        <v>0</v>
      </c>
      <c r="Q580" s="58" t="n">
        <f aca="false">Q579+N580</f>
        <v>215608.5191027</v>
      </c>
    </row>
    <row r="581" customFormat="false" ht="15" hidden="false" customHeight="false" outlineLevel="0" collapsed="false">
      <c r="K581" s="56" t="n">
        <f aca="false">K580+1</f>
        <v>574</v>
      </c>
      <c r="L581" s="57" t="n">
        <f aca="false">IF(AND(K581&lt;=Assumptions!$C$42,L580=1,P580=0,O580&gt;Assumptions!$C$43),1,0)</f>
        <v>0</v>
      </c>
      <c r="M581" s="58" t="n">
        <f aca="false">O580</f>
        <v>1.04062110040104E-008</v>
      </c>
      <c r="N581" s="58" t="n">
        <f aca="false">IF(L581=1,M581*$B$25,0)</f>
        <v>0</v>
      </c>
      <c r="O581" s="58" t="n">
        <f aca="false">IF(L581=1,M581+N581-$B$29,M581)</f>
        <v>1.04062110040104E-008</v>
      </c>
      <c r="P581" s="56" t="n">
        <f aca="false">IF(L581=1,IF($B$29&lt;=N581,1,0),0)</f>
        <v>0</v>
      </c>
      <c r="Q581" s="58" t="n">
        <f aca="false">Q580+N581</f>
        <v>215608.5191027</v>
      </c>
    </row>
    <row r="582" customFormat="false" ht="15" hidden="false" customHeight="false" outlineLevel="0" collapsed="false">
      <c r="K582" s="56" t="n">
        <f aca="false">K581+1</f>
        <v>575</v>
      </c>
      <c r="L582" s="57" t="n">
        <f aca="false">IF(AND(K582&lt;=Assumptions!$C$42,L581=1,P581=0,O581&gt;Assumptions!$C$43),1,0)</f>
        <v>0</v>
      </c>
      <c r="M582" s="58" t="n">
        <f aca="false">O581</f>
        <v>1.04062110040104E-008</v>
      </c>
      <c r="N582" s="58" t="n">
        <f aca="false">IF(L582=1,M582*$B$25,0)</f>
        <v>0</v>
      </c>
      <c r="O582" s="58" t="n">
        <f aca="false">IF(L582=1,M582+N582-$B$29,M582)</f>
        <v>1.04062110040104E-008</v>
      </c>
      <c r="P582" s="56" t="n">
        <f aca="false">IF(L582=1,IF($B$29&lt;=N582,1,0),0)</f>
        <v>0</v>
      </c>
      <c r="Q582" s="58" t="n">
        <f aca="false">Q581+N582</f>
        <v>215608.5191027</v>
      </c>
    </row>
    <row r="583" customFormat="false" ht="15" hidden="false" customHeight="false" outlineLevel="0" collapsed="false">
      <c r="K583" s="56" t="n">
        <f aca="false">K582+1</f>
        <v>576</v>
      </c>
      <c r="L583" s="57" t="n">
        <f aca="false">IF(AND(K583&lt;=Assumptions!$C$42,L582=1,P582=0,O582&gt;Assumptions!$C$43),1,0)</f>
        <v>0</v>
      </c>
      <c r="M583" s="58" t="n">
        <f aca="false">O582</f>
        <v>1.04062110040104E-008</v>
      </c>
      <c r="N583" s="58" t="n">
        <f aca="false">IF(L583=1,M583*$B$25,0)</f>
        <v>0</v>
      </c>
      <c r="O583" s="58" t="n">
        <f aca="false">IF(L583=1,M583+N583-$B$29,M583)</f>
        <v>1.04062110040104E-008</v>
      </c>
      <c r="P583" s="56" t="n">
        <f aca="false">IF(L583=1,IF($B$29&lt;=N583,1,0),0)</f>
        <v>0</v>
      </c>
      <c r="Q583" s="58" t="n">
        <f aca="false">Q582+N583</f>
        <v>215608.5191027</v>
      </c>
    </row>
    <row r="584" customFormat="false" ht="15" hidden="false" customHeight="false" outlineLevel="0" collapsed="false">
      <c r="K584" s="56" t="n">
        <f aca="false">K583+1</f>
        <v>577</v>
      </c>
      <c r="L584" s="57" t="n">
        <f aca="false">IF(AND(K584&lt;=Assumptions!$C$42,L583=1,P583=0,O583&gt;Assumptions!$C$43),1,0)</f>
        <v>0</v>
      </c>
      <c r="M584" s="58" t="n">
        <f aca="false">O583</f>
        <v>1.04062110040104E-008</v>
      </c>
      <c r="N584" s="58" t="n">
        <f aca="false">IF(L584=1,M584*$B$25,0)</f>
        <v>0</v>
      </c>
      <c r="O584" s="58" t="n">
        <f aca="false">IF(L584=1,M584+N584-$B$29,M584)</f>
        <v>1.04062110040104E-008</v>
      </c>
      <c r="P584" s="56" t="n">
        <f aca="false">IF(L584=1,IF($B$29&lt;=N584,1,0),0)</f>
        <v>0</v>
      </c>
      <c r="Q584" s="58" t="n">
        <f aca="false">Q583+N584</f>
        <v>215608.5191027</v>
      </c>
    </row>
    <row r="585" customFormat="false" ht="15" hidden="false" customHeight="false" outlineLevel="0" collapsed="false">
      <c r="K585" s="56" t="n">
        <f aca="false">K584+1</f>
        <v>578</v>
      </c>
      <c r="L585" s="57" t="n">
        <f aca="false">IF(AND(K585&lt;=Assumptions!$C$42,L584=1,P584=0,O584&gt;Assumptions!$C$43),1,0)</f>
        <v>0</v>
      </c>
      <c r="M585" s="58" t="n">
        <f aca="false">O584</f>
        <v>1.04062110040104E-008</v>
      </c>
      <c r="N585" s="58" t="n">
        <f aca="false">IF(L585=1,M585*$B$25,0)</f>
        <v>0</v>
      </c>
      <c r="O585" s="58" t="n">
        <f aca="false">IF(L585=1,M585+N585-$B$29,M585)</f>
        <v>1.04062110040104E-008</v>
      </c>
      <c r="P585" s="56" t="n">
        <f aca="false">IF(L585=1,IF($B$29&lt;=N585,1,0),0)</f>
        <v>0</v>
      </c>
      <c r="Q585" s="58" t="n">
        <f aca="false">Q584+N585</f>
        <v>215608.5191027</v>
      </c>
    </row>
    <row r="586" customFormat="false" ht="15" hidden="false" customHeight="false" outlineLevel="0" collapsed="false">
      <c r="K586" s="56" t="n">
        <f aca="false">K585+1</f>
        <v>579</v>
      </c>
      <c r="L586" s="57" t="n">
        <f aca="false">IF(AND(K586&lt;=Assumptions!$C$42,L585=1,P585=0,O585&gt;Assumptions!$C$43),1,0)</f>
        <v>0</v>
      </c>
      <c r="M586" s="58" t="n">
        <f aca="false">O585</f>
        <v>1.04062110040104E-008</v>
      </c>
      <c r="N586" s="58" t="n">
        <f aca="false">IF(L586=1,M586*$B$25,0)</f>
        <v>0</v>
      </c>
      <c r="O586" s="58" t="n">
        <f aca="false">IF(L586=1,M586+N586-$B$29,M586)</f>
        <v>1.04062110040104E-008</v>
      </c>
      <c r="P586" s="56" t="n">
        <f aca="false">IF(L586=1,IF($B$29&lt;=N586,1,0),0)</f>
        <v>0</v>
      </c>
      <c r="Q586" s="58" t="n">
        <f aca="false">Q585+N586</f>
        <v>215608.5191027</v>
      </c>
    </row>
    <row r="587" customFormat="false" ht="15" hidden="false" customHeight="false" outlineLevel="0" collapsed="false">
      <c r="K587" s="56" t="n">
        <f aca="false">K586+1</f>
        <v>580</v>
      </c>
      <c r="L587" s="57" t="n">
        <f aca="false">IF(AND(K587&lt;=Assumptions!$C$42,L586=1,P586=0,O586&gt;Assumptions!$C$43),1,0)</f>
        <v>0</v>
      </c>
      <c r="M587" s="58" t="n">
        <f aca="false">O586</f>
        <v>1.04062110040104E-008</v>
      </c>
      <c r="N587" s="58" t="n">
        <f aca="false">IF(L587=1,M587*$B$25,0)</f>
        <v>0</v>
      </c>
      <c r="O587" s="58" t="n">
        <f aca="false">IF(L587=1,M587+N587-$B$29,M587)</f>
        <v>1.04062110040104E-008</v>
      </c>
      <c r="P587" s="56" t="n">
        <f aca="false">IF(L587=1,IF($B$29&lt;=N587,1,0),0)</f>
        <v>0</v>
      </c>
      <c r="Q587" s="58" t="n">
        <f aca="false">Q586+N587</f>
        <v>215608.5191027</v>
      </c>
    </row>
    <row r="588" customFormat="false" ht="15" hidden="false" customHeight="false" outlineLevel="0" collapsed="false">
      <c r="K588" s="56" t="n">
        <f aca="false">K587+1</f>
        <v>581</v>
      </c>
      <c r="L588" s="57" t="n">
        <f aca="false">IF(AND(K588&lt;=Assumptions!$C$42,L587=1,P587=0,O587&gt;Assumptions!$C$43),1,0)</f>
        <v>0</v>
      </c>
      <c r="M588" s="58" t="n">
        <f aca="false">O587</f>
        <v>1.04062110040104E-008</v>
      </c>
      <c r="N588" s="58" t="n">
        <f aca="false">IF(L588=1,M588*$B$25,0)</f>
        <v>0</v>
      </c>
      <c r="O588" s="58" t="n">
        <f aca="false">IF(L588=1,M588+N588-$B$29,M588)</f>
        <v>1.04062110040104E-008</v>
      </c>
      <c r="P588" s="56" t="n">
        <f aca="false">IF(L588=1,IF($B$29&lt;=N588,1,0),0)</f>
        <v>0</v>
      </c>
      <c r="Q588" s="58" t="n">
        <f aca="false">Q587+N588</f>
        <v>215608.5191027</v>
      </c>
    </row>
    <row r="589" customFormat="false" ht="15" hidden="false" customHeight="false" outlineLevel="0" collapsed="false">
      <c r="K589" s="56" t="n">
        <f aca="false">K588+1</f>
        <v>582</v>
      </c>
      <c r="L589" s="57" t="n">
        <f aca="false">IF(AND(K589&lt;=Assumptions!$C$42,L588=1,P588=0,O588&gt;Assumptions!$C$43),1,0)</f>
        <v>0</v>
      </c>
      <c r="M589" s="58" t="n">
        <f aca="false">O588</f>
        <v>1.04062110040104E-008</v>
      </c>
      <c r="N589" s="58" t="n">
        <f aca="false">IF(L589=1,M589*$B$25,0)</f>
        <v>0</v>
      </c>
      <c r="O589" s="58" t="n">
        <f aca="false">IF(L589=1,M589+N589-$B$29,M589)</f>
        <v>1.04062110040104E-008</v>
      </c>
      <c r="P589" s="56" t="n">
        <f aca="false">IF(L589=1,IF($B$29&lt;=N589,1,0),0)</f>
        <v>0</v>
      </c>
      <c r="Q589" s="58" t="n">
        <f aca="false">Q588+N589</f>
        <v>215608.5191027</v>
      </c>
    </row>
    <row r="590" customFormat="false" ht="15" hidden="false" customHeight="false" outlineLevel="0" collapsed="false">
      <c r="K590" s="56" t="n">
        <f aca="false">K589+1</f>
        <v>583</v>
      </c>
      <c r="L590" s="57" t="n">
        <f aca="false">IF(AND(K590&lt;=Assumptions!$C$42,L589=1,P589=0,O589&gt;Assumptions!$C$43),1,0)</f>
        <v>0</v>
      </c>
      <c r="M590" s="58" t="n">
        <f aca="false">O589</f>
        <v>1.04062110040104E-008</v>
      </c>
      <c r="N590" s="58" t="n">
        <f aca="false">IF(L590=1,M590*$B$25,0)</f>
        <v>0</v>
      </c>
      <c r="O590" s="58" t="n">
        <f aca="false">IF(L590=1,M590+N590-$B$29,M590)</f>
        <v>1.04062110040104E-008</v>
      </c>
      <c r="P590" s="56" t="n">
        <f aca="false">IF(L590=1,IF($B$29&lt;=N590,1,0),0)</f>
        <v>0</v>
      </c>
      <c r="Q590" s="58" t="n">
        <f aca="false">Q589+N590</f>
        <v>215608.5191027</v>
      </c>
    </row>
    <row r="591" customFormat="false" ht="15" hidden="false" customHeight="false" outlineLevel="0" collapsed="false">
      <c r="K591" s="56" t="n">
        <f aca="false">K590+1</f>
        <v>584</v>
      </c>
      <c r="L591" s="57" t="n">
        <f aca="false">IF(AND(K591&lt;=Assumptions!$C$42,L590=1,P590=0,O590&gt;Assumptions!$C$43),1,0)</f>
        <v>0</v>
      </c>
      <c r="M591" s="58" t="n">
        <f aca="false">O590</f>
        <v>1.04062110040104E-008</v>
      </c>
      <c r="N591" s="58" t="n">
        <f aca="false">IF(L591=1,M591*$B$25,0)</f>
        <v>0</v>
      </c>
      <c r="O591" s="58" t="n">
        <f aca="false">IF(L591=1,M591+N591-$B$29,M591)</f>
        <v>1.04062110040104E-008</v>
      </c>
      <c r="P591" s="56" t="n">
        <f aca="false">IF(L591=1,IF($B$29&lt;=N591,1,0),0)</f>
        <v>0</v>
      </c>
      <c r="Q591" s="58" t="n">
        <f aca="false">Q590+N591</f>
        <v>215608.5191027</v>
      </c>
    </row>
    <row r="592" customFormat="false" ht="15" hidden="false" customHeight="false" outlineLevel="0" collapsed="false">
      <c r="K592" s="56" t="n">
        <f aca="false">K591+1</f>
        <v>585</v>
      </c>
      <c r="L592" s="57" t="n">
        <f aca="false">IF(AND(K592&lt;=Assumptions!$C$42,L591=1,P591=0,O591&gt;Assumptions!$C$43),1,0)</f>
        <v>0</v>
      </c>
      <c r="M592" s="58" t="n">
        <f aca="false">O591</f>
        <v>1.04062110040104E-008</v>
      </c>
      <c r="N592" s="58" t="n">
        <f aca="false">IF(L592=1,M592*$B$25,0)</f>
        <v>0</v>
      </c>
      <c r="O592" s="58" t="n">
        <f aca="false">IF(L592=1,M592+N592-$B$29,M592)</f>
        <v>1.04062110040104E-008</v>
      </c>
      <c r="P592" s="56" t="n">
        <f aca="false">IF(L592=1,IF($B$29&lt;=N592,1,0),0)</f>
        <v>0</v>
      </c>
      <c r="Q592" s="58" t="n">
        <f aca="false">Q591+N592</f>
        <v>215608.5191027</v>
      </c>
    </row>
    <row r="593" customFormat="false" ht="15" hidden="false" customHeight="false" outlineLevel="0" collapsed="false">
      <c r="K593" s="56" t="n">
        <f aca="false">K592+1</f>
        <v>586</v>
      </c>
      <c r="L593" s="57" t="n">
        <f aca="false">IF(AND(K593&lt;=Assumptions!$C$42,L592=1,P592=0,O592&gt;Assumptions!$C$43),1,0)</f>
        <v>0</v>
      </c>
      <c r="M593" s="58" t="n">
        <f aca="false">O592</f>
        <v>1.04062110040104E-008</v>
      </c>
      <c r="N593" s="58" t="n">
        <f aca="false">IF(L593=1,M593*$B$25,0)</f>
        <v>0</v>
      </c>
      <c r="O593" s="58" t="n">
        <f aca="false">IF(L593=1,M593+N593-$B$29,M593)</f>
        <v>1.04062110040104E-008</v>
      </c>
      <c r="P593" s="56" t="n">
        <f aca="false">IF(L593=1,IF($B$29&lt;=N593,1,0),0)</f>
        <v>0</v>
      </c>
      <c r="Q593" s="58" t="n">
        <f aca="false">Q592+N593</f>
        <v>215608.5191027</v>
      </c>
    </row>
    <row r="594" customFormat="false" ht="15" hidden="false" customHeight="false" outlineLevel="0" collapsed="false">
      <c r="K594" s="56" t="n">
        <f aca="false">K593+1</f>
        <v>587</v>
      </c>
      <c r="L594" s="57" t="n">
        <f aca="false">IF(AND(K594&lt;=Assumptions!$C$42,L593=1,P593=0,O593&gt;Assumptions!$C$43),1,0)</f>
        <v>0</v>
      </c>
      <c r="M594" s="58" t="n">
        <f aca="false">O593</f>
        <v>1.04062110040104E-008</v>
      </c>
      <c r="N594" s="58" t="n">
        <f aca="false">IF(L594=1,M594*$B$25,0)</f>
        <v>0</v>
      </c>
      <c r="O594" s="58" t="n">
        <f aca="false">IF(L594=1,M594+N594-$B$29,M594)</f>
        <v>1.04062110040104E-008</v>
      </c>
      <c r="P594" s="56" t="n">
        <f aca="false">IF(L594=1,IF($B$29&lt;=N594,1,0),0)</f>
        <v>0</v>
      </c>
      <c r="Q594" s="58" t="n">
        <f aca="false">Q593+N594</f>
        <v>215608.5191027</v>
      </c>
    </row>
    <row r="595" customFormat="false" ht="15" hidden="false" customHeight="false" outlineLevel="0" collapsed="false">
      <c r="K595" s="56" t="n">
        <f aca="false">K594+1</f>
        <v>588</v>
      </c>
      <c r="L595" s="57" t="n">
        <f aca="false">IF(AND(K595&lt;=Assumptions!$C$42,L594=1,P594=0,O594&gt;Assumptions!$C$43),1,0)</f>
        <v>0</v>
      </c>
      <c r="M595" s="58" t="n">
        <f aca="false">O594</f>
        <v>1.04062110040104E-008</v>
      </c>
      <c r="N595" s="58" t="n">
        <f aca="false">IF(L595=1,M595*$B$25,0)</f>
        <v>0</v>
      </c>
      <c r="O595" s="58" t="n">
        <f aca="false">IF(L595=1,M595+N595-$B$29,M595)</f>
        <v>1.04062110040104E-008</v>
      </c>
      <c r="P595" s="56" t="n">
        <f aca="false">IF(L595=1,IF($B$29&lt;=N595,1,0),0)</f>
        <v>0</v>
      </c>
      <c r="Q595" s="58" t="n">
        <f aca="false">Q594+N595</f>
        <v>215608.5191027</v>
      </c>
    </row>
    <row r="596" customFormat="false" ht="15" hidden="false" customHeight="false" outlineLevel="0" collapsed="false">
      <c r="K596" s="56" t="n">
        <f aca="false">K595+1</f>
        <v>589</v>
      </c>
      <c r="L596" s="57" t="n">
        <f aca="false">IF(AND(K596&lt;=Assumptions!$C$42,L595=1,P595=0,O595&gt;Assumptions!$C$43),1,0)</f>
        <v>0</v>
      </c>
      <c r="M596" s="58" t="n">
        <f aca="false">O595</f>
        <v>1.04062110040104E-008</v>
      </c>
      <c r="N596" s="58" t="n">
        <f aca="false">IF(L596=1,M596*$B$25,0)</f>
        <v>0</v>
      </c>
      <c r="O596" s="58" t="n">
        <f aca="false">IF(L596=1,M596+N596-$B$29,M596)</f>
        <v>1.04062110040104E-008</v>
      </c>
      <c r="P596" s="56" t="n">
        <f aca="false">IF(L596=1,IF($B$29&lt;=N596,1,0),0)</f>
        <v>0</v>
      </c>
      <c r="Q596" s="58" t="n">
        <f aca="false">Q595+N596</f>
        <v>215608.5191027</v>
      </c>
    </row>
    <row r="597" customFormat="false" ht="15" hidden="false" customHeight="false" outlineLevel="0" collapsed="false">
      <c r="K597" s="56" t="n">
        <f aca="false">K596+1</f>
        <v>590</v>
      </c>
      <c r="L597" s="57" t="n">
        <f aca="false">IF(AND(K597&lt;=Assumptions!$C$42,L596=1,P596=0,O596&gt;Assumptions!$C$43),1,0)</f>
        <v>0</v>
      </c>
      <c r="M597" s="58" t="n">
        <f aca="false">O596</f>
        <v>1.04062110040104E-008</v>
      </c>
      <c r="N597" s="58" t="n">
        <f aca="false">IF(L597=1,M597*$B$25,0)</f>
        <v>0</v>
      </c>
      <c r="O597" s="58" t="n">
        <f aca="false">IF(L597=1,M597+N597-$B$29,M597)</f>
        <v>1.04062110040104E-008</v>
      </c>
      <c r="P597" s="56" t="n">
        <f aca="false">IF(L597=1,IF($B$29&lt;=N597,1,0),0)</f>
        <v>0</v>
      </c>
      <c r="Q597" s="58" t="n">
        <f aca="false">Q596+N597</f>
        <v>215608.5191027</v>
      </c>
    </row>
    <row r="598" customFormat="false" ht="15" hidden="false" customHeight="false" outlineLevel="0" collapsed="false">
      <c r="K598" s="56" t="n">
        <f aca="false">K597+1</f>
        <v>591</v>
      </c>
      <c r="L598" s="57" t="n">
        <f aca="false">IF(AND(K598&lt;=Assumptions!$C$42,L597=1,P597=0,O597&gt;Assumptions!$C$43),1,0)</f>
        <v>0</v>
      </c>
      <c r="M598" s="58" t="n">
        <f aca="false">O597</f>
        <v>1.04062110040104E-008</v>
      </c>
      <c r="N598" s="58" t="n">
        <f aca="false">IF(L598=1,M598*$B$25,0)</f>
        <v>0</v>
      </c>
      <c r="O598" s="58" t="n">
        <f aca="false">IF(L598=1,M598+N598-$B$29,M598)</f>
        <v>1.04062110040104E-008</v>
      </c>
      <c r="P598" s="56" t="n">
        <f aca="false">IF(L598=1,IF($B$29&lt;=N598,1,0),0)</f>
        <v>0</v>
      </c>
      <c r="Q598" s="58" t="n">
        <f aca="false">Q597+N598</f>
        <v>215608.5191027</v>
      </c>
    </row>
    <row r="599" customFormat="false" ht="15" hidden="false" customHeight="false" outlineLevel="0" collapsed="false">
      <c r="K599" s="56" t="n">
        <f aca="false">K598+1</f>
        <v>592</v>
      </c>
      <c r="L599" s="57" t="n">
        <f aca="false">IF(AND(K599&lt;=Assumptions!$C$42,L598=1,P598=0,O598&gt;Assumptions!$C$43),1,0)</f>
        <v>0</v>
      </c>
      <c r="M599" s="58" t="n">
        <f aca="false">O598</f>
        <v>1.04062110040104E-008</v>
      </c>
      <c r="N599" s="58" t="n">
        <f aca="false">IF(L599=1,M599*$B$25,0)</f>
        <v>0</v>
      </c>
      <c r="O599" s="58" t="n">
        <f aca="false">IF(L599=1,M599+N599-$B$29,M599)</f>
        <v>1.04062110040104E-008</v>
      </c>
      <c r="P599" s="56" t="n">
        <f aca="false">IF(L599=1,IF($B$29&lt;=N599,1,0),0)</f>
        <v>0</v>
      </c>
      <c r="Q599" s="58" t="n">
        <f aca="false">Q598+N599</f>
        <v>215608.5191027</v>
      </c>
    </row>
    <row r="600" customFormat="false" ht="15" hidden="false" customHeight="false" outlineLevel="0" collapsed="false">
      <c r="K600" s="56" t="n">
        <f aca="false">K599+1</f>
        <v>593</v>
      </c>
      <c r="L600" s="57" t="n">
        <f aca="false">IF(AND(K600&lt;=Assumptions!$C$42,L599=1,P599=0,O599&gt;Assumptions!$C$43),1,0)</f>
        <v>0</v>
      </c>
      <c r="M600" s="58" t="n">
        <f aca="false">O599</f>
        <v>1.04062110040104E-008</v>
      </c>
      <c r="N600" s="58" t="n">
        <f aca="false">IF(L600=1,M600*$B$25,0)</f>
        <v>0</v>
      </c>
      <c r="O600" s="58" t="n">
        <f aca="false">IF(L600=1,M600+N600-$B$29,M600)</f>
        <v>1.04062110040104E-008</v>
      </c>
      <c r="P600" s="56" t="n">
        <f aca="false">IF(L600=1,IF($B$29&lt;=N600,1,0),0)</f>
        <v>0</v>
      </c>
      <c r="Q600" s="58" t="n">
        <f aca="false">Q599+N600</f>
        <v>215608.5191027</v>
      </c>
    </row>
    <row r="601" customFormat="false" ht="15" hidden="false" customHeight="false" outlineLevel="0" collapsed="false">
      <c r="K601" s="56" t="n">
        <f aca="false">K600+1</f>
        <v>594</v>
      </c>
      <c r="L601" s="57" t="n">
        <f aca="false">IF(AND(K601&lt;=Assumptions!$C$42,L600=1,P600=0,O600&gt;Assumptions!$C$43),1,0)</f>
        <v>0</v>
      </c>
      <c r="M601" s="58" t="n">
        <f aca="false">O600</f>
        <v>1.04062110040104E-008</v>
      </c>
      <c r="N601" s="58" t="n">
        <f aca="false">IF(L601=1,M601*$B$25,0)</f>
        <v>0</v>
      </c>
      <c r="O601" s="58" t="n">
        <f aca="false">IF(L601=1,M601+N601-$B$29,M601)</f>
        <v>1.04062110040104E-008</v>
      </c>
      <c r="P601" s="56" t="n">
        <f aca="false">IF(L601=1,IF($B$29&lt;=N601,1,0),0)</f>
        <v>0</v>
      </c>
      <c r="Q601" s="58" t="n">
        <f aca="false">Q600+N601</f>
        <v>215608.5191027</v>
      </c>
    </row>
    <row r="602" customFormat="false" ht="15" hidden="false" customHeight="false" outlineLevel="0" collapsed="false">
      <c r="K602" s="56" t="n">
        <f aca="false">K601+1</f>
        <v>595</v>
      </c>
      <c r="L602" s="57" t="n">
        <f aca="false">IF(AND(K602&lt;=Assumptions!$C$42,L601=1,P601=0,O601&gt;Assumptions!$C$43),1,0)</f>
        <v>0</v>
      </c>
      <c r="M602" s="58" t="n">
        <f aca="false">O601</f>
        <v>1.04062110040104E-008</v>
      </c>
      <c r="N602" s="58" t="n">
        <f aca="false">IF(L602=1,M602*$B$25,0)</f>
        <v>0</v>
      </c>
      <c r="O602" s="58" t="n">
        <f aca="false">IF(L602=1,M602+N602-$B$29,M602)</f>
        <v>1.04062110040104E-008</v>
      </c>
      <c r="P602" s="56" t="n">
        <f aca="false">IF(L602=1,IF($B$29&lt;=N602,1,0),0)</f>
        <v>0</v>
      </c>
      <c r="Q602" s="58" t="n">
        <f aca="false">Q601+N602</f>
        <v>215608.5191027</v>
      </c>
    </row>
    <row r="603" customFormat="false" ht="15" hidden="false" customHeight="false" outlineLevel="0" collapsed="false">
      <c r="K603" s="56" t="n">
        <f aca="false">K602+1</f>
        <v>596</v>
      </c>
      <c r="L603" s="57" t="n">
        <f aca="false">IF(AND(K603&lt;=Assumptions!$C$42,L602=1,P602=0,O602&gt;Assumptions!$C$43),1,0)</f>
        <v>0</v>
      </c>
      <c r="M603" s="58" t="n">
        <f aca="false">O602</f>
        <v>1.04062110040104E-008</v>
      </c>
      <c r="N603" s="58" t="n">
        <f aca="false">IF(L603=1,M603*$B$25,0)</f>
        <v>0</v>
      </c>
      <c r="O603" s="58" t="n">
        <f aca="false">IF(L603=1,M603+N603-$B$29,M603)</f>
        <v>1.04062110040104E-008</v>
      </c>
      <c r="P603" s="56" t="n">
        <f aca="false">IF(L603=1,IF($B$29&lt;=N603,1,0),0)</f>
        <v>0</v>
      </c>
      <c r="Q603" s="58" t="n">
        <f aca="false">Q602+N603</f>
        <v>215608.5191027</v>
      </c>
    </row>
    <row r="604" customFormat="false" ht="15" hidden="false" customHeight="false" outlineLevel="0" collapsed="false">
      <c r="K604" s="56" t="n">
        <f aca="false">K603+1</f>
        <v>597</v>
      </c>
      <c r="L604" s="57" t="n">
        <f aca="false">IF(AND(K604&lt;=Assumptions!$C$42,L603=1,P603=0,O603&gt;Assumptions!$C$43),1,0)</f>
        <v>0</v>
      </c>
      <c r="M604" s="58" t="n">
        <f aca="false">O603</f>
        <v>1.04062110040104E-008</v>
      </c>
      <c r="N604" s="58" t="n">
        <f aca="false">IF(L604=1,M604*$B$25,0)</f>
        <v>0</v>
      </c>
      <c r="O604" s="58" t="n">
        <f aca="false">IF(L604=1,M604+N604-$B$29,M604)</f>
        <v>1.04062110040104E-008</v>
      </c>
      <c r="P604" s="56" t="n">
        <f aca="false">IF(L604=1,IF($B$29&lt;=N604,1,0),0)</f>
        <v>0</v>
      </c>
      <c r="Q604" s="58" t="n">
        <f aca="false">Q603+N604</f>
        <v>215608.5191027</v>
      </c>
    </row>
    <row r="605" customFormat="false" ht="15" hidden="false" customHeight="false" outlineLevel="0" collapsed="false">
      <c r="K605" s="56" t="n">
        <f aca="false">K604+1</f>
        <v>598</v>
      </c>
      <c r="L605" s="57" t="n">
        <f aca="false">IF(AND(K605&lt;=Assumptions!$C$42,L604=1,P604=0,O604&gt;Assumptions!$C$43),1,0)</f>
        <v>0</v>
      </c>
      <c r="M605" s="58" t="n">
        <f aca="false">O604</f>
        <v>1.04062110040104E-008</v>
      </c>
      <c r="N605" s="58" t="n">
        <f aca="false">IF(L605=1,M605*$B$25,0)</f>
        <v>0</v>
      </c>
      <c r="O605" s="58" t="n">
        <f aca="false">IF(L605=1,M605+N605-$B$29,M605)</f>
        <v>1.04062110040104E-008</v>
      </c>
      <c r="P605" s="56" t="n">
        <f aca="false">IF(L605=1,IF($B$29&lt;=N605,1,0),0)</f>
        <v>0</v>
      </c>
      <c r="Q605" s="58" t="n">
        <f aca="false">Q604+N605</f>
        <v>215608.5191027</v>
      </c>
    </row>
    <row r="606" customFormat="false" ht="15" hidden="false" customHeight="false" outlineLevel="0" collapsed="false">
      <c r="K606" s="56" t="n">
        <f aca="false">K605+1</f>
        <v>599</v>
      </c>
      <c r="L606" s="57" t="n">
        <f aca="false">IF(AND(K606&lt;=Assumptions!$C$42,L605=1,P605=0,O605&gt;Assumptions!$C$43),1,0)</f>
        <v>0</v>
      </c>
      <c r="M606" s="58" t="n">
        <f aca="false">O605</f>
        <v>1.04062110040104E-008</v>
      </c>
      <c r="N606" s="58" t="n">
        <f aca="false">IF(L606=1,M606*$B$25,0)</f>
        <v>0</v>
      </c>
      <c r="O606" s="58" t="n">
        <f aca="false">IF(L606=1,M606+N606-$B$29,M606)</f>
        <v>1.04062110040104E-008</v>
      </c>
      <c r="P606" s="56" t="n">
        <f aca="false">IF(L606=1,IF($B$29&lt;=N606,1,0),0)</f>
        <v>0</v>
      </c>
      <c r="Q606" s="58" t="n">
        <f aca="false">Q605+N606</f>
        <v>215608.5191027</v>
      </c>
    </row>
    <row r="607" customFormat="false" ht="15" hidden="false" customHeight="false" outlineLevel="0" collapsed="false">
      <c r="K607" s="56" t="n">
        <f aca="false">K606+1</f>
        <v>600</v>
      </c>
      <c r="L607" s="57" t="n">
        <f aca="false">IF(AND(K607&lt;=Assumptions!$C$42,L606=1,P606=0,O606&gt;Assumptions!$C$43),1,0)</f>
        <v>0</v>
      </c>
      <c r="M607" s="58" t="n">
        <f aca="false">O606</f>
        <v>1.04062110040104E-008</v>
      </c>
      <c r="N607" s="58" t="n">
        <f aca="false">IF(L607=1,M607*$B$25,0)</f>
        <v>0</v>
      </c>
      <c r="O607" s="58" t="n">
        <f aca="false">IF(L607=1,M607+N607-$B$29,M607)</f>
        <v>1.04062110040104E-008</v>
      </c>
      <c r="P607" s="56" t="n">
        <f aca="false">IF(L607=1,IF($B$29&lt;=N607,1,0),0)</f>
        <v>0</v>
      </c>
      <c r="Q607" s="58" t="n">
        <f aca="false">Q606+N607</f>
        <v>215608.5191027</v>
      </c>
    </row>
    <row r="608" customFormat="false" ht="15" hidden="false" customHeight="false" outlineLevel="0" collapsed="false">
      <c r="K608" s="56" t="n">
        <f aca="false">K607+1</f>
        <v>601</v>
      </c>
      <c r="L608" s="57" t="n">
        <f aca="false">IF(AND(K608&lt;=Assumptions!$C$42,L607=1,P607=0,O607&gt;Assumptions!$C$43),1,0)</f>
        <v>0</v>
      </c>
      <c r="M608" s="58" t="n">
        <f aca="false">O607</f>
        <v>1.04062110040104E-008</v>
      </c>
      <c r="N608" s="58" t="n">
        <f aca="false">IF(L608=1,M608*$B$25,0)</f>
        <v>0</v>
      </c>
      <c r="O608" s="58" t="n">
        <f aca="false">IF(L608=1,M608+N608-$B$29,M608)</f>
        <v>1.04062110040104E-008</v>
      </c>
      <c r="P608" s="56" t="n">
        <f aca="false">IF(L608=1,IF($B$29&lt;=N608,1,0),0)</f>
        <v>0</v>
      </c>
      <c r="Q608" s="58" t="n">
        <f aca="false">Q607+N608</f>
        <v>215608.5191027</v>
      </c>
    </row>
    <row r="609" customFormat="false" ht="15" hidden="false" customHeight="false" outlineLevel="0" collapsed="false">
      <c r="K609" s="56" t="n">
        <f aca="false">K608+1</f>
        <v>602</v>
      </c>
      <c r="L609" s="57" t="n">
        <f aca="false">IF(AND(K609&lt;=Assumptions!$C$42,L608=1,P608=0,O608&gt;Assumptions!$C$43),1,0)</f>
        <v>0</v>
      </c>
      <c r="M609" s="58" t="n">
        <f aca="false">O608</f>
        <v>1.04062110040104E-008</v>
      </c>
      <c r="N609" s="58" t="n">
        <f aca="false">IF(L609=1,M609*$B$25,0)</f>
        <v>0</v>
      </c>
      <c r="O609" s="58" t="n">
        <f aca="false">IF(L609=1,M609+N609-$B$29,M609)</f>
        <v>1.04062110040104E-008</v>
      </c>
      <c r="P609" s="56" t="n">
        <f aca="false">IF(L609=1,IF($B$29&lt;=N609,1,0),0)</f>
        <v>0</v>
      </c>
      <c r="Q609" s="58" t="n">
        <f aca="false">Q608+N609</f>
        <v>215608.5191027</v>
      </c>
    </row>
    <row r="610" customFormat="false" ht="15" hidden="false" customHeight="false" outlineLevel="0" collapsed="false">
      <c r="K610" s="56" t="n">
        <f aca="false">K609+1</f>
        <v>603</v>
      </c>
      <c r="L610" s="57" t="n">
        <f aca="false">IF(AND(K610&lt;=Assumptions!$C$42,L609=1,P609=0,O609&gt;Assumptions!$C$43),1,0)</f>
        <v>0</v>
      </c>
      <c r="M610" s="58" t="n">
        <f aca="false">O609</f>
        <v>1.04062110040104E-008</v>
      </c>
      <c r="N610" s="58" t="n">
        <f aca="false">IF(L610=1,M610*$B$25,0)</f>
        <v>0</v>
      </c>
      <c r="O610" s="58" t="n">
        <f aca="false">IF(L610=1,M610+N610-$B$29,M610)</f>
        <v>1.04062110040104E-008</v>
      </c>
      <c r="P610" s="56" t="n">
        <f aca="false">IF(L610=1,IF($B$29&lt;=N610,1,0),0)</f>
        <v>0</v>
      </c>
      <c r="Q610" s="58" t="n">
        <f aca="false">Q609+N610</f>
        <v>215608.5191027</v>
      </c>
    </row>
    <row r="611" customFormat="false" ht="15" hidden="false" customHeight="false" outlineLevel="0" collapsed="false">
      <c r="K611" s="56" t="n">
        <f aca="false">K610+1</f>
        <v>604</v>
      </c>
      <c r="L611" s="57" t="n">
        <f aca="false">IF(AND(K611&lt;=Assumptions!$C$42,L610=1,P610=0,O610&gt;Assumptions!$C$43),1,0)</f>
        <v>0</v>
      </c>
      <c r="M611" s="58" t="n">
        <f aca="false">O610</f>
        <v>1.04062110040104E-008</v>
      </c>
      <c r="N611" s="58" t="n">
        <f aca="false">IF(L611=1,M611*$B$25,0)</f>
        <v>0</v>
      </c>
      <c r="O611" s="58" t="n">
        <f aca="false">IF(L611=1,M611+N611-$B$29,M611)</f>
        <v>1.04062110040104E-008</v>
      </c>
      <c r="P611" s="56" t="n">
        <f aca="false">IF(L611=1,IF($B$29&lt;=N611,1,0),0)</f>
        <v>0</v>
      </c>
      <c r="Q611" s="58" t="n">
        <f aca="false">Q610+N611</f>
        <v>215608.5191027</v>
      </c>
    </row>
    <row r="612" customFormat="false" ht="15" hidden="false" customHeight="false" outlineLevel="0" collapsed="false">
      <c r="K612" s="56" t="n">
        <f aca="false">K611+1</f>
        <v>605</v>
      </c>
      <c r="L612" s="57" t="n">
        <f aca="false">IF(AND(K612&lt;=Assumptions!$C$42,L611=1,P611=0,O611&gt;Assumptions!$C$43),1,0)</f>
        <v>0</v>
      </c>
      <c r="M612" s="58" t="n">
        <f aca="false">O611</f>
        <v>1.04062110040104E-008</v>
      </c>
      <c r="N612" s="58" t="n">
        <f aca="false">IF(L612=1,M612*$B$25,0)</f>
        <v>0</v>
      </c>
      <c r="O612" s="58" t="n">
        <f aca="false">IF(L612=1,M612+N612-$B$29,M612)</f>
        <v>1.04062110040104E-008</v>
      </c>
      <c r="P612" s="56" t="n">
        <f aca="false">IF(L612=1,IF($B$29&lt;=N612,1,0),0)</f>
        <v>0</v>
      </c>
      <c r="Q612" s="58" t="n">
        <f aca="false">Q611+N612</f>
        <v>215608.5191027</v>
      </c>
    </row>
    <row r="613" customFormat="false" ht="15" hidden="false" customHeight="false" outlineLevel="0" collapsed="false">
      <c r="K613" s="56" t="n">
        <f aca="false">K612+1</f>
        <v>606</v>
      </c>
      <c r="L613" s="57" t="n">
        <f aca="false">IF(AND(K613&lt;=Assumptions!$C$42,L612=1,P612=0,O612&gt;Assumptions!$C$43),1,0)</f>
        <v>0</v>
      </c>
      <c r="M613" s="58" t="n">
        <f aca="false">O612</f>
        <v>1.04062110040104E-008</v>
      </c>
      <c r="N613" s="58" t="n">
        <f aca="false">IF(L613=1,M613*$B$25,0)</f>
        <v>0</v>
      </c>
      <c r="O613" s="58" t="n">
        <f aca="false">IF(L613=1,M613+N613-$B$29,M613)</f>
        <v>1.04062110040104E-008</v>
      </c>
      <c r="P613" s="56" t="n">
        <f aca="false">IF(L613=1,IF($B$29&lt;=N613,1,0),0)</f>
        <v>0</v>
      </c>
      <c r="Q613" s="58" t="n">
        <f aca="false">Q612+N613</f>
        <v>215608.5191027</v>
      </c>
    </row>
    <row r="614" customFormat="false" ht="15" hidden="false" customHeight="false" outlineLevel="0" collapsed="false">
      <c r="K614" s="56" t="n">
        <f aca="false">K613+1</f>
        <v>607</v>
      </c>
      <c r="L614" s="57" t="n">
        <f aca="false">IF(AND(K614&lt;=Assumptions!$C$42,L613=1,P613=0,O613&gt;Assumptions!$C$43),1,0)</f>
        <v>0</v>
      </c>
      <c r="M614" s="58" t="n">
        <f aca="false">O613</f>
        <v>1.04062110040104E-008</v>
      </c>
      <c r="N614" s="58" t="n">
        <f aca="false">IF(L614=1,M614*$B$25,0)</f>
        <v>0</v>
      </c>
      <c r="O614" s="58" t="n">
        <f aca="false">IF(L614=1,M614+N614-$B$29,M614)</f>
        <v>1.04062110040104E-008</v>
      </c>
      <c r="P614" s="56" t="n">
        <f aca="false">IF(L614=1,IF($B$29&lt;=N614,1,0),0)</f>
        <v>0</v>
      </c>
      <c r="Q614" s="58" t="n">
        <f aca="false">Q613+N614</f>
        <v>215608.5191027</v>
      </c>
    </row>
    <row r="615" customFormat="false" ht="15" hidden="false" customHeight="false" outlineLevel="0" collapsed="false">
      <c r="K615" s="56" t="n">
        <f aca="false">K614+1</f>
        <v>608</v>
      </c>
      <c r="L615" s="57" t="n">
        <f aca="false">IF(AND(K615&lt;=Assumptions!$C$42,L614=1,P614=0,O614&gt;Assumptions!$C$43),1,0)</f>
        <v>0</v>
      </c>
      <c r="M615" s="58" t="n">
        <f aca="false">O614</f>
        <v>1.04062110040104E-008</v>
      </c>
      <c r="N615" s="58" t="n">
        <f aca="false">IF(L615=1,M615*$B$25,0)</f>
        <v>0</v>
      </c>
      <c r="O615" s="58" t="n">
        <f aca="false">IF(L615=1,M615+N615-$B$29,M615)</f>
        <v>1.04062110040104E-008</v>
      </c>
      <c r="P615" s="56" t="n">
        <f aca="false">IF(L615=1,IF($B$29&lt;=N615,1,0),0)</f>
        <v>0</v>
      </c>
      <c r="Q615" s="58" t="n">
        <f aca="false">Q614+N615</f>
        <v>215608.5191027</v>
      </c>
    </row>
    <row r="616" customFormat="false" ht="15" hidden="false" customHeight="false" outlineLevel="0" collapsed="false">
      <c r="K616" s="56" t="n">
        <f aca="false">K615+1</f>
        <v>609</v>
      </c>
      <c r="L616" s="57" t="n">
        <f aca="false">IF(AND(K616&lt;=Assumptions!$C$42,L615=1,P615=0,O615&gt;Assumptions!$C$43),1,0)</f>
        <v>0</v>
      </c>
      <c r="M616" s="58" t="n">
        <f aca="false">O615</f>
        <v>1.04062110040104E-008</v>
      </c>
      <c r="N616" s="58" t="n">
        <f aca="false">IF(L616=1,M616*$B$25,0)</f>
        <v>0</v>
      </c>
      <c r="O616" s="58" t="n">
        <f aca="false">IF(L616=1,M616+N616-$B$29,M616)</f>
        <v>1.04062110040104E-008</v>
      </c>
      <c r="P616" s="56" t="n">
        <f aca="false">IF(L616=1,IF($B$29&lt;=N616,1,0),0)</f>
        <v>0</v>
      </c>
      <c r="Q616" s="58" t="n">
        <f aca="false">Q615+N616</f>
        <v>215608.5191027</v>
      </c>
    </row>
    <row r="617" customFormat="false" ht="15" hidden="false" customHeight="false" outlineLevel="0" collapsed="false">
      <c r="K617" s="56" t="n">
        <f aca="false">K616+1</f>
        <v>610</v>
      </c>
      <c r="L617" s="57" t="n">
        <f aca="false">IF(AND(K617&lt;=Assumptions!$C$42,L616=1,P616=0,O616&gt;Assumptions!$C$43),1,0)</f>
        <v>0</v>
      </c>
      <c r="M617" s="58" t="n">
        <f aca="false">O616</f>
        <v>1.04062110040104E-008</v>
      </c>
      <c r="N617" s="58" t="n">
        <f aca="false">IF(L617=1,M617*$B$25,0)</f>
        <v>0</v>
      </c>
      <c r="O617" s="58" t="n">
        <f aca="false">IF(L617=1,M617+N617-$B$29,M617)</f>
        <v>1.04062110040104E-008</v>
      </c>
      <c r="P617" s="56" t="n">
        <f aca="false">IF(L617=1,IF($B$29&lt;=N617,1,0),0)</f>
        <v>0</v>
      </c>
      <c r="Q617" s="58" t="n">
        <f aca="false">Q616+N617</f>
        <v>215608.5191027</v>
      </c>
    </row>
    <row r="618" customFormat="false" ht="15" hidden="false" customHeight="false" outlineLevel="0" collapsed="false">
      <c r="K618" s="56" t="n">
        <f aca="false">K617+1</f>
        <v>611</v>
      </c>
      <c r="L618" s="57" t="n">
        <f aca="false">IF(AND(K618&lt;=Assumptions!$C$42,L617=1,P617=0,O617&gt;Assumptions!$C$43),1,0)</f>
        <v>0</v>
      </c>
      <c r="M618" s="58" t="n">
        <f aca="false">O617</f>
        <v>1.04062110040104E-008</v>
      </c>
      <c r="N618" s="58" t="n">
        <f aca="false">IF(L618=1,M618*$B$25,0)</f>
        <v>0</v>
      </c>
      <c r="O618" s="58" t="n">
        <f aca="false">IF(L618=1,M618+N618-$B$29,M618)</f>
        <v>1.04062110040104E-008</v>
      </c>
      <c r="P618" s="56" t="n">
        <f aca="false">IF(L618=1,IF($B$29&lt;=N618,1,0),0)</f>
        <v>0</v>
      </c>
      <c r="Q618" s="58" t="n">
        <f aca="false">Q617+N618</f>
        <v>215608.5191027</v>
      </c>
    </row>
    <row r="619" customFormat="false" ht="15" hidden="false" customHeight="false" outlineLevel="0" collapsed="false">
      <c r="K619" s="56" t="n">
        <f aca="false">K618+1</f>
        <v>612</v>
      </c>
      <c r="L619" s="57" t="n">
        <f aca="false">IF(AND(K619&lt;=Assumptions!$C$42,L618=1,P618=0,O618&gt;Assumptions!$C$43),1,0)</f>
        <v>0</v>
      </c>
      <c r="M619" s="58" t="n">
        <f aca="false">O618</f>
        <v>1.04062110040104E-008</v>
      </c>
      <c r="N619" s="58" t="n">
        <f aca="false">IF(L619=1,M619*$B$25,0)</f>
        <v>0</v>
      </c>
      <c r="O619" s="58" t="n">
        <f aca="false">IF(L619=1,M619+N619-$B$29,M619)</f>
        <v>1.04062110040104E-008</v>
      </c>
      <c r="P619" s="56" t="n">
        <f aca="false">IF(L619=1,IF($B$29&lt;=N619,1,0),0)</f>
        <v>0</v>
      </c>
      <c r="Q619" s="58" t="n">
        <f aca="false">Q618+N619</f>
        <v>215608.5191027</v>
      </c>
    </row>
    <row r="620" customFormat="false" ht="15" hidden="false" customHeight="false" outlineLevel="0" collapsed="false">
      <c r="K620" s="56" t="n">
        <f aca="false">K619+1</f>
        <v>613</v>
      </c>
      <c r="L620" s="57" t="n">
        <f aca="false">IF(AND(K620&lt;=Assumptions!$C$42,L619=1,P619=0,O619&gt;Assumptions!$C$43),1,0)</f>
        <v>0</v>
      </c>
      <c r="M620" s="58" t="n">
        <f aca="false">O619</f>
        <v>1.04062110040104E-008</v>
      </c>
      <c r="N620" s="58" t="n">
        <f aca="false">IF(L620=1,M620*$B$25,0)</f>
        <v>0</v>
      </c>
      <c r="O620" s="58" t="n">
        <f aca="false">IF(L620=1,M620+N620-$B$29,M620)</f>
        <v>1.04062110040104E-008</v>
      </c>
      <c r="P620" s="56" t="n">
        <f aca="false">IF(L620=1,IF($B$29&lt;=N620,1,0),0)</f>
        <v>0</v>
      </c>
      <c r="Q620" s="58" t="n">
        <f aca="false">Q619+N620</f>
        <v>215608.5191027</v>
      </c>
    </row>
    <row r="621" customFormat="false" ht="15" hidden="false" customHeight="false" outlineLevel="0" collapsed="false">
      <c r="K621" s="56" t="n">
        <f aca="false">K620+1</f>
        <v>614</v>
      </c>
      <c r="L621" s="57" t="n">
        <f aca="false">IF(AND(K621&lt;=Assumptions!$C$42,L620=1,P620=0,O620&gt;Assumptions!$C$43),1,0)</f>
        <v>0</v>
      </c>
      <c r="M621" s="58" t="n">
        <f aca="false">O620</f>
        <v>1.04062110040104E-008</v>
      </c>
      <c r="N621" s="58" t="n">
        <f aca="false">IF(L621=1,M621*$B$25,0)</f>
        <v>0</v>
      </c>
      <c r="O621" s="58" t="n">
        <f aca="false">IF(L621=1,M621+N621-$B$29,M621)</f>
        <v>1.04062110040104E-008</v>
      </c>
      <c r="P621" s="56" t="n">
        <f aca="false">IF(L621=1,IF($B$29&lt;=N621,1,0),0)</f>
        <v>0</v>
      </c>
      <c r="Q621" s="58" t="n">
        <f aca="false">Q620+N621</f>
        <v>215608.5191027</v>
      </c>
    </row>
    <row r="622" customFormat="false" ht="15" hidden="false" customHeight="false" outlineLevel="0" collapsed="false">
      <c r="K622" s="56" t="n">
        <f aca="false">K621+1</f>
        <v>615</v>
      </c>
      <c r="L622" s="57" t="n">
        <f aca="false">IF(AND(K622&lt;=Assumptions!$C$42,L621=1,P621=0,O621&gt;Assumptions!$C$43),1,0)</f>
        <v>0</v>
      </c>
      <c r="M622" s="58" t="n">
        <f aca="false">O621</f>
        <v>1.04062110040104E-008</v>
      </c>
      <c r="N622" s="58" t="n">
        <f aca="false">IF(L622=1,M622*$B$25,0)</f>
        <v>0</v>
      </c>
      <c r="O622" s="58" t="n">
        <f aca="false">IF(L622=1,M622+N622-$B$29,M622)</f>
        <v>1.04062110040104E-008</v>
      </c>
      <c r="P622" s="56" t="n">
        <f aca="false">IF(L622=1,IF($B$29&lt;=N622,1,0),0)</f>
        <v>0</v>
      </c>
      <c r="Q622" s="58" t="n">
        <f aca="false">Q621+N622</f>
        <v>215608.5191027</v>
      </c>
    </row>
    <row r="623" customFormat="false" ht="15" hidden="false" customHeight="false" outlineLevel="0" collapsed="false">
      <c r="K623" s="56" t="n">
        <f aca="false">K622+1</f>
        <v>616</v>
      </c>
      <c r="L623" s="57" t="n">
        <f aca="false">IF(AND(K623&lt;=Assumptions!$C$42,L622=1,P622=0,O622&gt;Assumptions!$C$43),1,0)</f>
        <v>0</v>
      </c>
      <c r="M623" s="58" t="n">
        <f aca="false">O622</f>
        <v>1.04062110040104E-008</v>
      </c>
      <c r="N623" s="58" t="n">
        <f aca="false">IF(L623=1,M623*$B$25,0)</f>
        <v>0</v>
      </c>
      <c r="O623" s="58" t="n">
        <f aca="false">IF(L623=1,M623+N623-$B$29,M623)</f>
        <v>1.04062110040104E-008</v>
      </c>
      <c r="P623" s="56" t="n">
        <f aca="false">IF(L623=1,IF($B$29&lt;=N623,1,0),0)</f>
        <v>0</v>
      </c>
      <c r="Q623" s="58" t="n">
        <f aca="false">Q622+N623</f>
        <v>215608.5191027</v>
      </c>
    </row>
    <row r="624" customFormat="false" ht="15" hidden="false" customHeight="false" outlineLevel="0" collapsed="false">
      <c r="K624" s="56" t="n">
        <f aca="false">K623+1</f>
        <v>617</v>
      </c>
      <c r="L624" s="57" t="n">
        <f aca="false">IF(AND(K624&lt;=Assumptions!$C$42,L623=1,P623=0,O623&gt;Assumptions!$C$43),1,0)</f>
        <v>0</v>
      </c>
      <c r="M624" s="58" t="n">
        <f aca="false">O623</f>
        <v>1.04062110040104E-008</v>
      </c>
      <c r="N624" s="58" t="n">
        <f aca="false">IF(L624=1,M624*$B$25,0)</f>
        <v>0</v>
      </c>
      <c r="O624" s="58" t="n">
        <f aca="false">IF(L624=1,M624+N624-$B$29,M624)</f>
        <v>1.04062110040104E-008</v>
      </c>
      <c r="P624" s="56" t="n">
        <f aca="false">IF(L624=1,IF($B$29&lt;=N624,1,0),0)</f>
        <v>0</v>
      </c>
      <c r="Q624" s="58" t="n">
        <f aca="false">Q623+N624</f>
        <v>215608.5191027</v>
      </c>
    </row>
    <row r="625" customFormat="false" ht="15" hidden="false" customHeight="false" outlineLevel="0" collapsed="false">
      <c r="K625" s="56" t="n">
        <f aca="false">K624+1</f>
        <v>618</v>
      </c>
      <c r="L625" s="57" t="n">
        <f aca="false">IF(AND(K625&lt;=Assumptions!$C$42,L624=1,P624=0,O624&gt;Assumptions!$C$43),1,0)</f>
        <v>0</v>
      </c>
      <c r="M625" s="58" t="n">
        <f aca="false">O624</f>
        <v>1.04062110040104E-008</v>
      </c>
      <c r="N625" s="58" t="n">
        <f aca="false">IF(L625=1,M625*$B$25,0)</f>
        <v>0</v>
      </c>
      <c r="O625" s="58" t="n">
        <f aca="false">IF(L625=1,M625+N625-$B$29,M625)</f>
        <v>1.04062110040104E-008</v>
      </c>
      <c r="P625" s="56" t="n">
        <f aca="false">IF(L625=1,IF($B$29&lt;=N625,1,0),0)</f>
        <v>0</v>
      </c>
      <c r="Q625" s="58" t="n">
        <f aca="false">Q624+N625</f>
        <v>215608.5191027</v>
      </c>
    </row>
    <row r="626" customFormat="false" ht="15" hidden="false" customHeight="false" outlineLevel="0" collapsed="false">
      <c r="K626" s="56" t="n">
        <f aca="false">K625+1</f>
        <v>619</v>
      </c>
      <c r="L626" s="57" t="n">
        <f aca="false">IF(AND(K626&lt;=Assumptions!$C$42,L625=1,P625=0,O625&gt;Assumptions!$C$43),1,0)</f>
        <v>0</v>
      </c>
      <c r="M626" s="58" t="n">
        <f aca="false">O625</f>
        <v>1.04062110040104E-008</v>
      </c>
      <c r="N626" s="58" t="n">
        <f aca="false">IF(L626=1,M626*$B$25,0)</f>
        <v>0</v>
      </c>
      <c r="O626" s="58" t="n">
        <f aca="false">IF(L626=1,M626+N626-$B$29,M626)</f>
        <v>1.04062110040104E-008</v>
      </c>
      <c r="P626" s="56" t="n">
        <f aca="false">IF(L626=1,IF($B$29&lt;=N626,1,0),0)</f>
        <v>0</v>
      </c>
      <c r="Q626" s="58" t="n">
        <f aca="false">Q625+N626</f>
        <v>215608.5191027</v>
      </c>
    </row>
    <row r="627" customFormat="false" ht="15" hidden="false" customHeight="false" outlineLevel="0" collapsed="false">
      <c r="K627" s="56" t="n">
        <f aca="false">K626+1</f>
        <v>620</v>
      </c>
      <c r="L627" s="57" t="n">
        <f aca="false">IF(AND(K627&lt;=Assumptions!$C$42,L626=1,P626=0,O626&gt;Assumptions!$C$43),1,0)</f>
        <v>0</v>
      </c>
      <c r="M627" s="58" t="n">
        <f aca="false">O626</f>
        <v>1.04062110040104E-008</v>
      </c>
      <c r="N627" s="58" t="n">
        <f aca="false">IF(L627=1,M627*$B$25,0)</f>
        <v>0</v>
      </c>
      <c r="O627" s="58" t="n">
        <f aca="false">IF(L627=1,M627+N627-$B$29,M627)</f>
        <v>1.04062110040104E-008</v>
      </c>
      <c r="P627" s="56" t="n">
        <f aca="false">IF(L627=1,IF($B$29&lt;=N627,1,0),0)</f>
        <v>0</v>
      </c>
      <c r="Q627" s="58" t="n">
        <f aca="false">Q626+N627</f>
        <v>215608.5191027</v>
      </c>
    </row>
    <row r="628" customFormat="false" ht="15" hidden="false" customHeight="false" outlineLevel="0" collapsed="false">
      <c r="K628" s="56" t="n">
        <f aca="false">K627+1</f>
        <v>621</v>
      </c>
      <c r="L628" s="57" t="n">
        <f aca="false">IF(AND(K628&lt;=Assumptions!$C$42,L627=1,P627=0,O627&gt;Assumptions!$C$43),1,0)</f>
        <v>0</v>
      </c>
      <c r="M628" s="58" t="n">
        <f aca="false">O627</f>
        <v>1.04062110040104E-008</v>
      </c>
      <c r="N628" s="58" t="n">
        <f aca="false">IF(L628=1,M628*$B$25,0)</f>
        <v>0</v>
      </c>
      <c r="O628" s="58" t="n">
        <f aca="false">IF(L628=1,M628+N628-$B$29,M628)</f>
        <v>1.04062110040104E-008</v>
      </c>
      <c r="P628" s="56" t="n">
        <f aca="false">IF(L628=1,IF($B$29&lt;=N628,1,0),0)</f>
        <v>0</v>
      </c>
      <c r="Q628" s="58" t="n">
        <f aca="false">Q627+N628</f>
        <v>215608.5191027</v>
      </c>
    </row>
    <row r="629" customFormat="false" ht="15" hidden="false" customHeight="false" outlineLevel="0" collapsed="false">
      <c r="K629" s="56" t="n">
        <f aca="false">K628+1</f>
        <v>622</v>
      </c>
      <c r="L629" s="57" t="n">
        <f aca="false">IF(AND(K629&lt;=Assumptions!$C$42,L628=1,P628=0,O628&gt;Assumptions!$C$43),1,0)</f>
        <v>0</v>
      </c>
      <c r="M629" s="58" t="n">
        <f aca="false">O628</f>
        <v>1.04062110040104E-008</v>
      </c>
      <c r="N629" s="58" t="n">
        <f aca="false">IF(L629=1,M629*$B$25,0)</f>
        <v>0</v>
      </c>
      <c r="O629" s="58" t="n">
        <f aca="false">IF(L629=1,M629+N629-$B$29,M629)</f>
        <v>1.04062110040104E-008</v>
      </c>
      <c r="P629" s="56" t="n">
        <f aca="false">IF(L629=1,IF($B$29&lt;=N629,1,0),0)</f>
        <v>0</v>
      </c>
      <c r="Q629" s="58" t="n">
        <f aca="false">Q628+N629</f>
        <v>215608.5191027</v>
      </c>
    </row>
    <row r="630" customFormat="false" ht="15" hidden="false" customHeight="false" outlineLevel="0" collapsed="false">
      <c r="K630" s="56" t="n">
        <f aca="false">K629+1</f>
        <v>623</v>
      </c>
      <c r="L630" s="57" t="n">
        <f aca="false">IF(AND(K630&lt;=Assumptions!$C$42,L629=1,P629=0,O629&gt;Assumptions!$C$43),1,0)</f>
        <v>0</v>
      </c>
      <c r="M630" s="58" t="n">
        <f aca="false">O629</f>
        <v>1.04062110040104E-008</v>
      </c>
      <c r="N630" s="58" t="n">
        <f aca="false">IF(L630=1,M630*$B$25,0)</f>
        <v>0</v>
      </c>
      <c r="O630" s="58" t="n">
        <f aca="false">IF(L630=1,M630+N630-$B$29,M630)</f>
        <v>1.04062110040104E-008</v>
      </c>
      <c r="P630" s="56" t="n">
        <f aca="false">IF(L630=1,IF($B$29&lt;=N630,1,0),0)</f>
        <v>0</v>
      </c>
      <c r="Q630" s="58" t="n">
        <f aca="false">Q629+N630</f>
        <v>215608.5191027</v>
      </c>
    </row>
    <row r="631" customFormat="false" ht="15" hidden="false" customHeight="false" outlineLevel="0" collapsed="false">
      <c r="K631" s="56" t="n">
        <f aca="false">K630+1</f>
        <v>624</v>
      </c>
      <c r="L631" s="57" t="n">
        <f aca="false">IF(AND(K631&lt;=Assumptions!$C$42,L630=1,P630=0,O630&gt;Assumptions!$C$43),1,0)</f>
        <v>0</v>
      </c>
      <c r="M631" s="58" t="n">
        <f aca="false">O630</f>
        <v>1.04062110040104E-008</v>
      </c>
      <c r="N631" s="58" t="n">
        <f aca="false">IF(L631=1,M631*$B$25,0)</f>
        <v>0</v>
      </c>
      <c r="O631" s="58" t="n">
        <f aca="false">IF(L631=1,M631+N631-$B$29,M631)</f>
        <v>1.04062110040104E-008</v>
      </c>
      <c r="P631" s="56" t="n">
        <f aca="false">IF(L631=1,IF($B$29&lt;=N631,1,0),0)</f>
        <v>0</v>
      </c>
      <c r="Q631" s="58" t="n">
        <f aca="false">Q630+N631</f>
        <v>215608.5191027</v>
      </c>
    </row>
    <row r="632" customFormat="false" ht="15" hidden="false" customHeight="false" outlineLevel="0" collapsed="false">
      <c r="K632" s="56" t="n">
        <f aca="false">K631+1</f>
        <v>625</v>
      </c>
      <c r="L632" s="57" t="n">
        <f aca="false">IF(AND(K632&lt;=Assumptions!$C$42,L631=1,P631=0,O631&gt;Assumptions!$C$43),1,0)</f>
        <v>0</v>
      </c>
      <c r="M632" s="58" t="n">
        <f aca="false">O631</f>
        <v>1.04062110040104E-008</v>
      </c>
      <c r="N632" s="58" t="n">
        <f aca="false">IF(L632=1,M632*$B$25,0)</f>
        <v>0</v>
      </c>
      <c r="O632" s="58" t="n">
        <f aca="false">IF(L632=1,M632+N632-$B$29,M632)</f>
        <v>1.04062110040104E-008</v>
      </c>
      <c r="P632" s="56" t="n">
        <f aca="false">IF(L632=1,IF($B$29&lt;=N632,1,0),0)</f>
        <v>0</v>
      </c>
      <c r="Q632" s="58" t="n">
        <f aca="false">Q631+N632</f>
        <v>215608.5191027</v>
      </c>
    </row>
    <row r="633" customFormat="false" ht="15" hidden="false" customHeight="false" outlineLevel="0" collapsed="false">
      <c r="K633" s="56" t="n">
        <f aca="false">K632+1</f>
        <v>626</v>
      </c>
      <c r="L633" s="57" t="n">
        <f aca="false">IF(AND(K633&lt;=Assumptions!$C$42,L632=1,P632=0,O632&gt;Assumptions!$C$43),1,0)</f>
        <v>0</v>
      </c>
      <c r="M633" s="58" t="n">
        <f aca="false">O632</f>
        <v>1.04062110040104E-008</v>
      </c>
      <c r="N633" s="58" t="n">
        <f aca="false">IF(L633=1,M633*$B$25,0)</f>
        <v>0</v>
      </c>
      <c r="O633" s="58" t="n">
        <f aca="false">IF(L633=1,M633+N633-$B$29,M633)</f>
        <v>1.04062110040104E-008</v>
      </c>
      <c r="P633" s="56" t="n">
        <f aca="false">IF(L633=1,IF($B$29&lt;=N633,1,0),0)</f>
        <v>0</v>
      </c>
      <c r="Q633" s="58" t="n">
        <f aca="false">Q632+N633</f>
        <v>215608.5191027</v>
      </c>
    </row>
    <row r="634" customFormat="false" ht="15" hidden="false" customHeight="false" outlineLevel="0" collapsed="false">
      <c r="K634" s="56" t="n">
        <f aca="false">K633+1</f>
        <v>627</v>
      </c>
      <c r="L634" s="57" t="n">
        <f aca="false">IF(AND(K634&lt;=Assumptions!$C$42,L633=1,P633=0,O633&gt;Assumptions!$C$43),1,0)</f>
        <v>0</v>
      </c>
      <c r="M634" s="58" t="n">
        <f aca="false">O633</f>
        <v>1.04062110040104E-008</v>
      </c>
      <c r="N634" s="58" t="n">
        <f aca="false">IF(L634=1,M634*$B$25,0)</f>
        <v>0</v>
      </c>
      <c r="O634" s="58" t="n">
        <f aca="false">IF(L634=1,M634+N634-$B$29,M634)</f>
        <v>1.04062110040104E-008</v>
      </c>
      <c r="P634" s="56" t="n">
        <f aca="false">IF(L634=1,IF($B$29&lt;=N634,1,0),0)</f>
        <v>0</v>
      </c>
      <c r="Q634" s="58" t="n">
        <f aca="false">Q633+N634</f>
        <v>215608.5191027</v>
      </c>
    </row>
    <row r="635" customFormat="false" ht="15" hidden="false" customHeight="false" outlineLevel="0" collapsed="false">
      <c r="K635" s="56" t="n">
        <f aca="false">K634+1</f>
        <v>628</v>
      </c>
      <c r="L635" s="57" t="n">
        <f aca="false">IF(AND(K635&lt;=Assumptions!$C$42,L634=1,P634=0,O634&gt;Assumptions!$C$43),1,0)</f>
        <v>0</v>
      </c>
      <c r="M635" s="58" t="n">
        <f aca="false">O634</f>
        <v>1.04062110040104E-008</v>
      </c>
      <c r="N635" s="58" t="n">
        <f aca="false">IF(L635=1,M635*$B$25,0)</f>
        <v>0</v>
      </c>
      <c r="O635" s="58" t="n">
        <f aca="false">IF(L635=1,M635+N635-$B$29,M635)</f>
        <v>1.04062110040104E-008</v>
      </c>
      <c r="P635" s="56" t="n">
        <f aca="false">IF(L635=1,IF($B$29&lt;=N635,1,0),0)</f>
        <v>0</v>
      </c>
      <c r="Q635" s="58" t="n">
        <f aca="false">Q634+N635</f>
        <v>215608.5191027</v>
      </c>
    </row>
    <row r="636" customFormat="false" ht="15" hidden="false" customHeight="false" outlineLevel="0" collapsed="false">
      <c r="K636" s="56" t="n">
        <f aca="false">K635+1</f>
        <v>629</v>
      </c>
      <c r="L636" s="57" t="n">
        <f aca="false">IF(AND(K636&lt;=Assumptions!$C$42,L635=1,P635=0,O635&gt;Assumptions!$C$43),1,0)</f>
        <v>0</v>
      </c>
      <c r="M636" s="58" t="n">
        <f aca="false">O635</f>
        <v>1.04062110040104E-008</v>
      </c>
      <c r="N636" s="58" t="n">
        <f aca="false">IF(L636=1,M636*$B$25,0)</f>
        <v>0</v>
      </c>
      <c r="O636" s="58" t="n">
        <f aca="false">IF(L636=1,M636+N636-$B$29,M636)</f>
        <v>1.04062110040104E-008</v>
      </c>
      <c r="P636" s="56" t="n">
        <f aca="false">IF(L636=1,IF($B$29&lt;=N636,1,0),0)</f>
        <v>0</v>
      </c>
      <c r="Q636" s="58" t="n">
        <f aca="false">Q635+N636</f>
        <v>215608.5191027</v>
      </c>
    </row>
    <row r="637" customFormat="false" ht="15" hidden="false" customHeight="false" outlineLevel="0" collapsed="false">
      <c r="K637" s="56" t="n">
        <f aca="false">K636+1</f>
        <v>630</v>
      </c>
      <c r="L637" s="57" t="n">
        <f aca="false">IF(AND(K637&lt;=Assumptions!$C$42,L636=1,P636=0,O636&gt;Assumptions!$C$43),1,0)</f>
        <v>0</v>
      </c>
      <c r="M637" s="58" t="n">
        <f aca="false">O636</f>
        <v>1.04062110040104E-008</v>
      </c>
      <c r="N637" s="58" t="n">
        <f aca="false">IF(L637=1,M637*$B$25,0)</f>
        <v>0</v>
      </c>
      <c r="O637" s="58" t="n">
        <f aca="false">IF(L637=1,M637+N637-$B$29,M637)</f>
        <v>1.04062110040104E-008</v>
      </c>
      <c r="P637" s="56" t="n">
        <f aca="false">IF(L637=1,IF($B$29&lt;=N637,1,0),0)</f>
        <v>0</v>
      </c>
      <c r="Q637" s="58" t="n">
        <f aca="false">Q636+N637</f>
        <v>215608.5191027</v>
      </c>
    </row>
    <row r="638" customFormat="false" ht="15" hidden="false" customHeight="false" outlineLevel="0" collapsed="false">
      <c r="K638" s="56" t="n">
        <f aca="false">K637+1</f>
        <v>631</v>
      </c>
      <c r="L638" s="57" t="n">
        <f aca="false">IF(AND(K638&lt;=Assumptions!$C$42,L637=1,P637=0,O637&gt;Assumptions!$C$43),1,0)</f>
        <v>0</v>
      </c>
      <c r="M638" s="58" t="n">
        <f aca="false">O637</f>
        <v>1.04062110040104E-008</v>
      </c>
      <c r="N638" s="58" t="n">
        <f aca="false">IF(L638=1,M638*$B$25,0)</f>
        <v>0</v>
      </c>
      <c r="O638" s="58" t="n">
        <f aca="false">IF(L638=1,M638+N638-$B$29,M638)</f>
        <v>1.04062110040104E-008</v>
      </c>
      <c r="P638" s="56" t="n">
        <f aca="false">IF(L638=1,IF($B$29&lt;=N638,1,0),0)</f>
        <v>0</v>
      </c>
      <c r="Q638" s="58" t="n">
        <f aca="false">Q637+N638</f>
        <v>215608.5191027</v>
      </c>
    </row>
    <row r="639" customFormat="false" ht="15" hidden="false" customHeight="false" outlineLevel="0" collapsed="false">
      <c r="K639" s="56" t="n">
        <f aca="false">K638+1</f>
        <v>632</v>
      </c>
      <c r="L639" s="57" t="n">
        <f aca="false">IF(AND(K639&lt;=Assumptions!$C$42,L638=1,P638=0,O638&gt;Assumptions!$C$43),1,0)</f>
        <v>0</v>
      </c>
      <c r="M639" s="58" t="n">
        <f aca="false">O638</f>
        <v>1.04062110040104E-008</v>
      </c>
      <c r="N639" s="58" t="n">
        <f aca="false">IF(L639=1,M639*$B$25,0)</f>
        <v>0</v>
      </c>
      <c r="O639" s="58" t="n">
        <f aca="false">IF(L639=1,M639+N639-$B$29,M639)</f>
        <v>1.04062110040104E-008</v>
      </c>
      <c r="P639" s="56" t="n">
        <f aca="false">IF(L639=1,IF($B$29&lt;=N639,1,0),0)</f>
        <v>0</v>
      </c>
      <c r="Q639" s="58" t="n">
        <f aca="false">Q638+N639</f>
        <v>215608.5191027</v>
      </c>
    </row>
    <row r="640" customFormat="false" ht="15" hidden="false" customHeight="false" outlineLevel="0" collapsed="false">
      <c r="K640" s="56" t="n">
        <f aca="false">K639+1</f>
        <v>633</v>
      </c>
      <c r="L640" s="57" t="n">
        <f aca="false">IF(AND(K640&lt;=Assumptions!$C$42,L639=1,P639=0,O639&gt;Assumptions!$C$43),1,0)</f>
        <v>0</v>
      </c>
      <c r="M640" s="58" t="n">
        <f aca="false">O639</f>
        <v>1.04062110040104E-008</v>
      </c>
      <c r="N640" s="58" t="n">
        <f aca="false">IF(L640=1,M640*$B$25,0)</f>
        <v>0</v>
      </c>
      <c r="O640" s="58" t="n">
        <f aca="false">IF(L640=1,M640+N640-$B$29,M640)</f>
        <v>1.04062110040104E-008</v>
      </c>
      <c r="P640" s="56" t="n">
        <f aca="false">IF(L640=1,IF($B$29&lt;=N640,1,0),0)</f>
        <v>0</v>
      </c>
      <c r="Q640" s="58" t="n">
        <f aca="false">Q639+N640</f>
        <v>215608.5191027</v>
      </c>
    </row>
    <row r="641" customFormat="false" ht="15" hidden="false" customHeight="false" outlineLevel="0" collapsed="false">
      <c r="K641" s="56" t="n">
        <f aca="false">K640+1</f>
        <v>634</v>
      </c>
      <c r="L641" s="57" t="n">
        <f aca="false">IF(AND(K641&lt;=Assumptions!$C$42,L640=1,P640=0,O640&gt;Assumptions!$C$43),1,0)</f>
        <v>0</v>
      </c>
      <c r="M641" s="58" t="n">
        <f aca="false">O640</f>
        <v>1.04062110040104E-008</v>
      </c>
      <c r="N641" s="58" t="n">
        <f aca="false">IF(L641=1,M641*$B$25,0)</f>
        <v>0</v>
      </c>
      <c r="O641" s="58" t="n">
        <f aca="false">IF(L641=1,M641+N641-$B$29,M641)</f>
        <v>1.04062110040104E-008</v>
      </c>
      <c r="P641" s="56" t="n">
        <f aca="false">IF(L641=1,IF($B$29&lt;=N641,1,0),0)</f>
        <v>0</v>
      </c>
      <c r="Q641" s="58" t="n">
        <f aca="false">Q640+N641</f>
        <v>215608.5191027</v>
      </c>
    </row>
    <row r="642" customFormat="false" ht="15" hidden="false" customHeight="false" outlineLevel="0" collapsed="false">
      <c r="K642" s="56" t="n">
        <f aca="false">K641+1</f>
        <v>635</v>
      </c>
      <c r="L642" s="57" t="n">
        <f aca="false">IF(AND(K642&lt;=Assumptions!$C$42,L641=1,P641=0,O641&gt;Assumptions!$C$43),1,0)</f>
        <v>0</v>
      </c>
      <c r="M642" s="58" t="n">
        <f aca="false">O641</f>
        <v>1.04062110040104E-008</v>
      </c>
      <c r="N642" s="58" t="n">
        <f aca="false">IF(L642=1,M642*$B$25,0)</f>
        <v>0</v>
      </c>
      <c r="O642" s="58" t="n">
        <f aca="false">IF(L642=1,M642+N642-$B$29,M642)</f>
        <v>1.04062110040104E-008</v>
      </c>
      <c r="P642" s="56" t="n">
        <f aca="false">IF(L642=1,IF($B$29&lt;=N642,1,0),0)</f>
        <v>0</v>
      </c>
      <c r="Q642" s="58" t="n">
        <f aca="false">Q641+N642</f>
        <v>215608.5191027</v>
      </c>
    </row>
    <row r="643" customFormat="false" ht="15" hidden="false" customHeight="false" outlineLevel="0" collapsed="false">
      <c r="K643" s="56" t="n">
        <f aca="false">K642+1</f>
        <v>636</v>
      </c>
      <c r="L643" s="57" t="n">
        <f aca="false">IF(AND(K643&lt;=Assumptions!$C$42,L642=1,P642=0,O642&gt;Assumptions!$C$43),1,0)</f>
        <v>0</v>
      </c>
      <c r="M643" s="58" t="n">
        <f aca="false">O642</f>
        <v>1.04062110040104E-008</v>
      </c>
      <c r="N643" s="58" t="n">
        <f aca="false">IF(L643=1,M643*$B$25,0)</f>
        <v>0</v>
      </c>
      <c r="O643" s="58" t="n">
        <f aca="false">IF(L643=1,M643+N643-$B$29,M643)</f>
        <v>1.04062110040104E-008</v>
      </c>
      <c r="P643" s="56" t="n">
        <f aca="false">IF(L643=1,IF($B$29&lt;=N643,1,0),0)</f>
        <v>0</v>
      </c>
      <c r="Q643" s="58" t="n">
        <f aca="false">Q642+N643</f>
        <v>215608.5191027</v>
      </c>
    </row>
    <row r="644" customFormat="false" ht="15" hidden="false" customHeight="false" outlineLevel="0" collapsed="false">
      <c r="K644" s="56" t="n">
        <f aca="false">K643+1</f>
        <v>637</v>
      </c>
      <c r="L644" s="57" t="n">
        <f aca="false">IF(AND(K644&lt;=Assumptions!$C$42,L643=1,P643=0,O643&gt;Assumptions!$C$43),1,0)</f>
        <v>0</v>
      </c>
      <c r="M644" s="58" t="n">
        <f aca="false">O643</f>
        <v>1.04062110040104E-008</v>
      </c>
      <c r="N644" s="58" t="n">
        <f aca="false">IF(L644=1,M644*$B$25,0)</f>
        <v>0</v>
      </c>
      <c r="O644" s="58" t="n">
        <f aca="false">IF(L644=1,M644+N644-$B$29,M644)</f>
        <v>1.04062110040104E-008</v>
      </c>
      <c r="P644" s="56" t="n">
        <f aca="false">IF(L644=1,IF($B$29&lt;=N644,1,0),0)</f>
        <v>0</v>
      </c>
      <c r="Q644" s="58" t="n">
        <f aca="false">Q643+N644</f>
        <v>215608.5191027</v>
      </c>
    </row>
    <row r="645" customFormat="false" ht="15" hidden="false" customHeight="false" outlineLevel="0" collapsed="false">
      <c r="K645" s="56" t="n">
        <f aca="false">K644+1</f>
        <v>638</v>
      </c>
      <c r="L645" s="57" t="n">
        <f aca="false">IF(AND(K645&lt;=Assumptions!$C$42,L644=1,P644=0,O644&gt;Assumptions!$C$43),1,0)</f>
        <v>0</v>
      </c>
      <c r="M645" s="58" t="n">
        <f aca="false">O644</f>
        <v>1.04062110040104E-008</v>
      </c>
      <c r="N645" s="58" t="n">
        <f aca="false">IF(L645=1,M645*$B$25,0)</f>
        <v>0</v>
      </c>
      <c r="O645" s="58" t="n">
        <f aca="false">IF(L645=1,M645+N645-$B$29,M645)</f>
        <v>1.04062110040104E-008</v>
      </c>
      <c r="P645" s="56" t="n">
        <f aca="false">IF(L645=1,IF($B$29&lt;=N645,1,0),0)</f>
        <v>0</v>
      </c>
      <c r="Q645" s="58" t="n">
        <f aca="false">Q644+N645</f>
        <v>215608.5191027</v>
      </c>
    </row>
    <row r="646" customFormat="false" ht="15" hidden="false" customHeight="false" outlineLevel="0" collapsed="false">
      <c r="K646" s="56" t="n">
        <f aca="false">K645+1</f>
        <v>639</v>
      </c>
      <c r="L646" s="57" t="n">
        <f aca="false">IF(AND(K646&lt;=Assumptions!$C$42,L645=1,P645=0,O645&gt;Assumptions!$C$43),1,0)</f>
        <v>0</v>
      </c>
      <c r="M646" s="58" t="n">
        <f aca="false">O645</f>
        <v>1.04062110040104E-008</v>
      </c>
      <c r="N646" s="58" t="n">
        <f aca="false">IF(L646=1,M646*$B$25,0)</f>
        <v>0</v>
      </c>
      <c r="O646" s="58" t="n">
        <f aca="false">IF(L646=1,M646+N646-$B$29,M646)</f>
        <v>1.04062110040104E-008</v>
      </c>
      <c r="P646" s="56" t="n">
        <f aca="false">IF(L646=1,IF($B$29&lt;=N646,1,0),0)</f>
        <v>0</v>
      </c>
      <c r="Q646" s="58" t="n">
        <f aca="false">Q645+N646</f>
        <v>215608.5191027</v>
      </c>
    </row>
    <row r="647" customFormat="false" ht="15" hidden="false" customHeight="false" outlineLevel="0" collapsed="false">
      <c r="K647" s="56" t="n">
        <f aca="false">K646+1</f>
        <v>640</v>
      </c>
      <c r="L647" s="57" t="n">
        <f aca="false">IF(AND(K647&lt;=Assumptions!$C$42,L646=1,P646=0,O646&gt;Assumptions!$C$43),1,0)</f>
        <v>0</v>
      </c>
      <c r="M647" s="58" t="n">
        <f aca="false">O646</f>
        <v>1.04062110040104E-008</v>
      </c>
      <c r="N647" s="58" t="n">
        <f aca="false">IF(L647=1,M647*$B$25,0)</f>
        <v>0</v>
      </c>
      <c r="O647" s="58" t="n">
        <f aca="false">IF(L647=1,M647+N647-$B$29,M647)</f>
        <v>1.04062110040104E-008</v>
      </c>
      <c r="P647" s="56" t="n">
        <f aca="false">IF(L647=1,IF($B$29&lt;=N647,1,0),0)</f>
        <v>0</v>
      </c>
      <c r="Q647" s="58" t="n">
        <f aca="false">Q646+N647</f>
        <v>215608.5191027</v>
      </c>
    </row>
    <row r="648" customFormat="false" ht="15" hidden="false" customHeight="false" outlineLevel="0" collapsed="false">
      <c r="K648" s="56" t="n">
        <f aca="false">K647+1</f>
        <v>641</v>
      </c>
      <c r="L648" s="57" t="n">
        <f aca="false">IF(AND(K648&lt;=Assumptions!$C$42,L647=1,P647=0,O647&gt;Assumptions!$C$43),1,0)</f>
        <v>0</v>
      </c>
      <c r="M648" s="58" t="n">
        <f aca="false">O647</f>
        <v>1.04062110040104E-008</v>
      </c>
      <c r="N648" s="58" t="n">
        <f aca="false">IF(L648=1,M648*$B$25,0)</f>
        <v>0</v>
      </c>
      <c r="O648" s="58" t="n">
        <f aca="false">IF(L648=1,M648+N648-$B$29,M648)</f>
        <v>1.04062110040104E-008</v>
      </c>
      <c r="P648" s="56" t="n">
        <f aca="false">IF(L648=1,IF($B$29&lt;=N648,1,0),0)</f>
        <v>0</v>
      </c>
      <c r="Q648" s="58" t="n">
        <f aca="false">Q647+N648</f>
        <v>215608.5191027</v>
      </c>
    </row>
    <row r="649" customFormat="false" ht="15" hidden="false" customHeight="false" outlineLevel="0" collapsed="false">
      <c r="K649" s="56" t="n">
        <f aca="false">K648+1</f>
        <v>642</v>
      </c>
      <c r="L649" s="57" t="n">
        <f aca="false">IF(AND(K649&lt;=Assumptions!$C$42,L648=1,P648=0,O648&gt;Assumptions!$C$43),1,0)</f>
        <v>0</v>
      </c>
      <c r="M649" s="58" t="n">
        <f aca="false">O648</f>
        <v>1.04062110040104E-008</v>
      </c>
      <c r="N649" s="58" t="n">
        <f aca="false">IF(L649=1,M649*$B$25,0)</f>
        <v>0</v>
      </c>
      <c r="O649" s="58" t="n">
        <f aca="false">IF(L649=1,M649+N649-$B$29,M649)</f>
        <v>1.04062110040104E-008</v>
      </c>
      <c r="P649" s="56" t="n">
        <f aca="false">IF(L649=1,IF($B$29&lt;=N649,1,0),0)</f>
        <v>0</v>
      </c>
      <c r="Q649" s="58" t="n">
        <f aca="false">Q648+N649</f>
        <v>215608.5191027</v>
      </c>
    </row>
    <row r="650" customFormat="false" ht="15" hidden="false" customHeight="false" outlineLevel="0" collapsed="false">
      <c r="K650" s="56" t="n">
        <f aca="false">K649+1</f>
        <v>643</v>
      </c>
      <c r="L650" s="57" t="n">
        <f aca="false">IF(AND(K650&lt;=Assumptions!$C$42,L649=1,P649=0,O649&gt;Assumptions!$C$43),1,0)</f>
        <v>0</v>
      </c>
      <c r="M650" s="58" t="n">
        <f aca="false">O649</f>
        <v>1.04062110040104E-008</v>
      </c>
      <c r="N650" s="58" t="n">
        <f aca="false">IF(L650=1,M650*$B$25,0)</f>
        <v>0</v>
      </c>
      <c r="O650" s="58" t="n">
        <f aca="false">IF(L650=1,M650+N650-$B$29,M650)</f>
        <v>1.04062110040104E-008</v>
      </c>
      <c r="P650" s="56" t="n">
        <f aca="false">IF(L650=1,IF($B$29&lt;=N650,1,0),0)</f>
        <v>0</v>
      </c>
      <c r="Q650" s="58" t="n">
        <f aca="false">Q649+N650</f>
        <v>215608.5191027</v>
      </c>
    </row>
    <row r="651" customFormat="false" ht="15" hidden="false" customHeight="false" outlineLevel="0" collapsed="false">
      <c r="K651" s="56" t="n">
        <f aca="false">K650+1</f>
        <v>644</v>
      </c>
      <c r="L651" s="57" t="n">
        <f aca="false">IF(AND(K651&lt;=Assumptions!$C$42,L650=1,P650=0,O650&gt;Assumptions!$C$43),1,0)</f>
        <v>0</v>
      </c>
      <c r="M651" s="58" t="n">
        <f aca="false">O650</f>
        <v>1.04062110040104E-008</v>
      </c>
      <c r="N651" s="58" t="n">
        <f aca="false">IF(L651=1,M651*$B$25,0)</f>
        <v>0</v>
      </c>
      <c r="O651" s="58" t="n">
        <f aca="false">IF(L651=1,M651+N651-$B$29,M651)</f>
        <v>1.04062110040104E-008</v>
      </c>
      <c r="P651" s="56" t="n">
        <f aca="false">IF(L651=1,IF($B$29&lt;=N651,1,0),0)</f>
        <v>0</v>
      </c>
      <c r="Q651" s="58" t="n">
        <f aca="false">Q650+N651</f>
        <v>215608.5191027</v>
      </c>
    </row>
    <row r="652" customFormat="false" ht="15" hidden="false" customHeight="false" outlineLevel="0" collapsed="false">
      <c r="K652" s="56" t="n">
        <f aca="false">K651+1</f>
        <v>645</v>
      </c>
      <c r="L652" s="57" t="n">
        <f aca="false">IF(AND(K652&lt;=Assumptions!$C$42,L651=1,P651=0,O651&gt;Assumptions!$C$43),1,0)</f>
        <v>0</v>
      </c>
      <c r="M652" s="58" t="n">
        <f aca="false">O651</f>
        <v>1.04062110040104E-008</v>
      </c>
      <c r="N652" s="58" t="n">
        <f aca="false">IF(L652=1,M652*$B$25,0)</f>
        <v>0</v>
      </c>
      <c r="O652" s="58" t="n">
        <f aca="false">IF(L652=1,M652+N652-$B$29,M652)</f>
        <v>1.04062110040104E-008</v>
      </c>
      <c r="P652" s="56" t="n">
        <f aca="false">IF(L652=1,IF($B$29&lt;=N652,1,0),0)</f>
        <v>0</v>
      </c>
      <c r="Q652" s="58" t="n">
        <f aca="false">Q651+N652</f>
        <v>215608.5191027</v>
      </c>
    </row>
    <row r="653" customFormat="false" ht="15" hidden="false" customHeight="false" outlineLevel="0" collapsed="false">
      <c r="K653" s="56" t="n">
        <f aca="false">K652+1</f>
        <v>646</v>
      </c>
      <c r="L653" s="57" t="n">
        <f aca="false">IF(AND(K653&lt;=Assumptions!$C$42,L652=1,P652=0,O652&gt;Assumptions!$C$43),1,0)</f>
        <v>0</v>
      </c>
      <c r="M653" s="58" t="n">
        <f aca="false">O652</f>
        <v>1.04062110040104E-008</v>
      </c>
      <c r="N653" s="58" t="n">
        <f aca="false">IF(L653=1,M653*$B$25,0)</f>
        <v>0</v>
      </c>
      <c r="O653" s="58" t="n">
        <f aca="false">IF(L653=1,M653+N653-$B$29,M653)</f>
        <v>1.04062110040104E-008</v>
      </c>
      <c r="P653" s="56" t="n">
        <f aca="false">IF(L653=1,IF($B$29&lt;=N653,1,0),0)</f>
        <v>0</v>
      </c>
      <c r="Q653" s="58" t="n">
        <f aca="false">Q652+N653</f>
        <v>215608.5191027</v>
      </c>
    </row>
    <row r="654" customFormat="false" ht="15" hidden="false" customHeight="false" outlineLevel="0" collapsed="false">
      <c r="K654" s="56" t="n">
        <f aca="false">K653+1</f>
        <v>647</v>
      </c>
      <c r="L654" s="57" t="n">
        <f aca="false">IF(AND(K654&lt;=Assumptions!$C$42,L653=1,P653=0,O653&gt;Assumptions!$C$43),1,0)</f>
        <v>0</v>
      </c>
      <c r="M654" s="58" t="n">
        <f aca="false">O653</f>
        <v>1.04062110040104E-008</v>
      </c>
      <c r="N654" s="58" t="n">
        <f aca="false">IF(L654=1,M654*$B$25,0)</f>
        <v>0</v>
      </c>
      <c r="O654" s="58" t="n">
        <f aca="false">IF(L654=1,M654+N654-$B$29,M654)</f>
        <v>1.04062110040104E-008</v>
      </c>
      <c r="P654" s="56" t="n">
        <f aca="false">IF(L654=1,IF($B$29&lt;=N654,1,0),0)</f>
        <v>0</v>
      </c>
      <c r="Q654" s="58" t="n">
        <f aca="false">Q653+N654</f>
        <v>215608.5191027</v>
      </c>
    </row>
    <row r="655" customFormat="false" ht="15" hidden="false" customHeight="false" outlineLevel="0" collapsed="false">
      <c r="K655" s="56" t="n">
        <f aca="false">K654+1</f>
        <v>648</v>
      </c>
      <c r="L655" s="57" t="n">
        <f aca="false">IF(AND(K655&lt;=Assumptions!$C$42,L654=1,P654=0,O654&gt;Assumptions!$C$43),1,0)</f>
        <v>0</v>
      </c>
      <c r="M655" s="58" t="n">
        <f aca="false">O654</f>
        <v>1.04062110040104E-008</v>
      </c>
      <c r="N655" s="58" t="n">
        <f aca="false">IF(L655=1,M655*$B$25,0)</f>
        <v>0</v>
      </c>
      <c r="O655" s="58" t="n">
        <f aca="false">IF(L655=1,M655+N655-$B$29,M655)</f>
        <v>1.04062110040104E-008</v>
      </c>
      <c r="P655" s="56" t="n">
        <f aca="false">IF(L655=1,IF($B$29&lt;=N655,1,0),0)</f>
        <v>0</v>
      </c>
      <c r="Q655" s="58" t="n">
        <f aca="false">Q654+N655</f>
        <v>215608.5191027</v>
      </c>
    </row>
    <row r="656" customFormat="false" ht="15" hidden="false" customHeight="false" outlineLevel="0" collapsed="false">
      <c r="K656" s="56" t="n">
        <f aca="false">K655+1</f>
        <v>649</v>
      </c>
      <c r="L656" s="57" t="n">
        <f aca="false">IF(AND(K656&lt;=Assumptions!$C$42,L655=1,P655=0,O655&gt;Assumptions!$C$43),1,0)</f>
        <v>0</v>
      </c>
      <c r="M656" s="58" t="n">
        <f aca="false">O655</f>
        <v>1.04062110040104E-008</v>
      </c>
      <c r="N656" s="58" t="n">
        <f aca="false">IF(L656=1,M656*$B$25,0)</f>
        <v>0</v>
      </c>
      <c r="O656" s="58" t="n">
        <f aca="false">IF(L656=1,M656+N656-$B$29,M656)</f>
        <v>1.04062110040104E-008</v>
      </c>
      <c r="P656" s="56" t="n">
        <f aca="false">IF(L656=1,IF($B$29&lt;=N656,1,0),0)</f>
        <v>0</v>
      </c>
      <c r="Q656" s="58" t="n">
        <f aca="false">Q655+N656</f>
        <v>215608.5191027</v>
      </c>
    </row>
    <row r="657" customFormat="false" ht="15" hidden="false" customHeight="false" outlineLevel="0" collapsed="false">
      <c r="K657" s="56" t="n">
        <f aca="false">K656+1</f>
        <v>650</v>
      </c>
      <c r="L657" s="57" t="n">
        <f aca="false">IF(AND(K657&lt;=Assumptions!$C$42,L656=1,P656=0,O656&gt;Assumptions!$C$43),1,0)</f>
        <v>0</v>
      </c>
      <c r="M657" s="58" t="n">
        <f aca="false">O656</f>
        <v>1.04062110040104E-008</v>
      </c>
      <c r="N657" s="58" t="n">
        <f aca="false">IF(L657=1,M657*$B$25,0)</f>
        <v>0</v>
      </c>
      <c r="O657" s="58" t="n">
        <f aca="false">IF(L657=1,M657+N657-$B$29,M657)</f>
        <v>1.04062110040104E-008</v>
      </c>
      <c r="P657" s="56" t="n">
        <f aca="false">IF(L657=1,IF($B$29&lt;=N657,1,0),0)</f>
        <v>0</v>
      </c>
      <c r="Q657" s="58" t="n">
        <f aca="false">Q656+N657</f>
        <v>215608.5191027</v>
      </c>
    </row>
    <row r="658" customFormat="false" ht="15" hidden="false" customHeight="false" outlineLevel="0" collapsed="false">
      <c r="K658" s="56" t="n">
        <f aca="false">K657+1</f>
        <v>651</v>
      </c>
      <c r="L658" s="57" t="n">
        <f aca="false">IF(AND(K658&lt;=Assumptions!$C$42,L657=1,P657=0,O657&gt;Assumptions!$C$43),1,0)</f>
        <v>0</v>
      </c>
      <c r="M658" s="58" t="n">
        <f aca="false">O657</f>
        <v>1.04062110040104E-008</v>
      </c>
      <c r="N658" s="58" t="n">
        <f aca="false">IF(L658=1,M658*$B$25,0)</f>
        <v>0</v>
      </c>
      <c r="O658" s="58" t="n">
        <f aca="false">IF(L658=1,M658+N658-$B$29,M658)</f>
        <v>1.04062110040104E-008</v>
      </c>
      <c r="P658" s="56" t="n">
        <f aca="false">IF(L658=1,IF($B$29&lt;=N658,1,0),0)</f>
        <v>0</v>
      </c>
      <c r="Q658" s="58" t="n">
        <f aca="false">Q657+N658</f>
        <v>215608.5191027</v>
      </c>
    </row>
    <row r="659" customFormat="false" ht="15" hidden="false" customHeight="false" outlineLevel="0" collapsed="false">
      <c r="K659" s="56" t="n">
        <f aca="false">K658+1</f>
        <v>652</v>
      </c>
      <c r="L659" s="57" t="n">
        <f aca="false">IF(AND(K659&lt;=Assumptions!$C$42,L658=1,P658=0,O658&gt;Assumptions!$C$43),1,0)</f>
        <v>0</v>
      </c>
      <c r="M659" s="58" t="n">
        <f aca="false">O658</f>
        <v>1.04062110040104E-008</v>
      </c>
      <c r="N659" s="58" t="n">
        <f aca="false">IF(L659=1,M659*$B$25,0)</f>
        <v>0</v>
      </c>
      <c r="O659" s="58" t="n">
        <f aca="false">IF(L659=1,M659+N659-$B$29,M659)</f>
        <v>1.04062110040104E-008</v>
      </c>
      <c r="P659" s="56" t="n">
        <f aca="false">IF(L659=1,IF($B$29&lt;=N659,1,0),0)</f>
        <v>0</v>
      </c>
      <c r="Q659" s="58" t="n">
        <f aca="false">Q658+N659</f>
        <v>215608.5191027</v>
      </c>
    </row>
    <row r="660" customFormat="false" ht="15" hidden="false" customHeight="false" outlineLevel="0" collapsed="false">
      <c r="K660" s="56" t="n">
        <f aca="false">K659+1</f>
        <v>653</v>
      </c>
      <c r="L660" s="57" t="n">
        <f aca="false">IF(AND(K660&lt;=Assumptions!$C$42,L659=1,P659=0,O659&gt;Assumptions!$C$43),1,0)</f>
        <v>0</v>
      </c>
      <c r="M660" s="58" t="n">
        <f aca="false">O659</f>
        <v>1.04062110040104E-008</v>
      </c>
      <c r="N660" s="58" t="n">
        <f aca="false">IF(L660=1,M660*$B$25,0)</f>
        <v>0</v>
      </c>
      <c r="O660" s="58" t="n">
        <f aca="false">IF(L660=1,M660+N660-$B$29,M660)</f>
        <v>1.04062110040104E-008</v>
      </c>
      <c r="P660" s="56" t="n">
        <f aca="false">IF(L660=1,IF($B$29&lt;=N660,1,0),0)</f>
        <v>0</v>
      </c>
      <c r="Q660" s="58" t="n">
        <f aca="false">Q659+N660</f>
        <v>215608.5191027</v>
      </c>
    </row>
    <row r="661" customFormat="false" ht="15" hidden="false" customHeight="false" outlineLevel="0" collapsed="false">
      <c r="K661" s="56" t="n">
        <f aca="false">K660+1</f>
        <v>654</v>
      </c>
      <c r="L661" s="57" t="n">
        <f aca="false">IF(AND(K661&lt;=Assumptions!$C$42,L660=1,P660=0,O660&gt;Assumptions!$C$43),1,0)</f>
        <v>0</v>
      </c>
      <c r="M661" s="58" t="n">
        <f aca="false">O660</f>
        <v>1.04062110040104E-008</v>
      </c>
      <c r="N661" s="58" t="n">
        <f aca="false">IF(L661=1,M661*$B$25,0)</f>
        <v>0</v>
      </c>
      <c r="O661" s="58" t="n">
        <f aca="false">IF(L661=1,M661+N661-$B$29,M661)</f>
        <v>1.04062110040104E-008</v>
      </c>
      <c r="P661" s="56" t="n">
        <f aca="false">IF(L661=1,IF($B$29&lt;=N661,1,0),0)</f>
        <v>0</v>
      </c>
      <c r="Q661" s="58" t="n">
        <f aca="false">Q660+N661</f>
        <v>215608.5191027</v>
      </c>
    </row>
    <row r="662" customFormat="false" ht="15" hidden="false" customHeight="false" outlineLevel="0" collapsed="false">
      <c r="K662" s="56" t="n">
        <f aca="false">K661+1</f>
        <v>655</v>
      </c>
      <c r="L662" s="57" t="n">
        <f aca="false">IF(AND(K662&lt;=Assumptions!$C$42,L661=1,P661=0,O661&gt;Assumptions!$C$43),1,0)</f>
        <v>0</v>
      </c>
      <c r="M662" s="58" t="n">
        <f aca="false">O661</f>
        <v>1.04062110040104E-008</v>
      </c>
      <c r="N662" s="58" t="n">
        <f aca="false">IF(L662=1,M662*$B$25,0)</f>
        <v>0</v>
      </c>
      <c r="O662" s="58" t="n">
        <f aca="false">IF(L662=1,M662+N662-$B$29,M662)</f>
        <v>1.04062110040104E-008</v>
      </c>
      <c r="P662" s="56" t="n">
        <f aca="false">IF(L662=1,IF($B$29&lt;=N662,1,0),0)</f>
        <v>0</v>
      </c>
      <c r="Q662" s="58" t="n">
        <f aca="false">Q661+N662</f>
        <v>215608.5191027</v>
      </c>
    </row>
    <row r="663" customFormat="false" ht="15" hidden="false" customHeight="false" outlineLevel="0" collapsed="false">
      <c r="K663" s="56" t="n">
        <f aca="false">K662+1</f>
        <v>656</v>
      </c>
      <c r="L663" s="57" t="n">
        <f aca="false">IF(AND(K663&lt;=Assumptions!$C$42,L662=1,P662=0,O662&gt;Assumptions!$C$43),1,0)</f>
        <v>0</v>
      </c>
      <c r="M663" s="58" t="n">
        <f aca="false">O662</f>
        <v>1.04062110040104E-008</v>
      </c>
      <c r="N663" s="58" t="n">
        <f aca="false">IF(L663=1,M663*$B$25,0)</f>
        <v>0</v>
      </c>
      <c r="O663" s="58" t="n">
        <f aca="false">IF(L663=1,M663+N663-$B$29,M663)</f>
        <v>1.04062110040104E-008</v>
      </c>
      <c r="P663" s="56" t="n">
        <f aca="false">IF(L663=1,IF($B$29&lt;=N663,1,0),0)</f>
        <v>0</v>
      </c>
      <c r="Q663" s="58" t="n">
        <f aca="false">Q662+N663</f>
        <v>215608.5191027</v>
      </c>
    </row>
    <row r="664" customFormat="false" ht="15" hidden="false" customHeight="false" outlineLevel="0" collapsed="false">
      <c r="K664" s="56" t="n">
        <f aca="false">K663+1</f>
        <v>657</v>
      </c>
      <c r="L664" s="57" t="n">
        <f aca="false">IF(AND(K664&lt;=Assumptions!$C$42,L663=1,P663=0,O663&gt;Assumptions!$C$43),1,0)</f>
        <v>0</v>
      </c>
      <c r="M664" s="58" t="n">
        <f aca="false">O663</f>
        <v>1.04062110040104E-008</v>
      </c>
      <c r="N664" s="58" t="n">
        <f aca="false">IF(L664=1,M664*$B$25,0)</f>
        <v>0</v>
      </c>
      <c r="O664" s="58" t="n">
        <f aca="false">IF(L664=1,M664+N664-$B$29,M664)</f>
        <v>1.04062110040104E-008</v>
      </c>
      <c r="P664" s="56" t="n">
        <f aca="false">IF(L664=1,IF($B$29&lt;=N664,1,0),0)</f>
        <v>0</v>
      </c>
      <c r="Q664" s="58" t="n">
        <f aca="false">Q663+N664</f>
        <v>215608.5191027</v>
      </c>
    </row>
    <row r="665" customFormat="false" ht="15" hidden="false" customHeight="false" outlineLevel="0" collapsed="false">
      <c r="K665" s="56" t="n">
        <f aca="false">K664+1</f>
        <v>658</v>
      </c>
      <c r="L665" s="57" t="n">
        <f aca="false">IF(AND(K665&lt;=Assumptions!$C$42,L664=1,P664=0,O664&gt;Assumptions!$C$43),1,0)</f>
        <v>0</v>
      </c>
      <c r="M665" s="58" t="n">
        <f aca="false">O664</f>
        <v>1.04062110040104E-008</v>
      </c>
      <c r="N665" s="58" t="n">
        <f aca="false">IF(L665=1,M665*$B$25,0)</f>
        <v>0</v>
      </c>
      <c r="O665" s="58" t="n">
        <f aca="false">IF(L665=1,M665+N665-$B$29,M665)</f>
        <v>1.04062110040104E-008</v>
      </c>
      <c r="P665" s="56" t="n">
        <f aca="false">IF(L665=1,IF($B$29&lt;=N665,1,0),0)</f>
        <v>0</v>
      </c>
      <c r="Q665" s="58" t="n">
        <f aca="false">Q664+N665</f>
        <v>215608.5191027</v>
      </c>
    </row>
    <row r="666" customFormat="false" ht="15" hidden="false" customHeight="false" outlineLevel="0" collapsed="false">
      <c r="K666" s="56" t="n">
        <f aca="false">K665+1</f>
        <v>659</v>
      </c>
      <c r="L666" s="57" t="n">
        <f aca="false">IF(AND(K666&lt;=Assumptions!$C$42,L665=1,P665=0,O665&gt;Assumptions!$C$43),1,0)</f>
        <v>0</v>
      </c>
      <c r="M666" s="58" t="n">
        <f aca="false">O665</f>
        <v>1.04062110040104E-008</v>
      </c>
      <c r="N666" s="58" t="n">
        <f aca="false">IF(L666=1,M666*$B$25,0)</f>
        <v>0</v>
      </c>
      <c r="O666" s="58" t="n">
        <f aca="false">IF(L666=1,M666+N666-$B$29,M666)</f>
        <v>1.04062110040104E-008</v>
      </c>
      <c r="P666" s="56" t="n">
        <f aca="false">IF(L666=1,IF($B$29&lt;=N666,1,0),0)</f>
        <v>0</v>
      </c>
      <c r="Q666" s="58" t="n">
        <f aca="false">Q665+N666</f>
        <v>215608.5191027</v>
      </c>
    </row>
    <row r="667" customFormat="false" ht="15" hidden="false" customHeight="false" outlineLevel="0" collapsed="false">
      <c r="K667" s="56" t="n">
        <f aca="false">K666+1</f>
        <v>660</v>
      </c>
      <c r="L667" s="57" t="n">
        <f aca="false">IF(AND(K667&lt;=Assumptions!$C$42,L666=1,P666=0,O666&gt;Assumptions!$C$43),1,0)</f>
        <v>0</v>
      </c>
      <c r="M667" s="58" t="n">
        <f aca="false">O666</f>
        <v>1.04062110040104E-008</v>
      </c>
      <c r="N667" s="58" t="n">
        <f aca="false">IF(L667=1,M667*$B$25,0)</f>
        <v>0</v>
      </c>
      <c r="O667" s="58" t="n">
        <f aca="false">IF(L667=1,M667+N667-$B$29,M667)</f>
        <v>1.04062110040104E-008</v>
      </c>
      <c r="P667" s="56" t="n">
        <f aca="false">IF(L667=1,IF($B$29&lt;=N667,1,0),0)</f>
        <v>0</v>
      </c>
      <c r="Q667" s="58" t="n">
        <f aca="false">Q666+N667</f>
        <v>215608.5191027</v>
      </c>
    </row>
    <row r="668" customFormat="false" ht="15" hidden="false" customHeight="false" outlineLevel="0" collapsed="false">
      <c r="K668" s="56" t="n">
        <f aca="false">K667+1</f>
        <v>661</v>
      </c>
      <c r="L668" s="57" t="n">
        <f aca="false">IF(AND(K668&lt;=Assumptions!$C$42,L667=1,P667=0,O667&gt;Assumptions!$C$43),1,0)</f>
        <v>0</v>
      </c>
      <c r="M668" s="58" t="n">
        <f aca="false">O667</f>
        <v>1.04062110040104E-008</v>
      </c>
      <c r="N668" s="58" t="n">
        <f aca="false">IF(L668=1,M668*$B$25,0)</f>
        <v>0</v>
      </c>
      <c r="O668" s="58" t="n">
        <f aca="false">IF(L668=1,M668+N668-$B$29,M668)</f>
        <v>1.04062110040104E-008</v>
      </c>
      <c r="P668" s="56" t="n">
        <f aca="false">IF(L668=1,IF($B$29&lt;=N668,1,0),0)</f>
        <v>0</v>
      </c>
      <c r="Q668" s="58" t="n">
        <f aca="false">Q667+N668</f>
        <v>215608.5191027</v>
      </c>
    </row>
    <row r="669" customFormat="false" ht="15" hidden="false" customHeight="false" outlineLevel="0" collapsed="false">
      <c r="K669" s="56" t="n">
        <f aca="false">K668+1</f>
        <v>662</v>
      </c>
      <c r="L669" s="57" t="n">
        <f aca="false">IF(AND(K669&lt;=Assumptions!$C$42,L668=1,P668=0,O668&gt;Assumptions!$C$43),1,0)</f>
        <v>0</v>
      </c>
      <c r="M669" s="58" t="n">
        <f aca="false">O668</f>
        <v>1.04062110040104E-008</v>
      </c>
      <c r="N669" s="58" t="n">
        <f aca="false">IF(L669=1,M669*$B$25,0)</f>
        <v>0</v>
      </c>
      <c r="O669" s="58" t="n">
        <f aca="false">IF(L669=1,M669+N669-$B$29,M669)</f>
        <v>1.04062110040104E-008</v>
      </c>
      <c r="P669" s="56" t="n">
        <f aca="false">IF(L669=1,IF($B$29&lt;=N669,1,0),0)</f>
        <v>0</v>
      </c>
      <c r="Q669" s="58" t="n">
        <f aca="false">Q668+N669</f>
        <v>215608.5191027</v>
      </c>
    </row>
    <row r="670" customFormat="false" ht="15" hidden="false" customHeight="false" outlineLevel="0" collapsed="false">
      <c r="K670" s="56" t="n">
        <f aca="false">K669+1</f>
        <v>663</v>
      </c>
      <c r="L670" s="57" t="n">
        <f aca="false">IF(AND(K670&lt;=Assumptions!$C$42,L669=1,P669=0,O669&gt;Assumptions!$C$43),1,0)</f>
        <v>0</v>
      </c>
      <c r="M670" s="58" t="n">
        <f aca="false">O669</f>
        <v>1.04062110040104E-008</v>
      </c>
      <c r="N670" s="58" t="n">
        <f aca="false">IF(L670=1,M670*$B$25,0)</f>
        <v>0</v>
      </c>
      <c r="O670" s="58" t="n">
        <f aca="false">IF(L670=1,M670+N670-$B$29,M670)</f>
        <v>1.04062110040104E-008</v>
      </c>
      <c r="P670" s="56" t="n">
        <f aca="false">IF(L670=1,IF($B$29&lt;=N670,1,0),0)</f>
        <v>0</v>
      </c>
      <c r="Q670" s="58" t="n">
        <f aca="false">Q669+N670</f>
        <v>215608.5191027</v>
      </c>
    </row>
    <row r="671" customFormat="false" ht="15" hidden="false" customHeight="false" outlineLevel="0" collapsed="false">
      <c r="K671" s="56" t="n">
        <f aca="false">K670+1</f>
        <v>664</v>
      </c>
      <c r="L671" s="57" t="n">
        <f aca="false">IF(AND(K671&lt;=Assumptions!$C$42,L670=1,P670=0,O670&gt;Assumptions!$C$43),1,0)</f>
        <v>0</v>
      </c>
      <c r="M671" s="58" t="n">
        <f aca="false">O670</f>
        <v>1.04062110040104E-008</v>
      </c>
      <c r="N671" s="58" t="n">
        <f aca="false">IF(L671=1,M671*$B$25,0)</f>
        <v>0</v>
      </c>
      <c r="O671" s="58" t="n">
        <f aca="false">IF(L671=1,M671+N671-$B$29,M671)</f>
        <v>1.04062110040104E-008</v>
      </c>
      <c r="P671" s="56" t="n">
        <f aca="false">IF(L671=1,IF($B$29&lt;=N671,1,0),0)</f>
        <v>0</v>
      </c>
      <c r="Q671" s="58" t="n">
        <f aca="false">Q670+N671</f>
        <v>215608.5191027</v>
      </c>
    </row>
    <row r="672" customFormat="false" ht="15" hidden="false" customHeight="false" outlineLevel="0" collapsed="false">
      <c r="K672" s="56" t="n">
        <f aca="false">K671+1</f>
        <v>665</v>
      </c>
      <c r="L672" s="57" t="n">
        <f aca="false">IF(AND(K672&lt;=Assumptions!$C$42,L671=1,P671=0,O671&gt;Assumptions!$C$43),1,0)</f>
        <v>0</v>
      </c>
      <c r="M672" s="58" t="n">
        <f aca="false">O671</f>
        <v>1.04062110040104E-008</v>
      </c>
      <c r="N672" s="58" t="n">
        <f aca="false">IF(L672=1,M672*$B$25,0)</f>
        <v>0</v>
      </c>
      <c r="O672" s="58" t="n">
        <f aca="false">IF(L672=1,M672+N672-$B$29,M672)</f>
        <v>1.04062110040104E-008</v>
      </c>
      <c r="P672" s="56" t="n">
        <f aca="false">IF(L672=1,IF($B$29&lt;=N672,1,0),0)</f>
        <v>0</v>
      </c>
      <c r="Q672" s="58" t="n">
        <f aca="false">Q671+N672</f>
        <v>215608.5191027</v>
      </c>
    </row>
    <row r="673" customFormat="false" ht="15" hidden="false" customHeight="false" outlineLevel="0" collapsed="false">
      <c r="K673" s="56" t="n">
        <f aca="false">K672+1</f>
        <v>666</v>
      </c>
      <c r="L673" s="57" t="n">
        <f aca="false">IF(AND(K673&lt;=Assumptions!$C$42,L672=1,P672=0,O672&gt;Assumptions!$C$43),1,0)</f>
        <v>0</v>
      </c>
      <c r="M673" s="58" t="n">
        <f aca="false">O672</f>
        <v>1.04062110040104E-008</v>
      </c>
      <c r="N673" s="58" t="n">
        <f aca="false">IF(L673=1,M673*$B$25,0)</f>
        <v>0</v>
      </c>
      <c r="O673" s="58" t="n">
        <f aca="false">IF(L673=1,M673+N673-$B$29,M673)</f>
        <v>1.04062110040104E-008</v>
      </c>
      <c r="P673" s="56" t="n">
        <f aca="false">IF(L673=1,IF($B$29&lt;=N673,1,0),0)</f>
        <v>0</v>
      </c>
      <c r="Q673" s="58" t="n">
        <f aca="false">Q672+N673</f>
        <v>215608.5191027</v>
      </c>
    </row>
    <row r="674" customFormat="false" ht="15" hidden="false" customHeight="false" outlineLevel="0" collapsed="false">
      <c r="K674" s="56" t="n">
        <f aca="false">K673+1</f>
        <v>667</v>
      </c>
      <c r="L674" s="57" t="n">
        <f aca="false">IF(AND(K674&lt;=Assumptions!$C$42,L673=1,P673=0,O673&gt;Assumptions!$C$43),1,0)</f>
        <v>0</v>
      </c>
      <c r="M674" s="58" t="n">
        <f aca="false">O673</f>
        <v>1.04062110040104E-008</v>
      </c>
      <c r="N674" s="58" t="n">
        <f aca="false">IF(L674=1,M674*$B$25,0)</f>
        <v>0</v>
      </c>
      <c r="O674" s="58" t="n">
        <f aca="false">IF(L674=1,M674+N674-$B$29,M674)</f>
        <v>1.04062110040104E-008</v>
      </c>
      <c r="P674" s="56" t="n">
        <f aca="false">IF(L674=1,IF($B$29&lt;=N674,1,0),0)</f>
        <v>0</v>
      </c>
      <c r="Q674" s="58" t="n">
        <f aca="false">Q673+N674</f>
        <v>215608.5191027</v>
      </c>
    </row>
    <row r="675" customFormat="false" ht="15" hidden="false" customHeight="false" outlineLevel="0" collapsed="false">
      <c r="K675" s="56" t="n">
        <f aca="false">K674+1</f>
        <v>668</v>
      </c>
      <c r="L675" s="57" t="n">
        <f aca="false">IF(AND(K675&lt;=Assumptions!$C$42,L674=1,P674=0,O674&gt;Assumptions!$C$43),1,0)</f>
        <v>0</v>
      </c>
      <c r="M675" s="58" t="n">
        <f aca="false">O674</f>
        <v>1.04062110040104E-008</v>
      </c>
      <c r="N675" s="58" t="n">
        <f aca="false">IF(L675=1,M675*$B$25,0)</f>
        <v>0</v>
      </c>
      <c r="O675" s="58" t="n">
        <f aca="false">IF(L675=1,M675+N675-$B$29,M675)</f>
        <v>1.04062110040104E-008</v>
      </c>
      <c r="P675" s="56" t="n">
        <f aca="false">IF(L675=1,IF($B$29&lt;=N675,1,0),0)</f>
        <v>0</v>
      </c>
      <c r="Q675" s="58" t="n">
        <f aca="false">Q674+N675</f>
        <v>215608.5191027</v>
      </c>
    </row>
    <row r="676" customFormat="false" ht="15" hidden="false" customHeight="false" outlineLevel="0" collapsed="false">
      <c r="K676" s="56" t="n">
        <f aca="false">K675+1</f>
        <v>669</v>
      </c>
      <c r="L676" s="57" t="n">
        <f aca="false">IF(AND(K676&lt;=Assumptions!$C$42,L675=1,P675=0,O675&gt;Assumptions!$C$43),1,0)</f>
        <v>0</v>
      </c>
      <c r="M676" s="58" t="n">
        <f aca="false">O675</f>
        <v>1.04062110040104E-008</v>
      </c>
      <c r="N676" s="58" t="n">
        <f aca="false">IF(L676=1,M676*$B$25,0)</f>
        <v>0</v>
      </c>
      <c r="O676" s="58" t="n">
        <f aca="false">IF(L676=1,M676+N676-$B$29,M676)</f>
        <v>1.04062110040104E-008</v>
      </c>
      <c r="P676" s="56" t="n">
        <f aca="false">IF(L676=1,IF($B$29&lt;=N676,1,0),0)</f>
        <v>0</v>
      </c>
      <c r="Q676" s="58" t="n">
        <f aca="false">Q675+N676</f>
        <v>215608.5191027</v>
      </c>
    </row>
    <row r="677" customFormat="false" ht="15" hidden="false" customHeight="false" outlineLevel="0" collapsed="false">
      <c r="K677" s="56" t="n">
        <f aca="false">K676+1</f>
        <v>670</v>
      </c>
      <c r="L677" s="57" t="n">
        <f aca="false">IF(AND(K677&lt;=Assumptions!$C$42,L676=1,P676=0,O676&gt;Assumptions!$C$43),1,0)</f>
        <v>0</v>
      </c>
      <c r="M677" s="58" t="n">
        <f aca="false">O676</f>
        <v>1.04062110040104E-008</v>
      </c>
      <c r="N677" s="58" t="n">
        <f aca="false">IF(L677=1,M677*$B$25,0)</f>
        <v>0</v>
      </c>
      <c r="O677" s="58" t="n">
        <f aca="false">IF(L677=1,M677+N677-$B$29,M677)</f>
        <v>1.04062110040104E-008</v>
      </c>
      <c r="P677" s="56" t="n">
        <f aca="false">IF(L677=1,IF($B$29&lt;=N677,1,0),0)</f>
        <v>0</v>
      </c>
      <c r="Q677" s="58" t="n">
        <f aca="false">Q676+N677</f>
        <v>215608.5191027</v>
      </c>
    </row>
    <row r="678" customFormat="false" ht="15" hidden="false" customHeight="false" outlineLevel="0" collapsed="false">
      <c r="K678" s="56" t="n">
        <f aca="false">K677+1</f>
        <v>671</v>
      </c>
      <c r="L678" s="57" t="n">
        <f aca="false">IF(AND(K678&lt;=Assumptions!$C$42,L677=1,P677=0,O677&gt;Assumptions!$C$43),1,0)</f>
        <v>0</v>
      </c>
      <c r="M678" s="58" t="n">
        <f aca="false">O677</f>
        <v>1.04062110040104E-008</v>
      </c>
      <c r="N678" s="58" t="n">
        <f aca="false">IF(L678=1,M678*$B$25,0)</f>
        <v>0</v>
      </c>
      <c r="O678" s="58" t="n">
        <f aca="false">IF(L678=1,M678+N678-$B$29,M678)</f>
        <v>1.04062110040104E-008</v>
      </c>
      <c r="P678" s="56" t="n">
        <f aca="false">IF(L678=1,IF($B$29&lt;=N678,1,0),0)</f>
        <v>0</v>
      </c>
      <c r="Q678" s="58" t="n">
        <f aca="false">Q677+N678</f>
        <v>215608.5191027</v>
      </c>
    </row>
    <row r="679" customFormat="false" ht="15" hidden="false" customHeight="false" outlineLevel="0" collapsed="false">
      <c r="K679" s="56" t="n">
        <f aca="false">K678+1</f>
        <v>672</v>
      </c>
      <c r="L679" s="57" t="n">
        <f aca="false">IF(AND(K679&lt;=Assumptions!$C$42,L678=1,P678=0,O678&gt;Assumptions!$C$43),1,0)</f>
        <v>0</v>
      </c>
      <c r="M679" s="58" t="n">
        <f aca="false">O678</f>
        <v>1.04062110040104E-008</v>
      </c>
      <c r="N679" s="58" t="n">
        <f aca="false">IF(L679=1,M679*$B$25,0)</f>
        <v>0</v>
      </c>
      <c r="O679" s="58" t="n">
        <f aca="false">IF(L679=1,M679+N679-$B$29,M679)</f>
        <v>1.04062110040104E-008</v>
      </c>
      <c r="P679" s="56" t="n">
        <f aca="false">IF(L679=1,IF($B$29&lt;=N679,1,0),0)</f>
        <v>0</v>
      </c>
      <c r="Q679" s="58" t="n">
        <f aca="false">Q678+N679</f>
        <v>215608.5191027</v>
      </c>
    </row>
    <row r="680" customFormat="false" ht="15" hidden="false" customHeight="false" outlineLevel="0" collapsed="false">
      <c r="K680" s="56" t="n">
        <f aca="false">K679+1</f>
        <v>673</v>
      </c>
      <c r="L680" s="57" t="n">
        <f aca="false">IF(AND(K680&lt;=Assumptions!$C$42,L679=1,P679=0,O679&gt;Assumptions!$C$43),1,0)</f>
        <v>0</v>
      </c>
      <c r="M680" s="58" t="n">
        <f aca="false">O679</f>
        <v>1.04062110040104E-008</v>
      </c>
      <c r="N680" s="58" t="n">
        <f aca="false">IF(L680=1,M680*$B$25,0)</f>
        <v>0</v>
      </c>
      <c r="O680" s="58" t="n">
        <f aca="false">IF(L680=1,M680+N680-$B$29,M680)</f>
        <v>1.04062110040104E-008</v>
      </c>
      <c r="P680" s="56" t="n">
        <f aca="false">IF(L680=1,IF($B$29&lt;=N680,1,0),0)</f>
        <v>0</v>
      </c>
      <c r="Q680" s="58" t="n">
        <f aca="false">Q679+N680</f>
        <v>215608.5191027</v>
      </c>
    </row>
    <row r="681" customFormat="false" ht="15" hidden="false" customHeight="false" outlineLevel="0" collapsed="false">
      <c r="K681" s="56" t="n">
        <f aca="false">K680+1</f>
        <v>674</v>
      </c>
      <c r="L681" s="57" t="n">
        <f aca="false">IF(AND(K681&lt;=Assumptions!$C$42,L680=1,P680=0,O680&gt;Assumptions!$C$43),1,0)</f>
        <v>0</v>
      </c>
      <c r="M681" s="58" t="n">
        <f aca="false">O680</f>
        <v>1.04062110040104E-008</v>
      </c>
      <c r="N681" s="58" t="n">
        <f aca="false">IF(L681=1,M681*$B$25,0)</f>
        <v>0</v>
      </c>
      <c r="O681" s="58" t="n">
        <f aca="false">IF(L681=1,M681+N681-$B$29,M681)</f>
        <v>1.04062110040104E-008</v>
      </c>
      <c r="P681" s="56" t="n">
        <f aca="false">IF(L681=1,IF($B$29&lt;=N681,1,0),0)</f>
        <v>0</v>
      </c>
      <c r="Q681" s="58" t="n">
        <f aca="false">Q680+N681</f>
        <v>215608.5191027</v>
      </c>
    </row>
    <row r="682" customFormat="false" ht="15" hidden="false" customHeight="false" outlineLevel="0" collapsed="false">
      <c r="K682" s="56" t="n">
        <f aca="false">K681+1</f>
        <v>675</v>
      </c>
      <c r="L682" s="57" t="n">
        <f aca="false">IF(AND(K682&lt;=Assumptions!$C$42,L681=1,P681=0,O681&gt;Assumptions!$C$43),1,0)</f>
        <v>0</v>
      </c>
      <c r="M682" s="58" t="n">
        <f aca="false">O681</f>
        <v>1.04062110040104E-008</v>
      </c>
      <c r="N682" s="58" t="n">
        <f aca="false">IF(L682=1,M682*$B$25,0)</f>
        <v>0</v>
      </c>
      <c r="O682" s="58" t="n">
        <f aca="false">IF(L682=1,M682+N682-$B$29,M682)</f>
        <v>1.04062110040104E-008</v>
      </c>
      <c r="P682" s="56" t="n">
        <f aca="false">IF(L682=1,IF($B$29&lt;=N682,1,0),0)</f>
        <v>0</v>
      </c>
      <c r="Q682" s="58" t="n">
        <f aca="false">Q681+N682</f>
        <v>215608.5191027</v>
      </c>
    </row>
    <row r="683" customFormat="false" ht="15" hidden="false" customHeight="false" outlineLevel="0" collapsed="false">
      <c r="K683" s="56" t="n">
        <f aca="false">K682+1</f>
        <v>676</v>
      </c>
      <c r="L683" s="57" t="n">
        <f aca="false">IF(AND(K683&lt;=Assumptions!$C$42,L682=1,P682=0,O682&gt;Assumptions!$C$43),1,0)</f>
        <v>0</v>
      </c>
      <c r="M683" s="58" t="n">
        <f aca="false">O682</f>
        <v>1.04062110040104E-008</v>
      </c>
      <c r="N683" s="58" t="n">
        <f aca="false">IF(L683=1,M683*$B$25,0)</f>
        <v>0</v>
      </c>
      <c r="O683" s="58" t="n">
        <f aca="false">IF(L683=1,M683+N683-$B$29,M683)</f>
        <v>1.04062110040104E-008</v>
      </c>
      <c r="P683" s="56" t="n">
        <f aca="false">IF(L683=1,IF($B$29&lt;=N683,1,0),0)</f>
        <v>0</v>
      </c>
      <c r="Q683" s="58" t="n">
        <f aca="false">Q682+N683</f>
        <v>215608.5191027</v>
      </c>
    </row>
    <row r="684" customFormat="false" ht="15" hidden="false" customHeight="false" outlineLevel="0" collapsed="false">
      <c r="K684" s="56" t="n">
        <f aca="false">K683+1</f>
        <v>677</v>
      </c>
      <c r="L684" s="57" t="n">
        <f aca="false">IF(AND(K684&lt;=Assumptions!$C$42,L683=1,P683=0,O683&gt;Assumptions!$C$43),1,0)</f>
        <v>0</v>
      </c>
      <c r="M684" s="58" t="n">
        <f aca="false">O683</f>
        <v>1.04062110040104E-008</v>
      </c>
      <c r="N684" s="58" t="n">
        <f aca="false">IF(L684=1,M684*$B$25,0)</f>
        <v>0</v>
      </c>
      <c r="O684" s="58" t="n">
        <f aca="false">IF(L684=1,M684+N684-$B$29,M684)</f>
        <v>1.04062110040104E-008</v>
      </c>
      <c r="P684" s="56" t="n">
        <f aca="false">IF(L684=1,IF($B$29&lt;=N684,1,0),0)</f>
        <v>0</v>
      </c>
      <c r="Q684" s="58" t="n">
        <f aca="false">Q683+N684</f>
        <v>215608.5191027</v>
      </c>
    </row>
    <row r="685" customFormat="false" ht="15" hidden="false" customHeight="false" outlineLevel="0" collapsed="false">
      <c r="K685" s="56" t="n">
        <f aca="false">K684+1</f>
        <v>678</v>
      </c>
      <c r="L685" s="57" t="n">
        <f aca="false">IF(AND(K685&lt;=Assumptions!$C$42,L684=1,P684=0,O684&gt;Assumptions!$C$43),1,0)</f>
        <v>0</v>
      </c>
      <c r="M685" s="58" t="n">
        <f aca="false">O684</f>
        <v>1.04062110040104E-008</v>
      </c>
      <c r="N685" s="58" t="n">
        <f aca="false">IF(L685=1,M685*$B$25,0)</f>
        <v>0</v>
      </c>
      <c r="O685" s="58" t="n">
        <f aca="false">IF(L685=1,M685+N685-$B$29,M685)</f>
        <v>1.04062110040104E-008</v>
      </c>
      <c r="P685" s="56" t="n">
        <f aca="false">IF(L685=1,IF($B$29&lt;=N685,1,0),0)</f>
        <v>0</v>
      </c>
      <c r="Q685" s="58" t="n">
        <f aca="false">Q684+N685</f>
        <v>215608.5191027</v>
      </c>
    </row>
    <row r="686" customFormat="false" ht="15" hidden="false" customHeight="false" outlineLevel="0" collapsed="false">
      <c r="K686" s="56" t="n">
        <f aca="false">K685+1</f>
        <v>679</v>
      </c>
      <c r="L686" s="57" t="n">
        <f aca="false">IF(AND(K686&lt;=Assumptions!$C$42,L685=1,P685=0,O685&gt;Assumptions!$C$43),1,0)</f>
        <v>0</v>
      </c>
      <c r="M686" s="58" t="n">
        <f aca="false">O685</f>
        <v>1.04062110040104E-008</v>
      </c>
      <c r="N686" s="58" t="n">
        <f aca="false">IF(L686=1,M686*$B$25,0)</f>
        <v>0</v>
      </c>
      <c r="O686" s="58" t="n">
        <f aca="false">IF(L686=1,M686+N686-$B$29,M686)</f>
        <v>1.04062110040104E-008</v>
      </c>
      <c r="P686" s="56" t="n">
        <f aca="false">IF(L686=1,IF($B$29&lt;=N686,1,0),0)</f>
        <v>0</v>
      </c>
      <c r="Q686" s="58" t="n">
        <f aca="false">Q685+N686</f>
        <v>215608.5191027</v>
      </c>
    </row>
    <row r="687" customFormat="false" ht="15" hidden="false" customHeight="false" outlineLevel="0" collapsed="false">
      <c r="K687" s="56" t="n">
        <f aca="false">K686+1</f>
        <v>680</v>
      </c>
      <c r="L687" s="57" t="n">
        <f aca="false">IF(AND(K687&lt;=Assumptions!$C$42,L686=1,P686=0,O686&gt;Assumptions!$C$43),1,0)</f>
        <v>0</v>
      </c>
      <c r="M687" s="58" t="n">
        <f aca="false">O686</f>
        <v>1.04062110040104E-008</v>
      </c>
      <c r="N687" s="58" t="n">
        <f aca="false">IF(L687=1,M687*$B$25,0)</f>
        <v>0</v>
      </c>
      <c r="O687" s="58" t="n">
        <f aca="false">IF(L687=1,M687+N687-$B$29,M687)</f>
        <v>1.04062110040104E-008</v>
      </c>
      <c r="P687" s="56" t="n">
        <f aca="false">IF(L687=1,IF($B$29&lt;=N687,1,0),0)</f>
        <v>0</v>
      </c>
      <c r="Q687" s="58" t="n">
        <f aca="false">Q686+N687</f>
        <v>215608.5191027</v>
      </c>
    </row>
    <row r="688" customFormat="false" ht="15" hidden="false" customHeight="false" outlineLevel="0" collapsed="false">
      <c r="K688" s="56" t="n">
        <f aca="false">K687+1</f>
        <v>681</v>
      </c>
      <c r="L688" s="57" t="n">
        <f aca="false">IF(AND(K688&lt;=Assumptions!$C$42,L687=1,P687=0,O687&gt;Assumptions!$C$43),1,0)</f>
        <v>0</v>
      </c>
      <c r="M688" s="58" t="n">
        <f aca="false">O687</f>
        <v>1.04062110040104E-008</v>
      </c>
      <c r="N688" s="58" t="n">
        <f aca="false">IF(L688=1,M688*$B$25,0)</f>
        <v>0</v>
      </c>
      <c r="O688" s="58" t="n">
        <f aca="false">IF(L688=1,M688+N688-$B$29,M688)</f>
        <v>1.04062110040104E-008</v>
      </c>
      <c r="P688" s="56" t="n">
        <f aca="false">IF(L688=1,IF($B$29&lt;=N688,1,0),0)</f>
        <v>0</v>
      </c>
      <c r="Q688" s="58" t="n">
        <f aca="false">Q687+N688</f>
        <v>215608.5191027</v>
      </c>
    </row>
    <row r="689" customFormat="false" ht="15" hidden="false" customHeight="false" outlineLevel="0" collapsed="false">
      <c r="K689" s="56" t="n">
        <f aca="false">K688+1</f>
        <v>682</v>
      </c>
      <c r="L689" s="57" t="n">
        <f aca="false">IF(AND(K689&lt;=Assumptions!$C$42,L688=1,P688=0,O688&gt;Assumptions!$C$43),1,0)</f>
        <v>0</v>
      </c>
      <c r="M689" s="58" t="n">
        <f aca="false">O688</f>
        <v>1.04062110040104E-008</v>
      </c>
      <c r="N689" s="58" t="n">
        <f aca="false">IF(L689=1,M689*$B$25,0)</f>
        <v>0</v>
      </c>
      <c r="O689" s="58" t="n">
        <f aca="false">IF(L689=1,M689+N689-$B$29,M689)</f>
        <v>1.04062110040104E-008</v>
      </c>
      <c r="P689" s="56" t="n">
        <f aca="false">IF(L689=1,IF($B$29&lt;=N689,1,0),0)</f>
        <v>0</v>
      </c>
      <c r="Q689" s="58" t="n">
        <f aca="false">Q688+N689</f>
        <v>215608.5191027</v>
      </c>
    </row>
    <row r="690" customFormat="false" ht="15" hidden="false" customHeight="false" outlineLevel="0" collapsed="false">
      <c r="K690" s="56" t="n">
        <f aca="false">K689+1</f>
        <v>683</v>
      </c>
      <c r="L690" s="57" t="n">
        <f aca="false">IF(AND(K690&lt;=Assumptions!$C$42,L689=1,P689=0,O689&gt;Assumptions!$C$43),1,0)</f>
        <v>0</v>
      </c>
      <c r="M690" s="58" t="n">
        <f aca="false">O689</f>
        <v>1.04062110040104E-008</v>
      </c>
      <c r="N690" s="58" t="n">
        <f aca="false">IF(L690=1,M690*$B$25,0)</f>
        <v>0</v>
      </c>
      <c r="O690" s="58" t="n">
        <f aca="false">IF(L690=1,M690+N690-$B$29,M690)</f>
        <v>1.04062110040104E-008</v>
      </c>
      <c r="P690" s="56" t="n">
        <f aca="false">IF(L690=1,IF($B$29&lt;=N690,1,0),0)</f>
        <v>0</v>
      </c>
      <c r="Q690" s="58" t="n">
        <f aca="false">Q689+N690</f>
        <v>215608.5191027</v>
      </c>
    </row>
    <row r="691" customFormat="false" ht="15" hidden="false" customHeight="false" outlineLevel="0" collapsed="false">
      <c r="K691" s="56" t="n">
        <f aca="false">K690+1</f>
        <v>684</v>
      </c>
      <c r="L691" s="57" t="n">
        <f aca="false">IF(AND(K691&lt;=Assumptions!$C$42,L690=1,P690=0,O690&gt;Assumptions!$C$43),1,0)</f>
        <v>0</v>
      </c>
      <c r="M691" s="58" t="n">
        <f aca="false">O690</f>
        <v>1.04062110040104E-008</v>
      </c>
      <c r="N691" s="58" t="n">
        <f aca="false">IF(L691=1,M691*$B$25,0)</f>
        <v>0</v>
      </c>
      <c r="O691" s="58" t="n">
        <f aca="false">IF(L691=1,M691+N691-$B$29,M691)</f>
        <v>1.04062110040104E-008</v>
      </c>
      <c r="P691" s="56" t="n">
        <f aca="false">IF(L691=1,IF($B$29&lt;=N691,1,0),0)</f>
        <v>0</v>
      </c>
      <c r="Q691" s="58" t="n">
        <f aca="false">Q690+N691</f>
        <v>215608.5191027</v>
      </c>
    </row>
    <row r="692" customFormat="false" ht="15" hidden="false" customHeight="false" outlineLevel="0" collapsed="false">
      <c r="K692" s="56" t="n">
        <f aca="false">K691+1</f>
        <v>685</v>
      </c>
      <c r="L692" s="57" t="n">
        <f aca="false">IF(AND(K692&lt;=Assumptions!$C$42,L691=1,P691=0,O691&gt;Assumptions!$C$43),1,0)</f>
        <v>0</v>
      </c>
      <c r="M692" s="58" t="n">
        <f aca="false">O691</f>
        <v>1.04062110040104E-008</v>
      </c>
      <c r="N692" s="58" t="n">
        <f aca="false">IF(L692=1,M692*$B$25,0)</f>
        <v>0</v>
      </c>
      <c r="O692" s="58" t="n">
        <f aca="false">IF(L692=1,M692+N692-$B$29,M692)</f>
        <v>1.04062110040104E-008</v>
      </c>
      <c r="P692" s="56" t="n">
        <f aca="false">IF(L692=1,IF($B$29&lt;=N692,1,0),0)</f>
        <v>0</v>
      </c>
      <c r="Q692" s="58" t="n">
        <f aca="false">Q691+N692</f>
        <v>215608.5191027</v>
      </c>
    </row>
    <row r="693" customFormat="false" ht="15" hidden="false" customHeight="false" outlineLevel="0" collapsed="false">
      <c r="K693" s="56" t="n">
        <f aca="false">K692+1</f>
        <v>686</v>
      </c>
      <c r="L693" s="57" t="n">
        <f aca="false">IF(AND(K693&lt;=Assumptions!$C$42,L692=1,P692=0,O692&gt;Assumptions!$C$43),1,0)</f>
        <v>0</v>
      </c>
      <c r="M693" s="58" t="n">
        <f aca="false">O692</f>
        <v>1.04062110040104E-008</v>
      </c>
      <c r="N693" s="58" t="n">
        <f aca="false">IF(L693=1,M693*$B$25,0)</f>
        <v>0</v>
      </c>
      <c r="O693" s="58" t="n">
        <f aca="false">IF(L693=1,M693+N693-$B$29,M693)</f>
        <v>1.04062110040104E-008</v>
      </c>
      <c r="P693" s="56" t="n">
        <f aca="false">IF(L693=1,IF($B$29&lt;=N693,1,0),0)</f>
        <v>0</v>
      </c>
      <c r="Q693" s="58" t="n">
        <f aca="false">Q692+N693</f>
        <v>215608.5191027</v>
      </c>
    </row>
    <row r="694" customFormat="false" ht="15" hidden="false" customHeight="false" outlineLevel="0" collapsed="false">
      <c r="K694" s="56" t="n">
        <f aca="false">K693+1</f>
        <v>687</v>
      </c>
      <c r="L694" s="57" t="n">
        <f aca="false">IF(AND(K694&lt;=Assumptions!$C$42,L693=1,P693=0,O693&gt;Assumptions!$C$43),1,0)</f>
        <v>0</v>
      </c>
      <c r="M694" s="58" t="n">
        <f aca="false">O693</f>
        <v>1.04062110040104E-008</v>
      </c>
      <c r="N694" s="58" t="n">
        <f aca="false">IF(L694=1,M694*$B$25,0)</f>
        <v>0</v>
      </c>
      <c r="O694" s="58" t="n">
        <f aca="false">IF(L694=1,M694+N694-$B$29,M694)</f>
        <v>1.04062110040104E-008</v>
      </c>
      <c r="P694" s="56" t="n">
        <f aca="false">IF(L694=1,IF($B$29&lt;=N694,1,0),0)</f>
        <v>0</v>
      </c>
      <c r="Q694" s="58" t="n">
        <f aca="false">Q693+N694</f>
        <v>215608.5191027</v>
      </c>
    </row>
    <row r="695" customFormat="false" ht="15" hidden="false" customHeight="false" outlineLevel="0" collapsed="false">
      <c r="K695" s="56" t="n">
        <f aca="false">K694+1</f>
        <v>688</v>
      </c>
      <c r="L695" s="57" t="n">
        <f aca="false">IF(AND(K695&lt;=Assumptions!$C$42,L694=1,P694=0,O694&gt;Assumptions!$C$43),1,0)</f>
        <v>0</v>
      </c>
      <c r="M695" s="58" t="n">
        <f aca="false">O694</f>
        <v>1.04062110040104E-008</v>
      </c>
      <c r="N695" s="58" t="n">
        <f aca="false">IF(L695=1,M695*$B$25,0)</f>
        <v>0</v>
      </c>
      <c r="O695" s="58" t="n">
        <f aca="false">IF(L695=1,M695+N695-$B$29,M695)</f>
        <v>1.04062110040104E-008</v>
      </c>
      <c r="P695" s="56" t="n">
        <f aca="false">IF(L695=1,IF($B$29&lt;=N695,1,0),0)</f>
        <v>0</v>
      </c>
      <c r="Q695" s="58" t="n">
        <f aca="false">Q694+N695</f>
        <v>215608.5191027</v>
      </c>
    </row>
    <row r="696" customFormat="false" ht="15" hidden="false" customHeight="false" outlineLevel="0" collapsed="false">
      <c r="K696" s="56" t="n">
        <f aca="false">K695+1</f>
        <v>689</v>
      </c>
      <c r="L696" s="57" t="n">
        <f aca="false">IF(AND(K696&lt;=Assumptions!$C$42,L695=1,P695=0,O695&gt;Assumptions!$C$43),1,0)</f>
        <v>0</v>
      </c>
      <c r="M696" s="58" t="n">
        <f aca="false">O695</f>
        <v>1.04062110040104E-008</v>
      </c>
      <c r="N696" s="58" t="n">
        <f aca="false">IF(L696=1,M696*$B$25,0)</f>
        <v>0</v>
      </c>
      <c r="O696" s="58" t="n">
        <f aca="false">IF(L696=1,M696+N696-$B$29,M696)</f>
        <v>1.04062110040104E-008</v>
      </c>
      <c r="P696" s="56" t="n">
        <f aca="false">IF(L696=1,IF($B$29&lt;=N696,1,0),0)</f>
        <v>0</v>
      </c>
      <c r="Q696" s="58" t="n">
        <f aca="false">Q695+N696</f>
        <v>215608.5191027</v>
      </c>
    </row>
    <row r="697" customFormat="false" ht="15" hidden="false" customHeight="false" outlineLevel="0" collapsed="false">
      <c r="K697" s="56" t="n">
        <f aca="false">K696+1</f>
        <v>690</v>
      </c>
      <c r="L697" s="57" t="n">
        <f aca="false">IF(AND(K697&lt;=Assumptions!$C$42,L696=1,P696=0,O696&gt;Assumptions!$C$43),1,0)</f>
        <v>0</v>
      </c>
      <c r="M697" s="58" t="n">
        <f aca="false">O696</f>
        <v>1.04062110040104E-008</v>
      </c>
      <c r="N697" s="58" t="n">
        <f aca="false">IF(L697=1,M697*$B$25,0)</f>
        <v>0</v>
      </c>
      <c r="O697" s="58" t="n">
        <f aca="false">IF(L697=1,M697+N697-$B$29,M697)</f>
        <v>1.04062110040104E-008</v>
      </c>
      <c r="P697" s="56" t="n">
        <f aca="false">IF(L697=1,IF($B$29&lt;=N697,1,0),0)</f>
        <v>0</v>
      </c>
      <c r="Q697" s="58" t="n">
        <f aca="false">Q696+N697</f>
        <v>215608.5191027</v>
      </c>
    </row>
    <row r="698" customFormat="false" ht="15" hidden="false" customHeight="false" outlineLevel="0" collapsed="false">
      <c r="K698" s="56" t="n">
        <f aca="false">K697+1</f>
        <v>691</v>
      </c>
      <c r="L698" s="57" t="n">
        <f aca="false">IF(AND(K698&lt;=Assumptions!$C$42,L697=1,P697=0,O697&gt;Assumptions!$C$43),1,0)</f>
        <v>0</v>
      </c>
      <c r="M698" s="58" t="n">
        <f aca="false">O697</f>
        <v>1.04062110040104E-008</v>
      </c>
      <c r="N698" s="58" t="n">
        <f aca="false">IF(L698=1,M698*$B$25,0)</f>
        <v>0</v>
      </c>
      <c r="O698" s="58" t="n">
        <f aca="false">IF(L698=1,M698+N698-$B$29,M698)</f>
        <v>1.04062110040104E-008</v>
      </c>
      <c r="P698" s="56" t="n">
        <f aca="false">IF(L698=1,IF($B$29&lt;=N698,1,0),0)</f>
        <v>0</v>
      </c>
      <c r="Q698" s="58" t="n">
        <f aca="false">Q697+N698</f>
        <v>215608.5191027</v>
      </c>
    </row>
    <row r="699" customFormat="false" ht="15" hidden="false" customHeight="false" outlineLevel="0" collapsed="false">
      <c r="K699" s="56" t="n">
        <f aca="false">K698+1</f>
        <v>692</v>
      </c>
      <c r="L699" s="57" t="n">
        <f aca="false">IF(AND(K699&lt;=Assumptions!$C$42,L698=1,P698=0,O698&gt;Assumptions!$C$43),1,0)</f>
        <v>0</v>
      </c>
      <c r="M699" s="58" t="n">
        <f aca="false">O698</f>
        <v>1.04062110040104E-008</v>
      </c>
      <c r="N699" s="58" t="n">
        <f aca="false">IF(L699=1,M699*$B$25,0)</f>
        <v>0</v>
      </c>
      <c r="O699" s="58" t="n">
        <f aca="false">IF(L699=1,M699+N699-$B$29,M699)</f>
        <v>1.04062110040104E-008</v>
      </c>
      <c r="P699" s="56" t="n">
        <f aca="false">IF(L699=1,IF($B$29&lt;=N699,1,0),0)</f>
        <v>0</v>
      </c>
      <c r="Q699" s="58" t="n">
        <f aca="false">Q698+N699</f>
        <v>215608.5191027</v>
      </c>
    </row>
    <row r="700" customFormat="false" ht="15" hidden="false" customHeight="false" outlineLevel="0" collapsed="false">
      <c r="K700" s="56" t="n">
        <f aca="false">K699+1</f>
        <v>693</v>
      </c>
      <c r="L700" s="57" t="n">
        <f aca="false">IF(AND(K700&lt;=Assumptions!$C$42,L699=1,P699=0,O699&gt;Assumptions!$C$43),1,0)</f>
        <v>0</v>
      </c>
      <c r="M700" s="58" t="n">
        <f aca="false">O699</f>
        <v>1.04062110040104E-008</v>
      </c>
      <c r="N700" s="58" t="n">
        <f aca="false">IF(L700=1,M700*$B$25,0)</f>
        <v>0</v>
      </c>
      <c r="O700" s="58" t="n">
        <f aca="false">IF(L700=1,M700+N700-$B$29,M700)</f>
        <v>1.04062110040104E-008</v>
      </c>
      <c r="P700" s="56" t="n">
        <f aca="false">IF(L700=1,IF($B$29&lt;=N700,1,0),0)</f>
        <v>0</v>
      </c>
      <c r="Q700" s="58" t="n">
        <f aca="false">Q699+N700</f>
        <v>215608.5191027</v>
      </c>
    </row>
    <row r="701" customFormat="false" ht="15" hidden="false" customHeight="false" outlineLevel="0" collapsed="false">
      <c r="K701" s="56" t="n">
        <f aca="false">K700+1</f>
        <v>694</v>
      </c>
      <c r="L701" s="57" t="n">
        <f aca="false">IF(AND(K701&lt;=Assumptions!$C$42,L700=1,P700=0,O700&gt;Assumptions!$C$43),1,0)</f>
        <v>0</v>
      </c>
      <c r="M701" s="58" t="n">
        <f aca="false">O700</f>
        <v>1.04062110040104E-008</v>
      </c>
      <c r="N701" s="58" t="n">
        <f aca="false">IF(L701=1,M701*$B$25,0)</f>
        <v>0</v>
      </c>
      <c r="O701" s="58" t="n">
        <f aca="false">IF(L701=1,M701+N701-$B$29,M701)</f>
        <v>1.04062110040104E-008</v>
      </c>
      <c r="P701" s="56" t="n">
        <f aca="false">IF(L701=1,IF($B$29&lt;=N701,1,0),0)</f>
        <v>0</v>
      </c>
      <c r="Q701" s="58" t="n">
        <f aca="false">Q700+N701</f>
        <v>215608.5191027</v>
      </c>
    </row>
    <row r="702" customFormat="false" ht="15" hidden="false" customHeight="false" outlineLevel="0" collapsed="false">
      <c r="K702" s="56" t="n">
        <f aca="false">K701+1</f>
        <v>695</v>
      </c>
      <c r="L702" s="57" t="n">
        <f aca="false">IF(AND(K702&lt;=Assumptions!$C$42,L701=1,P701=0,O701&gt;Assumptions!$C$43),1,0)</f>
        <v>0</v>
      </c>
      <c r="M702" s="58" t="n">
        <f aca="false">O701</f>
        <v>1.04062110040104E-008</v>
      </c>
      <c r="N702" s="58" t="n">
        <f aca="false">IF(L702=1,M702*$B$25,0)</f>
        <v>0</v>
      </c>
      <c r="O702" s="58" t="n">
        <f aca="false">IF(L702=1,M702+N702-$B$29,M702)</f>
        <v>1.04062110040104E-008</v>
      </c>
      <c r="P702" s="56" t="n">
        <f aca="false">IF(L702=1,IF($B$29&lt;=N702,1,0),0)</f>
        <v>0</v>
      </c>
      <c r="Q702" s="58" t="n">
        <f aca="false">Q701+N702</f>
        <v>215608.5191027</v>
      </c>
    </row>
    <row r="703" customFormat="false" ht="15" hidden="false" customHeight="false" outlineLevel="0" collapsed="false">
      <c r="K703" s="56" t="n">
        <f aca="false">K702+1</f>
        <v>696</v>
      </c>
      <c r="L703" s="57" t="n">
        <f aca="false">IF(AND(K703&lt;=Assumptions!$C$42,L702=1,P702=0,O702&gt;Assumptions!$C$43),1,0)</f>
        <v>0</v>
      </c>
      <c r="M703" s="58" t="n">
        <f aca="false">O702</f>
        <v>1.04062110040104E-008</v>
      </c>
      <c r="N703" s="58" t="n">
        <f aca="false">IF(L703=1,M703*$B$25,0)</f>
        <v>0</v>
      </c>
      <c r="O703" s="58" t="n">
        <f aca="false">IF(L703=1,M703+N703-$B$29,M703)</f>
        <v>1.04062110040104E-008</v>
      </c>
      <c r="P703" s="56" t="n">
        <f aca="false">IF(L703=1,IF($B$29&lt;=N703,1,0),0)</f>
        <v>0</v>
      </c>
      <c r="Q703" s="58" t="n">
        <f aca="false">Q702+N703</f>
        <v>215608.5191027</v>
      </c>
    </row>
    <row r="704" customFormat="false" ht="15" hidden="false" customHeight="false" outlineLevel="0" collapsed="false">
      <c r="K704" s="56" t="n">
        <f aca="false">K703+1</f>
        <v>697</v>
      </c>
      <c r="L704" s="57" t="n">
        <f aca="false">IF(AND(K704&lt;=Assumptions!$C$42,L703=1,P703=0,O703&gt;Assumptions!$C$43),1,0)</f>
        <v>0</v>
      </c>
      <c r="M704" s="58" t="n">
        <f aca="false">O703</f>
        <v>1.04062110040104E-008</v>
      </c>
      <c r="N704" s="58" t="n">
        <f aca="false">IF(L704=1,M704*$B$25,0)</f>
        <v>0</v>
      </c>
      <c r="O704" s="58" t="n">
        <f aca="false">IF(L704=1,M704+N704-$B$29,M704)</f>
        <v>1.04062110040104E-008</v>
      </c>
      <c r="P704" s="56" t="n">
        <f aca="false">IF(L704=1,IF($B$29&lt;=N704,1,0),0)</f>
        <v>0</v>
      </c>
      <c r="Q704" s="58" t="n">
        <f aca="false">Q703+N704</f>
        <v>215608.5191027</v>
      </c>
    </row>
    <row r="705" customFormat="false" ht="15" hidden="false" customHeight="false" outlineLevel="0" collapsed="false">
      <c r="K705" s="56" t="n">
        <f aca="false">K704+1</f>
        <v>698</v>
      </c>
      <c r="L705" s="57" t="n">
        <f aca="false">IF(AND(K705&lt;=Assumptions!$C$42,L704=1,P704=0,O704&gt;Assumptions!$C$43),1,0)</f>
        <v>0</v>
      </c>
      <c r="M705" s="58" t="n">
        <f aca="false">O704</f>
        <v>1.04062110040104E-008</v>
      </c>
      <c r="N705" s="58" t="n">
        <f aca="false">IF(L705=1,M705*$B$25,0)</f>
        <v>0</v>
      </c>
      <c r="O705" s="58" t="n">
        <f aca="false">IF(L705=1,M705+N705-$B$29,M705)</f>
        <v>1.04062110040104E-008</v>
      </c>
      <c r="P705" s="56" t="n">
        <f aca="false">IF(L705=1,IF($B$29&lt;=N705,1,0),0)</f>
        <v>0</v>
      </c>
      <c r="Q705" s="58" t="n">
        <f aca="false">Q704+N705</f>
        <v>215608.5191027</v>
      </c>
    </row>
    <row r="706" customFormat="false" ht="15" hidden="false" customHeight="false" outlineLevel="0" collapsed="false">
      <c r="K706" s="56" t="n">
        <f aca="false">K705+1</f>
        <v>699</v>
      </c>
      <c r="L706" s="57" t="n">
        <f aca="false">IF(AND(K706&lt;=Assumptions!$C$42,L705=1,P705=0,O705&gt;Assumptions!$C$43),1,0)</f>
        <v>0</v>
      </c>
      <c r="M706" s="58" t="n">
        <f aca="false">O705</f>
        <v>1.04062110040104E-008</v>
      </c>
      <c r="N706" s="58" t="n">
        <f aca="false">IF(L706=1,M706*$B$25,0)</f>
        <v>0</v>
      </c>
      <c r="O706" s="58" t="n">
        <f aca="false">IF(L706=1,M706+N706-$B$29,M706)</f>
        <v>1.04062110040104E-008</v>
      </c>
      <c r="P706" s="56" t="n">
        <f aca="false">IF(L706=1,IF($B$29&lt;=N706,1,0),0)</f>
        <v>0</v>
      </c>
      <c r="Q706" s="58" t="n">
        <f aca="false">Q705+N706</f>
        <v>215608.5191027</v>
      </c>
    </row>
    <row r="707" customFormat="false" ht="15" hidden="false" customHeight="false" outlineLevel="0" collapsed="false">
      <c r="K707" s="56" t="n">
        <f aca="false">K706+1</f>
        <v>700</v>
      </c>
      <c r="L707" s="57" t="n">
        <f aca="false">IF(AND(K707&lt;=Assumptions!$C$42,L706=1,P706=0,O706&gt;Assumptions!$C$43),1,0)</f>
        <v>0</v>
      </c>
      <c r="M707" s="58" t="n">
        <f aca="false">O706</f>
        <v>1.04062110040104E-008</v>
      </c>
      <c r="N707" s="58" t="n">
        <f aca="false">IF(L707=1,M707*$B$25,0)</f>
        <v>0</v>
      </c>
      <c r="O707" s="58" t="n">
        <f aca="false">IF(L707=1,M707+N707-$B$29,M707)</f>
        <v>1.04062110040104E-008</v>
      </c>
      <c r="P707" s="56" t="n">
        <f aca="false">IF(L707=1,IF($B$29&lt;=N707,1,0),0)</f>
        <v>0</v>
      </c>
      <c r="Q707" s="58" t="n">
        <f aca="false">Q706+N707</f>
        <v>215608.5191027</v>
      </c>
    </row>
    <row r="708" customFormat="false" ht="15" hidden="false" customHeight="false" outlineLevel="0" collapsed="false">
      <c r="K708" s="56" t="n">
        <f aca="false">K707+1</f>
        <v>701</v>
      </c>
      <c r="L708" s="57" t="n">
        <f aca="false">IF(AND(K708&lt;=Assumptions!$C$42,L707=1,P707=0,O707&gt;Assumptions!$C$43),1,0)</f>
        <v>0</v>
      </c>
      <c r="M708" s="58" t="n">
        <f aca="false">O707</f>
        <v>1.04062110040104E-008</v>
      </c>
      <c r="N708" s="58" t="n">
        <f aca="false">IF(L708=1,M708*$B$25,0)</f>
        <v>0</v>
      </c>
      <c r="O708" s="58" t="n">
        <f aca="false">IF(L708=1,M708+N708-$B$29,M708)</f>
        <v>1.04062110040104E-008</v>
      </c>
      <c r="P708" s="56" t="n">
        <f aca="false">IF(L708=1,IF($B$29&lt;=N708,1,0),0)</f>
        <v>0</v>
      </c>
      <c r="Q708" s="58" t="n">
        <f aca="false">Q707+N708</f>
        <v>215608.5191027</v>
      </c>
    </row>
    <row r="709" customFormat="false" ht="15" hidden="false" customHeight="false" outlineLevel="0" collapsed="false">
      <c r="K709" s="56" t="n">
        <f aca="false">K708+1</f>
        <v>702</v>
      </c>
      <c r="L709" s="57" t="n">
        <f aca="false">IF(AND(K709&lt;=Assumptions!$C$42,L708=1,P708=0,O708&gt;Assumptions!$C$43),1,0)</f>
        <v>0</v>
      </c>
      <c r="M709" s="58" t="n">
        <f aca="false">O708</f>
        <v>1.04062110040104E-008</v>
      </c>
      <c r="N709" s="58" t="n">
        <f aca="false">IF(L709=1,M709*$B$25,0)</f>
        <v>0</v>
      </c>
      <c r="O709" s="58" t="n">
        <f aca="false">IF(L709=1,M709+N709-$B$29,M709)</f>
        <v>1.04062110040104E-008</v>
      </c>
      <c r="P709" s="56" t="n">
        <f aca="false">IF(L709=1,IF($B$29&lt;=N709,1,0),0)</f>
        <v>0</v>
      </c>
      <c r="Q709" s="58" t="n">
        <f aca="false">Q708+N709</f>
        <v>215608.5191027</v>
      </c>
    </row>
    <row r="710" customFormat="false" ht="15" hidden="false" customHeight="false" outlineLevel="0" collapsed="false">
      <c r="K710" s="56" t="n">
        <f aca="false">K709+1</f>
        <v>703</v>
      </c>
      <c r="L710" s="57" t="n">
        <f aca="false">IF(AND(K710&lt;=Assumptions!$C$42,L709=1,P709=0,O709&gt;Assumptions!$C$43),1,0)</f>
        <v>0</v>
      </c>
      <c r="M710" s="58" t="n">
        <f aca="false">O709</f>
        <v>1.04062110040104E-008</v>
      </c>
      <c r="N710" s="58" t="n">
        <f aca="false">IF(L710=1,M710*$B$25,0)</f>
        <v>0</v>
      </c>
      <c r="O710" s="58" t="n">
        <f aca="false">IF(L710=1,M710+N710-$B$29,M710)</f>
        <v>1.04062110040104E-008</v>
      </c>
      <c r="P710" s="56" t="n">
        <f aca="false">IF(L710=1,IF($B$29&lt;=N710,1,0),0)</f>
        <v>0</v>
      </c>
      <c r="Q710" s="58" t="n">
        <f aca="false">Q709+N710</f>
        <v>215608.5191027</v>
      </c>
    </row>
    <row r="711" customFormat="false" ht="15" hidden="false" customHeight="false" outlineLevel="0" collapsed="false">
      <c r="K711" s="56" t="n">
        <f aca="false">K710+1</f>
        <v>704</v>
      </c>
      <c r="L711" s="57" t="n">
        <f aca="false">IF(AND(K711&lt;=Assumptions!$C$42,L710=1,P710=0,O710&gt;Assumptions!$C$43),1,0)</f>
        <v>0</v>
      </c>
      <c r="M711" s="58" t="n">
        <f aca="false">O710</f>
        <v>1.04062110040104E-008</v>
      </c>
      <c r="N711" s="58" t="n">
        <f aca="false">IF(L711=1,M711*$B$25,0)</f>
        <v>0</v>
      </c>
      <c r="O711" s="58" t="n">
        <f aca="false">IF(L711=1,M711+N711-$B$29,M711)</f>
        <v>1.04062110040104E-008</v>
      </c>
      <c r="P711" s="56" t="n">
        <f aca="false">IF(L711=1,IF($B$29&lt;=N711,1,0),0)</f>
        <v>0</v>
      </c>
      <c r="Q711" s="58" t="n">
        <f aca="false">Q710+N711</f>
        <v>215608.5191027</v>
      </c>
    </row>
    <row r="712" customFormat="false" ht="15" hidden="false" customHeight="false" outlineLevel="0" collapsed="false">
      <c r="K712" s="56" t="n">
        <f aca="false">K711+1</f>
        <v>705</v>
      </c>
      <c r="L712" s="57" t="n">
        <f aca="false">IF(AND(K712&lt;=Assumptions!$C$42,L711=1,P711=0,O711&gt;Assumptions!$C$43),1,0)</f>
        <v>0</v>
      </c>
      <c r="M712" s="58" t="n">
        <f aca="false">O711</f>
        <v>1.04062110040104E-008</v>
      </c>
      <c r="N712" s="58" t="n">
        <f aca="false">IF(L712=1,M712*$B$25,0)</f>
        <v>0</v>
      </c>
      <c r="O712" s="58" t="n">
        <f aca="false">IF(L712=1,M712+N712-$B$29,M712)</f>
        <v>1.04062110040104E-008</v>
      </c>
      <c r="P712" s="56" t="n">
        <f aca="false">IF(L712=1,IF($B$29&lt;=N712,1,0),0)</f>
        <v>0</v>
      </c>
      <c r="Q712" s="58" t="n">
        <f aca="false">Q711+N712</f>
        <v>215608.5191027</v>
      </c>
    </row>
    <row r="713" customFormat="false" ht="15" hidden="false" customHeight="false" outlineLevel="0" collapsed="false">
      <c r="K713" s="56" t="n">
        <f aca="false">K712+1</f>
        <v>706</v>
      </c>
      <c r="L713" s="57" t="n">
        <f aca="false">IF(AND(K713&lt;=Assumptions!$C$42,L712=1,P712=0,O712&gt;Assumptions!$C$43),1,0)</f>
        <v>0</v>
      </c>
      <c r="M713" s="58" t="n">
        <f aca="false">O712</f>
        <v>1.04062110040104E-008</v>
      </c>
      <c r="N713" s="58" t="n">
        <f aca="false">IF(L713=1,M713*$B$25,0)</f>
        <v>0</v>
      </c>
      <c r="O713" s="58" t="n">
        <f aca="false">IF(L713=1,M713+N713-$B$29,M713)</f>
        <v>1.04062110040104E-008</v>
      </c>
      <c r="P713" s="56" t="n">
        <f aca="false">IF(L713=1,IF($B$29&lt;=N713,1,0),0)</f>
        <v>0</v>
      </c>
      <c r="Q713" s="58" t="n">
        <f aca="false">Q712+N713</f>
        <v>215608.5191027</v>
      </c>
    </row>
    <row r="714" customFormat="false" ht="15" hidden="false" customHeight="false" outlineLevel="0" collapsed="false">
      <c r="K714" s="56" t="n">
        <f aca="false">K713+1</f>
        <v>707</v>
      </c>
      <c r="L714" s="57" t="n">
        <f aca="false">IF(AND(K714&lt;=Assumptions!$C$42,L713=1,P713=0,O713&gt;Assumptions!$C$43),1,0)</f>
        <v>0</v>
      </c>
      <c r="M714" s="58" t="n">
        <f aca="false">O713</f>
        <v>1.04062110040104E-008</v>
      </c>
      <c r="N714" s="58" t="n">
        <f aca="false">IF(L714=1,M714*$B$25,0)</f>
        <v>0</v>
      </c>
      <c r="O714" s="58" t="n">
        <f aca="false">IF(L714=1,M714+N714-$B$29,M714)</f>
        <v>1.04062110040104E-008</v>
      </c>
      <c r="P714" s="56" t="n">
        <f aca="false">IF(L714=1,IF($B$29&lt;=N714,1,0),0)</f>
        <v>0</v>
      </c>
      <c r="Q714" s="58" t="n">
        <f aca="false">Q713+N714</f>
        <v>215608.5191027</v>
      </c>
    </row>
    <row r="715" customFormat="false" ht="15" hidden="false" customHeight="false" outlineLevel="0" collapsed="false">
      <c r="K715" s="56" t="n">
        <f aca="false">K714+1</f>
        <v>708</v>
      </c>
      <c r="L715" s="57" t="n">
        <f aca="false">IF(AND(K715&lt;=Assumptions!$C$42,L714=1,P714=0,O714&gt;Assumptions!$C$43),1,0)</f>
        <v>0</v>
      </c>
      <c r="M715" s="58" t="n">
        <f aca="false">O714</f>
        <v>1.04062110040104E-008</v>
      </c>
      <c r="N715" s="58" t="n">
        <f aca="false">IF(L715=1,M715*$B$25,0)</f>
        <v>0</v>
      </c>
      <c r="O715" s="58" t="n">
        <f aca="false">IF(L715=1,M715+N715-$B$29,M715)</f>
        <v>1.04062110040104E-008</v>
      </c>
      <c r="P715" s="56" t="n">
        <f aca="false">IF(L715=1,IF($B$29&lt;=N715,1,0),0)</f>
        <v>0</v>
      </c>
      <c r="Q715" s="58" t="n">
        <f aca="false">Q714+N715</f>
        <v>215608.5191027</v>
      </c>
    </row>
    <row r="716" customFormat="false" ht="15" hidden="false" customHeight="false" outlineLevel="0" collapsed="false">
      <c r="K716" s="56" t="n">
        <f aca="false">K715+1</f>
        <v>709</v>
      </c>
      <c r="L716" s="57" t="n">
        <f aca="false">IF(AND(K716&lt;=Assumptions!$C$42,L715=1,P715=0,O715&gt;Assumptions!$C$43),1,0)</f>
        <v>0</v>
      </c>
      <c r="M716" s="58" t="n">
        <f aca="false">O715</f>
        <v>1.04062110040104E-008</v>
      </c>
      <c r="N716" s="58" t="n">
        <f aca="false">IF(L716=1,M716*$B$25,0)</f>
        <v>0</v>
      </c>
      <c r="O716" s="58" t="n">
        <f aca="false">IF(L716=1,M716+N716-$B$29,M716)</f>
        <v>1.04062110040104E-008</v>
      </c>
      <c r="P716" s="56" t="n">
        <f aca="false">IF(L716=1,IF($B$29&lt;=N716,1,0),0)</f>
        <v>0</v>
      </c>
      <c r="Q716" s="58" t="n">
        <f aca="false">Q715+N716</f>
        <v>215608.5191027</v>
      </c>
    </row>
    <row r="717" customFormat="false" ht="15" hidden="false" customHeight="false" outlineLevel="0" collapsed="false">
      <c r="K717" s="56" t="n">
        <f aca="false">K716+1</f>
        <v>710</v>
      </c>
      <c r="L717" s="57" t="n">
        <f aca="false">IF(AND(K717&lt;=Assumptions!$C$42,L716=1,P716=0,O716&gt;Assumptions!$C$43),1,0)</f>
        <v>0</v>
      </c>
      <c r="M717" s="58" t="n">
        <f aca="false">O716</f>
        <v>1.04062110040104E-008</v>
      </c>
      <c r="N717" s="58" t="n">
        <f aca="false">IF(L717=1,M717*$B$25,0)</f>
        <v>0</v>
      </c>
      <c r="O717" s="58" t="n">
        <f aca="false">IF(L717=1,M717+N717-$B$29,M717)</f>
        <v>1.04062110040104E-008</v>
      </c>
      <c r="P717" s="56" t="n">
        <f aca="false">IF(L717=1,IF($B$29&lt;=N717,1,0),0)</f>
        <v>0</v>
      </c>
      <c r="Q717" s="58" t="n">
        <f aca="false">Q716+N717</f>
        <v>215608.5191027</v>
      </c>
    </row>
    <row r="718" customFormat="false" ht="15" hidden="false" customHeight="false" outlineLevel="0" collapsed="false">
      <c r="K718" s="56" t="n">
        <f aca="false">K717+1</f>
        <v>711</v>
      </c>
      <c r="L718" s="57" t="n">
        <f aca="false">IF(AND(K718&lt;=Assumptions!$C$42,L717=1,P717=0,O717&gt;Assumptions!$C$43),1,0)</f>
        <v>0</v>
      </c>
      <c r="M718" s="58" t="n">
        <f aca="false">O717</f>
        <v>1.04062110040104E-008</v>
      </c>
      <c r="N718" s="58" t="n">
        <f aca="false">IF(L718=1,M718*$B$25,0)</f>
        <v>0</v>
      </c>
      <c r="O718" s="58" t="n">
        <f aca="false">IF(L718=1,M718+N718-$B$29,M718)</f>
        <v>1.04062110040104E-008</v>
      </c>
      <c r="P718" s="56" t="n">
        <f aca="false">IF(L718=1,IF($B$29&lt;=N718,1,0),0)</f>
        <v>0</v>
      </c>
      <c r="Q718" s="58" t="n">
        <f aca="false">Q717+N718</f>
        <v>215608.5191027</v>
      </c>
    </row>
    <row r="719" customFormat="false" ht="15" hidden="false" customHeight="false" outlineLevel="0" collapsed="false">
      <c r="K719" s="56" t="n">
        <f aca="false">K718+1</f>
        <v>712</v>
      </c>
      <c r="L719" s="57" t="n">
        <f aca="false">IF(AND(K719&lt;=Assumptions!$C$42,L718=1,P718=0,O718&gt;Assumptions!$C$43),1,0)</f>
        <v>0</v>
      </c>
      <c r="M719" s="58" t="n">
        <f aca="false">O718</f>
        <v>1.04062110040104E-008</v>
      </c>
      <c r="N719" s="58" t="n">
        <f aca="false">IF(L719=1,M719*$B$25,0)</f>
        <v>0</v>
      </c>
      <c r="O719" s="58" t="n">
        <f aca="false">IF(L719=1,M719+N719-$B$29,M719)</f>
        <v>1.04062110040104E-008</v>
      </c>
      <c r="P719" s="56" t="n">
        <f aca="false">IF(L719=1,IF($B$29&lt;=N719,1,0),0)</f>
        <v>0</v>
      </c>
      <c r="Q719" s="58" t="n">
        <f aca="false">Q718+N719</f>
        <v>215608.5191027</v>
      </c>
    </row>
    <row r="720" customFormat="false" ht="15" hidden="false" customHeight="false" outlineLevel="0" collapsed="false">
      <c r="K720" s="56" t="n">
        <f aca="false">K719+1</f>
        <v>713</v>
      </c>
      <c r="L720" s="57" t="n">
        <f aca="false">IF(AND(K720&lt;=Assumptions!$C$42,L719=1,P719=0,O719&gt;Assumptions!$C$43),1,0)</f>
        <v>0</v>
      </c>
      <c r="M720" s="58" t="n">
        <f aca="false">O719</f>
        <v>1.04062110040104E-008</v>
      </c>
      <c r="N720" s="58" t="n">
        <f aca="false">IF(L720=1,M720*$B$25,0)</f>
        <v>0</v>
      </c>
      <c r="O720" s="58" t="n">
        <f aca="false">IF(L720=1,M720+N720-$B$29,M720)</f>
        <v>1.04062110040104E-008</v>
      </c>
      <c r="P720" s="56" t="n">
        <f aca="false">IF(L720=1,IF($B$29&lt;=N720,1,0),0)</f>
        <v>0</v>
      </c>
      <c r="Q720" s="58" t="n">
        <f aca="false">Q719+N720</f>
        <v>215608.5191027</v>
      </c>
    </row>
    <row r="721" customFormat="false" ht="15" hidden="false" customHeight="false" outlineLevel="0" collapsed="false">
      <c r="K721" s="56" t="n">
        <f aca="false">K720+1</f>
        <v>714</v>
      </c>
      <c r="L721" s="57" t="n">
        <f aca="false">IF(AND(K721&lt;=Assumptions!$C$42,L720=1,P720=0,O720&gt;Assumptions!$C$43),1,0)</f>
        <v>0</v>
      </c>
      <c r="M721" s="58" t="n">
        <f aca="false">O720</f>
        <v>1.04062110040104E-008</v>
      </c>
      <c r="N721" s="58" t="n">
        <f aca="false">IF(L721=1,M721*$B$25,0)</f>
        <v>0</v>
      </c>
      <c r="O721" s="58" t="n">
        <f aca="false">IF(L721=1,M721+N721-$B$29,M721)</f>
        <v>1.04062110040104E-008</v>
      </c>
      <c r="P721" s="56" t="n">
        <f aca="false">IF(L721=1,IF($B$29&lt;=N721,1,0),0)</f>
        <v>0</v>
      </c>
      <c r="Q721" s="58" t="n">
        <f aca="false">Q720+N721</f>
        <v>215608.5191027</v>
      </c>
    </row>
    <row r="722" customFormat="false" ht="15" hidden="false" customHeight="false" outlineLevel="0" collapsed="false">
      <c r="K722" s="56" t="n">
        <f aca="false">K721+1</f>
        <v>715</v>
      </c>
      <c r="L722" s="57" t="n">
        <f aca="false">IF(AND(K722&lt;=Assumptions!$C$42,L721=1,P721=0,O721&gt;Assumptions!$C$43),1,0)</f>
        <v>0</v>
      </c>
      <c r="M722" s="58" t="n">
        <f aca="false">O721</f>
        <v>1.04062110040104E-008</v>
      </c>
      <c r="N722" s="58" t="n">
        <f aca="false">IF(L722=1,M722*$B$25,0)</f>
        <v>0</v>
      </c>
      <c r="O722" s="58" t="n">
        <f aca="false">IF(L722=1,M722+N722-$B$29,M722)</f>
        <v>1.04062110040104E-008</v>
      </c>
      <c r="P722" s="56" t="n">
        <f aca="false">IF(L722=1,IF($B$29&lt;=N722,1,0),0)</f>
        <v>0</v>
      </c>
      <c r="Q722" s="58" t="n">
        <f aca="false">Q721+N722</f>
        <v>215608.5191027</v>
      </c>
    </row>
    <row r="723" customFormat="false" ht="15" hidden="false" customHeight="false" outlineLevel="0" collapsed="false">
      <c r="K723" s="56" t="n">
        <f aca="false">K722+1</f>
        <v>716</v>
      </c>
      <c r="L723" s="57" t="n">
        <f aca="false">IF(AND(K723&lt;=Assumptions!$C$42,L722=1,P722=0,O722&gt;Assumptions!$C$43),1,0)</f>
        <v>0</v>
      </c>
      <c r="M723" s="58" t="n">
        <f aca="false">O722</f>
        <v>1.04062110040104E-008</v>
      </c>
      <c r="N723" s="58" t="n">
        <f aca="false">IF(L723=1,M723*$B$25,0)</f>
        <v>0</v>
      </c>
      <c r="O723" s="58" t="n">
        <f aca="false">IF(L723=1,M723+N723-$B$29,M723)</f>
        <v>1.04062110040104E-008</v>
      </c>
      <c r="P723" s="56" t="n">
        <f aca="false">IF(L723=1,IF($B$29&lt;=N723,1,0),0)</f>
        <v>0</v>
      </c>
      <c r="Q723" s="58" t="n">
        <f aca="false">Q722+N723</f>
        <v>215608.5191027</v>
      </c>
    </row>
    <row r="724" customFormat="false" ht="15" hidden="false" customHeight="false" outlineLevel="0" collapsed="false">
      <c r="K724" s="56" t="n">
        <f aca="false">K723+1</f>
        <v>717</v>
      </c>
      <c r="L724" s="57" t="n">
        <f aca="false">IF(AND(K724&lt;=Assumptions!$C$42,L723=1,P723=0,O723&gt;Assumptions!$C$43),1,0)</f>
        <v>0</v>
      </c>
      <c r="M724" s="58" t="n">
        <f aca="false">O723</f>
        <v>1.04062110040104E-008</v>
      </c>
      <c r="N724" s="58" t="n">
        <f aca="false">IF(L724=1,M724*$B$25,0)</f>
        <v>0</v>
      </c>
      <c r="O724" s="58" t="n">
        <f aca="false">IF(L724=1,M724+N724-$B$29,M724)</f>
        <v>1.04062110040104E-008</v>
      </c>
      <c r="P724" s="56" t="n">
        <f aca="false">IF(L724=1,IF($B$29&lt;=N724,1,0),0)</f>
        <v>0</v>
      </c>
      <c r="Q724" s="58" t="n">
        <f aca="false">Q723+N724</f>
        <v>215608.5191027</v>
      </c>
    </row>
    <row r="725" customFormat="false" ht="15" hidden="false" customHeight="false" outlineLevel="0" collapsed="false">
      <c r="K725" s="56" t="n">
        <f aca="false">K724+1</f>
        <v>718</v>
      </c>
      <c r="L725" s="57" t="n">
        <f aca="false">IF(AND(K725&lt;=Assumptions!$C$42,L724=1,P724=0,O724&gt;Assumptions!$C$43),1,0)</f>
        <v>0</v>
      </c>
      <c r="M725" s="58" t="n">
        <f aca="false">O724</f>
        <v>1.04062110040104E-008</v>
      </c>
      <c r="N725" s="58" t="n">
        <f aca="false">IF(L725=1,M725*$B$25,0)</f>
        <v>0</v>
      </c>
      <c r="O725" s="58" t="n">
        <f aca="false">IF(L725=1,M725+N725-$B$29,M725)</f>
        <v>1.04062110040104E-008</v>
      </c>
      <c r="P725" s="56" t="n">
        <f aca="false">IF(L725=1,IF($B$29&lt;=N725,1,0),0)</f>
        <v>0</v>
      </c>
      <c r="Q725" s="58" t="n">
        <f aca="false">Q724+N725</f>
        <v>215608.5191027</v>
      </c>
    </row>
    <row r="726" customFormat="false" ht="15" hidden="false" customHeight="false" outlineLevel="0" collapsed="false">
      <c r="K726" s="56" t="n">
        <f aca="false">K725+1</f>
        <v>719</v>
      </c>
      <c r="L726" s="57" t="n">
        <f aca="false">IF(AND(K726&lt;=Assumptions!$C$42,L725=1,P725=0,O725&gt;Assumptions!$C$43),1,0)</f>
        <v>0</v>
      </c>
      <c r="M726" s="58" t="n">
        <f aca="false">O725</f>
        <v>1.04062110040104E-008</v>
      </c>
      <c r="N726" s="58" t="n">
        <f aca="false">IF(L726=1,M726*$B$25,0)</f>
        <v>0</v>
      </c>
      <c r="O726" s="58" t="n">
        <f aca="false">IF(L726=1,M726+N726-$B$29,M726)</f>
        <v>1.04062110040104E-008</v>
      </c>
      <c r="P726" s="56" t="n">
        <f aca="false">IF(L726=1,IF($B$29&lt;=N726,1,0),0)</f>
        <v>0</v>
      </c>
      <c r="Q726" s="58" t="n">
        <f aca="false">Q725+N726</f>
        <v>215608.5191027</v>
      </c>
    </row>
    <row r="727" customFormat="false" ht="15" hidden="false" customHeight="false" outlineLevel="0" collapsed="false">
      <c r="K727" s="56" t="n">
        <f aca="false">K726+1</f>
        <v>720</v>
      </c>
      <c r="L727" s="57" t="n">
        <f aca="false">IF(AND(K727&lt;=Assumptions!$C$42,L726=1,P726=0,O726&gt;Assumptions!$C$43),1,0)</f>
        <v>0</v>
      </c>
      <c r="M727" s="58" t="n">
        <f aca="false">O726</f>
        <v>1.04062110040104E-008</v>
      </c>
      <c r="N727" s="58" t="n">
        <f aca="false">IF(L727=1,M727*$B$25,0)</f>
        <v>0</v>
      </c>
      <c r="O727" s="58" t="n">
        <f aca="false">IF(L727=1,M727+N727-$B$29,M727)</f>
        <v>1.04062110040104E-008</v>
      </c>
      <c r="P727" s="56" t="n">
        <f aca="false">IF(L727=1,IF($B$29&lt;=N727,1,0),0)</f>
        <v>0</v>
      </c>
      <c r="Q727" s="58" t="n">
        <f aca="false">Q726+N727</f>
        <v>215608.5191027</v>
      </c>
    </row>
    <row r="728" customFormat="false" ht="15" hidden="false" customHeight="false" outlineLevel="0" collapsed="false">
      <c r="K728" s="56" t="n">
        <f aca="false">K727+1</f>
        <v>721</v>
      </c>
      <c r="L728" s="57" t="n">
        <f aca="false">IF(AND(K728&lt;=Assumptions!$C$42,L727=1,P727=0,O727&gt;Assumptions!$C$43),1,0)</f>
        <v>0</v>
      </c>
      <c r="M728" s="58" t="n">
        <f aca="false">O727</f>
        <v>1.04062110040104E-008</v>
      </c>
      <c r="N728" s="58" t="n">
        <f aca="false">IF(L728=1,M728*$B$25,0)</f>
        <v>0</v>
      </c>
      <c r="O728" s="58" t="n">
        <f aca="false">IF(L728=1,M728+N728-$B$29,M728)</f>
        <v>1.04062110040104E-008</v>
      </c>
      <c r="P728" s="56" t="n">
        <f aca="false">IF(L728=1,IF($B$29&lt;=N728,1,0),0)</f>
        <v>0</v>
      </c>
      <c r="Q728" s="58" t="n">
        <f aca="false">Q727+N728</f>
        <v>215608.5191027</v>
      </c>
    </row>
    <row r="729" customFormat="false" ht="15" hidden="false" customHeight="false" outlineLevel="0" collapsed="false">
      <c r="K729" s="56" t="n">
        <f aca="false">K728+1</f>
        <v>722</v>
      </c>
      <c r="L729" s="57" t="n">
        <f aca="false">IF(AND(K729&lt;=Assumptions!$C$42,L728=1,P728=0,O728&gt;Assumptions!$C$43),1,0)</f>
        <v>0</v>
      </c>
      <c r="M729" s="58" t="n">
        <f aca="false">O728</f>
        <v>1.04062110040104E-008</v>
      </c>
      <c r="N729" s="58" t="n">
        <f aca="false">IF(L729=1,M729*$B$25,0)</f>
        <v>0</v>
      </c>
      <c r="O729" s="58" t="n">
        <f aca="false">IF(L729=1,M729+N729-$B$29,M729)</f>
        <v>1.04062110040104E-008</v>
      </c>
      <c r="P729" s="56" t="n">
        <f aca="false">IF(L729=1,IF($B$29&lt;=N729,1,0),0)</f>
        <v>0</v>
      </c>
      <c r="Q729" s="58" t="n">
        <f aca="false">Q728+N729</f>
        <v>215608.5191027</v>
      </c>
    </row>
    <row r="730" customFormat="false" ht="15" hidden="false" customHeight="false" outlineLevel="0" collapsed="false">
      <c r="K730" s="56" t="n">
        <f aca="false">K729+1</f>
        <v>723</v>
      </c>
      <c r="L730" s="57" t="n">
        <f aca="false">IF(AND(K730&lt;=Assumptions!$C$42,L729=1,P729=0,O729&gt;Assumptions!$C$43),1,0)</f>
        <v>0</v>
      </c>
      <c r="M730" s="58" t="n">
        <f aca="false">O729</f>
        <v>1.04062110040104E-008</v>
      </c>
      <c r="N730" s="58" t="n">
        <f aca="false">IF(L730=1,M730*$B$25,0)</f>
        <v>0</v>
      </c>
      <c r="O730" s="58" t="n">
        <f aca="false">IF(L730=1,M730+N730-$B$29,M730)</f>
        <v>1.04062110040104E-008</v>
      </c>
      <c r="P730" s="56" t="n">
        <f aca="false">IF(L730=1,IF($B$29&lt;=N730,1,0),0)</f>
        <v>0</v>
      </c>
      <c r="Q730" s="58" t="n">
        <f aca="false">Q729+N730</f>
        <v>215608.5191027</v>
      </c>
    </row>
    <row r="731" customFormat="false" ht="15" hidden="false" customHeight="false" outlineLevel="0" collapsed="false">
      <c r="K731" s="56" t="n">
        <f aca="false">K730+1</f>
        <v>724</v>
      </c>
      <c r="L731" s="57" t="n">
        <f aca="false">IF(AND(K731&lt;=Assumptions!$C$42,L730=1,P730=0,O730&gt;Assumptions!$C$43),1,0)</f>
        <v>0</v>
      </c>
      <c r="M731" s="58" t="n">
        <f aca="false">O730</f>
        <v>1.04062110040104E-008</v>
      </c>
      <c r="N731" s="58" t="n">
        <f aca="false">IF(L731=1,M731*$B$25,0)</f>
        <v>0</v>
      </c>
      <c r="O731" s="58" t="n">
        <f aca="false">IF(L731=1,M731+N731-$B$29,M731)</f>
        <v>1.04062110040104E-008</v>
      </c>
      <c r="P731" s="56" t="n">
        <f aca="false">IF(L731=1,IF($B$29&lt;=N731,1,0),0)</f>
        <v>0</v>
      </c>
      <c r="Q731" s="58" t="n">
        <f aca="false">Q730+N731</f>
        <v>215608.5191027</v>
      </c>
    </row>
    <row r="732" customFormat="false" ht="15" hidden="false" customHeight="false" outlineLevel="0" collapsed="false">
      <c r="K732" s="56" t="n">
        <f aca="false">K731+1</f>
        <v>725</v>
      </c>
      <c r="L732" s="57" t="n">
        <f aca="false">IF(AND(K732&lt;=Assumptions!$C$42,L731=1,P731=0,O731&gt;Assumptions!$C$43),1,0)</f>
        <v>0</v>
      </c>
      <c r="M732" s="58" t="n">
        <f aca="false">O731</f>
        <v>1.04062110040104E-008</v>
      </c>
      <c r="N732" s="58" t="n">
        <f aca="false">IF(L732=1,M732*$B$25,0)</f>
        <v>0</v>
      </c>
      <c r="O732" s="58" t="n">
        <f aca="false">IF(L732=1,M732+N732-$B$29,M732)</f>
        <v>1.04062110040104E-008</v>
      </c>
      <c r="P732" s="56" t="n">
        <f aca="false">IF(L732=1,IF($B$29&lt;=N732,1,0),0)</f>
        <v>0</v>
      </c>
      <c r="Q732" s="58" t="n">
        <f aca="false">Q731+N732</f>
        <v>215608.5191027</v>
      </c>
    </row>
    <row r="733" customFormat="false" ht="15" hidden="false" customHeight="false" outlineLevel="0" collapsed="false">
      <c r="K733" s="56" t="n">
        <f aca="false">K732+1</f>
        <v>726</v>
      </c>
      <c r="L733" s="57" t="n">
        <f aca="false">IF(AND(K733&lt;=Assumptions!$C$42,L732=1,P732=0,O732&gt;Assumptions!$C$43),1,0)</f>
        <v>0</v>
      </c>
      <c r="M733" s="58" t="n">
        <f aca="false">O732</f>
        <v>1.04062110040104E-008</v>
      </c>
      <c r="N733" s="58" t="n">
        <f aca="false">IF(L733=1,M733*$B$25,0)</f>
        <v>0</v>
      </c>
      <c r="O733" s="58" t="n">
        <f aca="false">IF(L733=1,M733+N733-$B$29,M733)</f>
        <v>1.04062110040104E-008</v>
      </c>
      <c r="P733" s="56" t="n">
        <f aca="false">IF(L733=1,IF($B$29&lt;=N733,1,0),0)</f>
        <v>0</v>
      </c>
      <c r="Q733" s="58" t="n">
        <f aca="false">Q732+N733</f>
        <v>215608.5191027</v>
      </c>
    </row>
    <row r="734" customFormat="false" ht="15" hidden="false" customHeight="false" outlineLevel="0" collapsed="false">
      <c r="K734" s="56" t="n">
        <f aca="false">K733+1</f>
        <v>727</v>
      </c>
      <c r="L734" s="57" t="n">
        <f aca="false">IF(AND(K734&lt;=Assumptions!$C$42,L733=1,P733=0,O733&gt;Assumptions!$C$43),1,0)</f>
        <v>0</v>
      </c>
      <c r="M734" s="58" t="n">
        <f aca="false">O733</f>
        <v>1.04062110040104E-008</v>
      </c>
      <c r="N734" s="58" t="n">
        <f aca="false">IF(L734=1,M734*$B$25,0)</f>
        <v>0</v>
      </c>
      <c r="O734" s="58" t="n">
        <f aca="false">IF(L734=1,M734+N734-$B$29,M734)</f>
        <v>1.04062110040104E-008</v>
      </c>
      <c r="P734" s="56" t="n">
        <f aca="false">IF(L734=1,IF($B$29&lt;=N734,1,0),0)</f>
        <v>0</v>
      </c>
      <c r="Q734" s="58" t="n">
        <f aca="false">Q733+N734</f>
        <v>215608.5191027</v>
      </c>
    </row>
    <row r="735" customFormat="false" ht="15" hidden="false" customHeight="false" outlineLevel="0" collapsed="false">
      <c r="K735" s="56" t="n">
        <f aca="false">K734+1</f>
        <v>728</v>
      </c>
      <c r="L735" s="57" t="n">
        <f aca="false">IF(AND(K735&lt;=Assumptions!$C$42,L734=1,P734=0,O734&gt;Assumptions!$C$43),1,0)</f>
        <v>0</v>
      </c>
      <c r="M735" s="58" t="n">
        <f aca="false">O734</f>
        <v>1.04062110040104E-008</v>
      </c>
      <c r="N735" s="58" t="n">
        <f aca="false">IF(L735=1,M735*$B$25,0)</f>
        <v>0</v>
      </c>
      <c r="O735" s="58" t="n">
        <f aca="false">IF(L735=1,M735+N735-$B$29,M735)</f>
        <v>1.04062110040104E-008</v>
      </c>
      <c r="P735" s="56" t="n">
        <f aca="false">IF(L735=1,IF($B$29&lt;=N735,1,0),0)</f>
        <v>0</v>
      </c>
      <c r="Q735" s="58" t="n">
        <f aca="false">Q734+N735</f>
        <v>215608.5191027</v>
      </c>
    </row>
    <row r="736" customFormat="false" ht="15" hidden="false" customHeight="false" outlineLevel="0" collapsed="false">
      <c r="K736" s="56" t="n">
        <f aca="false">K735+1</f>
        <v>729</v>
      </c>
      <c r="L736" s="57" t="n">
        <f aca="false">IF(AND(K736&lt;=Assumptions!$C$42,L735=1,P735=0,O735&gt;Assumptions!$C$43),1,0)</f>
        <v>0</v>
      </c>
      <c r="M736" s="58" t="n">
        <f aca="false">O735</f>
        <v>1.04062110040104E-008</v>
      </c>
      <c r="N736" s="58" t="n">
        <f aca="false">IF(L736=1,M736*$B$25,0)</f>
        <v>0</v>
      </c>
      <c r="O736" s="58" t="n">
        <f aca="false">IF(L736=1,M736+N736-$B$29,M736)</f>
        <v>1.04062110040104E-008</v>
      </c>
      <c r="P736" s="56" t="n">
        <f aca="false">IF(L736=1,IF($B$29&lt;=N736,1,0),0)</f>
        <v>0</v>
      </c>
      <c r="Q736" s="58" t="n">
        <f aca="false">Q735+N736</f>
        <v>215608.5191027</v>
      </c>
    </row>
    <row r="737" customFormat="false" ht="15" hidden="false" customHeight="false" outlineLevel="0" collapsed="false">
      <c r="K737" s="56" t="n">
        <f aca="false">K736+1</f>
        <v>730</v>
      </c>
      <c r="L737" s="57" t="n">
        <f aca="false">IF(AND(K737&lt;=Assumptions!$C$42,L736=1,P736=0,O736&gt;Assumptions!$C$43),1,0)</f>
        <v>0</v>
      </c>
      <c r="M737" s="58" t="n">
        <f aca="false">O736</f>
        <v>1.04062110040104E-008</v>
      </c>
      <c r="N737" s="58" t="n">
        <f aca="false">IF(L737=1,M737*$B$25,0)</f>
        <v>0</v>
      </c>
      <c r="O737" s="58" t="n">
        <f aca="false">IF(L737=1,M737+N737-$B$29,M737)</f>
        <v>1.04062110040104E-008</v>
      </c>
      <c r="P737" s="56" t="n">
        <f aca="false">IF(L737=1,IF($B$29&lt;=N737,1,0),0)</f>
        <v>0</v>
      </c>
      <c r="Q737" s="58" t="n">
        <f aca="false">Q736+N737</f>
        <v>215608.5191027</v>
      </c>
    </row>
    <row r="738" customFormat="false" ht="15" hidden="false" customHeight="false" outlineLevel="0" collapsed="false">
      <c r="K738" s="56" t="n">
        <f aca="false">K737+1</f>
        <v>731</v>
      </c>
      <c r="L738" s="57" t="n">
        <f aca="false">IF(AND(K738&lt;=Assumptions!$C$42,L737=1,P737=0,O737&gt;Assumptions!$C$43),1,0)</f>
        <v>0</v>
      </c>
      <c r="M738" s="58" t="n">
        <f aca="false">O737</f>
        <v>1.04062110040104E-008</v>
      </c>
      <c r="N738" s="58" t="n">
        <f aca="false">IF(L738=1,M738*$B$25,0)</f>
        <v>0</v>
      </c>
      <c r="O738" s="58" t="n">
        <f aca="false">IF(L738=1,M738+N738-$B$29,M738)</f>
        <v>1.04062110040104E-008</v>
      </c>
      <c r="P738" s="56" t="n">
        <f aca="false">IF(L738=1,IF($B$29&lt;=N738,1,0),0)</f>
        <v>0</v>
      </c>
      <c r="Q738" s="58" t="n">
        <f aca="false">Q737+N738</f>
        <v>215608.5191027</v>
      </c>
    </row>
    <row r="739" customFormat="false" ht="15" hidden="false" customHeight="false" outlineLevel="0" collapsed="false">
      <c r="K739" s="56" t="n">
        <f aca="false">K738+1</f>
        <v>732</v>
      </c>
      <c r="L739" s="57" t="n">
        <f aca="false">IF(AND(K739&lt;=Assumptions!$C$42,L738=1,P738=0,O738&gt;Assumptions!$C$43),1,0)</f>
        <v>0</v>
      </c>
      <c r="M739" s="58" t="n">
        <f aca="false">O738</f>
        <v>1.04062110040104E-008</v>
      </c>
      <c r="N739" s="58" t="n">
        <f aca="false">IF(L739=1,M739*$B$25,0)</f>
        <v>0</v>
      </c>
      <c r="O739" s="58" t="n">
        <f aca="false">IF(L739=1,M739+N739-$B$29,M739)</f>
        <v>1.04062110040104E-008</v>
      </c>
      <c r="P739" s="56" t="n">
        <f aca="false">IF(L739=1,IF($B$29&lt;=N739,1,0),0)</f>
        <v>0</v>
      </c>
      <c r="Q739" s="58" t="n">
        <f aca="false">Q738+N739</f>
        <v>215608.5191027</v>
      </c>
    </row>
    <row r="740" customFormat="false" ht="15" hidden="false" customHeight="false" outlineLevel="0" collapsed="false">
      <c r="K740" s="56" t="n">
        <f aca="false">K739+1</f>
        <v>733</v>
      </c>
      <c r="L740" s="57" t="n">
        <f aca="false">IF(AND(K740&lt;=Assumptions!$C$42,L739=1,P739=0,O739&gt;Assumptions!$C$43),1,0)</f>
        <v>0</v>
      </c>
      <c r="M740" s="58" t="n">
        <f aca="false">O739</f>
        <v>1.04062110040104E-008</v>
      </c>
      <c r="N740" s="58" t="n">
        <f aca="false">IF(L740=1,M740*$B$25,0)</f>
        <v>0</v>
      </c>
      <c r="O740" s="58" t="n">
        <f aca="false">IF(L740=1,M740+N740-$B$29,M740)</f>
        <v>1.04062110040104E-008</v>
      </c>
      <c r="P740" s="56" t="n">
        <f aca="false">IF(L740=1,IF($B$29&lt;=N740,1,0),0)</f>
        <v>0</v>
      </c>
      <c r="Q740" s="58" t="n">
        <f aca="false">Q739+N740</f>
        <v>215608.5191027</v>
      </c>
    </row>
    <row r="741" customFormat="false" ht="15" hidden="false" customHeight="false" outlineLevel="0" collapsed="false">
      <c r="K741" s="56" t="n">
        <f aca="false">K740+1</f>
        <v>734</v>
      </c>
      <c r="L741" s="57" t="n">
        <f aca="false">IF(AND(K741&lt;=Assumptions!$C$42,L740=1,P740=0,O740&gt;Assumptions!$C$43),1,0)</f>
        <v>0</v>
      </c>
      <c r="M741" s="58" t="n">
        <f aca="false">O740</f>
        <v>1.04062110040104E-008</v>
      </c>
      <c r="N741" s="58" t="n">
        <f aca="false">IF(L741=1,M741*$B$25,0)</f>
        <v>0</v>
      </c>
      <c r="O741" s="58" t="n">
        <f aca="false">IF(L741=1,M741+N741-$B$29,M741)</f>
        <v>1.04062110040104E-008</v>
      </c>
      <c r="P741" s="56" t="n">
        <f aca="false">IF(L741=1,IF($B$29&lt;=N741,1,0),0)</f>
        <v>0</v>
      </c>
      <c r="Q741" s="58" t="n">
        <f aca="false">Q740+N741</f>
        <v>215608.5191027</v>
      </c>
    </row>
    <row r="742" customFormat="false" ht="15" hidden="false" customHeight="false" outlineLevel="0" collapsed="false">
      <c r="K742" s="56" t="n">
        <f aca="false">K741+1</f>
        <v>735</v>
      </c>
      <c r="L742" s="57" t="n">
        <f aca="false">IF(AND(K742&lt;=Assumptions!$C$42,L741=1,P741=0,O741&gt;Assumptions!$C$43),1,0)</f>
        <v>0</v>
      </c>
      <c r="M742" s="58" t="n">
        <f aca="false">O741</f>
        <v>1.04062110040104E-008</v>
      </c>
      <c r="N742" s="58" t="n">
        <f aca="false">IF(L742=1,M742*$B$25,0)</f>
        <v>0</v>
      </c>
      <c r="O742" s="58" t="n">
        <f aca="false">IF(L742=1,M742+N742-$B$29,M742)</f>
        <v>1.04062110040104E-008</v>
      </c>
      <c r="P742" s="56" t="n">
        <f aca="false">IF(L742=1,IF($B$29&lt;=N742,1,0),0)</f>
        <v>0</v>
      </c>
      <c r="Q742" s="58" t="n">
        <f aca="false">Q741+N742</f>
        <v>215608.5191027</v>
      </c>
    </row>
    <row r="743" customFormat="false" ht="15" hidden="false" customHeight="false" outlineLevel="0" collapsed="false">
      <c r="K743" s="56" t="n">
        <f aca="false">K742+1</f>
        <v>736</v>
      </c>
      <c r="L743" s="57" t="n">
        <f aca="false">IF(AND(K743&lt;=Assumptions!$C$42,L742=1,P742=0,O742&gt;Assumptions!$C$43),1,0)</f>
        <v>0</v>
      </c>
      <c r="M743" s="58" t="n">
        <f aca="false">O742</f>
        <v>1.04062110040104E-008</v>
      </c>
      <c r="N743" s="58" t="n">
        <f aca="false">IF(L743=1,M743*$B$25,0)</f>
        <v>0</v>
      </c>
      <c r="O743" s="58" t="n">
        <f aca="false">IF(L743=1,M743+N743-$B$29,M743)</f>
        <v>1.04062110040104E-008</v>
      </c>
      <c r="P743" s="56" t="n">
        <f aca="false">IF(L743=1,IF($B$29&lt;=N743,1,0),0)</f>
        <v>0</v>
      </c>
      <c r="Q743" s="58" t="n">
        <f aca="false">Q742+N743</f>
        <v>215608.5191027</v>
      </c>
    </row>
    <row r="744" customFormat="false" ht="15" hidden="false" customHeight="false" outlineLevel="0" collapsed="false">
      <c r="K744" s="56" t="n">
        <f aca="false">K743+1</f>
        <v>737</v>
      </c>
      <c r="L744" s="57" t="n">
        <f aca="false">IF(AND(K744&lt;=Assumptions!$C$42,L743=1,P743=0,O743&gt;Assumptions!$C$43),1,0)</f>
        <v>0</v>
      </c>
      <c r="M744" s="58" t="n">
        <f aca="false">O743</f>
        <v>1.04062110040104E-008</v>
      </c>
      <c r="N744" s="58" t="n">
        <f aca="false">IF(L744=1,M744*$B$25,0)</f>
        <v>0</v>
      </c>
      <c r="O744" s="58" t="n">
        <f aca="false">IF(L744=1,M744+N744-$B$29,M744)</f>
        <v>1.04062110040104E-008</v>
      </c>
      <c r="P744" s="56" t="n">
        <f aca="false">IF(L744=1,IF($B$29&lt;=N744,1,0),0)</f>
        <v>0</v>
      </c>
      <c r="Q744" s="58" t="n">
        <f aca="false">Q743+N744</f>
        <v>215608.5191027</v>
      </c>
    </row>
    <row r="745" customFormat="false" ht="15" hidden="false" customHeight="false" outlineLevel="0" collapsed="false">
      <c r="K745" s="56" t="n">
        <f aca="false">K744+1</f>
        <v>738</v>
      </c>
      <c r="L745" s="57" t="n">
        <f aca="false">IF(AND(K745&lt;=Assumptions!$C$42,L744=1,P744=0,O744&gt;Assumptions!$C$43),1,0)</f>
        <v>0</v>
      </c>
      <c r="M745" s="58" t="n">
        <f aca="false">O744</f>
        <v>1.04062110040104E-008</v>
      </c>
      <c r="N745" s="58" t="n">
        <f aca="false">IF(L745=1,M745*$B$25,0)</f>
        <v>0</v>
      </c>
      <c r="O745" s="58" t="n">
        <f aca="false">IF(L745=1,M745+N745-$B$29,M745)</f>
        <v>1.04062110040104E-008</v>
      </c>
      <c r="P745" s="56" t="n">
        <f aca="false">IF(L745=1,IF($B$29&lt;=N745,1,0),0)</f>
        <v>0</v>
      </c>
      <c r="Q745" s="58" t="n">
        <f aca="false">Q744+N745</f>
        <v>215608.5191027</v>
      </c>
    </row>
    <row r="746" customFormat="false" ht="15" hidden="false" customHeight="false" outlineLevel="0" collapsed="false">
      <c r="K746" s="56" t="n">
        <f aca="false">K745+1</f>
        <v>739</v>
      </c>
      <c r="L746" s="57" t="n">
        <f aca="false">IF(AND(K746&lt;=Assumptions!$C$42,L745=1,P745=0,O745&gt;Assumptions!$C$43),1,0)</f>
        <v>0</v>
      </c>
      <c r="M746" s="58" t="n">
        <f aca="false">O745</f>
        <v>1.04062110040104E-008</v>
      </c>
      <c r="N746" s="58" t="n">
        <f aca="false">IF(L746=1,M746*$B$25,0)</f>
        <v>0</v>
      </c>
      <c r="O746" s="58" t="n">
        <f aca="false">IF(L746=1,M746+N746-$B$29,M746)</f>
        <v>1.04062110040104E-008</v>
      </c>
      <c r="P746" s="56" t="n">
        <f aca="false">IF(L746=1,IF($B$29&lt;=N746,1,0),0)</f>
        <v>0</v>
      </c>
      <c r="Q746" s="58" t="n">
        <f aca="false">Q745+N746</f>
        <v>215608.5191027</v>
      </c>
    </row>
    <row r="747" customFormat="false" ht="15" hidden="false" customHeight="false" outlineLevel="0" collapsed="false">
      <c r="K747" s="56" t="n">
        <f aca="false">K746+1</f>
        <v>740</v>
      </c>
      <c r="L747" s="57" t="n">
        <f aca="false">IF(AND(K747&lt;=Assumptions!$C$42,L746=1,P746=0,O746&gt;Assumptions!$C$43),1,0)</f>
        <v>0</v>
      </c>
      <c r="M747" s="58" t="n">
        <f aca="false">O746</f>
        <v>1.04062110040104E-008</v>
      </c>
      <c r="N747" s="58" t="n">
        <f aca="false">IF(L747=1,M747*$B$25,0)</f>
        <v>0</v>
      </c>
      <c r="O747" s="58" t="n">
        <f aca="false">IF(L747=1,M747+N747-$B$29,M747)</f>
        <v>1.04062110040104E-008</v>
      </c>
      <c r="P747" s="56" t="n">
        <f aca="false">IF(L747=1,IF($B$29&lt;=N747,1,0),0)</f>
        <v>0</v>
      </c>
      <c r="Q747" s="58" t="n">
        <f aca="false">Q746+N747</f>
        <v>215608.5191027</v>
      </c>
    </row>
    <row r="748" customFormat="false" ht="15" hidden="false" customHeight="false" outlineLevel="0" collapsed="false">
      <c r="K748" s="56" t="n">
        <f aca="false">K747+1</f>
        <v>741</v>
      </c>
      <c r="L748" s="57" t="n">
        <f aca="false">IF(AND(K748&lt;=Assumptions!$C$42,L747=1,P747=0,O747&gt;Assumptions!$C$43),1,0)</f>
        <v>0</v>
      </c>
      <c r="M748" s="58" t="n">
        <f aca="false">O747</f>
        <v>1.04062110040104E-008</v>
      </c>
      <c r="N748" s="58" t="n">
        <f aca="false">IF(L748=1,M748*$B$25,0)</f>
        <v>0</v>
      </c>
      <c r="O748" s="58" t="n">
        <f aca="false">IF(L748=1,M748+N748-$B$29,M748)</f>
        <v>1.04062110040104E-008</v>
      </c>
      <c r="P748" s="56" t="n">
        <f aca="false">IF(L748=1,IF($B$29&lt;=N748,1,0),0)</f>
        <v>0</v>
      </c>
      <c r="Q748" s="58" t="n">
        <f aca="false">Q747+N748</f>
        <v>215608.5191027</v>
      </c>
    </row>
    <row r="749" customFormat="false" ht="15" hidden="false" customHeight="false" outlineLevel="0" collapsed="false">
      <c r="K749" s="56" t="n">
        <f aca="false">K748+1</f>
        <v>742</v>
      </c>
      <c r="L749" s="57" t="n">
        <f aca="false">IF(AND(K749&lt;=Assumptions!$C$42,L748=1,P748=0,O748&gt;Assumptions!$C$43),1,0)</f>
        <v>0</v>
      </c>
      <c r="M749" s="58" t="n">
        <f aca="false">O748</f>
        <v>1.04062110040104E-008</v>
      </c>
      <c r="N749" s="58" t="n">
        <f aca="false">IF(L749=1,M749*$B$25,0)</f>
        <v>0</v>
      </c>
      <c r="O749" s="58" t="n">
        <f aca="false">IF(L749=1,M749+N749-$B$29,M749)</f>
        <v>1.04062110040104E-008</v>
      </c>
      <c r="P749" s="56" t="n">
        <f aca="false">IF(L749=1,IF($B$29&lt;=N749,1,0),0)</f>
        <v>0</v>
      </c>
      <c r="Q749" s="58" t="n">
        <f aca="false">Q748+N749</f>
        <v>215608.5191027</v>
      </c>
    </row>
    <row r="750" customFormat="false" ht="15" hidden="false" customHeight="false" outlineLevel="0" collapsed="false">
      <c r="K750" s="56" t="n">
        <f aca="false">K749+1</f>
        <v>743</v>
      </c>
      <c r="L750" s="57" t="n">
        <f aca="false">IF(AND(K750&lt;=Assumptions!$C$42,L749=1,P749=0,O749&gt;Assumptions!$C$43),1,0)</f>
        <v>0</v>
      </c>
      <c r="M750" s="58" t="n">
        <f aca="false">O749</f>
        <v>1.04062110040104E-008</v>
      </c>
      <c r="N750" s="58" t="n">
        <f aca="false">IF(L750=1,M750*$B$25,0)</f>
        <v>0</v>
      </c>
      <c r="O750" s="58" t="n">
        <f aca="false">IF(L750=1,M750+N750-$B$29,M750)</f>
        <v>1.04062110040104E-008</v>
      </c>
      <c r="P750" s="56" t="n">
        <f aca="false">IF(L750=1,IF($B$29&lt;=N750,1,0),0)</f>
        <v>0</v>
      </c>
      <c r="Q750" s="58" t="n">
        <f aca="false">Q749+N750</f>
        <v>215608.5191027</v>
      </c>
    </row>
    <row r="751" customFormat="false" ht="15" hidden="false" customHeight="false" outlineLevel="0" collapsed="false">
      <c r="K751" s="56" t="n">
        <f aca="false">K750+1</f>
        <v>744</v>
      </c>
      <c r="L751" s="57" t="n">
        <f aca="false">IF(AND(K751&lt;=Assumptions!$C$42,L750=1,P750=0,O750&gt;Assumptions!$C$43),1,0)</f>
        <v>0</v>
      </c>
      <c r="M751" s="58" t="n">
        <f aca="false">O750</f>
        <v>1.04062110040104E-008</v>
      </c>
      <c r="N751" s="58" t="n">
        <f aca="false">IF(L751=1,M751*$B$25,0)</f>
        <v>0</v>
      </c>
      <c r="O751" s="58" t="n">
        <f aca="false">IF(L751=1,M751+N751-$B$29,M751)</f>
        <v>1.04062110040104E-008</v>
      </c>
      <c r="P751" s="56" t="n">
        <f aca="false">IF(L751=1,IF($B$29&lt;=N751,1,0),0)</f>
        <v>0</v>
      </c>
      <c r="Q751" s="58" t="n">
        <f aca="false">Q750+N751</f>
        <v>215608.5191027</v>
      </c>
    </row>
    <row r="752" customFormat="false" ht="15" hidden="false" customHeight="false" outlineLevel="0" collapsed="false">
      <c r="K752" s="56" t="n">
        <f aca="false">K751+1</f>
        <v>745</v>
      </c>
      <c r="L752" s="57" t="n">
        <f aca="false">IF(AND(K752&lt;=Assumptions!$C$42,L751=1,P751=0,O751&gt;Assumptions!$C$43),1,0)</f>
        <v>0</v>
      </c>
      <c r="M752" s="58" t="n">
        <f aca="false">O751</f>
        <v>1.04062110040104E-008</v>
      </c>
      <c r="N752" s="58" t="n">
        <f aca="false">IF(L752=1,M752*$B$25,0)</f>
        <v>0</v>
      </c>
      <c r="O752" s="58" t="n">
        <f aca="false">IF(L752=1,M752+N752-$B$29,M752)</f>
        <v>1.04062110040104E-008</v>
      </c>
      <c r="P752" s="56" t="n">
        <f aca="false">IF(L752=1,IF($B$29&lt;=N752,1,0),0)</f>
        <v>0</v>
      </c>
      <c r="Q752" s="58" t="n">
        <f aca="false">Q751+N752</f>
        <v>215608.5191027</v>
      </c>
    </row>
    <row r="753" customFormat="false" ht="15" hidden="false" customHeight="false" outlineLevel="0" collapsed="false">
      <c r="K753" s="56" t="n">
        <f aca="false">K752+1</f>
        <v>746</v>
      </c>
      <c r="L753" s="57" t="n">
        <f aca="false">IF(AND(K753&lt;=Assumptions!$C$42,L752=1,P752=0,O752&gt;Assumptions!$C$43),1,0)</f>
        <v>0</v>
      </c>
      <c r="M753" s="58" t="n">
        <f aca="false">O752</f>
        <v>1.04062110040104E-008</v>
      </c>
      <c r="N753" s="58" t="n">
        <f aca="false">IF(L753=1,M753*$B$25,0)</f>
        <v>0</v>
      </c>
      <c r="O753" s="58" t="n">
        <f aca="false">IF(L753=1,M753+N753-$B$29,M753)</f>
        <v>1.04062110040104E-008</v>
      </c>
      <c r="P753" s="56" t="n">
        <f aca="false">IF(L753=1,IF($B$29&lt;=N753,1,0),0)</f>
        <v>0</v>
      </c>
      <c r="Q753" s="58" t="n">
        <f aca="false">Q752+N753</f>
        <v>215608.5191027</v>
      </c>
    </row>
    <row r="754" customFormat="false" ht="15" hidden="false" customHeight="false" outlineLevel="0" collapsed="false">
      <c r="K754" s="56" t="n">
        <f aca="false">K753+1</f>
        <v>747</v>
      </c>
      <c r="L754" s="57" t="n">
        <f aca="false">IF(AND(K754&lt;=Assumptions!$C$42,L753=1,P753=0,O753&gt;Assumptions!$C$43),1,0)</f>
        <v>0</v>
      </c>
      <c r="M754" s="58" t="n">
        <f aca="false">O753</f>
        <v>1.04062110040104E-008</v>
      </c>
      <c r="N754" s="58" t="n">
        <f aca="false">IF(L754=1,M754*$B$25,0)</f>
        <v>0</v>
      </c>
      <c r="O754" s="58" t="n">
        <f aca="false">IF(L754=1,M754+N754-$B$29,M754)</f>
        <v>1.04062110040104E-008</v>
      </c>
      <c r="P754" s="56" t="n">
        <f aca="false">IF(L754=1,IF($B$29&lt;=N754,1,0),0)</f>
        <v>0</v>
      </c>
      <c r="Q754" s="58" t="n">
        <f aca="false">Q753+N754</f>
        <v>215608.5191027</v>
      </c>
    </row>
    <row r="755" customFormat="false" ht="15" hidden="false" customHeight="false" outlineLevel="0" collapsed="false">
      <c r="K755" s="56" t="n">
        <f aca="false">K754+1</f>
        <v>748</v>
      </c>
      <c r="L755" s="57" t="n">
        <f aca="false">IF(AND(K755&lt;=Assumptions!$C$42,L754=1,P754=0,O754&gt;Assumptions!$C$43),1,0)</f>
        <v>0</v>
      </c>
      <c r="M755" s="58" t="n">
        <f aca="false">O754</f>
        <v>1.04062110040104E-008</v>
      </c>
      <c r="N755" s="58" t="n">
        <f aca="false">IF(L755=1,M755*$B$25,0)</f>
        <v>0</v>
      </c>
      <c r="O755" s="58" t="n">
        <f aca="false">IF(L755=1,M755+N755-$B$29,M755)</f>
        <v>1.04062110040104E-008</v>
      </c>
      <c r="P755" s="56" t="n">
        <f aca="false">IF(L755=1,IF($B$29&lt;=N755,1,0),0)</f>
        <v>0</v>
      </c>
      <c r="Q755" s="58" t="n">
        <f aca="false">Q754+N755</f>
        <v>215608.5191027</v>
      </c>
    </row>
    <row r="756" customFormat="false" ht="15" hidden="false" customHeight="false" outlineLevel="0" collapsed="false">
      <c r="K756" s="56" t="n">
        <f aca="false">K755+1</f>
        <v>749</v>
      </c>
      <c r="L756" s="57" t="n">
        <f aca="false">IF(AND(K756&lt;=Assumptions!$C$42,L755=1,P755=0,O755&gt;Assumptions!$C$43),1,0)</f>
        <v>0</v>
      </c>
      <c r="M756" s="58" t="n">
        <f aca="false">O755</f>
        <v>1.04062110040104E-008</v>
      </c>
      <c r="N756" s="58" t="n">
        <f aca="false">IF(L756=1,M756*$B$25,0)</f>
        <v>0</v>
      </c>
      <c r="O756" s="58" t="n">
        <f aca="false">IF(L756=1,M756+N756-$B$29,M756)</f>
        <v>1.04062110040104E-008</v>
      </c>
      <c r="P756" s="56" t="n">
        <f aca="false">IF(L756=1,IF($B$29&lt;=N756,1,0),0)</f>
        <v>0</v>
      </c>
      <c r="Q756" s="58" t="n">
        <f aca="false">Q755+N756</f>
        <v>215608.5191027</v>
      </c>
    </row>
    <row r="757" customFormat="false" ht="15" hidden="false" customHeight="false" outlineLevel="0" collapsed="false">
      <c r="K757" s="56" t="n">
        <f aca="false">K756+1</f>
        <v>750</v>
      </c>
      <c r="L757" s="57" t="n">
        <f aca="false">IF(AND(K757&lt;=Assumptions!$C$42,L756=1,P756=0,O756&gt;Assumptions!$C$43),1,0)</f>
        <v>0</v>
      </c>
      <c r="M757" s="58" t="n">
        <f aca="false">O756</f>
        <v>1.04062110040104E-008</v>
      </c>
      <c r="N757" s="58" t="n">
        <f aca="false">IF(L757=1,M757*$B$25,0)</f>
        <v>0</v>
      </c>
      <c r="O757" s="58" t="n">
        <f aca="false">IF(L757=1,M757+N757-$B$29,M757)</f>
        <v>1.04062110040104E-008</v>
      </c>
      <c r="P757" s="56" t="n">
        <f aca="false">IF(L757=1,IF($B$29&lt;=N757,1,0),0)</f>
        <v>0</v>
      </c>
      <c r="Q757" s="58" t="n">
        <f aca="false">Q756+N757</f>
        <v>215608.5191027</v>
      </c>
    </row>
    <row r="758" customFormat="false" ht="15" hidden="false" customHeight="false" outlineLevel="0" collapsed="false">
      <c r="K758" s="56" t="n">
        <f aca="false">K757+1</f>
        <v>751</v>
      </c>
      <c r="L758" s="57" t="n">
        <f aca="false">IF(AND(K758&lt;=Assumptions!$C$42,L757=1,P757=0,O757&gt;Assumptions!$C$43),1,0)</f>
        <v>0</v>
      </c>
      <c r="M758" s="58" t="n">
        <f aca="false">O757</f>
        <v>1.04062110040104E-008</v>
      </c>
      <c r="N758" s="58" t="n">
        <f aca="false">IF(L758=1,M758*$B$25,0)</f>
        <v>0</v>
      </c>
      <c r="O758" s="58" t="n">
        <f aca="false">IF(L758=1,M758+N758-$B$29,M758)</f>
        <v>1.04062110040104E-008</v>
      </c>
      <c r="P758" s="56" t="n">
        <f aca="false">IF(L758=1,IF($B$29&lt;=N758,1,0),0)</f>
        <v>0</v>
      </c>
      <c r="Q758" s="58" t="n">
        <f aca="false">Q757+N758</f>
        <v>215608.5191027</v>
      </c>
    </row>
    <row r="759" customFormat="false" ht="15" hidden="false" customHeight="false" outlineLevel="0" collapsed="false">
      <c r="K759" s="56" t="n">
        <f aca="false">K758+1</f>
        <v>752</v>
      </c>
      <c r="L759" s="57" t="n">
        <f aca="false">IF(AND(K759&lt;=Assumptions!$C$42,L758=1,P758=0,O758&gt;Assumptions!$C$43),1,0)</f>
        <v>0</v>
      </c>
      <c r="M759" s="58" t="n">
        <f aca="false">O758</f>
        <v>1.04062110040104E-008</v>
      </c>
      <c r="N759" s="58" t="n">
        <f aca="false">IF(L759=1,M759*$B$25,0)</f>
        <v>0</v>
      </c>
      <c r="O759" s="58" t="n">
        <f aca="false">IF(L759=1,M759+N759-$B$29,M759)</f>
        <v>1.04062110040104E-008</v>
      </c>
      <c r="P759" s="56" t="n">
        <f aca="false">IF(L759=1,IF($B$29&lt;=N759,1,0),0)</f>
        <v>0</v>
      </c>
      <c r="Q759" s="58" t="n">
        <f aca="false">Q758+N759</f>
        <v>215608.5191027</v>
      </c>
    </row>
    <row r="760" customFormat="false" ht="15" hidden="false" customHeight="false" outlineLevel="0" collapsed="false">
      <c r="K760" s="56" t="n">
        <f aca="false">K759+1</f>
        <v>753</v>
      </c>
      <c r="L760" s="57" t="n">
        <f aca="false">IF(AND(K760&lt;=Assumptions!$C$42,L759=1,P759=0,O759&gt;Assumptions!$C$43),1,0)</f>
        <v>0</v>
      </c>
      <c r="M760" s="58" t="n">
        <f aca="false">O759</f>
        <v>1.04062110040104E-008</v>
      </c>
      <c r="N760" s="58" t="n">
        <f aca="false">IF(L760=1,M760*$B$25,0)</f>
        <v>0</v>
      </c>
      <c r="O760" s="58" t="n">
        <f aca="false">IF(L760=1,M760+N760-$B$29,M760)</f>
        <v>1.04062110040104E-008</v>
      </c>
      <c r="P760" s="56" t="n">
        <f aca="false">IF(L760=1,IF($B$29&lt;=N760,1,0),0)</f>
        <v>0</v>
      </c>
      <c r="Q760" s="58" t="n">
        <f aca="false">Q759+N760</f>
        <v>215608.5191027</v>
      </c>
    </row>
    <row r="761" customFormat="false" ht="15" hidden="false" customHeight="false" outlineLevel="0" collapsed="false">
      <c r="K761" s="56" t="n">
        <f aca="false">K760+1</f>
        <v>754</v>
      </c>
      <c r="L761" s="57" t="n">
        <f aca="false">IF(AND(K761&lt;=Assumptions!$C$42,L760=1,P760=0,O760&gt;Assumptions!$C$43),1,0)</f>
        <v>0</v>
      </c>
      <c r="M761" s="58" t="n">
        <f aca="false">O760</f>
        <v>1.04062110040104E-008</v>
      </c>
      <c r="N761" s="58" t="n">
        <f aca="false">IF(L761=1,M761*$B$25,0)</f>
        <v>0</v>
      </c>
      <c r="O761" s="58" t="n">
        <f aca="false">IF(L761=1,M761+N761-$B$29,M761)</f>
        <v>1.04062110040104E-008</v>
      </c>
      <c r="P761" s="56" t="n">
        <f aca="false">IF(L761=1,IF($B$29&lt;=N761,1,0),0)</f>
        <v>0</v>
      </c>
      <c r="Q761" s="58" t="n">
        <f aca="false">Q760+N761</f>
        <v>215608.5191027</v>
      </c>
    </row>
    <row r="762" customFormat="false" ht="15" hidden="false" customHeight="false" outlineLevel="0" collapsed="false">
      <c r="K762" s="56" t="n">
        <f aca="false">K761+1</f>
        <v>755</v>
      </c>
      <c r="L762" s="57" t="n">
        <f aca="false">IF(AND(K762&lt;=Assumptions!$C$42,L761=1,P761=0,O761&gt;Assumptions!$C$43),1,0)</f>
        <v>0</v>
      </c>
      <c r="M762" s="58" t="n">
        <f aca="false">O761</f>
        <v>1.04062110040104E-008</v>
      </c>
      <c r="N762" s="58" t="n">
        <f aca="false">IF(L762=1,M762*$B$25,0)</f>
        <v>0</v>
      </c>
      <c r="O762" s="58" t="n">
        <f aca="false">IF(L762=1,M762+N762-$B$29,M762)</f>
        <v>1.04062110040104E-008</v>
      </c>
      <c r="P762" s="56" t="n">
        <f aca="false">IF(L762=1,IF($B$29&lt;=N762,1,0),0)</f>
        <v>0</v>
      </c>
      <c r="Q762" s="58" t="n">
        <f aca="false">Q761+N762</f>
        <v>215608.5191027</v>
      </c>
    </row>
    <row r="763" customFormat="false" ht="15" hidden="false" customHeight="false" outlineLevel="0" collapsed="false">
      <c r="K763" s="56" t="n">
        <f aca="false">K762+1</f>
        <v>756</v>
      </c>
      <c r="L763" s="57" t="n">
        <f aca="false">IF(AND(K763&lt;=Assumptions!$C$42,L762=1,P762=0,O762&gt;Assumptions!$C$43),1,0)</f>
        <v>0</v>
      </c>
      <c r="M763" s="58" t="n">
        <f aca="false">O762</f>
        <v>1.04062110040104E-008</v>
      </c>
      <c r="N763" s="58" t="n">
        <f aca="false">IF(L763=1,M763*$B$25,0)</f>
        <v>0</v>
      </c>
      <c r="O763" s="58" t="n">
        <f aca="false">IF(L763=1,M763+N763-$B$29,M763)</f>
        <v>1.04062110040104E-008</v>
      </c>
      <c r="P763" s="56" t="n">
        <f aca="false">IF(L763=1,IF($B$29&lt;=N763,1,0),0)</f>
        <v>0</v>
      </c>
      <c r="Q763" s="58" t="n">
        <f aca="false">Q762+N763</f>
        <v>215608.5191027</v>
      </c>
    </row>
    <row r="764" customFormat="false" ht="15" hidden="false" customHeight="false" outlineLevel="0" collapsed="false">
      <c r="K764" s="56" t="n">
        <f aca="false">K763+1</f>
        <v>757</v>
      </c>
      <c r="L764" s="57" t="n">
        <f aca="false">IF(AND(K764&lt;=Assumptions!$C$42,L763=1,P763=0,O763&gt;Assumptions!$C$43),1,0)</f>
        <v>0</v>
      </c>
      <c r="M764" s="58" t="n">
        <f aca="false">O763</f>
        <v>1.04062110040104E-008</v>
      </c>
      <c r="N764" s="58" t="n">
        <f aca="false">IF(L764=1,M764*$B$25,0)</f>
        <v>0</v>
      </c>
      <c r="O764" s="58" t="n">
        <f aca="false">IF(L764=1,M764+N764-$B$29,M764)</f>
        <v>1.04062110040104E-008</v>
      </c>
      <c r="P764" s="56" t="n">
        <f aca="false">IF(L764=1,IF($B$29&lt;=N764,1,0),0)</f>
        <v>0</v>
      </c>
      <c r="Q764" s="58" t="n">
        <f aca="false">Q763+N764</f>
        <v>215608.5191027</v>
      </c>
    </row>
    <row r="765" customFormat="false" ht="15" hidden="false" customHeight="false" outlineLevel="0" collapsed="false">
      <c r="K765" s="56" t="n">
        <f aca="false">K764+1</f>
        <v>758</v>
      </c>
      <c r="L765" s="57" t="n">
        <f aca="false">IF(AND(K765&lt;=Assumptions!$C$42,L764=1,P764=0,O764&gt;Assumptions!$C$43),1,0)</f>
        <v>0</v>
      </c>
      <c r="M765" s="58" t="n">
        <f aca="false">O764</f>
        <v>1.04062110040104E-008</v>
      </c>
      <c r="N765" s="58" t="n">
        <f aca="false">IF(L765=1,M765*$B$25,0)</f>
        <v>0</v>
      </c>
      <c r="O765" s="58" t="n">
        <f aca="false">IF(L765=1,M765+N765-$B$29,M765)</f>
        <v>1.04062110040104E-008</v>
      </c>
      <c r="P765" s="56" t="n">
        <f aca="false">IF(L765=1,IF($B$29&lt;=N765,1,0),0)</f>
        <v>0</v>
      </c>
      <c r="Q765" s="58" t="n">
        <f aca="false">Q764+N765</f>
        <v>215608.5191027</v>
      </c>
    </row>
    <row r="766" customFormat="false" ht="15" hidden="false" customHeight="false" outlineLevel="0" collapsed="false">
      <c r="K766" s="56" t="n">
        <f aca="false">K765+1</f>
        <v>759</v>
      </c>
      <c r="L766" s="57" t="n">
        <f aca="false">IF(AND(K766&lt;=Assumptions!$C$42,L765=1,P765=0,O765&gt;Assumptions!$C$43),1,0)</f>
        <v>0</v>
      </c>
      <c r="M766" s="58" t="n">
        <f aca="false">O765</f>
        <v>1.04062110040104E-008</v>
      </c>
      <c r="N766" s="58" t="n">
        <f aca="false">IF(L766=1,M766*$B$25,0)</f>
        <v>0</v>
      </c>
      <c r="O766" s="58" t="n">
        <f aca="false">IF(L766=1,M766+N766-$B$29,M766)</f>
        <v>1.04062110040104E-008</v>
      </c>
      <c r="P766" s="56" t="n">
        <f aca="false">IF(L766=1,IF($B$29&lt;=N766,1,0),0)</f>
        <v>0</v>
      </c>
      <c r="Q766" s="58" t="n">
        <f aca="false">Q765+N766</f>
        <v>215608.5191027</v>
      </c>
    </row>
    <row r="767" customFormat="false" ht="15" hidden="false" customHeight="false" outlineLevel="0" collapsed="false">
      <c r="K767" s="56" t="n">
        <f aca="false">K766+1</f>
        <v>760</v>
      </c>
      <c r="L767" s="57" t="n">
        <f aca="false">IF(AND(K767&lt;=Assumptions!$C$42,L766=1,P766=0,O766&gt;Assumptions!$C$43),1,0)</f>
        <v>0</v>
      </c>
      <c r="M767" s="58" t="n">
        <f aca="false">O766</f>
        <v>1.04062110040104E-008</v>
      </c>
      <c r="N767" s="58" t="n">
        <f aca="false">IF(L767=1,M767*$B$25,0)</f>
        <v>0</v>
      </c>
      <c r="O767" s="58" t="n">
        <f aca="false">IF(L767=1,M767+N767-$B$29,M767)</f>
        <v>1.04062110040104E-008</v>
      </c>
      <c r="P767" s="56" t="n">
        <f aca="false">IF(L767=1,IF($B$29&lt;=N767,1,0),0)</f>
        <v>0</v>
      </c>
      <c r="Q767" s="58" t="n">
        <f aca="false">Q766+N767</f>
        <v>215608.5191027</v>
      </c>
    </row>
    <row r="768" customFormat="false" ht="15" hidden="false" customHeight="false" outlineLevel="0" collapsed="false">
      <c r="K768" s="56" t="n">
        <f aca="false">K767+1</f>
        <v>761</v>
      </c>
      <c r="L768" s="57" t="n">
        <f aca="false">IF(AND(K768&lt;=Assumptions!$C$42,L767=1,P767=0,O767&gt;Assumptions!$C$43),1,0)</f>
        <v>0</v>
      </c>
      <c r="M768" s="58" t="n">
        <f aca="false">O767</f>
        <v>1.04062110040104E-008</v>
      </c>
      <c r="N768" s="58" t="n">
        <f aca="false">IF(L768=1,M768*$B$25,0)</f>
        <v>0</v>
      </c>
      <c r="O768" s="58" t="n">
        <f aca="false">IF(L768=1,M768+N768-$B$29,M768)</f>
        <v>1.04062110040104E-008</v>
      </c>
      <c r="P768" s="56" t="n">
        <f aca="false">IF(L768=1,IF($B$29&lt;=N768,1,0),0)</f>
        <v>0</v>
      </c>
      <c r="Q768" s="58" t="n">
        <f aca="false">Q767+N768</f>
        <v>215608.5191027</v>
      </c>
    </row>
    <row r="769" customFormat="false" ht="15" hidden="false" customHeight="false" outlineLevel="0" collapsed="false">
      <c r="K769" s="56" t="n">
        <f aca="false">K768+1</f>
        <v>762</v>
      </c>
      <c r="L769" s="57" t="n">
        <f aca="false">IF(AND(K769&lt;=Assumptions!$C$42,L768=1,P768=0,O768&gt;Assumptions!$C$43),1,0)</f>
        <v>0</v>
      </c>
      <c r="M769" s="58" t="n">
        <f aca="false">O768</f>
        <v>1.04062110040104E-008</v>
      </c>
      <c r="N769" s="58" t="n">
        <f aca="false">IF(L769=1,M769*$B$25,0)</f>
        <v>0</v>
      </c>
      <c r="O769" s="58" t="n">
        <f aca="false">IF(L769=1,M769+N769-$B$29,M769)</f>
        <v>1.04062110040104E-008</v>
      </c>
      <c r="P769" s="56" t="n">
        <f aca="false">IF(L769=1,IF($B$29&lt;=N769,1,0),0)</f>
        <v>0</v>
      </c>
      <c r="Q769" s="58" t="n">
        <f aca="false">Q768+N769</f>
        <v>215608.5191027</v>
      </c>
    </row>
    <row r="770" customFormat="false" ht="15" hidden="false" customHeight="false" outlineLevel="0" collapsed="false">
      <c r="K770" s="56" t="n">
        <f aca="false">K769+1</f>
        <v>763</v>
      </c>
      <c r="L770" s="57" t="n">
        <f aca="false">IF(AND(K770&lt;=Assumptions!$C$42,L769=1,P769=0,O769&gt;Assumptions!$C$43),1,0)</f>
        <v>0</v>
      </c>
      <c r="M770" s="58" t="n">
        <f aca="false">O769</f>
        <v>1.04062110040104E-008</v>
      </c>
      <c r="N770" s="58" t="n">
        <f aca="false">IF(L770=1,M770*$B$25,0)</f>
        <v>0</v>
      </c>
      <c r="O770" s="58" t="n">
        <f aca="false">IF(L770=1,M770+N770-$B$29,M770)</f>
        <v>1.04062110040104E-008</v>
      </c>
      <c r="P770" s="56" t="n">
        <f aca="false">IF(L770=1,IF($B$29&lt;=N770,1,0),0)</f>
        <v>0</v>
      </c>
      <c r="Q770" s="58" t="n">
        <f aca="false">Q769+N770</f>
        <v>215608.5191027</v>
      </c>
    </row>
    <row r="771" customFormat="false" ht="15" hidden="false" customHeight="false" outlineLevel="0" collapsed="false">
      <c r="K771" s="56" t="n">
        <f aca="false">K770+1</f>
        <v>764</v>
      </c>
      <c r="L771" s="57" t="n">
        <f aca="false">IF(AND(K771&lt;=Assumptions!$C$42,L770=1,P770=0,O770&gt;Assumptions!$C$43),1,0)</f>
        <v>0</v>
      </c>
      <c r="M771" s="58" t="n">
        <f aca="false">O770</f>
        <v>1.04062110040104E-008</v>
      </c>
      <c r="N771" s="58" t="n">
        <f aca="false">IF(L771=1,M771*$B$25,0)</f>
        <v>0</v>
      </c>
      <c r="O771" s="58" t="n">
        <f aca="false">IF(L771=1,M771+N771-$B$29,M771)</f>
        <v>1.04062110040104E-008</v>
      </c>
      <c r="P771" s="56" t="n">
        <f aca="false">IF(L771=1,IF($B$29&lt;=N771,1,0),0)</f>
        <v>0</v>
      </c>
      <c r="Q771" s="58" t="n">
        <f aca="false">Q770+N771</f>
        <v>215608.5191027</v>
      </c>
    </row>
    <row r="772" customFormat="false" ht="15" hidden="false" customHeight="false" outlineLevel="0" collapsed="false">
      <c r="K772" s="56" t="n">
        <f aca="false">K771+1</f>
        <v>765</v>
      </c>
      <c r="L772" s="57" t="n">
        <f aca="false">IF(AND(K772&lt;=Assumptions!$C$42,L771=1,P771=0,O771&gt;Assumptions!$C$43),1,0)</f>
        <v>0</v>
      </c>
      <c r="M772" s="58" t="n">
        <f aca="false">O771</f>
        <v>1.04062110040104E-008</v>
      </c>
      <c r="N772" s="58" t="n">
        <f aca="false">IF(L772=1,M772*$B$25,0)</f>
        <v>0</v>
      </c>
      <c r="O772" s="58" t="n">
        <f aca="false">IF(L772=1,M772+N772-$B$29,M772)</f>
        <v>1.04062110040104E-008</v>
      </c>
      <c r="P772" s="56" t="n">
        <f aca="false">IF(L772=1,IF($B$29&lt;=N772,1,0),0)</f>
        <v>0</v>
      </c>
      <c r="Q772" s="58" t="n">
        <f aca="false">Q771+N772</f>
        <v>215608.5191027</v>
      </c>
    </row>
    <row r="773" customFormat="false" ht="15" hidden="false" customHeight="false" outlineLevel="0" collapsed="false">
      <c r="K773" s="56" t="n">
        <f aca="false">K772+1</f>
        <v>766</v>
      </c>
      <c r="L773" s="57" t="n">
        <f aca="false">IF(AND(K773&lt;=Assumptions!$C$42,L772=1,P772=0,O772&gt;Assumptions!$C$43),1,0)</f>
        <v>0</v>
      </c>
      <c r="M773" s="58" t="n">
        <f aca="false">O772</f>
        <v>1.04062110040104E-008</v>
      </c>
      <c r="N773" s="58" t="n">
        <f aca="false">IF(L773=1,M773*$B$25,0)</f>
        <v>0</v>
      </c>
      <c r="O773" s="58" t="n">
        <f aca="false">IF(L773=1,M773+N773-$B$29,M773)</f>
        <v>1.04062110040104E-008</v>
      </c>
      <c r="P773" s="56" t="n">
        <f aca="false">IF(L773=1,IF($B$29&lt;=N773,1,0),0)</f>
        <v>0</v>
      </c>
      <c r="Q773" s="58" t="n">
        <f aca="false">Q772+N773</f>
        <v>215608.5191027</v>
      </c>
    </row>
    <row r="774" customFormat="false" ht="15" hidden="false" customHeight="false" outlineLevel="0" collapsed="false">
      <c r="K774" s="56" t="n">
        <f aca="false">K773+1</f>
        <v>767</v>
      </c>
      <c r="L774" s="57" t="n">
        <f aca="false">IF(AND(K774&lt;=Assumptions!$C$42,L773=1,P773=0,O773&gt;Assumptions!$C$43),1,0)</f>
        <v>0</v>
      </c>
      <c r="M774" s="58" t="n">
        <f aca="false">O773</f>
        <v>1.04062110040104E-008</v>
      </c>
      <c r="N774" s="58" t="n">
        <f aca="false">IF(L774=1,M774*$B$25,0)</f>
        <v>0</v>
      </c>
      <c r="O774" s="58" t="n">
        <f aca="false">IF(L774=1,M774+N774-$B$29,M774)</f>
        <v>1.04062110040104E-008</v>
      </c>
      <c r="P774" s="56" t="n">
        <f aca="false">IF(L774=1,IF($B$29&lt;=N774,1,0),0)</f>
        <v>0</v>
      </c>
      <c r="Q774" s="58" t="n">
        <f aca="false">Q773+N774</f>
        <v>215608.5191027</v>
      </c>
    </row>
    <row r="775" customFormat="false" ht="15" hidden="false" customHeight="false" outlineLevel="0" collapsed="false">
      <c r="K775" s="56" t="n">
        <f aca="false">K774+1</f>
        <v>768</v>
      </c>
      <c r="L775" s="57" t="n">
        <f aca="false">IF(AND(K775&lt;=Assumptions!$C$42,L774=1,P774=0,O774&gt;Assumptions!$C$43),1,0)</f>
        <v>0</v>
      </c>
      <c r="M775" s="58" t="n">
        <f aca="false">O774</f>
        <v>1.04062110040104E-008</v>
      </c>
      <c r="N775" s="58" t="n">
        <f aca="false">IF(L775=1,M775*$B$25,0)</f>
        <v>0</v>
      </c>
      <c r="O775" s="58" t="n">
        <f aca="false">IF(L775=1,M775+N775-$B$29,M775)</f>
        <v>1.04062110040104E-008</v>
      </c>
      <c r="P775" s="56" t="n">
        <f aca="false">IF(L775=1,IF($B$29&lt;=N775,1,0),0)</f>
        <v>0</v>
      </c>
      <c r="Q775" s="58" t="n">
        <f aca="false">Q774+N775</f>
        <v>215608.5191027</v>
      </c>
    </row>
    <row r="776" customFormat="false" ht="15" hidden="false" customHeight="false" outlineLevel="0" collapsed="false">
      <c r="K776" s="56" t="n">
        <f aca="false">K775+1</f>
        <v>769</v>
      </c>
      <c r="L776" s="57" t="n">
        <f aca="false">IF(AND(K776&lt;=Assumptions!$C$42,L775=1,P775=0,O775&gt;Assumptions!$C$43),1,0)</f>
        <v>0</v>
      </c>
      <c r="M776" s="58" t="n">
        <f aca="false">O775</f>
        <v>1.04062110040104E-008</v>
      </c>
      <c r="N776" s="58" t="n">
        <f aca="false">IF(L776=1,M776*$B$25,0)</f>
        <v>0</v>
      </c>
      <c r="O776" s="58" t="n">
        <f aca="false">IF(L776=1,M776+N776-$B$29,M776)</f>
        <v>1.04062110040104E-008</v>
      </c>
      <c r="P776" s="56" t="n">
        <f aca="false">IF(L776=1,IF($B$29&lt;=N776,1,0),0)</f>
        <v>0</v>
      </c>
      <c r="Q776" s="58" t="n">
        <f aca="false">Q775+N776</f>
        <v>215608.5191027</v>
      </c>
    </row>
    <row r="777" customFormat="false" ht="15" hidden="false" customHeight="false" outlineLevel="0" collapsed="false">
      <c r="K777" s="56" t="n">
        <f aca="false">K776+1</f>
        <v>770</v>
      </c>
      <c r="L777" s="57" t="n">
        <f aca="false">IF(AND(K777&lt;=Assumptions!$C$42,L776=1,P776=0,O776&gt;Assumptions!$C$43),1,0)</f>
        <v>0</v>
      </c>
      <c r="M777" s="58" t="n">
        <f aca="false">O776</f>
        <v>1.04062110040104E-008</v>
      </c>
      <c r="N777" s="58" t="n">
        <f aca="false">IF(L777=1,M777*$B$25,0)</f>
        <v>0</v>
      </c>
      <c r="O777" s="58" t="n">
        <f aca="false">IF(L777=1,M777+N777-$B$29,M777)</f>
        <v>1.04062110040104E-008</v>
      </c>
      <c r="P777" s="56" t="n">
        <f aca="false">IF(L777=1,IF($B$29&lt;=N777,1,0),0)</f>
        <v>0</v>
      </c>
      <c r="Q777" s="58" t="n">
        <f aca="false">Q776+N777</f>
        <v>215608.5191027</v>
      </c>
    </row>
    <row r="778" customFormat="false" ht="15" hidden="false" customHeight="false" outlineLevel="0" collapsed="false">
      <c r="K778" s="56" t="n">
        <f aca="false">K777+1</f>
        <v>771</v>
      </c>
      <c r="L778" s="57" t="n">
        <f aca="false">IF(AND(K778&lt;=Assumptions!$C$42,L777=1,P777=0,O777&gt;Assumptions!$C$43),1,0)</f>
        <v>0</v>
      </c>
      <c r="M778" s="58" t="n">
        <f aca="false">O777</f>
        <v>1.04062110040104E-008</v>
      </c>
      <c r="N778" s="58" t="n">
        <f aca="false">IF(L778=1,M778*$B$25,0)</f>
        <v>0</v>
      </c>
      <c r="O778" s="58" t="n">
        <f aca="false">IF(L778=1,M778+N778-$B$29,M778)</f>
        <v>1.04062110040104E-008</v>
      </c>
      <c r="P778" s="56" t="n">
        <f aca="false">IF(L778=1,IF($B$29&lt;=N778,1,0),0)</f>
        <v>0</v>
      </c>
      <c r="Q778" s="58" t="n">
        <f aca="false">Q777+N778</f>
        <v>215608.5191027</v>
      </c>
    </row>
    <row r="779" customFormat="false" ht="15" hidden="false" customHeight="false" outlineLevel="0" collapsed="false">
      <c r="K779" s="56" t="n">
        <f aca="false">K778+1</f>
        <v>772</v>
      </c>
      <c r="L779" s="57" t="n">
        <f aca="false">IF(AND(K779&lt;=Assumptions!$C$42,L778=1,P778=0,O778&gt;Assumptions!$C$43),1,0)</f>
        <v>0</v>
      </c>
      <c r="M779" s="58" t="n">
        <f aca="false">O778</f>
        <v>1.04062110040104E-008</v>
      </c>
      <c r="N779" s="58" t="n">
        <f aca="false">IF(L779=1,M779*$B$25,0)</f>
        <v>0</v>
      </c>
      <c r="O779" s="58" t="n">
        <f aca="false">IF(L779=1,M779+N779-$B$29,M779)</f>
        <v>1.04062110040104E-008</v>
      </c>
      <c r="P779" s="56" t="n">
        <f aca="false">IF(L779=1,IF($B$29&lt;=N779,1,0),0)</f>
        <v>0</v>
      </c>
      <c r="Q779" s="58" t="n">
        <f aca="false">Q778+N779</f>
        <v>215608.5191027</v>
      </c>
    </row>
    <row r="780" customFormat="false" ht="15" hidden="false" customHeight="false" outlineLevel="0" collapsed="false">
      <c r="K780" s="56" t="n">
        <f aca="false">K779+1</f>
        <v>773</v>
      </c>
      <c r="L780" s="57" t="n">
        <f aca="false">IF(AND(K780&lt;=Assumptions!$C$42,L779=1,P779=0,O779&gt;Assumptions!$C$43),1,0)</f>
        <v>0</v>
      </c>
      <c r="M780" s="58" t="n">
        <f aca="false">O779</f>
        <v>1.04062110040104E-008</v>
      </c>
      <c r="N780" s="58" t="n">
        <f aca="false">IF(L780=1,M780*$B$25,0)</f>
        <v>0</v>
      </c>
      <c r="O780" s="58" t="n">
        <f aca="false">IF(L780=1,M780+N780-$B$29,M780)</f>
        <v>1.04062110040104E-008</v>
      </c>
      <c r="P780" s="56" t="n">
        <f aca="false">IF(L780=1,IF($B$29&lt;=N780,1,0),0)</f>
        <v>0</v>
      </c>
      <c r="Q780" s="58" t="n">
        <f aca="false">Q779+N780</f>
        <v>215608.5191027</v>
      </c>
    </row>
    <row r="781" customFormat="false" ht="15" hidden="false" customHeight="false" outlineLevel="0" collapsed="false">
      <c r="K781" s="56" t="n">
        <f aca="false">K780+1</f>
        <v>774</v>
      </c>
      <c r="L781" s="57" t="n">
        <f aca="false">IF(AND(K781&lt;=Assumptions!$C$42,L780=1,P780=0,O780&gt;Assumptions!$C$43),1,0)</f>
        <v>0</v>
      </c>
      <c r="M781" s="58" t="n">
        <f aca="false">O780</f>
        <v>1.04062110040104E-008</v>
      </c>
      <c r="N781" s="58" t="n">
        <f aca="false">IF(L781=1,M781*$B$25,0)</f>
        <v>0</v>
      </c>
      <c r="O781" s="58" t="n">
        <f aca="false">IF(L781=1,M781+N781-$B$29,M781)</f>
        <v>1.04062110040104E-008</v>
      </c>
      <c r="P781" s="56" t="n">
        <f aca="false">IF(L781=1,IF($B$29&lt;=N781,1,0),0)</f>
        <v>0</v>
      </c>
      <c r="Q781" s="58" t="n">
        <f aca="false">Q780+N781</f>
        <v>215608.5191027</v>
      </c>
    </row>
    <row r="782" customFormat="false" ht="15" hidden="false" customHeight="false" outlineLevel="0" collapsed="false">
      <c r="K782" s="56" t="n">
        <f aca="false">K781+1</f>
        <v>775</v>
      </c>
      <c r="L782" s="57" t="n">
        <f aca="false">IF(AND(K782&lt;=Assumptions!$C$42,L781=1,P781=0,O781&gt;Assumptions!$C$43),1,0)</f>
        <v>0</v>
      </c>
      <c r="M782" s="58" t="n">
        <f aca="false">O781</f>
        <v>1.04062110040104E-008</v>
      </c>
      <c r="N782" s="58" t="n">
        <f aca="false">IF(L782=1,M782*$B$25,0)</f>
        <v>0</v>
      </c>
      <c r="O782" s="58" t="n">
        <f aca="false">IF(L782=1,M782+N782-$B$29,M782)</f>
        <v>1.04062110040104E-008</v>
      </c>
      <c r="P782" s="56" t="n">
        <f aca="false">IF(L782=1,IF($B$29&lt;=N782,1,0),0)</f>
        <v>0</v>
      </c>
      <c r="Q782" s="58" t="n">
        <f aca="false">Q781+N782</f>
        <v>215608.5191027</v>
      </c>
    </row>
    <row r="783" customFormat="false" ht="15" hidden="false" customHeight="false" outlineLevel="0" collapsed="false">
      <c r="K783" s="56" t="n">
        <f aca="false">K782+1</f>
        <v>776</v>
      </c>
      <c r="L783" s="57" t="n">
        <f aca="false">IF(AND(K783&lt;=Assumptions!$C$42,L782=1,P782=0,O782&gt;Assumptions!$C$43),1,0)</f>
        <v>0</v>
      </c>
      <c r="M783" s="58" t="n">
        <f aca="false">O782</f>
        <v>1.04062110040104E-008</v>
      </c>
      <c r="N783" s="58" t="n">
        <f aca="false">IF(L783=1,M783*$B$25,0)</f>
        <v>0</v>
      </c>
      <c r="O783" s="58" t="n">
        <f aca="false">IF(L783=1,M783+N783-$B$29,M783)</f>
        <v>1.04062110040104E-008</v>
      </c>
      <c r="P783" s="56" t="n">
        <f aca="false">IF(L783=1,IF($B$29&lt;=N783,1,0),0)</f>
        <v>0</v>
      </c>
      <c r="Q783" s="58" t="n">
        <f aca="false">Q782+N783</f>
        <v>215608.5191027</v>
      </c>
    </row>
    <row r="784" customFormat="false" ht="15" hidden="false" customHeight="false" outlineLevel="0" collapsed="false">
      <c r="K784" s="56" t="n">
        <f aca="false">K783+1</f>
        <v>777</v>
      </c>
      <c r="L784" s="57" t="n">
        <f aca="false">IF(AND(K784&lt;=Assumptions!$C$42,L783=1,P783=0,O783&gt;Assumptions!$C$43),1,0)</f>
        <v>0</v>
      </c>
      <c r="M784" s="58" t="n">
        <f aca="false">O783</f>
        <v>1.04062110040104E-008</v>
      </c>
      <c r="N784" s="58" t="n">
        <f aca="false">IF(L784=1,M784*$B$25,0)</f>
        <v>0</v>
      </c>
      <c r="O784" s="58" t="n">
        <f aca="false">IF(L784=1,M784+N784-$B$29,M784)</f>
        <v>1.04062110040104E-008</v>
      </c>
      <c r="P784" s="56" t="n">
        <f aca="false">IF(L784=1,IF($B$29&lt;=N784,1,0),0)</f>
        <v>0</v>
      </c>
      <c r="Q784" s="58" t="n">
        <f aca="false">Q783+N784</f>
        <v>215608.5191027</v>
      </c>
    </row>
    <row r="785" customFormat="false" ht="15" hidden="false" customHeight="false" outlineLevel="0" collapsed="false">
      <c r="K785" s="56" t="n">
        <f aca="false">K784+1</f>
        <v>778</v>
      </c>
      <c r="L785" s="57" t="n">
        <f aca="false">IF(AND(K785&lt;=Assumptions!$C$42,L784=1,P784=0,O784&gt;Assumptions!$C$43),1,0)</f>
        <v>0</v>
      </c>
      <c r="M785" s="58" t="n">
        <f aca="false">O784</f>
        <v>1.04062110040104E-008</v>
      </c>
      <c r="N785" s="58" t="n">
        <f aca="false">IF(L785=1,M785*$B$25,0)</f>
        <v>0</v>
      </c>
      <c r="O785" s="58" t="n">
        <f aca="false">IF(L785=1,M785+N785-$B$29,M785)</f>
        <v>1.04062110040104E-008</v>
      </c>
      <c r="P785" s="56" t="n">
        <f aca="false">IF(L785=1,IF($B$29&lt;=N785,1,0),0)</f>
        <v>0</v>
      </c>
      <c r="Q785" s="58" t="n">
        <f aca="false">Q784+N785</f>
        <v>215608.5191027</v>
      </c>
    </row>
    <row r="786" customFormat="false" ht="15" hidden="false" customHeight="false" outlineLevel="0" collapsed="false">
      <c r="K786" s="56" t="n">
        <f aca="false">K785+1</f>
        <v>779</v>
      </c>
      <c r="L786" s="57" t="n">
        <f aca="false">IF(AND(K786&lt;=Assumptions!$C$42,L785=1,P785=0,O785&gt;Assumptions!$C$43),1,0)</f>
        <v>0</v>
      </c>
      <c r="M786" s="58" t="n">
        <f aca="false">O785</f>
        <v>1.04062110040104E-008</v>
      </c>
      <c r="N786" s="58" t="n">
        <f aca="false">IF(L786=1,M786*$B$25,0)</f>
        <v>0</v>
      </c>
      <c r="O786" s="58" t="n">
        <f aca="false">IF(L786=1,M786+N786-$B$29,M786)</f>
        <v>1.04062110040104E-008</v>
      </c>
      <c r="P786" s="56" t="n">
        <f aca="false">IF(L786=1,IF($B$29&lt;=N786,1,0),0)</f>
        <v>0</v>
      </c>
      <c r="Q786" s="58" t="n">
        <f aca="false">Q785+N786</f>
        <v>215608.5191027</v>
      </c>
    </row>
    <row r="787" customFormat="false" ht="15" hidden="false" customHeight="false" outlineLevel="0" collapsed="false">
      <c r="K787" s="56" t="n">
        <f aca="false">K786+1</f>
        <v>780</v>
      </c>
      <c r="L787" s="57" t="n">
        <f aca="false">IF(AND(K787&lt;=Assumptions!$C$42,L786=1,P786=0,O786&gt;Assumptions!$C$43),1,0)</f>
        <v>0</v>
      </c>
      <c r="M787" s="58" t="n">
        <f aca="false">O786</f>
        <v>1.04062110040104E-008</v>
      </c>
      <c r="N787" s="58" t="n">
        <f aca="false">IF(L787=1,M787*$B$25,0)</f>
        <v>0</v>
      </c>
      <c r="O787" s="58" t="n">
        <f aca="false">IF(L787=1,M787+N787-$B$29,M787)</f>
        <v>1.04062110040104E-008</v>
      </c>
      <c r="P787" s="56" t="n">
        <f aca="false">IF(L787=1,IF($B$29&lt;=N787,1,0),0)</f>
        <v>0</v>
      </c>
      <c r="Q787" s="58" t="n">
        <f aca="false">Q786+N787</f>
        <v>215608.5191027</v>
      </c>
    </row>
    <row r="788" customFormat="false" ht="15" hidden="false" customHeight="false" outlineLevel="0" collapsed="false">
      <c r="K788" s="56" t="n">
        <f aca="false">K787+1</f>
        <v>781</v>
      </c>
      <c r="L788" s="57" t="n">
        <f aca="false">IF(AND(K788&lt;=Assumptions!$C$42,L787=1,P787=0,O787&gt;Assumptions!$C$43),1,0)</f>
        <v>0</v>
      </c>
      <c r="M788" s="58" t="n">
        <f aca="false">O787</f>
        <v>1.04062110040104E-008</v>
      </c>
      <c r="N788" s="58" t="n">
        <f aca="false">IF(L788=1,M788*$B$25,0)</f>
        <v>0</v>
      </c>
      <c r="O788" s="58" t="n">
        <f aca="false">IF(L788=1,M788+N788-$B$29,M788)</f>
        <v>1.04062110040104E-008</v>
      </c>
      <c r="P788" s="56" t="n">
        <f aca="false">IF(L788=1,IF($B$29&lt;=N788,1,0),0)</f>
        <v>0</v>
      </c>
      <c r="Q788" s="58" t="n">
        <f aca="false">Q787+N788</f>
        <v>215608.5191027</v>
      </c>
    </row>
    <row r="789" customFormat="false" ht="15" hidden="false" customHeight="false" outlineLevel="0" collapsed="false">
      <c r="K789" s="56" t="n">
        <f aca="false">K788+1</f>
        <v>782</v>
      </c>
      <c r="L789" s="57" t="n">
        <f aca="false">IF(AND(K789&lt;=Assumptions!$C$42,L788=1,P788=0,O788&gt;Assumptions!$C$43),1,0)</f>
        <v>0</v>
      </c>
      <c r="M789" s="58" t="n">
        <f aca="false">O788</f>
        <v>1.04062110040104E-008</v>
      </c>
      <c r="N789" s="58" t="n">
        <f aca="false">IF(L789=1,M789*$B$25,0)</f>
        <v>0</v>
      </c>
      <c r="O789" s="58" t="n">
        <f aca="false">IF(L789=1,M789+N789-$B$29,M789)</f>
        <v>1.04062110040104E-008</v>
      </c>
      <c r="P789" s="56" t="n">
        <f aca="false">IF(L789=1,IF($B$29&lt;=N789,1,0),0)</f>
        <v>0</v>
      </c>
      <c r="Q789" s="58" t="n">
        <f aca="false">Q788+N789</f>
        <v>215608.5191027</v>
      </c>
    </row>
    <row r="790" customFormat="false" ht="15" hidden="false" customHeight="false" outlineLevel="0" collapsed="false">
      <c r="K790" s="56" t="n">
        <f aca="false">K789+1</f>
        <v>783</v>
      </c>
      <c r="L790" s="57" t="n">
        <f aca="false">IF(AND(K790&lt;=Assumptions!$C$42,L789=1,P789=0,O789&gt;Assumptions!$C$43),1,0)</f>
        <v>0</v>
      </c>
      <c r="M790" s="58" t="n">
        <f aca="false">O789</f>
        <v>1.04062110040104E-008</v>
      </c>
      <c r="N790" s="58" t="n">
        <f aca="false">IF(L790=1,M790*$B$25,0)</f>
        <v>0</v>
      </c>
      <c r="O790" s="58" t="n">
        <f aca="false">IF(L790=1,M790+N790-$B$29,M790)</f>
        <v>1.04062110040104E-008</v>
      </c>
      <c r="P790" s="56" t="n">
        <f aca="false">IF(L790=1,IF($B$29&lt;=N790,1,0),0)</f>
        <v>0</v>
      </c>
      <c r="Q790" s="58" t="n">
        <f aca="false">Q789+N790</f>
        <v>215608.5191027</v>
      </c>
    </row>
    <row r="791" customFormat="false" ht="15" hidden="false" customHeight="false" outlineLevel="0" collapsed="false">
      <c r="K791" s="56" t="n">
        <f aca="false">K790+1</f>
        <v>784</v>
      </c>
      <c r="L791" s="57" t="n">
        <f aca="false">IF(AND(K791&lt;=Assumptions!$C$42,L790=1,P790=0,O790&gt;Assumptions!$C$43),1,0)</f>
        <v>0</v>
      </c>
      <c r="M791" s="58" t="n">
        <f aca="false">O790</f>
        <v>1.04062110040104E-008</v>
      </c>
      <c r="N791" s="58" t="n">
        <f aca="false">IF(L791=1,M791*$B$25,0)</f>
        <v>0</v>
      </c>
      <c r="O791" s="58" t="n">
        <f aca="false">IF(L791=1,M791+N791-$B$29,M791)</f>
        <v>1.04062110040104E-008</v>
      </c>
      <c r="P791" s="56" t="n">
        <f aca="false">IF(L791=1,IF($B$29&lt;=N791,1,0),0)</f>
        <v>0</v>
      </c>
      <c r="Q791" s="58" t="n">
        <f aca="false">Q790+N791</f>
        <v>215608.5191027</v>
      </c>
    </row>
    <row r="792" customFormat="false" ht="15" hidden="false" customHeight="false" outlineLevel="0" collapsed="false">
      <c r="K792" s="56" t="n">
        <f aca="false">K791+1</f>
        <v>785</v>
      </c>
      <c r="L792" s="57" t="n">
        <f aca="false">IF(AND(K792&lt;=Assumptions!$C$42,L791=1,P791=0,O791&gt;Assumptions!$C$43),1,0)</f>
        <v>0</v>
      </c>
      <c r="M792" s="58" t="n">
        <f aca="false">O791</f>
        <v>1.04062110040104E-008</v>
      </c>
      <c r="N792" s="58" t="n">
        <f aca="false">IF(L792=1,M792*$B$25,0)</f>
        <v>0</v>
      </c>
      <c r="O792" s="58" t="n">
        <f aca="false">IF(L792=1,M792+N792-$B$29,M792)</f>
        <v>1.04062110040104E-008</v>
      </c>
      <c r="P792" s="56" t="n">
        <f aca="false">IF(L792=1,IF($B$29&lt;=N792,1,0),0)</f>
        <v>0</v>
      </c>
      <c r="Q792" s="58" t="n">
        <f aca="false">Q791+N792</f>
        <v>215608.5191027</v>
      </c>
    </row>
    <row r="793" customFormat="false" ht="15" hidden="false" customHeight="false" outlineLevel="0" collapsed="false">
      <c r="K793" s="56" t="n">
        <f aca="false">K792+1</f>
        <v>786</v>
      </c>
      <c r="L793" s="57" t="n">
        <f aca="false">IF(AND(K793&lt;=Assumptions!$C$42,L792=1,P792=0,O792&gt;Assumptions!$C$43),1,0)</f>
        <v>0</v>
      </c>
      <c r="M793" s="58" t="n">
        <f aca="false">O792</f>
        <v>1.04062110040104E-008</v>
      </c>
      <c r="N793" s="58" t="n">
        <f aca="false">IF(L793=1,M793*$B$25,0)</f>
        <v>0</v>
      </c>
      <c r="O793" s="58" t="n">
        <f aca="false">IF(L793=1,M793+N793-$B$29,M793)</f>
        <v>1.04062110040104E-008</v>
      </c>
      <c r="P793" s="56" t="n">
        <f aca="false">IF(L793=1,IF($B$29&lt;=N793,1,0),0)</f>
        <v>0</v>
      </c>
      <c r="Q793" s="58" t="n">
        <f aca="false">Q792+N793</f>
        <v>215608.5191027</v>
      </c>
    </row>
    <row r="794" customFormat="false" ht="15" hidden="false" customHeight="false" outlineLevel="0" collapsed="false">
      <c r="K794" s="56" t="n">
        <f aca="false">K793+1</f>
        <v>787</v>
      </c>
      <c r="L794" s="57" t="n">
        <f aca="false">IF(AND(K794&lt;=Assumptions!$C$42,L793=1,P793=0,O793&gt;Assumptions!$C$43),1,0)</f>
        <v>0</v>
      </c>
      <c r="M794" s="58" t="n">
        <f aca="false">O793</f>
        <v>1.04062110040104E-008</v>
      </c>
      <c r="N794" s="58" t="n">
        <f aca="false">IF(L794=1,M794*$B$25,0)</f>
        <v>0</v>
      </c>
      <c r="O794" s="58" t="n">
        <f aca="false">IF(L794=1,M794+N794-$B$29,M794)</f>
        <v>1.04062110040104E-008</v>
      </c>
      <c r="P794" s="56" t="n">
        <f aca="false">IF(L794=1,IF($B$29&lt;=N794,1,0),0)</f>
        <v>0</v>
      </c>
      <c r="Q794" s="58" t="n">
        <f aca="false">Q793+N794</f>
        <v>215608.5191027</v>
      </c>
    </row>
    <row r="795" customFormat="false" ht="15" hidden="false" customHeight="false" outlineLevel="0" collapsed="false">
      <c r="K795" s="56" t="n">
        <f aca="false">K794+1</f>
        <v>788</v>
      </c>
      <c r="L795" s="57" t="n">
        <f aca="false">IF(AND(K795&lt;=Assumptions!$C$42,L794=1,P794=0,O794&gt;Assumptions!$C$43),1,0)</f>
        <v>0</v>
      </c>
      <c r="M795" s="58" t="n">
        <f aca="false">O794</f>
        <v>1.04062110040104E-008</v>
      </c>
      <c r="N795" s="58" t="n">
        <f aca="false">IF(L795=1,M795*$B$25,0)</f>
        <v>0</v>
      </c>
      <c r="O795" s="58" t="n">
        <f aca="false">IF(L795=1,M795+N795-$B$29,M795)</f>
        <v>1.04062110040104E-008</v>
      </c>
      <c r="P795" s="56" t="n">
        <f aca="false">IF(L795=1,IF($B$29&lt;=N795,1,0),0)</f>
        <v>0</v>
      </c>
      <c r="Q795" s="58" t="n">
        <f aca="false">Q794+N795</f>
        <v>215608.5191027</v>
      </c>
    </row>
    <row r="796" customFormat="false" ht="15" hidden="false" customHeight="false" outlineLevel="0" collapsed="false">
      <c r="K796" s="56" t="n">
        <f aca="false">K795+1</f>
        <v>789</v>
      </c>
      <c r="L796" s="57" t="n">
        <f aca="false">IF(AND(K796&lt;=Assumptions!$C$42,L795=1,P795=0,O795&gt;Assumptions!$C$43),1,0)</f>
        <v>0</v>
      </c>
      <c r="M796" s="58" t="n">
        <f aca="false">O795</f>
        <v>1.04062110040104E-008</v>
      </c>
      <c r="N796" s="58" t="n">
        <f aca="false">IF(L796=1,M796*$B$25,0)</f>
        <v>0</v>
      </c>
      <c r="O796" s="58" t="n">
        <f aca="false">IF(L796=1,M796+N796-$B$29,M796)</f>
        <v>1.04062110040104E-008</v>
      </c>
      <c r="P796" s="56" t="n">
        <f aca="false">IF(L796=1,IF($B$29&lt;=N796,1,0),0)</f>
        <v>0</v>
      </c>
      <c r="Q796" s="58" t="n">
        <f aca="false">Q795+N796</f>
        <v>215608.5191027</v>
      </c>
    </row>
    <row r="797" customFormat="false" ht="15" hidden="false" customHeight="false" outlineLevel="0" collapsed="false">
      <c r="K797" s="56" t="n">
        <f aca="false">K796+1</f>
        <v>790</v>
      </c>
      <c r="L797" s="57" t="n">
        <f aca="false">IF(AND(K797&lt;=Assumptions!$C$42,L796=1,P796=0,O796&gt;Assumptions!$C$43),1,0)</f>
        <v>0</v>
      </c>
      <c r="M797" s="58" t="n">
        <f aca="false">O796</f>
        <v>1.04062110040104E-008</v>
      </c>
      <c r="N797" s="58" t="n">
        <f aca="false">IF(L797=1,M797*$B$25,0)</f>
        <v>0</v>
      </c>
      <c r="O797" s="58" t="n">
        <f aca="false">IF(L797=1,M797+N797-$B$29,M797)</f>
        <v>1.04062110040104E-008</v>
      </c>
      <c r="P797" s="56" t="n">
        <f aca="false">IF(L797=1,IF($B$29&lt;=N797,1,0),0)</f>
        <v>0</v>
      </c>
      <c r="Q797" s="58" t="n">
        <f aca="false">Q796+N797</f>
        <v>215608.5191027</v>
      </c>
    </row>
    <row r="798" customFormat="false" ht="15" hidden="false" customHeight="false" outlineLevel="0" collapsed="false">
      <c r="K798" s="56" t="n">
        <f aca="false">K797+1</f>
        <v>791</v>
      </c>
      <c r="L798" s="57" t="n">
        <f aca="false">IF(AND(K798&lt;=Assumptions!$C$42,L797=1,P797=0,O797&gt;Assumptions!$C$43),1,0)</f>
        <v>0</v>
      </c>
      <c r="M798" s="58" t="n">
        <f aca="false">O797</f>
        <v>1.04062110040104E-008</v>
      </c>
      <c r="N798" s="58" t="n">
        <f aca="false">IF(L798=1,M798*$B$25,0)</f>
        <v>0</v>
      </c>
      <c r="O798" s="58" t="n">
        <f aca="false">IF(L798=1,M798+N798-$B$29,M798)</f>
        <v>1.04062110040104E-008</v>
      </c>
      <c r="P798" s="56" t="n">
        <f aca="false">IF(L798=1,IF($B$29&lt;=N798,1,0),0)</f>
        <v>0</v>
      </c>
      <c r="Q798" s="58" t="n">
        <f aca="false">Q797+N798</f>
        <v>215608.5191027</v>
      </c>
    </row>
    <row r="799" customFormat="false" ht="15" hidden="false" customHeight="false" outlineLevel="0" collapsed="false">
      <c r="K799" s="56" t="n">
        <f aca="false">K798+1</f>
        <v>792</v>
      </c>
      <c r="L799" s="57" t="n">
        <f aca="false">IF(AND(K799&lt;=Assumptions!$C$42,L798=1,P798=0,O798&gt;Assumptions!$C$43),1,0)</f>
        <v>0</v>
      </c>
      <c r="M799" s="58" t="n">
        <f aca="false">O798</f>
        <v>1.04062110040104E-008</v>
      </c>
      <c r="N799" s="58" t="n">
        <f aca="false">IF(L799=1,M799*$B$25,0)</f>
        <v>0</v>
      </c>
      <c r="O799" s="58" t="n">
        <f aca="false">IF(L799=1,M799+N799-$B$29,M799)</f>
        <v>1.04062110040104E-008</v>
      </c>
      <c r="P799" s="56" t="n">
        <f aca="false">IF(L799=1,IF($B$29&lt;=N799,1,0),0)</f>
        <v>0</v>
      </c>
      <c r="Q799" s="58" t="n">
        <f aca="false">Q798+N799</f>
        <v>215608.5191027</v>
      </c>
    </row>
    <row r="800" customFormat="false" ht="15" hidden="false" customHeight="false" outlineLevel="0" collapsed="false">
      <c r="K800" s="56" t="n">
        <f aca="false">K799+1</f>
        <v>793</v>
      </c>
      <c r="L800" s="57" t="n">
        <f aca="false">IF(AND(K800&lt;=Assumptions!$C$42,L799=1,P799=0,O799&gt;Assumptions!$C$43),1,0)</f>
        <v>0</v>
      </c>
      <c r="M800" s="58" t="n">
        <f aca="false">O799</f>
        <v>1.04062110040104E-008</v>
      </c>
      <c r="N800" s="58" t="n">
        <f aca="false">IF(L800=1,M800*$B$25,0)</f>
        <v>0</v>
      </c>
      <c r="O800" s="58" t="n">
        <f aca="false">IF(L800=1,M800+N800-$B$29,M800)</f>
        <v>1.04062110040104E-008</v>
      </c>
      <c r="P800" s="56" t="n">
        <f aca="false">IF(L800=1,IF($B$29&lt;=N800,1,0),0)</f>
        <v>0</v>
      </c>
      <c r="Q800" s="58" t="n">
        <f aca="false">Q799+N800</f>
        <v>215608.5191027</v>
      </c>
    </row>
    <row r="801" customFormat="false" ht="15" hidden="false" customHeight="false" outlineLevel="0" collapsed="false">
      <c r="K801" s="56" t="n">
        <f aca="false">K800+1</f>
        <v>794</v>
      </c>
      <c r="L801" s="57" t="n">
        <f aca="false">IF(AND(K801&lt;=Assumptions!$C$42,L800=1,P800=0,O800&gt;Assumptions!$C$43),1,0)</f>
        <v>0</v>
      </c>
      <c r="M801" s="58" t="n">
        <f aca="false">O800</f>
        <v>1.04062110040104E-008</v>
      </c>
      <c r="N801" s="58" t="n">
        <f aca="false">IF(L801=1,M801*$B$25,0)</f>
        <v>0</v>
      </c>
      <c r="O801" s="58" t="n">
        <f aca="false">IF(L801=1,M801+N801-$B$29,M801)</f>
        <v>1.04062110040104E-008</v>
      </c>
      <c r="P801" s="56" t="n">
        <f aca="false">IF(L801=1,IF($B$29&lt;=N801,1,0),0)</f>
        <v>0</v>
      </c>
      <c r="Q801" s="58" t="n">
        <f aca="false">Q800+N801</f>
        <v>215608.5191027</v>
      </c>
    </row>
    <row r="802" customFormat="false" ht="15" hidden="false" customHeight="false" outlineLevel="0" collapsed="false">
      <c r="K802" s="56" t="n">
        <f aca="false">K801+1</f>
        <v>795</v>
      </c>
      <c r="L802" s="57" t="n">
        <f aca="false">IF(AND(K802&lt;=Assumptions!$C$42,L801=1,P801=0,O801&gt;Assumptions!$C$43),1,0)</f>
        <v>0</v>
      </c>
      <c r="M802" s="58" t="n">
        <f aca="false">O801</f>
        <v>1.04062110040104E-008</v>
      </c>
      <c r="N802" s="58" t="n">
        <f aca="false">IF(L802=1,M802*$B$25,0)</f>
        <v>0</v>
      </c>
      <c r="O802" s="58" t="n">
        <f aca="false">IF(L802=1,M802+N802-$B$29,M802)</f>
        <v>1.04062110040104E-008</v>
      </c>
      <c r="P802" s="56" t="n">
        <f aca="false">IF(L802=1,IF($B$29&lt;=N802,1,0),0)</f>
        <v>0</v>
      </c>
      <c r="Q802" s="58" t="n">
        <f aca="false">Q801+N802</f>
        <v>215608.5191027</v>
      </c>
    </row>
    <row r="803" customFormat="false" ht="15" hidden="false" customHeight="false" outlineLevel="0" collapsed="false">
      <c r="K803" s="56" t="n">
        <f aca="false">K802+1</f>
        <v>796</v>
      </c>
      <c r="L803" s="57" t="n">
        <f aca="false">IF(AND(K803&lt;=Assumptions!$C$42,L802=1,P802=0,O802&gt;Assumptions!$C$43),1,0)</f>
        <v>0</v>
      </c>
      <c r="M803" s="58" t="n">
        <f aca="false">O802</f>
        <v>1.04062110040104E-008</v>
      </c>
      <c r="N803" s="58" t="n">
        <f aca="false">IF(L803=1,M803*$B$25,0)</f>
        <v>0</v>
      </c>
      <c r="O803" s="58" t="n">
        <f aca="false">IF(L803=1,M803+N803-$B$29,M803)</f>
        <v>1.04062110040104E-008</v>
      </c>
      <c r="P803" s="56" t="n">
        <f aca="false">IF(L803=1,IF($B$29&lt;=N803,1,0),0)</f>
        <v>0</v>
      </c>
      <c r="Q803" s="58" t="n">
        <f aca="false">Q802+N803</f>
        <v>215608.5191027</v>
      </c>
    </row>
    <row r="804" customFormat="false" ht="15" hidden="false" customHeight="false" outlineLevel="0" collapsed="false">
      <c r="K804" s="56" t="n">
        <f aca="false">K803+1</f>
        <v>797</v>
      </c>
      <c r="L804" s="57" t="n">
        <f aca="false">IF(AND(K804&lt;=Assumptions!$C$42,L803=1,P803=0,O803&gt;Assumptions!$C$43),1,0)</f>
        <v>0</v>
      </c>
      <c r="M804" s="58" t="n">
        <f aca="false">O803</f>
        <v>1.04062110040104E-008</v>
      </c>
      <c r="N804" s="58" t="n">
        <f aca="false">IF(L804=1,M804*$B$25,0)</f>
        <v>0</v>
      </c>
      <c r="O804" s="58" t="n">
        <f aca="false">IF(L804=1,M804+N804-$B$29,M804)</f>
        <v>1.04062110040104E-008</v>
      </c>
      <c r="P804" s="56" t="n">
        <f aca="false">IF(L804=1,IF($B$29&lt;=N804,1,0),0)</f>
        <v>0</v>
      </c>
      <c r="Q804" s="58" t="n">
        <f aca="false">Q803+N804</f>
        <v>215608.5191027</v>
      </c>
    </row>
    <row r="805" customFormat="false" ht="15" hidden="false" customHeight="false" outlineLevel="0" collapsed="false">
      <c r="K805" s="56" t="n">
        <f aca="false">K804+1</f>
        <v>798</v>
      </c>
      <c r="L805" s="57" t="n">
        <f aca="false">IF(AND(K805&lt;=Assumptions!$C$42,L804=1,P804=0,O804&gt;Assumptions!$C$43),1,0)</f>
        <v>0</v>
      </c>
      <c r="M805" s="58" t="n">
        <f aca="false">O804</f>
        <v>1.04062110040104E-008</v>
      </c>
      <c r="N805" s="58" t="n">
        <f aca="false">IF(L805=1,M805*$B$25,0)</f>
        <v>0</v>
      </c>
      <c r="O805" s="58" t="n">
        <f aca="false">IF(L805=1,M805+N805-$B$29,M805)</f>
        <v>1.04062110040104E-008</v>
      </c>
      <c r="P805" s="56" t="n">
        <f aca="false">IF(L805=1,IF($B$29&lt;=N805,1,0),0)</f>
        <v>0</v>
      </c>
      <c r="Q805" s="58" t="n">
        <f aca="false">Q804+N805</f>
        <v>215608.5191027</v>
      </c>
    </row>
    <row r="806" customFormat="false" ht="15" hidden="false" customHeight="false" outlineLevel="0" collapsed="false">
      <c r="K806" s="56" t="n">
        <f aca="false">K805+1</f>
        <v>799</v>
      </c>
      <c r="L806" s="57" t="n">
        <f aca="false">IF(AND(K806&lt;=Assumptions!$C$42,L805=1,P805=0,O805&gt;Assumptions!$C$43),1,0)</f>
        <v>0</v>
      </c>
      <c r="M806" s="58" t="n">
        <f aca="false">O805</f>
        <v>1.04062110040104E-008</v>
      </c>
      <c r="N806" s="58" t="n">
        <f aca="false">IF(L806=1,M806*$B$25,0)</f>
        <v>0</v>
      </c>
      <c r="O806" s="58" t="n">
        <f aca="false">IF(L806=1,M806+N806-$B$29,M806)</f>
        <v>1.04062110040104E-008</v>
      </c>
      <c r="P806" s="56" t="n">
        <f aca="false">IF(L806=1,IF($B$29&lt;=N806,1,0),0)</f>
        <v>0</v>
      </c>
      <c r="Q806" s="58" t="n">
        <f aca="false">Q805+N806</f>
        <v>215608.5191027</v>
      </c>
    </row>
    <row r="807" customFormat="false" ht="15" hidden="false" customHeight="false" outlineLevel="0" collapsed="false">
      <c r="K807" s="56" t="n">
        <f aca="false">K806+1</f>
        <v>800</v>
      </c>
      <c r="L807" s="57" t="n">
        <f aca="false">IF(AND(K807&lt;=Assumptions!$C$42,L806=1,P806=0,O806&gt;Assumptions!$C$43),1,0)</f>
        <v>0</v>
      </c>
      <c r="M807" s="58" t="n">
        <f aca="false">O806</f>
        <v>1.04062110040104E-008</v>
      </c>
      <c r="N807" s="58" t="n">
        <f aca="false">IF(L807=1,M807*$B$25,0)</f>
        <v>0</v>
      </c>
      <c r="O807" s="58" t="n">
        <f aca="false">IF(L807=1,M807+N807-$B$29,M807)</f>
        <v>1.04062110040104E-008</v>
      </c>
      <c r="P807" s="56" t="n">
        <f aca="false">IF(L807=1,IF($B$29&lt;=N807,1,0),0)</f>
        <v>0</v>
      </c>
      <c r="Q807" s="58" t="n">
        <f aca="false">Q806+N807</f>
        <v>215608.5191027</v>
      </c>
    </row>
    <row r="808" customFormat="false" ht="15" hidden="false" customHeight="false" outlineLevel="0" collapsed="false">
      <c r="K808" s="56" t="n">
        <f aca="false">K807+1</f>
        <v>801</v>
      </c>
      <c r="L808" s="57" t="n">
        <f aca="false">IF(AND(K808&lt;=Assumptions!$C$42,L807=1,P807=0,O807&gt;Assumptions!$C$43),1,0)</f>
        <v>0</v>
      </c>
      <c r="M808" s="58" t="n">
        <f aca="false">O807</f>
        <v>1.04062110040104E-008</v>
      </c>
      <c r="N808" s="58" t="n">
        <f aca="false">IF(L808=1,M808*$B$25,0)</f>
        <v>0</v>
      </c>
      <c r="O808" s="58" t="n">
        <f aca="false">IF(L808=1,M808+N808-$B$29,M808)</f>
        <v>1.04062110040104E-008</v>
      </c>
      <c r="P808" s="56" t="n">
        <f aca="false">IF(L808=1,IF($B$29&lt;=N808,1,0),0)</f>
        <v>0</v>
      </c>
      <c r="Q808" s="58" t="n">
        <f aca="false">Q807+N808</f>
        <v>215608.5191027</v>
      </c>
    </row>
    <row r="809" customFormat="false" ht="15" hidden="false" customHeight="false" outlineLevel="0" collapsed="false">
      <c r="K809" s="56" t="n">
        <f aca="false">K808+1</f>
        <v>802</v>
      </c>
      <c r="L809" s="57" t="n">
        <f aca="false">IF(AND(K809&lt;=Assumptions!$C$42,L808=1,P808=0,O808&gt;Assumptions!$C$43),1,0)</f>
        <v>0</v>
      </c>
      <c r="M809" s="58" t="n">
        <f aca="false">O808</f>
        <v>1.04062110040104E-008</v>
      </c>
      <c r="N809" s="58" t="n">
        <f aca="false">IF(L809=1,M809*$B$25,0)</f>
        <v>0</v>
      </c>
      <c r="O809" s="58" t="n">
        <f aca="false">IF(L809=1,M809+N809-$B$29,M809)</f>
        <v>1.04062110040104E-008</v>
      </c>
      <c r="P809" s="56" t="n">
        <f aca="false">IF(L809=1,IF($B$29&lt;=N809,1,0),0)</f>
        <v>0</v>
      </c>
      <c r="Q809" s="58" t="n">
        <f aca="false">Q808+N809</f>
        <v>215608.5191027</v>
      </c>
    </row>
    <row r="810" customFormat="false" ht="15" hidden="false" customHeight="false" outlineLevel="0" collapsed="false">
      <c r="K810" s="56" t="n">
        <f aca="false">K809+1</f>
        <v>803</v>
      </c>
      <c r="L810" s="57" t="n">
        <f aca="false">IF(AND(K810&lt;=Assumptions!$C$42,L809=1,P809=0,O809&gt;Assumptions!$C$43),1,0)</f>
        <v>0</v>
      </c>
      <c r="M810" s="58" t="n">
        <f aca="false">O809</f>
        <v>1.04062110040104E-008</v>
      </c>
      <c r="N810" s="58" t="n">
        <f aca="false">IF(L810=1,M810*$B$25,0)</f>
        <v>0</v>
      </c>
      <c r="O810" s="58" t="n">
        <f aca="false">IF(L810=1,M810+N810-$B$29,M810)</f>
        <v>1.04062110040104E-008</v>
      </c>
      <c r="P810" s="56" t="n">
        <f aca="false">IF(L810=1,IF($B$29&lt;=N810,1,0),0)</f>
        <v>0</v>
      </c>
      <c r="Q810" s="58" t="n">
        <f aca="false">Q809+N810</f>
        <v>215608.5191027</v>
      </c>
    </row>
    <row r="811" customFormat="false" ht="15" hidden="false" customHeight="false" outlineLevel="0" collapsed="false">
      <c r="K811" s="56" t="n">
        <f aca="false">K810+1</f>
        <v>804</v>
      </c>
      <c r="L811" s="57" t="n">
        <f aca="false">IF(AND(K811&lt;=Assumptions!$C$42,L810=1,P810=0,O810&gt;Assumptions!$C$43),1,0)</f>
        <v>0</v>
      </c>
      <c r="M811" s="58" t="n">
        <f aca="false">O810</f>
        <v>1.04062110040104E-008</v>
      </c>
      <c r="N811" s="58" t="n">
        <f aca="false">IF(L811=1,M811*$B$25,0)</f>
        <v>0</v>
      </c>
      <c r="O811" s="58" t="n">
        <f aca="false">IF(L811=1,M811+N811-$B$29,M811)</f>
        <v>1.04062110040104E-008</v>
      </c>
      <c r="P811" s="56" t="n">
        <f aca="false">IF(L811=1,IF($B$29&lt;=N811,1,0),0)</f>
        <v>0</v>
      </c>
      <c r="Q811" s="58" t="n">
        <f aca="false">Q810+N811</f>
        <v>215608.5191027</v>
      </c>
    </row>
    <row r="812" customFormat="false" ht="15" hidden="false" customHeight="false" outlineLevel="0" collapsed="false">
      <c r="K812" s="56" t="n">
        <f aca="false">K811+1</f>
        <v>805</v>
      </c>
      <c r="L812" s="57" t="n">
        <f aca="false">IF(AND(K812&lt;=Assumptions!$C$42,L811=1,P811=0,O811&gt;Assumptions!$C$43),1,0)</f>
        <v>0</v>
      </c>
      <c r="M812" s="58" t="n">
        <f aca="false">O811</f>
        <v>1.04062110040104E-008</v>
      </c>
      <c r="N812" s="58" t="n">
        <f aca="false">IF(L812=1,M812*$B$25,0)</f>
        <v>0</v>
      </c>
      <c r="O812" s="58" t="n">
        <f aca="false">IF(L812=1,M812+N812-$B$29,M812)</f>
        <v>1.04062110040104E-008</v>
      </c>
      <c r="P812" s="56" t="n">
        <f aca="false">IF(L812=1,IF($B$29&lt;=N812,1,0),0)</f>
        <v>0</v>
      </c>
      <c r="Q812" s="58" t="n">
        <f aca="false">Q811+N812</f>
        <v>215608.5191027</v>
      </c>
    </row>
    <row r="813" customFormat="false" ht="15" hidden="false" customHeight="false" outlineLevel="0" collapsed="false">
      <c r="K813" s="56" t="n">
        <f aca="false">K812+1</f>
        <v>806</v>
      </c>
      <c r="L813" s="57" t="n">
        <f aca="false">IF(AND(K813&lt;=Assumptions!$C$42,L812=1,P812=0,O812&gt;Assumptions!$C$43),1,0)</f>
        <v>0</v>
      </c>
      <c r="M813" s="58" t="n">
        <f aca="false">O812</f>
        <v>1.04062110040104E-008</v>
      </c>
      <c r="N813" s="58" t="n">
        <f aca="false">IF(L813=1,M813*$B$25,0)</f>
        <v>0</v>
      </c>
      <c r="O813" s="58" t="n">
        <f aca="false">IF(L813=1,M813+N813-$B$29,M813)</f>
        <v>1.04062110040104E-008</v>
      </c>
      <c r="P813" s="56" t="n">
        <f aca="false">IF(L813=1,IF($B$29&lt;=N813,1,0),0)</f>
        <v>0</v>
      </c>
      <c r="Q813" s="58" t="n">
        <f aca="false">Q812+N813</f>
        <v>215608.5191027</v>
      </c>
    </row>
    <row r="814" customFormat="false" ht="15" hidden="false" customHeight="false" outlineLevel="0" collapsed="false">
      <c r="K814" s="56" t="n">
        <f aca="false">K813+1</f>
        <v>807</v>
      </c>
      <c r="L814" s="57" t="n">
        <f aca="false">IF(AND(K814&lt;=Assumptions!$C$42,L813=1,P813=0,O813&gt;Assumptions!$C$43),1,0)</f>
        <v>0</v>
      </c>
      <c r="M814" s="58" t="n">
        <f aca="false">O813</f>
        <v>1.04062110040104E-008</v>
      </c>
      <c r="N814" s="58" t="n">
        <f aca="false">IF(L814=1,M814*$B$25,0)</f>
        <v>0</v>
      </c>
      <c r="O814" s="58" t="n">
        <f aca="false">IF(L814=1,M814+N814-$B$29,M814)</f>
        <v>1.04062110040104E-008</v>
      </c>
      <c r="P814" s="56" t="n">
        <f aca="false">IF(L814=1,IF($B$29&lt;=N814,1,0),0)</f>
        <v>0</v>
      </c>
      <c r="Q814" s="58" t="n">
        <f aca="false">Q813+N814</f>
        <v>215608.5191027</v>
      </c>
    </row>
    <row r="815" customFormat="false" ht="15" hidden="false" customHeight="false" outlineLevel="0" collapsed="false">
      <c r="K815" s="56" t="n">
        <f aca="false">K814+1</f>
        <v>808</v>
      </c>
      <c r="L815" s="57" t="n">
        <f aca="false">IF(AND(K815&lt;=Assumptions!$C$42,L814=1,P814=0,O814&gt;Assumptions!$C$43),1,0)</f>
        <v>0</v>
      </c>
      <c r="M815" s="58" t="n">
        <f aca="false">O814</f>
        <v>1.04062110040104E-008</v>
      </c>
      <c r="N815" s="58" t="n">
        <f aca="false">IF(L815=1,M815*$B$25,0)</f>
        <v>0</v>
      </c>
      <c r="O815" s="58" t="n">
        <f aca="false">IF(L815=1,M815+N815-$B$29,M815)</f>
        <v>1.04062110040104E-008</v>
      </c>
      <c r="P815" s="56" t="n">
        <f aca="false">IF(L815=1,IF($B$29&lt;=N815,1,0),0)</f>
        <v>0</v>
      </c>
      <c r="Q815" s="58" t="n">
        <f aca="false">Q814+N815</f>
        <v>215608.5191027</v>
      </c>
    </row>
    <row r="816" customFormat="false" ht="15" hidden="false" customHeight="false" outlineLevel="0" collapsed="false">
      <c r="K816" s="56" t="n">
        <f aca="false">K815+1</f>
        <v>809</v>
      </c>
      <c r="L816" s="57" t="n">
        <f aca="false">IF(AND(K816&lt;=Assumptions!$C$42,L815=1,P815=0,O815&gt;Assumptions!$C$43),1,0)</f>
        <v>0</v>
      </c>
      <c r="M816" s="58" t="n">
        <f aca="false">O815</f>
        <v>1.04062110040104E-008</v>
      </c>
      <c r="N816" s="58" t="n">
        <f aca="false">IF(L816=1,M816*$B$25,0)</f>
        <v>0</v>
      </c>
      <c r="O816" s="58" t="n">
        <f aca="false">IF(L816=1,M816+N816-$B$29,M816)</f>
        <v>1.04062110040104E-008</v>
      </c>
      <c r="P816" s="56" t="n">
        <f aca="false">IF(L816=1,IF($B$29&lt;=N816,1,0),0)</f>
        <v>0</v>
      </c>
      <c r="Q816" s="58" t="n">
        <f aca="false">Q815+N816</f>
        <v>215608.5191027</v>
      </c>
    </row>
    <row r="817" customFormat="false" ht="15" hidden="false" customHeight="false" outlineLevel="0" collapsed="false">
      <c r="K817" s="56" t="n">
        <f aca="false">K816+1</f>
        <v>810</v>
      </c>
      <c r="L817" s="57" t="n">
        <f aca="false">IF(AND(K817&lt;=Assumptions!$C$42,L816=1,P816=0,O816&gt;Assumptions!$C$43),1,0)</f>
        <v>0</v>
      </c>
      <c r="M817" s="58" t="n">
        <f aca="false">O816</f>
        <v>1.04062110040104E-008</v>
      </c>
      <c r="N817" s="58" t="n">
        <f aca="false">IF(L817=1,M817*$B$25,0)</f>
        <v>0</v>
      </c>
      <c r="O817" s="58" t="n">
        <f aca="false">IF(L817=1,M817+N817-$B$29,M817)</f>
        <v>1.04062110040104E-008</v>
      </c>
      <c r="P817" s="56" t="n">
        <f aca="false">IF(L817=1,IF($B$29&lt;=N817,1,0),0)</f>
        <v>0</v>
      </c>
      <c r="Q817" s="58" t="n">
        <f aca="false">Q816+N817</f>
        <v>215608.5191027</v>
      </c>
    </row>
    <row r="818" customFormat="false" ht="15" hidden="false" customHeight="false" outlineLevel="0" collapsed="false">
      <c r="K818" s="56" t="n">
        <f aca="false">K817+1</f>
        <v>811</v>
      </c>
      <c r="L818" s="57" t="n">
        <f aca="false">IF(AND(K818&lt;=Assumptions!$C$42,L817=1,P817=0,O817&gt;Assumptions!$C$43),1,0)</f>
        <v>0</v>
      </c>
      <c r="M818" s="58" t="n">
        <f aca="false">O817</f>
        <v>1.04062110040104E-008</v>
      </c>
      <c r="N818" s="58" t="n">
        <f aca="false">IF(L818=1,M818*$B$25,0)</f>
        <v>0</v>
      </c>
      <c r="O818" s="58" t="n">
        <f aca="false">IF(L818=1,M818+N818-$B$29,M818)</f>
        <v>1.04062110040104E-008</v>
      </c>
      <c r="P818" s="56" t="n">
        <f aca="false">IF(L818=1,IF($B$29&lt;=N818,1,0),0)</f>
        <v>0</v>
      </c>
      <c r="Q818" s="58" t="n">
        <f aca="false">Q817+N818</f>
        <v>215608.5191027</v>
      </c>
    </row>
    <row r="819" customFormat="false" ht="15" hidden="false" customHeight="false" outlineLevel="0" collapsed="false">
      <c r="K819" s="56" t="n">
        <f aca="false">K818+1</f>
        <v>812</v>
      </c>
      <c r="L819" s="57" t="n">
        <f aca="false">IF(AND(K819&lt;=Assumptions!$C$42,L818=1,P818=0,O818&gt;Assumptions!$C$43),1,0)</f>
        <v>0</v>
      </c>
      <c r="M819" s="58" t="n">
        <f aca="false">O818</f>
        <v>1.04062110040104E-008</v>
      </c>
      <c r="N819" s="58" t="n">
        <f aca="false">IF(L819=1,M819*$B$25,0)</f>
        <v>0</v>
      </c>
      <c r="O819" s="58" t="n">
        <f aca="false">IF(L819=1,M819+N819-$B$29,M819)</f>
        <v>1.04062110040104E-008</v>
      </c>
      <c r="P819" s="56" t="n">
        <f aca="false">IF(L819=1,IF($B$29&lt;=N819,1,0),0)</f>
        <v>0</v>
      </c>
      <c r="Q819" s="58" t="n">
        <f aca="false">Q818+N819</f>
        <v>215608.5191027</v>
      </c>
    </row>
    <row r="820" customFormat="false" ht="15" hidden="false" customHeight="false" outlineLevel="0" collapsed="false">
      <c r="K820" s="56" t="n">
        <f aca="false">K819+1</f>
        <v>813</v>
      </c>
      <c r="L820" s="57" t="n">
        <f aca="false">IF(AND(K820&lt;=Assumptions!$C$42,L819=1,P819=0,O819&gt;Assumptions!$C$43),1,0)</f>
        <v>0</v>
      </c>
      <c r="M820" s="58" t="n">
        <f aca="false">O819</f>
        <v>1.04062110040104E-008</v>
      </c>
      <c r="N820" s="58" t="n">
        <f aca="false">IF(L820=1,M820*$B$25,0)</f>
        <v>0</v>
      </c>
      <c r="O820" s="58" t="n">
        <f aca="false">IF(L820=1,M820+N820-$B$29,M820)</f>
        <v>1.04062110040104E-008</v>
      </c>
      <c r="P820" s="56" t="n">
        <f aca="false">IF(L820=1,IF($B$29&lt;=N820,1,0),0)</f>
        <v>0</v>
      </c>
      <c r="Q820" s="58" t="n">
        <f aca="false">Q819+N820</f>
        <v>215608.5191027</v>
      </c>
    </row>
    <row r="821" customFormat="false" ht="15" hidden="false" customHeight="false" outlineLevel="0" collapsed="false">
      <c r="K821" s="56" t="n">
        <f aca="false">K820+1</f>
        <v>814</v>
      </c>
      <c r="L821" s="57" t="n">
        <f aca="false">IF(AND(K821&lt;=Assumptions!$C$42,L820=1,P820=0,O820&gt;Assumptions!$C$43),1,0)</f>
        <v>0</v>
      </c>
      <c r="M821" s="58" t="n">
        <f aca="false">O820</f>
        <v>1.04062110040104E-008</v>
      </c>
      <c r="N821" s="58" t="n">
        <f aca="false">IF(L821=1,M821*$B$25,0)</f>
        <v>0</v>
      </c>
      <c r="O821" s="58" t="n">
        <f aca="false">IF(L821=1,M821+N821-$B$29,M821)</f>
        <v>1.04062110040104E-008</v>
      </c>
      <c r="P821" s="56" t="n">
        <f aca="false">IF(L821=1,IF($B$29&lt;=N821,1,0),0)</f>
        <v>0</v>
      </c>
      <c r="Q821" s="58" t="n">
        <f aca="false">Q820+N821</f>
        <v>215608.5191027</v>
      </c>
    </row>
    <row r="822" customFormat="false" ht="15" hidden="false" customHeight="false" outlineLevel="0" collapsed="false">
      <c r="K822" s="56" t="n">
        <f aca="false">K821+1</f>
        <v>815</v>
      </c>
      <c r="L822" s="57" t="n">
        <f aca="false">IF(AND(K822&lt;=Assumptions!$C$42,L821=1,P821=0,O821&gt;Assumptions!$C$43),1,0)</f>
        <v>0</v>
      </c>
      <c r="M822" s="58" t="n">
        <f aca="false">O821</f>
        <v>1.04062110040104E-008</v>
      </c>
      <c r="N822" s="58" t="n">
        <f aca="false">IF(L822=1,M822*$B$25,0)</f>
        <v>0</v>
      </c>
      <c r="O822" s="58" t="n">
        <f aca="false">IF(L822=1,M822+N822-$B$29,M822)</f>
        <v>1.04062110040104E-008</v>
      </c>
      <c r="P822" s="56" t="n">
        <f aca="false">IF(L822=1,IF($B$29&lt;=N822,1,0),0)</f>
        <v>0</v>
      </c>
      <c r="Q822" s="58" t="n">
        <f aca="false">Q821+N822</f>
        <v>215608.5191027</v>
      </c>
    </row>
    <row r="823" customFormat="false" ht="15" hidden="false" customHeight="false" outlineLevel="0" collapsed="false">
      <c r="K823" s="56" t="n">
        <f aca="false">K822+1</f>
        <v>816</v>
      </c>
      <c r="L823" s="57" t="n">
        <f aca="false">IF(AND(K823&lt;=Assumptions!$C$42,L822=1,P822=0,O822&gt;Assumptions!$C$43),1,0)</f>
        <v>0</v>
      </c>
      <c r="M823" s="58" t="n">
        <f aca="false">O822</f>
        <v>1.04062110040104E-008</v>
      </c>
      <c r="N823" s="58" t="n">
        <f aca="false">IF(L823=1,M823*$B$25,0)</f>
        <v>0</v>
      </c>
      <c r="O823" s="58" t="n">
        <f aca="false">IF(L823=1,M823+N823-$B$29,M823)</f>
        <v>1.04062110040104E-008</v>
      </c>
      <c r="P823" s="56" t="n">
        <f aca="false">IF(L823=1,IF($B$29&lt;=N823,1,0),0)</f>
        <v>0</v>
      </c>
      <c r="Q823" s="58" t="n">
        <f aca="false">Q822+N823</f>
        <v>215608.5191027</v>
      </c>
    </row>
    <row r="824" customFormat="false" ht="15" hidden="false" customHeight="false" outlineLevel="0" collapsed="false">
      <c r="K824" s="56" t="n">
        <f aca="false">K823+1</f>
        <v>817</v>
      </c>
      <c r="L824" s="57" t="n">
        <f aca="false">IF(AND(K824&lt;=Assumptions!$C$42,L823=1,P823=0,O823&gt;Assumptions!$C$43),1,0)</f>
        <v>0</v>
      </c>
      <c r="M824" s="58" t="n">
        <f aca="false">O823</f>
        <v>1.04062110040104E-008</v>
      </c>
      <c r="N824" s="58" t="n">
        <f aca="false">IF(L824=1,M824*$B$25,0)</f>
        <v>0</v>
      </c>
      <c r="O824" s="58" t="n">
        <f aca="false">IF(L824=1,M824+N824-$B$29,M824)</f>
        <v>1.04062110040104E-008</v>
      </c>
      <c r="P824" s="56" t="n">
        <f aca="false">IF(L824=1,IF($B$29&lt;=N824,1,0),0)</f>
        <v>0</v>
      </c>
      <c r="Q824" s="58" t="n">
        <f aca="false">Q823+N824</f>
        <v>215608.5191027</v>
      </c>
    </row>
    <row r="825" customFormat="false" ht="15" hidden="false" customHeight="false" outlineLevel="0" collapsed="false">
      <c r="K825" s="56" t="n">
        <f aca="false">K824+1</f>
        <v>818</v>
      </c>
      <c r="L825" s="57" t="n">
        <f aca="false">IF(AND(K825&lt;=Assumptions!$C$42,L824=1,P824=0,O824&gt;Assumptions!$C$43),1,0)</f>
        <v>0</v>
      </c>
      <c r="M825" s="58" t="n">
        <f aca="false">O824</f>
        <v>1.04062110040104E-008</v>
      </c>
      <c r="N825" s="58" t="n">
        <f aca="false">IF(L825=1,M825*$B$25,0)</f>
        <v>0</v>
      </c>
      <c r="O825" s="58" t="n">
        <f aca="false">IF(L825=1,M825+N825-$B$29,M825)</f>
        <v>1.04062110040104E-008</v>
      </c>
      <c r="P825" s="56" t="n">
        <f aca="false">IF(L825=1,IF($B$29&lt;=N825,1,0),0)</f>
        <v>0</v>
      </c>
      <c r="Q825" s="58" t="n">
        <f aca="false">Q824+N825</f>
        <v>215608.5191027</v>
      </c>
    </row>
    <row r="826" customFormat="false" ht="15" hidden="false" customHeight="false" outlineLevel="0" collapsed="false">
      <c r="K826" s="56" t="n">
        <f aca="false">K825+1</f>
        <v>819</v>
      </c>
      <c r="L826" s="57" t="n">
        <f aca="false">IF(AND(K826&lt;=Assumptions!$C$42,L825=1,P825=0,O825&gt;Assumptions!$C$43),1,0)</f>
        <v>0</v>
      </c>
      <c r="M826" s="58" t="n">
        <f aca="false">O825</f>
        <v>1.04062110040104E-008</v>
      </c>
      <c r="N826" s="58" t="n">
        <f aca="false">IF(L826=1,M826*$B$25,0)</f>
        <v>0</v>
      </c>
      <c r="O826" s="58" t="n">
        <f aca="false">IF(L826=1,M826+N826-$B$29,M826)</f>
        <v>1.04062110040104E-008</v>
      </c>
      <c r="P826" s="56" t="n">
        <f aca="false">IF(L826=1,IF($B$29&lt;=N826,1,0),0)</f>
        <v>0</v>
      </c>
      <c r="Q826" s="58" t="n">
        <f aca="false">Q825+N826</f>
        <v>215608.5191027</v>
      </c>
    </row>
    <row r="827" customFormat="false" ht="15" hidden="false" customHeight="false" outlineLevel="0" collapsed="false">
      <c r="K827" s="56" t="n">
        <f aca="false">K826+1</f>
        <v>820</v>
      </c>
      <c r="L827" s="57" t="n">
        <f aca="false">IF(AND(K827&lt;=Assumptions!$C$42,L826=1,P826=0,O826&gt;Assumptions!$C$43),1,0)</f>
        <v>0</v>
      </c>
      <c r="M827" s="58" t="n">
        <f aca="false">O826</f>
        <v>1.04062110040104E-008</v>
      </c>
      <c r="N827" s="58" t="n">
        <f aca="false">IF(L827=1,M827*$B$25,0)</f>
        <v>0</v>
      </c>
      <c r="O827" s="58" t="n">
        <f aca="false">IF(L827=1,M827+N827-$B$29,M827)</f>
        <v>1.04062110040104E-008</v>
      </c>
      <c r="P827" s="56" t="n">
        <f aca="false">IF(L827=1,IF($B$29&lt;=N827,1,0),0)</f>
        <v>0</v>
      </c>
      <c r="Q827" s="58" t="n">
        <f aca="false">Q826+N827</f>
        <v>215608.5191027</v>
      </c>
    </row>
    <row r="828" customFormat="false" ht="15" hidden="false" customHeight="false" outlineLevel="0" collapsed="false">
      <c r="K828" s="56" t="n">
        <f aca="false">K827+1</f>
        <v>821</v>
      </c>
      <c r="L828" s="57" t="n">
        <f aca="false">IF(AND(K828&lt;=Assumptions!$C$42,L827=1,P827=0,O827&gt;Assumptions!$C$43),1,0)</f>
        <v>0</v>
      </c>
      <c r="M828" s="58" t="n">
        <f aca="false">O827</f>
        <v>1.04062110040104E-008</v>
      </c>
      <c r="N828" s="58" t="n">
        <f aca="false">IF(L828=1,M828*$B$25,0)</f>
        <v>0</v>
      </c>
      <c r="O828" s="58" t="n">
        <f aca="false">IF(L828=1,M828+N828-$B$29,M828)</f>
        <v>1.04062110040104E-008</v>
      </c>
      <c r="P828" s="56" t="n">
        <f aca="false">IF(L828=1,IF($B$29&lt;=N828,1,0),0)</f>
        <v>0</v>
      </c>
      <c r="Q828" s="58" t="n">
        <f aca="false">Q827+N828</f>
        <v>215608.5191027</v>
      </c>
    </row>
    <row r="829" customFormat="false" ht="15" hidden="false" customHeight="false" outlineLevel="0" collapsed="false">
      <c r="K829" s="56" t="n">
        <f aca="false">K828+1</f>
        <v>822</v>
      </c>
      <c r="L829" s="57" t="n">
        <f aca="false">IF(AND(K829&lt;=Assumptions!$C$42,L828=1,P828=0,O828&gt;Assumptions!$C$43),1,0)</f>
        <v>0</v>
      </c>
      <c r="M829" s="58" t="n">
        <f aca="false">O828</f>
        <v>1.04062110040104E-008</v>
      </c>
      <c r="N829" s="58" t="n">
        <f aca="false">IF(L829=1,M829*$B$25,0)</f>
        <v>0</v>
      </c>
      <c r="O829" s="58" t="n">
        <f aca="false">IF(L829=1,M829+N829-$B$29,M829)</f>
        <v>1.04062110040104E-008</v>
      </c>
      <c r="P829" s="56" t="n">
        <f aca="false">IF(L829=1,IF($B$29&lt;=N829,1,0),0)</f>
        <v>0</v>
      </c>
      <c r="Q829" s="58" t="n">
        <f aca="false">Q828+N829</f>
        <v>215608.5191027</v>
      </c>
    </row>
    <row r="830" customFormat="false" ht="15" hidden="false" customHeight="false" outlineLevel="0" collapsed="false">
      <c r="K830" s="56" t="n">
        <f aca="false">K829+1</f>
        <v>823</v>
      </c>
      <c r="L830" s="57" t="n">
        <f aca="false">IF(AND(K830&lt;=Assumptions!$C$42,L829=1,P829=0,O829&gt;Assumptions!$C$43),1,0)</f>
        <v>0</v>
      </c>
      <c r="M830" s="58" t="n">
        <f aca="false">O829</f>
        <v>1.04062110040104E-008</v>
      </c>
      <c r="N830" s="58" t="n">
        <f aca="false">IF(L830=1,M830*$B$25,0)</f>
        <v>0</v>
      </c>
      <c r="O830" s="58" t="n">
        <f aca="false">IF(L830=1,M830+N830-$B$29,M830)</f>
        <v>1.04062110040104E-008</v>
      </c>
      <c r="P830" s="56" t="n">
        <f aca="false">IF(L830=1,IF($B$29&lt;=N830,1,0),0)</f>
        <v>0</v>
      </c>
      <c r="Q830" s="58" t="n">
        <f aca="false">Q829+N830</f>
        <v>215608.5191027</v>
      </c>
    </row>
    <row r="831" customFormat="false" ht="15" hidden="false" customHeight="false" outlineLevel="0" collapsed="false">
      <c r="K831" s="56" t="n">
        <f aca="false">K830+1</f>
        <v>824</v>
      </c>
      <c r="L831" s="57" t="n">
        <f aca="false">IF(AND(K831&lt;=Assumptions!$C$42,L830=1,P830=0,O830&gt;Assumptions!$C$43),1,0)</f>
        <v>0</v>
      </c>
      <c r="M831" s="58" t="n">
        <f aca="false">O830</f>
        <v>1.04062110040104E-008</v>
      </c>
      <c r="N831" s="58" t="n">
        <f aca="false">IF(L831=1,M831*$B$25,0)</f>
        <v>0</v>
      </c>
      <c r="O831" s="58" t="n">
        <f aca="false">IF(L831=1,M831+N831-$B$29,M831)</f>
        <v>1.04062110040104E-008</v>
      </c>
      <c r="P831" s="56" t="n">
        <f aca="false">IF(L831=1,IF($B$29&lt;=N831,1,0),0)</f>
        <v>0</v>
      </c>
      <c r="Q831" s="58" t="n">
        <f aca="false">Q830+N831</f>
        <v>215608.5191027</v>
      </c>
    </row>
    <row r="832" customFormat="false" ht="15" hidden="false" customHeight="false" outlineLevel="0" collapsed="false">
      <c r="K832" s="56" t="n">
        <f aca="false">K831+1</f>
        <v>825</v>
      </c>
      <c r="L832" s="57" t="n">
        <f aca="false">IF(AND(K832&lt;=Assumptions!$C$42,L831=1,P831=0,O831&gt;Assumptions!$C$43),1,0)</f>
        <v>0</v>
      </c>
      <c r="M832" s="58" t="n">
        <f aca="false">O831</f>
        <v>1.04062110040104E-008</v>
      </c>
      <c r="N832" s="58" t="n">
        <f aca="false">IF(L832=1,M832*$B$25,0)</f>
        <v>0</v>
      </c>
      <c r="O832" s="58" t="n">
        <f aca="false">IF(L832=1,M832+N832-$B$29,M832)</f>
        <v>1.04062110040104E-008</v>
      </c>
      <c r="P832" s="56" t="n">
        <f aca="false">IF(L832=1,IF($B$29&lt;=N832,1,0),0)</f>
        <v>0</v>
      </c>
      <c r="Q832" s="58" t="n">
        <f aca="false">Q831+N832</f>
        <v>215608.5191027</v>
      </c>
    </row>
    <row r="833" customFormat="false" ht="15" hidden="false" customHeight="false" outlineLevel="0" collapsed="false">
      <c r="K833" s="56" t="n">
        <f aca="false">K832+1</f>
        <v>826</v>
      </c>
      <c r="L833" s="57" t="n">
        <f aca="false">IF(AND(K833&lt;=Assumptions!$C$42,L832=1,P832=0,O832&gt;Assumptions!$C$43),1,0)</f>
        <v>0</v>
      </c>
      <c r="M833" s="58" t="n">
        <f aca="false">O832</f>
        <v>1.04062110040104E-008</v>
      </c>
      <c r="N833" s="58" t="n">
        <f aca="false">IF(L833=1,M833*$B$25,0)</f>
        <v>0</v>
      </c>
      <c r="O833" s="58" t="n">
        <f aca="false">IF(L833=1,M833+N833-$B$29,M833)</f>
        <v>1.04062110040104E-008</v>
      </c>
      <c r="P833" s="56" t="n">
        <f aca="false">IF(L833=1,IF($B$29&lt;=N833,1,0),0)</f>
        <v>0</v>
      </c>
      <c r="Q833" s="58" t="n">
        <f aca="false">Q832+N833</f>
        <v>215608.5191027</v>
      </c>
    </row>
    <row r="834" customFormat="false" ht="15" hidden="false" customHeight="false" outlineLevel="0" collapsed="false">
      <c r="K834" s="56" t="n">
        <f aca="false">K833+1</f>
        <v>827</v>
      </c>
      <c r="L834" s="57" t="n">
        <f aca="false">IF(AND(K834&lt;=Assumptions!$C$42,L833=1,P833=0,O833&gt;Assumptions!$C$43),1,0)</f>
        <v>0</v>
      </c>
      <c r="M834" s="58" t="n">
        <f aca="false">O833</f>
        <v>1.04062110040104E-008</v>
      </c>
      <c r="N834" s="58" t="n">
        <f aca="false">IF(L834=1,M834*$B$25,0)</f>
        <v>0</v>
      </c>
      <c r="O834" s="58" t="n">
        <f aca="false">IF(L834=1,M834+N834-$B$29,M834)</f>
        <v>1.04062110040104E-008</v>
      </c>
      <c r="P834" s="56" t="n">
        <f aca="false">IF(L834=1,IF($B$29&lt;=N834,1,0),0)</f>
        <v>0</v>
      </c>
      <c r="Q834" s="58" t="n">
        <f aca="false">Q833+N834</f>
        <v>215608.5191027</v>
      </c>
    </row>
    <row r="835" customFormat="false" ht="15" hidden="false" customHeight="false" outlineLevel="0" collapsed="false">
      <c r="K835" s="56" t="n">
        <f aca="false">K834+1</f>
        <v>828</v>
      </c>
      <c r="L835" s="57" t="n">
        <f aca="false">IF(AND(K835&lt;=Assumptions!$C$42,L834=1,P834=0,O834&gt;Assumptions!$C$43),1,0)</f>
        <v>0</v>
      </c>
      <c r="M835" s="58" t="n">
        <f aca="false">O834</f>
        <v>1.04062110040104E-008</v>
      </c>
      <c r="N835" s="58" t="n">
        <f aca="false">IF(L835=1,M835*$B$25,0)</f>
        <v>0</v>
      </c>
      <c r="O835" s="58" t="n">
        <f aca="false">IF(L835=1,M835+N835-$B$29,M835)</f>
        <v>1.04062110040104E-008</v>
      </c>
      <c r="P835" s="56" t="n">
        <f aca="false">IF(L835=1,IF($B$29&lt;=N835,1,0),0)</f>
        <v>0</v>
      </c>
      <c r="Q835" s="58" t="n">
        <f aca="false">Q834+N835</f>
        <v>215608.5191027</v>
      </c>
    </row>
    <row r="836" customFormat="false" ht="15" hidden="false" customHeight="false" outlineLevel="0" collapsed="false">
      <c r="K836" s="56" t="n">
        <f aca="false">K835+1</f>
        <v>829</v>
      </c>
      <c r="L836" s="57" t="n">
        <f aca="false">IF(AND(K836&lt;=Assumptions!$C$42,L835=1,P835=0,O835&gt;Assumptions!$C$43),1,0)</f>
        <v>0</v>
      </c>
      <c r="M836" s="58" t="n">
        <f aca="false">O835</f>
        <v>1.04062110040104E-008</v>
      </c>
      <c r="N836" s="58" t="n">
        <f aca="false">IF(L836=1,M836*$B$25,0)</f>
        <v>0</v>
      </c>
      <c r="O836" s="58" t="n">
        <f aca="false">IF(L836=1,M836+N836-$B$29,M836)</f>
        <v>1.04062110040104E-008</v>
      </c>
      <c r="P836" s="56" t="n">
        <f aca="false">IF(L836=1,IF($B$29&lt;=N836,1,0),0)</f>
        <v>0</v>
      </c>
      <c r="Q836" s="58" t="n">
        <f aca="false">Q835+N836</f>
        <v>215608.5191027</v>
      </c>
    </row>
    <row r="837" customFormat="false" ht="15" hidden="false" customHeight="false" outlineLevel="0" collapsed="false">
      <c r="K837" s="56" t="n">
        <f aca="false">K836+1</f>
        <v>830</v>
      </c>
      <c r="L837" s="57" t="n">
        <f aca="false">IF(AND(K837&lt;=Assumptions!$C$42,L836=1,P836=0,O836&gt;Assumptions!$C$43),1,0)</f>
        <v>0</v>
      </c>
      <c r="M837" s="58" t="n">
        <f aca="false">O836</f>
        <v>1.04062110040104E-008</v>
      </c>
      <c r="N837" s="58" t="n">
        <f aca="false">IF(L837=1,M837*$B$25,0)</f>
        <v>0</v>
      </c>
      <c r="O837" s="58" t="n">
        <f aca="false">IF(L837=1,M837+N837-$B$29,M837)</f>
        <v>1.04062110040104E-008</v>
      </c>
      <c r="P837" s="56" t="n">
        <f aca="false">IF(L837=1,IF($B$29&lt;=N837,1,0),0)</f>
        <v>0</v>
      </c>
      <c r="Q837" s="58" t="n">
        <f aca="false">Q836+N837</f>
        <v>215608.5191027</v>
      </c>
    </row>
    <row r="838" customFormat="false" ht="15" hidden="false" customHeight="false" outlineLevel="0" collapsed="false">
      <c r="K838" s="56" t="n">
        <f aca="false">K837+1</f>
        <v>831</v>
      </c>
      <c r="L838" s="57" t="n">
        <f aca="false">IF(AND(K838&lt;=Assumptions!$C$42,L837=1,P837=0,O837&gt;Assumptions!$C$43),1,0)</f>
        <v>0</v>
      </c>
      <c r="M838" s="58" t="n">
        <f aca="false">O837</f>
        <v>1.04062110040104E-008</v>
      </c>
      <c r="N838" s="58" t="n">
        <f aca="false">IF(L838=1,M838*$B$25,0)</f>
        <v>0</v>
      </c>
      <c r="O838" s="58" t="n">
        <f aca="false">IF(L838=1,M838+N838-$B$29,M838)</f>
        <v>1.04062110040104E-008</v>
      </c>
      <c r="P838" s="56" t="n">
        <f aca="false">IF(L838=1,IF($B$29&lt;=N838,1,0),0)</f>
        <v>0</v>
      </c>
      <c r="Q838" s="58" t="n">
        <f aca="false">Q837+N838</f>
        <v>215608.5191027</v>
      </c>
    </row>
    <row r="839" customFormat="false" ht="15" hidden="false" customHeight="false" outlineLevel="0" collapsed="false">
      <c r="K839" s="56" t="n">
        <f aca="false">K838+1</f>
        <v>832</v>
      </c>
      <c r="L839" s="57" t="n">
        <f aca="false">IF(AND(K839&lt;=Assumptions!$C$42,L838=1,P838=0,O838&gt;Assumptions!$C$43),1,0)</f>
        <v>0</v>
      </c>
      <c r="M839" s="58" t="n">
        <f aca="false">O838</f>
        <v>1.04062110040104E-008</v>
      </c>
      <c r="N839" s="58" t="n">
        <f aca="false">IF(L839=1,M839*$B$25,0)</f>
        <v>0</v>
      </c>
      <c r="O839" s="58" t="n">
        <f aca="false">IF(L839=1,M839+N839-$B$29,M839)</f>
        <v>1.04062110040104E-008</v>
      </c>
      <c r="P839" s="56" t="n">
        <f aca="false">IF(L839=1,IF($B$29&lt;=N839,1,0),0)</f>
        <v>0</v>
      </c>
      <c r="Q839" s="58" t="n">
        <f aca="false">Q838+N839</f>
        <v>215608.5191027</v>
      </c>
    </row>
    <row r="840" customFormat="false" ht="15" hidden="false" customHeight="false" outlineLevel="0" collapsed="false">
      <c r="K840" s="56" t="n">
        <f aca="false">K839+1</f>
        <v>833</v>
      </c>
      <c r="L840" s="57" t="n">
        <f aca="false">IF(AND(K840&lt;=Assumptions!$C$42,L839=1,P839=0,O839&gt;Assumptions!$C$43),1,0)</f>
        <v>0</v>
      </c>
      <c r="M840" s="58" t="n">
        <f aca="false">O839</f>
        <v>1.04062110040104E-008</v>
      </c>
      <c r="N840" s="58" t="n">
        <f aca="false">IF(L840=1,M840*$B$25,0)</f>
        <v>0</v>
      </c>
      <c r="O840" s="58" t="n">
        <f aca="false">IF(L840=1,M840+N840-$B$29,M840)</f>
        <v>1.04062110040104E-008</v>
      </c>
      <c r="P840" s="56" t="n">
        <f aca="false">IF(L840=1,IF($B$29&lt;=N840,1,0),0)</f>
        <v>0</v>
      </c>
      <c r="Q840" s="58" t="n">
        <f aca="false">Q839+N840</f>
        <v>215608.5191027</v>
      </c>
    </row>
    <row r="841" customFormat="false" ht="15" hidden="false" customHeight="false" outlineLevel="0" collapsed="false">
      <c r="K841" s="56" t="n">
        <f aca="false">K840+1</f>
        <v>834</v>
      </c>
      <c r="L841" s="57" t="n">
        <f aca="false">IF(AND(K841&lt;=Assumptions!$C$42,L840=1,P840=0,O840&gt;Assumptions!$C$43),1,0)</f>
        <v>0</v>
      </c>
      <c r="M841" s="58" t="n">
        <f aca="false">O840</f>
        <v>1.04062110040104E-008</v>
      </c>
      <c r="N841" s="58" t="n">
        <f aca="false">IF(L841=1,M841*$B$25,0)</f>
        <v>0</v>
      </c>
      <c r="O841" s="58" t="n">
        <f aca="false">IF(L841=1,M841+N841-$B$29,M841)</f>
        <v>1.04062110040104E-008</v>
      </c>
      <c r="P841" s="56" t="n">
        <f aca="false">IF(L841=1,IF($B$29&lt;=N841,1,0),0)</f>
        <v>0</v>
      </c>
      <c r="Q841" s="58" t="n">
        <f aca="false">Q840+N841</f>
        <v>215608.5191027</v>
      </c>
    </row>
    <row r="842" customFormat="false" ht="15" hidden="false" customHeight="false" outlineLevel="0" collapsed="false">
      <c r="K842" s="56" t="n">
        <f aca="false">K841+1</f>
        <v>835</v>
      </c>
      <c r="L842" s="57" t="n">
        <f aca="false">IF(AND(K842&lt;=Assumptions!$C$42,L841=1,P841=0,O841&gt;Assumptions!$C$43),1,0)</f>
        <v>0</v>
      </c>
      <c r="M842" s="58" t="n">
        <f aca="false">O841</f>
        <v>1.04062110040104E-008</v>
      </c>
      <c r="N842" s="58" t="n">
        <f aca="false">IF(L842=1,M842*$B$25,0)</f>
        <v>0</v>
      </c>
      <c r="O842" s="58" t="n">
        <f aca="false">IF(L842=1,M842+N842-$B$29,M842)</f>
        <v>1.04062110040104E-008</v>
      </c>
      <c r="P842" s="56" t="n">
        <f aca="false">IF(L842=1,IF($B$29&lt;=N842,1,0),0)</f>
        <v>0</v>
      </c>
      <c r="Q842" s="58" t="n">
        <f aca="false">Q841+N842</f>
        <v>215608.5191027</v>
      </c>
    </row>
    <row r="843" customFormat="false" ht="15" hidden="false" customHeight="false" outlineLevel="0" collapsed="false">
      <c r="K843" s="56" t="n">
        <f aca="false">K842+1</f>
        <v>836</v>
      </c>
      <c r="L843" s="57" t="n">
        <f aca="false">IF(AND(K843&lt;=Assumptions!$C$42,L842=1,P842=0,O842&gt;Assumptions!$C$43),1,0)</f>
        <v>0</v>
      </c>
      <c r="M843" s="58" t="n">
        <f aca="false">O842</f>
        <v>1.04062110040104E-008</v>
      </c>
      <c r="N843" s="58" t="n">
        <f aca="false">IF(L843=1,M843*$B$25,0)</f>
        <v>0</v>
      </c>
      <c r="O843" s="58" t="n">
        <f aca="false">IF(L843=1,M843+N843-$B$29,M843)</f>
        <v>1.04062110040104E-008</v>
      </c>
      <c r="P843" s="56" t="n">
        <f aca="false">IF(L843=1,IF($B$29&lt;=N843,1,0),0)</f>
        <v>0</v>
      </c>
      <c r="Q843" s="58" t="n">
        <f aca="false">Q842+N843</f>
        <v>215608.5191027</v>
      </c>
    </row>
    <row r="844" customFormat="false" ht="15" hidden="false" customHeight="false" outlineLevel="0" collapsed="false">
      <c r="K844" s="56" t="n">
        <f aca="false">K843+1</f>
        <v>837</v>
      </c>
      <c r="L844" s="57" t="n">
        <f aca="false">IF(AND(K844&lt;=Assumptions!$C$42,L843=1,P843=0,O843&gt;Assumptions!$C$43),1,0)</f>
        <v>0</v>
      </c>
      <c r="M844" s="58" t="n">
        <f aca="false">O843</f>
        <v>1.04062110040104E-008</v>
      </c>
      <c r="N844" s="58" t="n">
        <f aca="false">IF(L844=1,M844*$B$25,0)</f>
        <v>0</v>
      </c>
      <c r="O844" s="58" t="n">
        <f aca="false">IF(L844=1,M844+N844-$B$29,M844)</f>
        <v>1.04062110040104E-008</v>
      </c>
      <c r="P844" s="56" t="n">
        <f aca="false">IF(L844=1,IF($B$29&lt;=N844,1,0),0)</f>
        <v>0</v>
      </c>
      <c r="Q844" s="58" t="n">
        <f aca="false">Q843+N844</f>
        <v>215608.5191027</v>
      </c>
    </row>
    <row r="845" customFormat="false" ht="15" hidden="false" customHeight="false" outlineLevel="0" collapsed="false">
      <c r="K845" s="56" t="n">
        <f aca="false">K844+1</f>
        <v>838</v>
      </c>
      <c r="L845" s="57" t="n">
        <f aca="false">IF(AND(K845&lt;=Assumptions!$C$42,L844=1,P844=0,O844&gt;Assumptions!$C$43),1,0)</f>
        <v>0</v>
      </c>
      <c r="M845" s="58" t="n">
        <f aca="false">O844</f>
        <v>1.04062110040104E-008</v>
      </c>
      <c r="N845" s="58" t="n">
        <f aca="false">IF(L845=1,M845*$B$25,0)</f>
        <v>0</v>
      </c>
      <c r="O845" s="58" t="n">
        <f aca="false">IF(L845=1,M845+N845-$B$29,M845)</f>
        <v>1.04062110040104E-008</v>
      </c>
      <c r="P845" s="56" t="n">
        <f aca="false">IF(L845=1,IF($B$29&lt;=N845,1,0),0)</f>
        <v>0</v>
      </c>
      <c r="Q845" s="58" t="n">
        <f aca="false">Q844+N845</f>
        <v>215608.5191027</v>
      </c>
    </row>
    <row r="846" customFormat="false" ht="15" hidden="false" customHeight="false" outlineLevel="0" collapsed="false">
      <c r="K846" s="56" t="n">
        <f aca="false">K845+1</f>
        <v>839</v>
      </c>
      <c r="L846" s="57" t="n">
        <f aca="false">IF(AND(K846&lt;=Assumptions!$C$42,L845=1,P845=0,O845&gt;Assumptions!$C$43),1,0)</f>
        <v>0</v>
      </c>
      <c r="M846" s="58" t="n">
        <f aca="false">O845</f>
        <v>1.04062110040104E-008</v>
      </c>
      <c r="N846" s="58" t="n">
        <f aca="false">IF(L846=1,M846*$B$25,0)</f>
        <v>0</v>
      </c>
      <c r="O846" s="58" t="n">
        <f aca="false">IF(L846=1,M846+N846-$B$29,M846)</f>
        <v>1.04062110040104E-008</v>
      </c>
      <c r="P846" s="56" t="n">
        <f aca="false">IF(L846=1,IF($B$29&lt;=N846,1,0),0)</f>
        <v>0</v>
      </c>
      <c r="Q846" s="58" t="n">
        <f aca="false">Q845+N846</f>
        <v>215608.5191027</v>
      </c>
    </row>
    <row r="847" customFormat="false" ht="15" hidden="false" customHeight="false" outlineLevel="0" collapsed="false">
      <c r="K847" s="56" t="n">
        <f aca="false">K846+1</f>
        <v>840</v>
      </c>
      <c r="L847" s="57" t="n">
        <f aca="false">IF(AND(K847&lt;=Assumptions!$C$42,L846=1,P846=0,O846&gt;Assumptions!$C$43),1,0)</f>
        <v>0</v>
      </c>
      <c r="M847" s="58" t="n">
        <f aca="false">O846</f>
        <v>1.04062110040104E-008</v>
      </c>
      <c r="N847" s="58" t="n">
        <f aca="false">IF(L847=1,M847*$B$25,0)</f>
        <v>0</v>
      </c>
      <c r="O847" s="58" t="n">
        <f aca="false">IF(L847=1,M847+N847-$B$29,M847)</f>
        <v>1.04062110040104E-008</v>
      </c>
      <c r="P847" s="56" t="n">
        <f aca="false">IF(L847=1,IF($B$29&lt;=N847,1,0),0)</f>
        <v>0</v>
      </c>
      <c r="Q847" s="58" t="n">
        <f aca="false">Q846+N847</f>
        <v>215608.5191027</v>
      </c>
    </row>
    <row r="848" customFormat="false" ht="15" hidden="false" customHeight="false" outlineLevel="0" collapsed="false">
      <c r="K848" s="56" t="n">
        <f aca="false">K847+1</f>
        <v>841</v>
      </c>
      <c r="L848" s="57" t="n">
        <f aca="false">IF(AND(K848&lt;=Assumptions!$C$42,L847=1,P847=0,O847&gt;Assumptions!$C$43),1,0)</f>
        <v>0</v>
      </c>
      <c r="M848" s="58" t="n">
        <f aca="false">O847</f>
        <v>1.04062110040104E-008</v>
      </c>
      <c r="N848" s="58" t="n">
        <f aca="false">IF(L848=1,M848*$B$25,0)</f>
        <v>0</v>
      </c>
      <c r="O848" s="58" t="n">
        <f aca="false">IF(L848=1,M848+N848-$B$29,M848)</f>
        <v>1.04062110040104E-008</v>
      </c>
      <c r="P848" s="56" t="n">
        <f aca="false">IF(L848=1,IF($B$29&lt;=N848,1,0),0)</f>
        <v>0</v>
      </c>
      <c r="Q848" s="58" t="n">
        <f aca="false">Q847+N848</f>
        <v>215608.5191027</v>
      </c>
    </row>
    <row r="849" customFormat="false" ht="15" hidden="false" customHeight="false" outlineLevel="0" collapsed="false">
      <c r="K849" s="56" t="n">
        <f aca="false">K848+1</f>
        <v>842</v>
      </c>
      <c r="L849" s="57" t="n">
        <f aca="false">IF(AND(K849&lt;=Assumptions!$C$42,L848=1,P848=0,O848&gt;Assumptions!$C$43),1,0)</f>
        <v>0</v>
      </c>
      <c r="M849" s="58" t="n">
        <f aca="false">O848</f>
        <v>1.04062110040104E-008</v>
      </c>
      <c r="N849" s="58" t="n">
        <f aca="false">IF(L849=1,M849*$B$25,0)</f>
        <v>0</v>
      </c>
      <c r="O849" s="58" t="n">
        <f aca="false">IF(L849=1,M849+N849-$B$29,M849)</f>
        <v>1.04062110040104E-008</v>
      </c>
      <c r="P849" s="56" t="n">
        <f aca="false">IF(L849=1,IF($B$29&lt;=N849,1,0),0)</f>
        <v>0</v>
      </c>
      <c r="Q849" s="58" t="n">
        <f aca="false">Q848+N849</f>
        <v>215608.5191027</v>
      </c>
    </row>
    <row r="850" customFormat="false" ht="15" hidden="false" customHeight="false" outlineLevel="0" collapsed="false">
      <c r="K850" s="56" t="n">
        <f aca="false">K849+1</f>
        <v>843</v>
      </c>
      <c r="L850" s="57" t="n">
        <f aca="false">IF(AND(K850&lt;=Assumptions!$C$42,L849=1,P849=0,O849&gt;Assumptions!$C$43),1,0)</f>
        <v>0</v>
      </c>
      <c r="M850" s="58" t="n">
        <f aca="false">O849</f>
        <v>1.04062110040104E-008</v>
      </c>
      <c r="N850" s="58" t="n">
        <f aca="false">IF(L850=1,M850*$B$25,0)</f>
        <v>0</v>
      </c>
      <c r="O850" s="58" t="n">
        <f aca="false">IF(L850=1,M850+N850-$B$29,M850)</f>
        <v>1.04062110040104E-008</v>
      </c>
      <c r="P850" s="56" t="n">
        <f aca="false">IF(L850=1,IF($B$29&lt;=N850,1,0),0)</f>
        <v>0</v>
      </c>
      <c r="Q850" s="58" t="n">
        <f aca="false">Q849+N850</f>
        <v>215608.5191027</v>
      </c>
    </row>
    <row r="851" customFormat="false" ht="15" hidden="false" customHeight="false" outlineLevel="0" collapsed="false">
      <c r="K851" s="56" t="n">
        <f aca="false">K850+1</f>
        <v>844</v>
      </c>
      <c r="L851" s="57" t="n">
        <f aca="false">IF(AND(K851&lt;=Assumptions!$C$42,L850=1,P850=0,O850&gt;Assumptions!$C$43),1,0)</f>
        <v>0</v>
      </c>
      <c r="M851" s="58" t="n">
        <f aca="false">O850</f>
        <v>1.04062110040104E-008</v>
      </c>
      <c r="N851" s="58" t="n">
        <f aca="false">IF(L851=1,M851*$B$25,0)</f>
        <v>0</v>
      </c>
      <c r="O851" s="58" t="n">
        <f aca="false">IF(L851=1,M851+N851-$B$29,M851)</f>
        <v>1.04062110040104E-008</v>
      </c>
      <c r="P851" s="56" t="n">
        <f aca="false">IF(L851=1,IF($B$29&lt;=N851,1,0),0)</f>
        <v>0</v>
      </c>
      <c r="Q851" s="58" t="n">
        <f aca="false">Q850+N851</f>
        <v>215608.5191027</v>
      </c>
    </row>
    <row r="852" customFormat="false" ht="15" hidden="false" customHeight="false" outlineLevel="0" collapsed="false">
      <c r="K852" s="56" t="n">
        <f aca="false">K851+1</f>
        <v>845</v>
      </c>
      <c r="L852" s="57" t="n">
        <f aca="false">IF(AND(K852&lt;=Assumptions!$C$42,L851=1,P851=0,O851&gt;Assumptions!$C$43),1,0)</f>
        <v>0</v>
      </c>
      <c r="M852" s="58" t="n">
        <f aca="false">O851</f>
        <v>1.04062110040104E-008</v>
      </c>
      <c r="N852" s="58" t="n">
        <f aca="false">IF(L852=1,M852*$B$25,0)</f>
        <v>0</v>
      </c>
      <c r="O852" s="58" t="n">
        <f aca="false">IF(L852=1,M852+N852-$B$29,M852)</f>
        <v>1.04062110040104E-008</v>
      </c>
      <c r="P852" s="56" t="n">
        <f aca="false">IF(L852=1,IF($B$29&lt;=N852,1,0),0)</f>
        <v>0</v>
      </c>
      <c r="Q852" s="58" t="n">
        <f aca="false">Q851+N852</f>
        <v>215608.5191027</v>
      </c>
    </row>
    <row r="853" customFormat="false" ht="15" hidden="false" customHeight="false" outlineLevel="0" collapsed="false">
      <c r="K853" s="56" t="n">
        <f aca="false">K852+1</f>
        <v>846</v>
      </c>
      <c r="L853" s="57" t="n">
        <f aca="false">IF(AND(K853&lt;=Assumptions!$C$42,L852=1,P852=0,O852&gt;Assumptions!$C$43),1,0)</f>
        <v>0</v>
      </c>
      <c r="M853" s="58" t="n">
        <f aca="false">O852</f>
        <v>1.04062110040104E-008</v>
      </c>
      <c r="N853" s="58" t="n">
        <f aca="false">IF(L853=1,M853*$B$25,0)</f>
        <v>0</v>
      </c>
      <c r="O853" s="58" t="n">
        <f aca="false">IF(L853=1,M853+N853-$B$29,M853)</f>
        <v>1.04062110040104E-008</v>
      </c>
      <c r="P853" s="56" t="n">
        <f aca="false">IF(L853=1,IF($B$29&lt;=N853,1,0),0)</f>
        <v>0</v>
      </c>
      <c r="Q853" s="58" t="n">
        <f aca="false">Q852+N853</f>
        <v>215608.5191027</v>
      </c>
    </row>
    <row r="854" customFormat="false" ht="15" hidden="false" customHeight="false" outlineLevel="0" collapsed="false">
      <c r="K854" s="56" t="n">
        <f aca="false">K853+1</f>
        <v>847</v>
      </c>
      <c r="L854" s="57" t="n">
        <f aca="false">IF(AND(K854&lt;=Assumptions!$C$42,L853=1,P853=0,O853&gt;Assumptions!$C$43),1,0)</f>
        <v>0</v>
      </c>
      <c r="M854" s="58" t="n">
        <f aca="false">O853</f>
        <v>1.04062110040104E-008</v>
      </c>
      <c r="N854" s="58" t="n">
        <f aca="false">IF(L854=1,M854*$B$25,0)</f>
        <v>0</v>
      </c>
      <c r="O854" s="58" t="n">
        <f aca="false">IF(L854=1,M854+N854-$B$29,M854)</f>
        <v>1.04062110040104E-008</v>
      </c>
      <c r="P854" s="56" t="n">
        <f aca="false">IF(L854=1,IF($B$29&lt;=N854,1,0),0)</f>
        <v>0</v>
      </c>
      <c r="Q854" s="58" t="n">
        <f aca="false">Q853+N854</f>
        <v>215608.5191027</v>
      </c>
    </row>
    <row r="855" customFormat="false" ht="15" hidden="false" customHeight="false" outlineLevel="0" collapsed="false">
      <c r="K855" s="56" t="n">
        <f aca="false">K854+1</f>
        <v>848</v>
      </c>
      <c r="L855" s="57" t="n">
        <f aca="false">IF(AND(K855&lt;=Assumptions!$C$42,L854=1,P854=0,O854&gt;Assumptions!$C$43),1,0)</f>
        <v>0</v>
      </c>
      <c r="M855" s="58" t="n">
        <f aca="false">O854</f>
        <v>1.04062110040104E-008</v>
      </c>
      <c r="N855" s="58" t="n">
        <f aca="false">IF(L855=1,M855*$B$25,0)</f>
        <v>0</v>
      </c>
      <c r="O855" s="58" t="n">
        <f aca="false">IF(L855=1,M855+N855-$B$29,M855)</f>
        <v>1.04062110040104E-008</v>
      </c>
      <c r="P855" s="56" t="n">
        <f aca="false">IF(L855=1,IF($B$29&lt;=N855,1,0),0)</f>
        <v>0</v>
      </c>
      <c r="Q855" s="58" t="n">
        <f aca="false">Q854+N855</f>
        <v>215608.5191027</v>
      </c>
    </row>
    <row r="856" customFormat="false" ht="15" hidden="false" customHeight="false" outlineLevel="0" collapsed="false">
      <c r="K856" s="56" t="n">
        <f aca="false">K855+1</f>
        <v>849</v>
      </c>
      <c r="L856" s="57" t="n">
        <f aca="false">IF(AND(K856&lt;=Assumptions!$C$42,L855=1,P855=0,O855&gt;Assumptions!$C$43),1,0)</f>
        <v>0</v>
      </c>
      <c r="M856" s="58" t="n">
        <f aca="false">O855</f>
        <v>1.04062110040104E-008</v>
      </c>
      <c r="N856" s="58" t="n">
        <f aca="false">IF(L856=1,M856*$B$25,0)</f>
        <v>0</v>
      </c>
      <c r="O856" s="58" t="n">
        <f aca="false">IF(L856=1,M856+N856-$B$29,M856)</f>
        <v>1.04062110040104E-008</v>
      </c>
      <c r="P856" s="56" t="n">
        <f aca="false">IF(L856=1,IF($B$29&lt;=N856,1,0),0)</f>
        <v>0</v>
      </c>
      <c r="Q856" s="58" t="n">
        <f aca="false">Q855+N856</f>
        <v>215608.5191027</v>
      </c>
    </row>
    <row r="857" customFormat="false" ht="15" hidden="false" customHeight="false" outlineLevel="0" collapsed="false">
      <c r="K857" s="56" t="n">
        <f aca="false">K856+1</f>
        <v>850</v>
      </c>
      <c r="L857" s="57" t="n">
        <f aca="false">IF(AND(K857&lt;=Assumptions!$C$42,L856=1,P856=0,O856&gt;Assumptions!$C$43),1,0)</f>
        <v>0</v>
      </c>
      <c r="M857" s="58" t="n">
        <f aca="false">O856</f>
        <v>1.04062110040104E-008</v>
      </c>
      <c r="N857" s="58" t="n">
        <f aca="false">IF(L857=1,M857*$B$25,0)</f>
        <v>0</v>
      </c>
      <c r="O857" s="58" t="n">
        <f aca="false">IF(L857=1,M857+N857-$B$29,M857)</f>
        <v>1.04062110040104E-008</v>
      </c>
      <c r="P857" s="56" t="n">
        <f aca="false">IF(L857=1,IF($B$29&lt;=N857,1,0),0)</f>
        <v>0</v>
      </c>
      <c r="Q857" s="58" t="n">
        <f aca="false">Q856+N857</f>
        <v>215608.5191027</v>
      </c>
    </row>
    <row r="858" customFormat="false" ht="15" hidden="false" customHeight="false" outlineLevel="0" collapsed="false">
      <c r="K858" s="56" t="n">
        <f aca="false">K857+1</f>
        <v>851</v>
      </c>
      <c r="L858" s="57" t="n">
        <f aca="false">IF(AND(K858&lt;=Assumptions!$C$42,L857=1,P857=0,O857&gt;Assumptions!$C$43),1,0)</f>
        <v>0</v>
      </c>
      <c r="M858" s="58" t="n">
        <f aca="false">O857</f>
        <v>1.04062110040104E-008</v>
      </c>
      <c r="N858" s="58" t="n">
        <f aca="false">IF(L858=1,M858*$B$25,0)</f>
        <v>0</v>
      </c>
      <c r="O858" s="58" t="n">
        <f aca="false">IF(L858=1,M858+N858-$B$29,M858)</f>
        <v>1.04062110040104E-008</v>
      </c>
      <c r="P858" s="56" t="n">
        <f aca="false">IF(L858=1,IF($B$29&lt;=N858,1,0),0)</f>
        <v>0</v>
      </c>
      <c r="Q858" s="58" t="n">
        <f aca="false">Q857+N858</f>
        <v>215608.5191027</v>
      </c>
    </row>
    <row r="859" customFormat="false" ht="15" hidden="false" customHeight="false" outlineLevel="0" collapsed="false">
      <c r="K859" s="56" t="n">
        <f aca="false">K858+1</f>
        <v>852</v>
      </c>
      <c r="L859" s="57" t="n">
        <f aca="false">IF(AND(K859&lt;=Assumptions!$C$42,L858=1,P858=0,O858&gt;Assumptions!$C$43),1,0)</f>
        <v>0</v>
      </c>
      <c r="M859" s="58" t="n">
        <f aca="false">O858</f>
        <v>1.04062110040104E-008</v>
      </c>
      <c r="N859" s="58" t="n">
        <f aca="false">IF(L859=1,M859*$B$25,0)</f>
        <v>0</v>
      </c>
      <c r="O859" s="58" t="n">
        <f aca="false">IF(L859=1,M859+N859-$B$29,M859)</f>
        <v>1.04062110040104E-008</v>
      </c>
      <c r="P859" s="56" t="n">
        <f aca="false">IF(L859=1,IF($B$29&lt;=N859,1,0),0)</f>
        <v>0</v>
      </c>
      <c r="Q859" s="58" t="n">
        <f aca="false">Q858+N859</f>
        <v>215608.5191027</v>
      </c>
    </row>
    <row r="860" customFormat="false" ht="15" hidden="false" customHeight="false" outlineLevel="0" collapsed="false">
      <c r="K860" s="56" t="n">
        <f aca="false">K859+1</f>
        <v>853</v>
      </c>
      <c r="L860" s="57" t="n">
        <f aca="false">IF(AND(K860&lt;=Assumptions!$C$42,L859=1,P859=0,O859&gt;Assumptions!$C$43),1,0)</f>
        <v>0</v>
      </c>
      <c r="M860" s="58" t="n">
        <f aca="false">O859</f>
        <v>1.04062110040104E-008</v>
      </c>
      <c r="N860" s="58" t="n">
        <f aca="false">IF(L860=1,M860*$B$25,0)</f>
        <v>0</v>
      </c>
      <c r="O860" s="58" t="n">
        <f aca="false">IF(L860=1,M860+N860-$B$29,M860)</f>
        <v>1.04062110040104E-008</v>
      </c>
      <c r="P860" s="56" t="n">
        <f aca="false">IF(L860=1,IF($B$29&lt;=N860,1,0),0)</f>
        <v>0</v>
      </c>
      <c r="Q860" s="58" t="n">
        <f aca="false">Q859+N860</f>
        <v>215608.5191027</v>
      </c>
    </row>
    <row r="861" customFormat="false" ht="15" hidden="false" customHeight="false" outlineLevel="0" collapsed="false">
      <c r="K861" s="56" t="n">
        <f aca="false">K860+1</f>
        <v>854</v>
      </c>
      <c r="L861" s="57" t="n">
        <f aca="false">IF(AND(K861&lt;=Assumptions!$C$42,L860=1,P860=0,O860&gt;Assumptions!$C$43),1,0)</f>
        <v>0</v>
      </c>
      <c r="M861" s="58" t="n">
        <f aca="false">O860</f>
        <v>1.04062110040104E-008</v>
      </c>
      <c r="N861" s="58" t="n">
        <f aca="false">IF(L861=1,M861*$B$25,0)</f>
        <v>0</v>
      </c>
      <c r="O861" s="58" t="n">
        <f aca="false">IF(L861=1,M861+N861-$B$29,M861)</f>
        <v>1.04062110040104E-008</v>
      </c>
      <c r="P861" s="56" t="n">
        <f aca="false">IF(L861=1,IF($B$29&lt;=N861,1,0),0)</f>
        <v>0</v>
      </c>
      <c r="Q861" s="58" t="n">
        <f aca="false">Q860+N861</f>
        <v>215608.5191027</v>
      </c>
    </row>
    <row r="862" customFormat="false" ht="15" hidden="false" customHeight="false" outlineLevel="0" collapsed="false">
      <c r="K862" s="56" t="n">
        <f aca="false">K861+1</f>
        <v>855</v>
      </c>
      <c r="L862" s="57" t="n">
        <f aca="false">IF(AND(K862&lt;=Assumptions!$C$42,L861=1,P861=0,O861&gt;Assumptions!$C$43),1,0)</f>
        <v>0</v>
      </c>
      <c r="M862" s="58" t="n">
        <f aca="false">O861</f>
        <v>1.04062110040104E-008</v>
      </c>
      <c r="N862" s="58" t="n">
        <f aca="false">IF(L862=1,M862*$B$25,0)</f>
        <v>0</v>
      </c>
      <c r="O862" s="58" t="n">
        <f aca="false">IF(L862=1,M862+N862-$B$29,M862)</f>
        <v>1.04062110040104E-008</v>
      </c>
      <c r="P862" s="56" t="n">
        <f aca="false">IF(L862=1,IF($B$29&lt;=N862,1,0),0)</f>
        <v>0</v>
      </c>
      <c r="Q862" s="58" t="n">
        <f aca="false">Q861+N862</f>
        <v>215608.5191027</v>
      </c>
    </row>
    <row r="863" customFormat="false" ht="15" hidden="false" customHeight="false" outlineLevel="0" collapsed="false">
      <c r="K863" s="56" t="n">
        <f aca="false">K862+1</f>
        <v>856</v>
      </c>
      <c r="L863" s="57" t="n">
        <f aca="false">IF(AND(K863&lt;=Assumptions!$C$42,L862=1,P862=0,O862&gt;Assumptions!$C$43),1,0)</f>
        <v>0</v>
      </c>
      <c r="M863" s="58" t="n">
        <f aca="false">O862</f>
        <v>1.04062110040104E-008</v>
      </c>
      <c r="N863" s="58" t="n">
        <f aca="false">IF(L863=1,M863*$B$25,0)</f>
        <v>0</v>
      </c>
      <c r="O863" s="58" t="n">
        <f aca="false">IF(L863=1,M863+N863-$B$29,M863)</f>
        <v>1.04062110040104E-008</v>
      </c>
      <c r="P863" s="56" t="n">
        <f aca="false">IF(L863=1,IF($B$29&lt;=N863,1,0),0)</f>
        <v>0</v>
      </c>
      <c r="Q863" s="58" t="n">
        <f aca="false">Q862+N863</f>
        <v>215608.5191027</v>
      </c>
    </row>
    <row r="864" customFormat="false" ht="15" hidden="false" customHeight="false" outlineLevel="0" collapsed="false">
      <c r="K864" s="56" t="n">
        <f aca="false">K863+1</f>
        <v>857</v>
      </c>
      <c r="L864" s="57" t="n">
        <f aca="false">IF(AND(K864&lt;=Assumptions!$C$42,L863=1,P863=0,O863&gt;Assumptions!$C$43),1,0)</f>
        <v>0</v>
      </c>
      <c r="M864" s="58" t="n">
        <f aca="false">O863</f>
        <v>1.04062110040104E-008</v>
      </c>
      <c r="N864" s="58" t="n">
        <f aca="false">IF(L864=1,M864*$B$25,0)</f>
        <v>0</v>
      </c>
      <c r="O864" s="58" t="n">
        <f aca="false">IF(L864=1,M864+N864-$B$29,M864)</f>
        <v>1.04062110040104E-008</v>
      </c>
      <c r="P864" s="56" t="n">
        <f aca="false">IF(L864=1,IF($B$29&lt;=N864,1,0),0)</f>
        <v>0</v>
      </c>
      <c r="Q864" s="58" t="n">
        <f aca="false">Q863+N864</f>
        <v>215608.5191027</v>
      </c>
    </row>
    <row r="865" customFormat="false" ht="15" hidden="false" customHeight="false" outlineLevel="0" collapsed="false">
      <c r="K865" s="56" t="n">
        <f aca="false">K864+1</f>
        <v>858</v>
      </c>
      <c r="L865" s="57" t="n">
        <f aca="false">IF(AND(K865&lt;=Assumptions!$C$42,L864=1,P864=0,O864&gt;Assumptions!$C$43),1,0)</f>
        <v>0</v>
      </c>
      <c r="M865" s="58" t="n">
        <f aca="false">O864</f>
        <v>1.04062110040104E-008</v>
      </c>
      <c r="N865" s="58" t="n">
        <f aca="false">IF(L865=1,M865*$B$25,0)</f>
        <v>0</v>
      </c>
      <c r="O865" s="58" t="n">
        <f aca="false">IF(L865=1,M865+N865-$B$29,M865)</f>
        <v>1.04062110040104E-008</v>
      </c>
      <c r="P865" s="56" t="n">
        <f aca="false">IF(L865=1,IF($B$29&lt;=N865,1,0),0)</f>
        <v>0</v>
      </c>
      <c r="Q865" s="58" t="n">
        <f aca="false">Q864+N865</f>
        <v>215608.5191027</v>
      </c>
    </row>
    <row r="866" customFormat="false" ht="15" hidden="false" customHeight="false" outlineLevel="0" collapsed="false">
      <c r="K866" s="56" t="n">
        <f aca="false">K865+1</f>
        <v>859</v>
      </c>
      <c r="L866" s="57" t="n">
        <f aca="false">IF(AND(K866&lt;=Assumptions!$C$42,L865=1,P865=0,O865&gt;Assumptions!$C$43),1,0)</f>
        <v>0</v>
      </c>
      <c r="M866" s="58" t="n">
        <f aca="false">O865</f>
        <v>1.04062110040104E-008</v>
      </c>
      <c r="N866" s="58" t="n">
        <f aca="false">IF(L866=1,M866*$B$25,0)</f>
        <v>0</v>
      </c>
      <c r="O866" s="58" t="n">
        <f aca="false">IF(L866=1,M866+N866-$B$29,M866)</f>
        <v>1.04062110040104E-008</v>
      </c>
      <c r="P866" s="56" t="n">
        <f aca="false">IF(L866=1,IF($B$29&lt;=N866,1,0),0)</f>
        <v>0</v>
      </c>
      <c r="Q866" s="58" t="n">
        <f aca="false">Q865+N866</f>
        <v>215608.5191027</v>
      </c>
    </row>
    <row r="867" customFormat="false" ht="15" hidden="false" customHeight="false" outlineLevel="0" collapsed="false">
      <c r="K867" s="56" t="n">
        <f aca="false">K866+1</f>
        <v>860</v>
      </c>
      <c r="L867" s="57" t="n">
        <f aca="false">IF(AND(K867&lt;=Assumptions!$C$42,L866=1,P866=0,O866&gt;Assumptions!$C$43),1,0)</f>
        <v>0</v>
      </c>
      <c r="M867" s="58" t="n">
        <f aca="false">O866</f>
        <v>1.04062110040104E-008</v>
      </c>
      <c r="N867" s="58" t="n">
        <f aca="false">IF(L867=1,M867*$B$25,0)</f>
        <v>0</v>
      </c>
      <c r="O867" s="58" t="n">
        <f aca="false">IF(L867=1,M867+N867-$B$29,M867)</f>
        <v>1.04062110040104E-008</v>
      </c>
      <c r="P867" s="56" t="n">
        <f aca="false">IF(L867=1,IF($B$29&lt;=N867,1,0),0)</f>
        <v>0</v>
      </c>
      <c r="Q867" s="58" t="n">
        <f aca="false">Q866+N867</f>
        <v>215608.5191027</v>
      </c>
    </row>
    <row r="868" customFormat="false" ht="15" hidden="false" customHeight="false" outlineLevel="0" collapsed="false">
      <c r="K868" s="56" t="n">
        <f aca="false">K867+1</f>
        <v>861</v>
      </c>
      <c r="L868" s="57" t="n">
        <f aca="false">IF(AND(K868&lt;=Assumptions!$C$42,L867=1,P867=0,O867&gt;Assumptions!$C$43),1,0)</f>
        <v>0</v>
      </c>
      <c r="M868" s="58" t="n">
        <f aca="false">O867</f>
        <v>1.04062110040104E-008</v>
      </c>
      <c r="N868" s="58" t="n">
        <f aca="false">IF(L868=1,M868*$B$25,0)</f>
        <v>0</v>
      </c>
      <c r="O868" s="58" t="n">
        <f aca="false">IF(L868=1,M868+N868-$B$29,M868)</f>
        <v>1.04062110040104E-008</v>
      </c>
      <c r="P868" s="56" t="n">
        <f aca="false">IF(L868=1,IF($B$29&lt;=N868,1,0),0)</f>
        <v>0</v>
      </c>
      <c r="Q868" s="58" t="n">
        <f aca="false">Q867+N868</f>
        <v>215608.5191027</v>
      </c>
    </row>
    <row r="869" customFormat="false" ht="15" hidden="false" customHeight="false" outlineLevel="0" collapsed="false">
      <c r="K869" s="56" t="n">
        <f aca="false">K868+1</f>
        <v>862</v>
      </c>
      <c r="L869" s="57" t="n">
        <f aca="false">IF(AND(K869&lt;=Assumptions!$C$42,L868=1,P868=0,O868&gt;Assumptions!$C$43),1,0)</f>
        <v>0</v>
      </c>
      <c r="M869" s="58" t="n">
        <f aca="false">O868</f>
        <v>1.04062110040104E-008</v>
      </c>
      <c r="N869" s="58" t="n">
        <f aca="false">IF(L869=1,M869*$B$25,0)</f>
        <v>0</v>
      </c>
      <c r="O869" s="58" t="n">
        <f aca="false">IF(L869=1,M869+N869-$B$29,M869)</f>
        <v>1.04062110040104E-008</v>
      </c>
      <c r="P869" s="56" t="n">
        <f aca="false">IF(L869=1,IF($B$29&lt;=N869,1,0),0)</f>
        <v>0</v>
      </c>
      <c r="Q869" s="58" t="n">
        <f aca="false">Q868+N869</f>
        <v>215608.5191027</v>
      </c>
    </row>
    <row r="870" customFormat="false" ht="15" hidden="false" customHeight="false" outlineLevel="0" collapsed="false">
      <c r="K870" s="56" t="n">
        <f aca="false">K869+1</f>
        <v>863</v>
      </c>
      <c r="L870" s="57" t="n">
        <f aca="false">IF(AND(K870&lt;=Assumptions!$C$42,L869=1,P869=0,O869&gt;Assumptions!$C$43),1,0)</f>
        <v>0</v>
      </c>
      <c r="M870" s="58" t="n">
        <f aca="false">O869</f>
        <v>1.04062110040104E-008</v>
      </c>
      <c r="N870" s="58" t="n">
        <f aca="false">IF(L870=1,M870*$B$25,0)</f>
        <v>0</v>
      </c>
      <c r="O870" s="58" t="n">
        <f aca="false">IF(L870=1,M870+N870-$B$29,M870)</f>
        <v>1.04062110040104E-008</v>
      </c>
      <c r="P870" s="56" t="n">
        <f aca="false">IF(L870=1,IF($B$29&lt;=N870,1,0),0)</f>
        <v>0</v>
      </c>
      <c r="Q870" s="58" t="n">
        <f aca="false">Q869+N870</f>
        <v>215608.5191027</v>
      </c>
    </row>
    <row r="871" customFormat="false" ht="15" hidden="false" customHeight="false" outlineLevel="0" collapsed="false">
      <c r="K871" s="56" t="n">
        <f aca="false">K870+1</f>
        <v>864</v>
      </c>
      <c r="L871" s="57" t="n">
        <f aca="false">IF(AND(K871&lt;=Assumptions!$C$42,L870=1,P870=0,O870&gt;Assumptions!$C$43),1,0)</f>
        <v>0</v>
      </c>
      <c r="M871" s="58" t="n">
        <f aca="false">O870</f>
        <v>1.04062110040104E-008</v>
      </c>
      <c r="N871" s="58" t="n">
        <f aca="false">IF(L871=1,M871*$B$25,0)</f>
        <v>0</v>
      </c>
      <c r="O871" s="58" t="n">
        <f aca="false">IF(L871=1,M871+N871-$B$29,M871)</f>
        <v>1.04062110040104E-008</v>
      </c>
      <c r="P871" s="56" t="n">
        <f aca="false">IF(L871=1,IF($B$29&lt;=N871,1,0),0)</f>
        <v>0</v>
      </c>
      <c r="Q871" s="58" t="n">
        <f aca="false">Q870+N871</f>
        <v>215608.5191027</v>
      </c>
    </row>
    <row r="872" customFormat="false" ht="15" hidden="false" customHeight="false" outlineLevel="0" collapsed="false">
      <c r="K872" s="56" t="n">
        <f aca="false">K871+1</f>
        <v>865</v>
      </c>
      <c r="L872" s="57" t="n">
        <f aca="false">IF(AND(K872&lt;=Assumptions!$C$42,L871=1,P871=0,O871&gt;Assumptions!$C$43),1,0)</f>
        <v>0</v>
      </c>
      <c r="M872" s="58" t="n">
        <f aca="false">O871</f>
        <v>1.04062110040104E-008</v>
      </c>
      <c r="N872" s="58" t="n">
        <f aca="false">IF(L872=1,M872*$B$25,0)</f>
        <v>0</v>
      </c>
      <c r="O872" s="58" t="n">
        <f aca="false">IF(L872=1,M872+N872-$B$29,M872)</f>
        <v>1.04062110040104E-008</v>
      </c>
      <c r="P872" s="56" t="n">
        <f aca="false">IF(L872=1,IF($B$29&lt;=N872,1,0),0)</f>
        <v>0</v>
      </c>
      <c r="Q872" s="58" t="n">
        <f aca="false">Q871+N872</f>
        <v>215608.5191027</v>
      </c>
    </row>
    <row r="873" customFormat="false" ht="15" hidden="false" customHeight="false" outlineLevel="0" collapsed="false">
      <c r="K873" s="56" t="n">
        <f aca="false">K872+1</f>
        <v>866</v>
      </c>
      <c r="L873" s="57" t="n">
        <f aca="false">IF(AND(K873&lt;=Assumptions!$C$42,L872=1,P872=0,O872&gt;Assumptions!$C$43),1,0)</f>
        <v>0</v>
      </c>
      <c r="M873" s="58" t="n">
        <f aca="false">O872</f>
        <v>1.04062110040104E-008</v>
      </c>
      <c r="N873" s="58" t="n">
        <f aca="false">IF(L873=1,M873*$B$25,0)</f>
        <v>0</v>
      </c>
      <c r="O873" s="58" t="n">
        <f aca="false">IF(L873=1,M873+N873-$B$29,M873)</f>
        <v>1.04062110040104E-008</v>
      </c>
      <c r="P873" s="56" t="n">
        <f aca="false">IF(L873=1,IF($B$29&lt;=N873,1,0),0)</f>
        <v>0</v>
      </c>
      <c r="Q873" s="58" t="n">
        <f aca="false">Q872+N873</f>
        <v>215608.5191027</v>
      </c>
    </row>
    <row r="874" customFormat="false" ht="15" hidden="false" customHeight="false" outlineLevel="0" collapsed="false">
      <c r="K874" s="56" t="n">
        <f aca="false">K873+1</f>
        <v>867</v>
      </c>
      <c r="L874" s="57" t="n">
        <f aca="false">IF(AND(K874&lt;=Assumptions!$C$42,L873=1,P873=0,O873&gt;Assumptions!$C$43),1,0)</f>
        <v>0</v>
      </c>
      <c r="M874" s="58" t="n">
        <f aca="false">O873</f>
        <v>1.04062110040104E-008</v>
      </c>
      <c r="N874" s="58" t="n">
        <f aca="false">IF(L874=1,M874*$B$25,0)</f>
        <v>0</v>
      </c>
      <c r="O874" s="58" t="n">
        <f aca="false">IF(L874=1,M874+N874-$B$29,M874)</f>
        <v>1.04062110040104E-008</v>
      </c>
      <c r="P874" s="56" t="n">
        <f aca="false">IF(L874=1,IF($B$29&lt;=N874,1,0),0)</f>
        <v>0</v>
      </c>
      <c r="Q874" s="58" t="n">
        <f aca="false">Q873+N874</f>
        <v>215608.5191027</v>
      </c>
    </row>
    <row r="875" customFormat="false" ht="15" hidden="false" customHeight="false" outlineLevel="0" collapsed="false">
      <c r="K875" s="56" t="n">
        <f aca="false">K874+1</f>
        <v>868</v>
      </c>
      <c r="L875" s="57" t="n">
        <f aca="false">IF(AND(K875&lt;=Assumptions!$C$42,L874=1,P874=0,O874&gt;Assumptions!$C$43),1,0)</f>
        <v>0</v>
      </c>
      <c r="M875" s="58" t="n">
        <f aca="false">O874</f>
        <v>1.04062110040104E-008</v>
      </c>
      <c r="N875" s="58" t="n">
        <f aca="false">IF(L875=1,M875*$B$25,0)</f>
        <v>0</v>
      </c>
      <c r="O875" s="58" t="n">
        <f aca="false">IF(L875=1,M875+N875-$B$29,M875)</f>
        <v>1.04062110040104E-008</v>
      </c>
      <c r="P875" s="56" t="n">
        <f aca="false">IF(L875=1,IF($B$29&lt;=N875,1,0),0)</f>
        <v>0</v>
      </c>
      <c r="Q875" s="58" t="n">
        <f aca="false">Q874+N875</f>
        <v>215608.5191027</v>
      </c>
    </row>
    <row r="876" customFormat="false" ht="15" hidden="false" customHeight="false" outlineLevel="0" collapsed="false">
      <c r="K876" s="56" t="n">
        <f aca="false">K875+1</f>
        <v>869</v>
      </c>
      <c r="L876" s="57" t="n">
        <f aca="false">IF(AND(K876&lt;=Assumptions!$C$42,L875=1,P875=0,O875&gt;Assumptions!$C$43),1,0)</f>
        <v>0</v>
      </c>
      <c r="M876" s="58" t="n">
        <f aca="false">O875</f>
        <v>1.04062110040104E-008</v>
      </c>
      <c r="N876" s="58" t="n">
        <f aca="false">IF(L876=1,M876*$B$25,0)</f>
        <v>0</v>
      </c>
      <c r="O876" s="58" t="n">
        <f aca="false">IF(L876=1,M876+N876-$B$29,M876)</f>
        <v>1.04062110040104E-008</v>
      </c>
      <c r="P876" s="56" t="n">
        <f aca="false">IF(L876=1,IF($B$29&lt;=N876,1,0),0)</f>
        <v>0</v>
      </c>
      <c r="Q876" s="58" t="n">
        <f aca="false">Q875+N876</f>
        <v>215608.5191027</v>
      </c>
    </row>
    <row r="877" customFormat="false" ht="15" hidden="false" customHeight="false" outlineLevel="0" collapsed="false">
      <c r="K877" s="56" t="n">
        <f aca="false">K876+1</f>
        <v>870</v>
      </c>
      <c r="L877" s="57" t="n">
        <f aca="false">IF(AND(K877&lt;=Assumptions!$C$42,L876=1,P876=0,O876&gt;Assumptions!$C$43),1,0)</f>
        <v>0</v>
      </c>
      <c r="M877" s="58" t="n">
        <f aca="false">O876</f>
        <v>1.04062110040104E-008</v>
      </c>
      <c r="N877" s="58" t="n">
        <f aca="false">IF(L877=1,M877*$B$25,0)</f>
        <v>0</v>
      </c>
      <c r="O877" s="58" t="n">
        <f aca="false">IF(L877=1,M877+N877-$B$29,M877)</f>
        <v>1.04062110040104E-008</v>
      </c>
      <c r="P877" s="56" t="n">
        <f aca="false">IF(L877=1,IF($B$29&lt;=N877,1,0),0)</f>
        <v>0</v>
      </c>
      <c r="Q877" s="58" t="n">
        <f aca="false">Q876+N877</f>
        <v>215608.5191027</v>
      </c>
    </row>
    <row r="878" customFormat="false" ht="15" hidden="false" customHeight="false" outlineLevel="0" collapsed="false">
      <c r="K878" s="56" t="n">
        <f aca="false">K877+1</f>
        <v>871</v>
      </c>
      <c r="L878" s="57" t="n">
        <f aca="false">IF(AND(K878&lt;=Assumptions!$C$42,L877=1,P877=0,O877&gt;Assumptions!$C$43),1,0)</f>
        <v>0</v>
      </c>
      <c r="M878" s="58" t="n">
        <f aca="false">O877</f>
        <v>1.04062110040104E-008</v>
      </c>
      <c r="N878" s="58" t="n">
        <f aca="false">IF(L878=1,M878*$B$25,0)</f>
        <v>0</v>
      </c>
      <c r="O878" s="58" t="n">
        <f aca="false">IF(L878=1,M878+N878-$B$29,M878)</f>
        <v>1.04062110040104E-008</v>
      </c>
      <c r="P878" s="56" t="n">
        <f aca="false">IF(L878=1,IF($B$29&lt;=N878,1,0),0)</f>
        <v>0</v>
      </c>
      <c r="Q878" s="58" t="n">
        <f aca="false">Q877+N878</f>
        <v>215608.5191027</v>
      </c>
    </row>
    <row r="879" customFormat="false" ht="15" hidden="false" customHeight="false" outlineLevel="0" collapsed="false">
      <c r="K879" s="56" t="n">
        <f aca="false">K878+1</f>
        <v>872</v>
      </c>
      <c r="L879" s="57" t="n">
        <f aca="false">IF(AND(K879&lt;=Assumptions!$C$42,L878=1,P878=0,O878&gt;Assumptions!$C$43),1,0)</f>
        <v>0</v>
      </c>
      <c r="M879" s="58" t="n">
        <f aca="false">O878</f>
        <v>1.04062110040104E-008</v>
      </c>
      <c r="N879" s="58" t="n">
        <f aca="false">IF(L879=1,M879*$B$25,0)</f>
        <v>0</v>
      </c>
      <c r="O879" s="58" t="n">
        <f aca="false">IF(L879=1,M879+N879-$B$29,M879)</f>
        <v>1.04062110040104E-008</v>
      </c>
      <c r="P879" s="56" t="n">
        <f aca="false">IF(L879=1,IF($B$29&lt;=N879,1,0),0)</f>
        <v>0</v>
      </c>
      <c r="Q879" s="58" t="n">
        <f aca="false">Q878+N879</f>
        <v>215608.5191027</v>
      </c>
    </row>
    <row r="880" customFormat="false" ht="15" hidden="false" customHeight="false" outlineLevel="0" collapsed="false">
      <c r="K880" s="56" t="n">
        <f aca="false">K879+1</f>
        <v>873</v>
      </c>
      <c r="L880" s="57" t="n">
        <f aca="false">IF(AND(K880&lt;=Assumptions!$C$42,L879=1,P879=0,O879&gt;Assumptions!$C$43),1,0)</f>
        <v>0</v>
      </c>
      <c r="M880" s="58" t="n">
        <f aca="false">O879</f>
        <v>1.04062110040104E-008</v>
      </c>
      <c r="N880" s="58" t="n">
        <f aca="false">IF(L880=1,M880*$B$25,0)</f>
        <v>0</v>
      </c>
      <c r="O880" s="58" t="n">
        <f aca="false">IF(L880=1,M880+N880-$B$29,M880)</f>
        <v>1.04062110040104E-008</v>
      </c>
      <c r="P880" s="56" t="n">
        <f aca="false">IF(L880=1,IF($B$29&lt;=N880,1,0),0)</f>
        <v>0</v>
      </c>
      <c r="Q880" s="58" t="n">
        <f aca="false">Q879+N880</f>
        <v>215608.5191027</v>
      </c>
    </row>
    <row r="881" customFormat="false" ht="15" hidden="false" customHeight="false" outlineLevel="0" collapsed="false">
      <c r="K881" s="56" t="n">
        <f aca="false">K880+1</f>
        <v>874</v>
      </c>
      <c r="L881" s="57" t="n">
        <f aca="false">IF(AND(K881&lt;=Assumptions!$C$42,L880=1,P880=0,O880&gt;Assumptions!$C$43),1,0)</f>
        <v>0</v>
      </c>
      <c r="M881" s="58" t="n">
        <f aca="false">O880</f>
        <v>1.04062110040104E-008</v>
      </c>
      <c r="N881" s="58" t="n">
        <f aca="false">IF(L881=1,M881*$B$25,0)</f>
        <v>0</v>
      </c>
      <c r="O881" s="58" t="n">
        <f aca="false">IF(L881=1,M881+N881-$B$29,M881)</f>
        <v>1.04062110040104E-008</v>
      </c>
      <c r="P881" s="56" t="n">
        <f aca="false">IF(L881=1,IF($B$29&lt;=N881,1,0),0)</f>
        <v>0</v>
      </c>
      <c r="Q881" s="58" t="n">
        <f aca="false">Q880+N881</f>
        <v>215608.5191027</v>
      </c>
    </row>
    <row r="882" customFormat="false" ht="15" hidden="false" customHeight="false" outlineLevel="0" collapsed="false">
      <c r="K882" s="56" t="n">
        <f aca="false">K881+1</f>
        <v>875</v>
      </c>
      <c r="L882" s="57" t="n">
        <f aca="false">IF(AND(K882&lt;=Assumptions!$C$42,L881=1,P881=0,O881&gt;Assumptions!$C$43),1,0)</f>
        <v>0</v>
      </c>
      <c r="M882" s="58" t="n">
        <f aca="false">O881</f>
        <v>1.04062110040104E-008</v>
      </c>
      <c r="N882" s="58" t="n">
        <f aca="false">IF(L882=1,M882*$B$25,0)</f>
        <v>0</v>
      </c>
      <c r="O882" s="58" t="n">
        <f aca="false">IF(L882=1,M882+N882-$B$29,M882)</f>
        <v>1.04062110040104E-008</v>
      </c>
      <c r="P882" s="56" t="n">
        <f aca="false">IF(L882=1,IF($B$29&lt;=N882,1,0),0)</f>
        <v>0</v>
      </c>
      <c r="Q882" s="58" t="n">
        <f aca="false">Q881+N882</f>
        <v>215608.5191027</v>
      </c>
    </row>
    <row r="883" customFormat="false" ht="15" hidden="false" customHeight="false" outlineLevel="0" collapsed="false">
      <c r="K883" s="56" t="n">
        <f aca="false">K882+1</f>
        <v>876</v>
      </c>
      <c r="L883" s="57" t="n">
        <f aca="false">IF(AND(K883&lt;=Assumptions!$C$42,L882=1,P882=0,O882&gt;Assumptions!$C$43),1,0)</f>
        <v>0</v>
      </c>
      <c r="M883" s="58" t="n">
        <f aca="false">O882</f>
        <v>1.04062110040104E-008</v>
      </c>
      <c r="N883" s="58" t="n">
        <f aca="false">IF(L883=1,M883*$B$25,0)</f>
        <v>0</v>
      </c>
      <c r="O883" s="58" t="n">
        <f aca="false">IF(L883=1,M883+N883-$B$29,M883)</f>
        <v>1.04062110040104E-008</v>
      </c>
      <c r="P883" s="56" t="n">
        <f aca="false">IF(L883=1,IF($B$29&lt;=N883,1,0),0)</f>
        <v>0</v>
      </c>
      <c r="Q883" s="58" t="n">
        <f aca="false">Q882+N883</f>
        <v>215608.5191027</v>
      </c>
    </row>
    <row r="884" customFormat="false" ht="15" hidden="false" customHeight="false" outlineLevel="0" collapsed="false">
      <c r="K884" s="56" t="n">
        <f aca="false">K883+1</f>
        <v>877</v>
      </c>
      <c r="L884" s="57" t="n">
        <f aca="false">IF(AND(K884&lt;=Assumptions!$C$42,L883=1,P883=0,O883&gt;Assumptions!$C$43),1,0)</f>
        <v>0</v>
      </c>
      <c r="M884" s="58" t="n">
        <f aca="false">O883</f>
        <v>1.04062110040104E-008</v>
      </c>
      <c r="N884" s="58" t="n">
        <f aca="false">IF(L884=1,M884*$B$25,0)</f>
        <v>0</v>
      </c>
      <c r="O884" s="58" t="n">
        <f aca="false">IF(L884=1,M884+N884-$B$29,M884)</f>
        <v>1.04062110040104E-008</v>
      </c>
      <c r="P884" s="56" t="n">
        <f aca="false">IF(L884=1,IF($B$29&lt;=N884,1,0),0)</f>
        <v>0</v>
      </c>
      <c r="Q884" s="58" t="n">
        <f aca="false">Q883+N884</f>
        <v>215608.5191027</v>
      </c>
    </row>
    <row r="885" customFormat="false" ht="15" hidden="false" customHeight="false" outlineLevel="0" collapsed="false">
      <c r="K885" s="56" t="n">
        <f aca="false">K884+1</f>
        <v>878</v>
      </c>
      <c r="L885" s="57" t="n">
        <f aca="false">IF(AND(K885&lt;=Assumptions!$C$42,L884=1,P884=0,O884&gt;Assumptions!$C$43),1,0)</f>
        <v>0</v>
      </c>
      <c r="M885" s="58" t="n">
        <f aca="false">O884</f>
        <v>1.04062110040104E-008</v>
      </c>
      <c r="N885" s="58" t="n">
        <f aca="false">IF(L885=1,M885*$B$25,0)</f>
        <v>0</v>
      </c>
      <c r="O885" s="58" t="n">
        <f aca="false">IF(L885=1,M885+N885-$B$29,M885)</f>
        <v>1.04062110040104E-008</v>
      </c>
      <c r="P885" s="56" t="n">
        <f aca="false">IF(L885=1,IF($B$29&lt;=N885,1,0),0)</f>
        <v>0</v>
      </c>
      <c r="Q885" s="58" t="n">
        <f aca="false">Q884+N885</f>
        <v>215608.5191027</v>
      </c>
    </row>
    <row r="886" customFormat="false" ht="15" hidden="false" customHeight="false" outlineLevel="0" collapsed="false">
      <c r="K886" s="56" t="n">
        <f aca="false">K885+1</f>
        <v>879</v>
      </c>
      <c r="L886" s="57" t="n">
        <f aca="false">IF(AND(K886&lt;=Assumptions!$C$42,L885=1,P885=0,O885&gt;Assumptions!$C$43),1,0)</f>
        <v>0</v>
      </c>
      <c r="M886" s="58" t="n">
        <f aca="false">O885</f>
        <v>1.04062110040104E-008</v>
      </c>
      <c r="N886" s="58" t="n">
        <f aca="false">IF(L886=1,M886*$B$25,0)</f>
        <v>0</v>
      </c>
      <c r="O886" s="58" t="n">
        <f aca="false">IF(L886=1,M886+N886-$B$29,M886)</f>
        <v>1.04062110040104E-008</v>
      </c>
      <c r="P886" s="56" t="n">
        <f aca="false">IF(L886=1,IF($B$29&lt;=N886,1,0),0)</f>
        <v>0</v>
      </c>
      <c r="Q886" s="58" t="n">
        <f aca="false">Q885+N886</f>
        <v>215608.5191027</v>
      </c>
    </row>
    <row r="887" customFormat="false" ht="15" hidden="false" customHeight="false" outlineLevel="0" collapsed="false">
      <c r="K887" s="56" t="n">
        <f aca="false">K886+1</f>
        <v>880</v>
      </c>
      <c r="L887" s="57" t="n">
        <f aca="false">IF(AND(K887&lt;=Assumptions!$C$42,L886=1,P886=0,O886&gt;Assumptions!$C$43),1,0)</f>
        <v>0</v>
      </c>
      <c r="M887" s="58" t="n">
        <f aca="false">O886</f>
        <v>1.04062110040104E-008</v>
      </c>
      <c r="N887" s="58" t="n">
        <f aca="false">IF(L887=1,M887*$B$25,0)</f>
        <v>0</v>
      </c>
      <c r="O887" s="58" t="n">
        <f aca="false">IF(L887=1,M887+N887-$B$29,M887)</f>
        <v>1.04062110040104E-008</v>
      </c>
      <c r="P887" s="56" t="n">
        <f aca="false">IF(L887=1,IF($B$29&lt;=N887,1,0),0)</f>
        <v>0</v>
      </c>
      <c r="Q887" s="58" t="n">
        <f aca="false">Q886+N887</f>
        <v>215608.5191027</v>
      </c>
    </row>
    <row r="888" customFormat="false" ht="15" hidden="false" customHeight="false" outlineLevel="0" collapsed="false">
      <c r="K888" s="56" t="n">
        <f aca="false">K887+1</f>
        <v>881</v>
      </c>
      <c r="L888" s="57" t="n">
        <f aca="false">IF(AND(K888&lt;=Assumptions!$C$42,L887=1,P887=0,O887&gt;Assumptions!$C$43),1,0)</f>
        <v>0</v>
      </c>
      <c r="M888" s="58" t="n">
        <f aca="false">O887</f>
        <v>1.04062110040104E-008</v>
      </c>
      <c r="N888" s="58" t="n">
        <f aca="false">IF(L888=1,M888*$B$25,0)</f>
        <v>0</v>
      </c>
      <c r="O888" s="58" t="n">
        <f aca="false">IF(L888=1,M888+N888-$B$29,M888)</f>
        <v>1.04062110040104E-008</v>
      </c>
      <c r="P888" s="56" t="n">
        <f aca="false">IF(L888=1,IF($B$29&lt;=N888,1,0),0)</f>
        <v>0</v>
      </c>
      <c r="Q888" s="58" t="n">
        <f aca="false">Q887+N888</f>
        <v>215608.5191027</v>
      </c>
    </row>
    <row r="889" customFormat="false" ht="15" hidden="false" customHeight="false" outlineLevel="0" collapsed="false">
      <c r="K889" s="56" t="n">
        <f aca="false">K888+1</f>
        <v>882</v>
      </c>
      <c r="L889" s="57" t="n">
        <f aca="false">IF(AND(K889&lt;=Assumptions!$C$42,L888=1,P888=0,O888&gt;Assumptions!$C$43),1,0)</f>
        <v>0</v>
      </c>
      <c r="M889" s="58" t="n">
        <f aca="false">O888</f>
        <v>1.04062110040104E-008</v>
      </c>
      <c r="N889" s="58" t="n">
        <f aca="false">IF(L889=1,M889*$B$25,0)</f>
        <v>0</v>
      </c>
      <c r="O889" s="58" t="n">
        <f aca="false">IF(L889=1,M889+N889-$B$29,M889)</f>
        <v>1.04062110040104E-008</v>
      </c>
      <c r="P889" s="56" t="n">
        <f aca="false">IF(L889=1,IF($B$29&lt;=N889,1,0),0)</f>
        <v>0</v>
      </c>
      <c r="Q889" s="58" t="n">
        <f aca="false">Q888+N889</f>
        <v>215608.5191027</v>
      </c>
    </row>
    <row r="890" customFormat="false" ht="15" hidden="false" customHeight="false" outlineLevel="0" collapsed="false">
      <c r="K890" s="56" t="n">
        <f aca="false">K889+1</f>
        <v>883</v>
      </c>
      <c r="L890" s="57" t="n">
        <f aca="false">IF(AND(K890&lt;=Assumptions!$C$42,L889=1,P889=0,O889&gt;Assumptions!$C$43),1,0)</f>
        <v>0</v>
      </c>
      <c r="M890" s="58" t="n">
        <f aca="false">O889</f>
        <v>1.04062110040104E-008</v>
      </c>
      <c r="N890" s="58" t="n">
        <f aca="false">IF(L890=1,M890*$B$25,0)</f>
        <v>0</v>
      </c>
      <c r="O890" s="58" t="n">
        <f aca="false">IF(L890=1,M890+N890-$B$29,M890)</f>
        <v>1.04062110040104E-008</v>
      </c>
      <c r="P890" s="56" t="n">
        <f aca="false">IF(L890=1,IF($B$29&lt;=N890,1,0),0)</f>
        <v>0</v>
      </c>
      <c r="Q890" s="58" t="n">
        <f aca="false">Q889+N890</f>
        <v>215608.5191027</v>
      </c>
    </row>
    <row r="891" customFormat="false" ht="15" hidden="false" customHeight="false" outlineLevel="0" collapsed="false">
      <c r="K891" s="56" t="n">
        <f aca="false">K890+1</f>
        <v>884</v>
      </c>
      <c r="L891" s="57" t="n">
        <f aca="false">IF(AND(K891&lt;=Assumptions!$C$42,L890=1,P890=0,O890&gt;Assumptions!$C$43),1,0)</f>
        <v>0</v>
      </c>
      <c r="M891" s="58" t="n">
        <f aca="false">O890</f>
        <v>1.04062110040104E-008</v>
      </c>
      <c r="N891" s="58" t="n">
        <f aca="false">IF(L891=1,M891*$B$25,0)</f>
        <v>0</v>
      </c>
      <c r="O891" s="58" t="n">
        <f aca="false">IF(L891=1,M891+N891-$B$29,M891)</f>
        <v>1.04062110040104E-008</v>
      </c>
      <c r="P891" s="56" t="n">
        <f aca="false">IF(L891=1,IF($B$29&lt;=N891,1,0),0)</f>
        <v>0</v>
      </c>
      <c r="Q891" s="58" t="n">
        <f aca="false">Q890+N891</f>
        <v>215608.5191027</v>
      </c>
    </row>
    <row r="892" customFormat="false" ht="15" hidden="false" customHeight="false" outlineLevel="0" collapsed="false">
      <c r="K892" s="56" t="n">
        <f aca="false">K891+1</f>
        <v>885</v>
      </c>
      <c r="L892" s="57" t="n">
        <f aca="false">IF(AND(K892&lt;=Assumptions!$C$42,L891=1,P891=0,O891&gt;Assumptions!$C$43),1,0)</f>
        <v>0</v>
      </c>
      <c r="M892" s="58" t="n">
        <f aca="false">O891</f>
        <v>1.04062110040104E-008</v>
      </c>
      <c r="N892" s="58" t="n">
        <f aca="false">IF(L892=1,M892*$B$25,0)</f>
        <v>0</v>
      </c>
      <c r="O892" s="58" t="n">
        <f aca="false">IF(L892=1,M892+N892-$B$29,M892)</f>
        <v>1.04062110040104E-008</v>
      </c>
      <c r="P892" s="56" t="n">
        <f aca="false">IF(L892=1,IF($B$29&lt;=N892,1,0),0)</f>
        <v>0</v>
      </c>
      <c r="Q892" s="58" t="n">
        <f aca="false">Q891+N892</f>
        <v>215608.5191027</v>
      </c>
    </row>
    <row r="893" customFormat="false" ht="15" hidden="false" customHeight="false" outlineLevel="0" collapsed="false">
      <c r="K893" s="56" t="n">
        <f aca="false">K892+1</f>
        <v>886</v>
      </c>
      <c r="L893" s="57" t="n">
        <f aca="false">IF(AND(K893&lt;=Assumptions!$C$42,L892=1,P892=0,O892&gt;Assumptions!$C$43),1,0)</f>
        <v>0</v>
      </c>
      <c r="M893" s="58" t="n">
        <f aca="false">O892</f>
        <v>1.04062110040104E-008</v>
      </c>
      <c r="N893" s="58" t="n">
        <f aca="false">IF(L893=1,M893*$B$25,0)</f>
        <v>0</v>
      </c>
      <c r="O893" s="58" t="n">
        <f aca="false">IF(L893=1,M893+N893-$B$29,M893)</f>
        <v>1.04062110040104E-008</v>
      </c>
      <c r="P893" s="56" t="n">
        <f aca="false">IF(L893=1,IF($B$29&lt;=N893,1,0),0)</f>
        <v>0</v>
      </c>
      <c r="Q893" s="58" t="n">
        <f aca="false">Q892+N893</f>
        <v>215608.5191027</v>
      </c>
    </row>
    <row r="894" customFormat="false" ht="15" hidden="false" customHeight="false" outlineLevel="0" collapsed="false">
      <c r="K894" s="56" t="n">
        <f aca="false">K893+1</f>
        <v>887</v>
      </c>
      <c r="L894" s="57" t="n">
        <f aca="false">IF(AND(K894&lt;=Assumptions!$C$42,L893=1,P893=0,O893&gt;Assumptions!$C$43),1,0)</f>
        <v>0</v>
      </c>
      <c r="M894" s="58" t="n">
        <f aca="false">O893</f>
        <v>1.04062110040104E-008</v>
      </c>
      <c r="N894" s="58" t="n">
        <f aca="false">IF(L894=1,M894*$B$25,0)</f>
        <v>0</v>
      </c>
      <c r="O894" s="58" t="n">
        <f aca="false">IF(L894=1,M894+N894-$B$29,M894)</f>
        <v>1.04062110040104E-008</v>
      </c>
      <c r="P894" s="56" t="n">
        <f aca="false">IF(L894=1,IF($B$29&lt;=N894,1,0),0)</f>
        <v>0</v>
      </c>
      <c r="Q894" s="58" t="n">
        <f aca="false">Q893+N894</f>
        <v>215608.5191027</v>
      </c>
    </row>
    <row r="895" customFormat="false" ht="15" hidden="false" customHeight="false" outlineLevel="0" collapsed="false">
      <c r="K895" s="56" t="n">
        <f aca="false">K894+1</f>
        <v>888</v>
      </c>
      <c r="L895" s="57" t="n">
        <f aca="false">IF(AND(K895&lt;=Assumptions!$C$42,L894=1,P894=0,O894&gt;Assumptions!$C$43),1,0)</f>
        <v>0</v>
      </c>
      <c r="M895" s="58" t="n">
        <f aca="false">O894</f>
        <v>1.04062110040104E-008</v>
      </c>
      <c r="N895" s="58" t="n">
        <f aca="false">IF(L895=1,M895*$B$25,0)</f>
        <v>0</v>
      </c>
      <c r="O895" s="58" t="n">
        <f aca="false">IF(L895=1,M895+N895-$B$29,M895)</f>
        <v>1.04062110040104E-008</v>
      </c>
      <c r="P895" s="56" t="n">
        <f aca="false">IF(L895=1,IF($B$29&lt;=N895,1,0),0)</f>
        <v>0</v>
      </c>
      <c r="Q895" s="58" t="n">
        <f aca="false">Q894+N895</f>
        <v>215608.5191027</v>
      </c>
    </row>
    <row r="896" customFormat="false" ht="15" hidden="false" customHeight="false" outlineLevel="0" collapsed="false">
      <c r="K896" s="56" t="n">
        <f aca="false">K895+1</f>
        <v>889</v>
      </c>
      <c r="L896" s="57" t="n">
        <f aca="false">IF(AND(K896&lt;=Assumptions!$C$42,L895=1,P895=0,O895&gt;Assumptions!$C$43),1,0)</f>
        <v>0</v>
      </c>
      <c r="M896" s="58" t="n">
        <f aca="false">O895</f>
        <v>1.04062110040104E-008</v>
      </c>
      <c r="N896" s="58" t="n">
        <f aca="false">IF(L896=1,M896*$B$25,0)</f>
        <v>0</v>
      </c>
      <c r="O896" s="58" t="n">
        <f aca="false">IF(L896=1,M896+N896-$B$29,M896)</f>
        <v>1.04062110040104E-008</v>
      </c>
      <c r="P896" s="56" t="n">
        <f aca="false">IF(L896=1,IF($B$29&lt;=N896,1,0),0)</f>
        <v>0</v>
      </c>
      <c r="Q896" s="58" t="n">
        <f aca="false">Q895+N896</f>
        <v>215608.5191027</v>
      </c>
    </row>
    <row r="897" customFormat="false" ht="15" hidden="false" customHeight="false" outlineLevel="0" collapsed="false">
      <c r="K897" s="56" t="n">
        <f aca="false">K896+1</f>
        <v>890</v>
      </c>
      <c r="L897" s="57" t="n">
        <f aca="false">IF(AND(K897&lt;=Assumptions!$C$42,L896=1,P896=0,O896&gt;Assumptions!$C$43),1,0)</f>
        <v>0</v>
      </c>
      <c r="M897" s="58" t="n">
        <f aca="false">O896</f>
        <v>1.04062110040104E-008</v>
      </c>
      <c r="N897" s="58" t="n">
        <f aca="false">IF(L897=1,M897*$B$25,0)</f>
        <v>0</v>
      </c>
      <c r="O897" s="58" t="n">
        <f aca="false">IF(L897=1,M897+N897-$B$29,M897)</f>
        <v>1.04062110040104E-008</v>
      </c>
      <c r="P897" s="56" t="n">
        <f aca="false">IF(L897=1,IF($B$29&lt;=N897,1,0),0)</f>
        <v>0</v>
      </c>
      <c r="Q897" s="58" t="n">
        <f aca="false">Q896+N897</f>
        <v>215608.5191027</v>
      </c>
    </row>
    <row r="898" customFormat="false" ht="15" hidden="false" customHeight="false" outlineLevel="0" collapsed="false">
      <c r="K898" s="56" t="n">
        <f aca="false">K897+1</f>
        <v>891</v>
      </c>
      <c r="L898" s="57" t="n">
        <f aca="false">IF(AND(K898&lt;=Assumptions!$C$42,L897=1,P897=0,O897&gt;Assumptions!$C$43),1,0)</f>
        <v>0</v>
      </c>
      <c r="M898" s="58" t="n">
        <f aca="false">O897</f>
        <v>1.04062110040104E-008</v>
      </c>
      <c r="N898" s="58" t="n">
        <f aca="false">IF(L898=1,M898*$B$25,0)</f>
        <v>0</v>
      </c>
      <c r="O898" s="58" t="n">
        <f aca="false">IF(L898=1,M898+N898-$B$29,M898)</f>
        <v>1.04062110040104E-008</v>
      </c>
      <c r="P898" s="56" t="n">
        <f aca="false">IF(L898=1,IF($B$29&lt;=N898,1,0),0)</f>
        <v>0</v>
      </c>
      <c r="Q898" s="58" t="n">
        <f aca="false">Q897+N898</f>
        <v>215608.5191027</v>
      </c>
    </row>
    <row r="899" customFormat="false" ht="15" hidden="false" customHeight="false" outlineLevel="0" collapsed="false">
      <c r="K899" s="56" t="n">
        <f aca="false">K898+1</f>
        <v>892</v>
      </c>
      <c r="L899" s="57" t="n">
        <f aca="false">IF(AND(K899&lt;=Assumptions!$C$42,L898=1,P898=0,O898&gt;Assumptions!$C$43),1,0)</f>
        <v>0</v>
      </c>
      <c r="M899" s="58" t="n">
        <f aca="false">O898</f>
        <v>1.04062110040104E-008</v>
      </c>
      <c r="N899" s="58" t="n">
        <f aca="false">IF(L899=1,M899*$B$25,0)</f>
        <v>0</v>
      </c>
      <c r="O899" s="58" t="n">
        <f aca="false">IF(L899=1,M899+N899-$B$29,M899)</f>
        <v>1.04062110040104E-008</v>
      </c>
      <c r="P899" s="56" t="n">
        <f aca="false">IF(L899=1,IF($B$29&lt;=N899,1,0),0)</f>
        <v>0</v>
      </c>
      <c r="Q899" s="58" t="n">
        <f aca="false">Q898+N899</f>
        <v>215608.5191027</v>
      </c>
    </row>
    <row r="900" customFormat="false" ht="15" hidden="false" customHeight="false" outlineLevel="0" collapsed="false">
      <c r="K900" s="56" t="n">
        <f aca="false">K899+1</f>
        <v>893</v>
      </c>
      <c r="L900" s="57" t="n">
        <f aca="false">IF(AND(K900&lt;=Assumptions!$C$42,L899=1,P899=0,O899&gt;Assumptions!$C$43),1,0)</f>
        <v>0</v>
      </c>
      <c r="M900" s="58" t="n">
        <f aca="false">O899</f>
        <v>1.04062110040104E-008</v>
      </c>
      <c r="N900" s="58" t="n">
        <f aca="false">IF(L900=1,M900*$B$25,0)</f>
        <v>0</v>
      </c>
      <c r="O900" s="58" t="n">
        <f aca="false">IF(L900=1,M900+N900-$B$29,M900)</f>
        <v>1.04062110040104E-008</v>
      </c>
      <c r="P900" s="56" t="n">
        <f aca="false">IF(L900=1,IF($B$29&lt;=N900,1,0),0)</f>
        <v>0</v>
      </c>
      <c r="Q900" s="58" t="n">
        <f aca="false">Q899+N900</f>
        <v>215608.5191027</v>
      </c>
    </row>
    <row r="901" customFormat="false" ht="15" hidden="false" customHeight="false" outlineLevel="0" collapsed="false">
      <c r="K901" s="56" t="n">
        <f aca="false">K900+1</f>
        <v>894</v>
      </c>
      <c r="L901" s="57" t="n">
        <f aca="false">IF(AND(K901&lt;=Assumptions!$C$42,L900=1,P900=0,O900&gt;Assumptions!$C$43),1,0)</f>
        <v>0</v>
      </c>
      <c r="M901" s="58" t="n">
        <f aca="false">O900</f>
        <v>1.04062110040104E-008</v>
      </c>
      <c r="N901" s="58" t="n">
        <f aca="false">IF(L901=1,M901*$B$25,0)</f>
        <v>0</v>
      </c>
      <c r="O901" s="58" t="n">
        <f aca="false">IF(L901=1,M901+N901-$B$29,M901)</f>
        <v>1.04062110040104E-008</v>
      </c>
      <c r="P901" s="56" t="n">
        <f aca="false">IF(L901=1,IF($B$29&lt;=N901,1,0),0)</f>
        <v>0</v>
      </c>
      <c r="Q901" s="58" t="n">
        <f aca="false">Q900+N901</f>
        <v>215608.5191027</v>
      </c>
    </row>
    <row r="902" customFormat="false" ht="15" hidden="false" customHeight="false" outlineLevel="0" collapsed="false">
      <c r="K902" s="56" t="n">
        <f aca="false">K901+1</f>
        <v>895</v>
      </c>
      <c r="L902" s="57" t="n">
        <f aca="false">IF(AND(K902&lt;=Assumptions!$C$42,L901=1,P901=0,O901&gt;Assumptions!$C$43),1,0)</f>
        <v>0</v>
      </c>
      <c r="M902" s="58" t="n">
        <f aca="false">O901</f>
        <v>1.04062110040104E-008</v>
      </c>
      <c r="N902" s="58" t="n">
        <f aca="false">IF(L902=1,M902*$B$25,0)</f>
        <v>0</v>
      </c>
      <c r="O902" s="58" t="n">
        <f aca="false">IF(L902=1,M902+N902-$B$29,M902)</f>
        <v>1.04062110040104E-008</v>
      </c>
      <c r="P902" s="56" t="n">
        <f aca="false">IF(L902=1,IF($B$29&lt;=N902,1,0),0)</f>
        <v>0</v>
      </c>
      <c r="Q902" s="58" t="n">
        <f aca="false">Q901+N902</f>
        <v>215608.5191027</v>
      </c>
    </row>
    <row r="903" customFormat="false" ht="15" hidden="false" customHeight="false" outlineLevel="0" collapsed="false">
      <c r="K903" s="56" t="n">
        <f aca="false">K902+1</f>
        <v>896</v>
      </c>
      <c r="L903" s="57" t="n">
        <f aca="false">IF(AND(K903&lt;=Assumptions!$C$42,L902=1,P902=0,O902&gt;Assumptions!$C$43),1,0)</f>
        <v>0</v>
      </c>
      <c r="M903" s="58" t="n">
        <f aca="false">O902</f>
        <v>1.04062110040104E-008</v>
      </c>
      <c r="N903" s="58" t="n">
        <f aca="false">IF(L903=1,M903*$B$25,0)</f>
        <v>0</v>
      </c>
      <c r="O903" s="58" t="n">
        <f aca="false">IF(L903=1,M903+N903-$B$29,M903)</f>
        <v>1.04062110040104E-008</v>
      </c>
      <c r="P903" s="56" t="n">
        <f aca="false">IF(L903=1,IF($B$29&lt;=N903,1,0),0)</f>
        <v>0</v>
      </c>
      <c r="Q903" s="58" t="n">
        <f aca="false">Q902+N903</f>
        <v>215608.5191027</v>
      </c>
    </row>
    <row r="904" customFormat="false" ht="15" hidden="false" customHeight="false" outlineLevel="0" collapsed="false">
      <c r="K904" s="56" t="n">
        <f aca="false">K903+1</f>
        <v>897</v>
      </c>
      <c r="L904" s="57" t="n">
        <f aca="false">IF(AND(K904&lt;=Assumptions!$C$42,L903=1,P903=0,O903&gt;Assumptions!$C$43),1,0)</f>
        <v>0</v>
      </c>
      <c r="M904" s="58" t="n">
        <f aca="false">O903</f>
        <v>1.04062110040104E-008</v>
      </c>
      <c r="N904" s="58" t="n">
        <f aca="false">IF(L904=1,M904*$B$25,0)</f>
        <v>0</v>
      </c>
      <c r="O904" s="58" t="n">
        <f aca="false">IF(L904=1,M904+N904-$B$29,M904)</f>
        <v>1.04062110040104E-008</v>
      </c>
      <c r="P904" s="56" t="n">
        <f aca="false">IF(L904=1,IF($B$29&lt;=N904,1,0),0)</f>
        <v>0</v>
      </c>
      <c r="Q904" s="58" t="n">
        <f aca="false">Q903+N904</f>
        <v>215608.5191027</v>
      </c>
    </row>
    <row r="905" customFormat="false" ht="15" hidden="false" customHeight="false" outlineLevel="0" collapsed="false">
      <c r="K905" s="56" t="n">
        <f aca="false">K904+1</f>
        <v>898</v>
      </c>
      <c r="L905" s="57" t="n">
        <f aca="false">IF(AND(K905&lt;=Assumptions!$C$42,L904=1,P904=0,O904&gt;Assumptions!$C$43),1,0)</f>
        <v>0</v>
      </c>
      <c r="M905" s="58" t="n">
        <f aca="false">O904</f>
        <v>1.04062110040104E-008</v>
      </c>
      <c r="N905" s="58" t="n">
        <f aca="false">IF(L905=1,M905*$B$25,0)</f>
        <v>0</v>
      </c>
      <c r="O905" s="58" t="n">
        <f aca="false">IF(L905=1,M905+N905-$B$29,M905)</f>
        <v>1.04062110040104E-008</v>
      </c>
      <c r="P905" s="56" t="n">
        <f aca="false">IF(L905=1,IF($B$29&lt;=N905,1,0),0)</f>
        <v>0</v>
      </c>
      <c r="Q905" s="58" t="n">
        <f aca="false">Q904+N905</f>
        <v>215608.5191027</v>
      </c>
    </row>
    <row r="906" customFormat="false" ht="15" hidden="false" customHeight="false" outlineLevel="0" collapsed="false">
      <c r="K906" s="56" t="n">
        <f aca="false">K905+1</f>
        <v>899</v>
      </c>
      <c r="L906" s="57" t="n">
        <f aca="false">IF(AND(K906&lt;=Assumptions!$C$42,L905=1,P905=0,O905&gt;Assumptions!$C$43),1,0)</f>
        <v>0</v>
      </c>
      <c r="M906" s="58" t="n">
        <f aca="false">O905</f>
        <v>1.04062110040104E-008</v>
      </c>
      <c r="N906" s="58" t="n">
        <f aca="false">IF(L906=1,M906*$B$25,0)</f>
        <v>0</v>
      </c>
      <c r="O906" s="58" t="n">
        <f aca="false">IF(L906=1,M906+N906-$B$29,M906)</f>
        <v>1.04062110040104E-008</v>
      </c>
      <c r="P906" s="56" t="n">
        <f aca="false">IF(L906=1,IF($B$29&lt;=N906,1,0),0)</f>
        <v>0</v>
      </c>
      <c r="Q906" s="58" t="n">
        <f aca="false">Q905+N906</f>
        <v>215608.5191027</v>
      </c>
    </row>
    <row r="907" customFormat="false" ht="15" hidden="false" customHeight="false" outlineLevel="0" collapsed="false">
      <c r="K907" s="56" t="n">
        <f aca="false">K906+1</f>
        <v>900</v>
      </c>
      <c r="L907" s="57" t="n">
        <f aca="false">IF(AND(K907&lt;=Assumptions!$C$42,L906=1,P906=0,O906&gt;Assumptions!$C$43),1,0)</f>
        <v>0</v>
      </c>
      <c r="M907" s="58" t="n">
        <f aca="false">O906</f>
        <v>1.04062110040104E-008</v>
      </c>
      <c r="N907" s="58" t="n">
        <f aca="false">IF(L907=1,M907*$B$25,0)</f>
        <v>0</v>
      </c>
      <c r="O907" s="58" t="n">
        <f aca="false">IF(L907=1,M907+N907-$B$29,M907)</f>
        <v>1.04062110040104E-008</v>
      </c>
      <c r="P907" s="56" t="n">
        <f aca="false">IF(L907=1,IF($B$29&lt;=N907,1,0),0)</f>
        <v>0</v>
      </c>
      <c r="Q907" s="58" t="n">
        <f aca="false">Q906+N907</f>
        <v>215608.5191027</v>
      </c>
    </row>
    <row r="908" customFormat="false" ht="15" hidden="false" customHeight="false" outlineLevel="0" collapsed="false">
      <c r="K908" s="56" t="n">
        <f aca="false">K907+1</f>
        <v>901</v>
      </c>
      <c r="L908" s="57" t="n">
        <f aca="false">IF(AND(K908&lt;=Assumptions!$C$42,L907=1,P907=0,O907&gt;Assumptions!$C$43),1,0)</f>
        <v>0</v>
      </c>
      <c r="M908" s="58" t="n">
        <f aca="false">O907</f>
        <v>1.04062110040104E-008</v>
      </c>
      <c r="N908" s="58" t="n">
        <f aca="false">IF(L908=1,M908*$B$25,0)</f>
        <v>0</v>
      </c>
      <c r="O908" s="58" t="n">
        <f aca="false">IF(L908=1,M908+N908-$B$29,M908)</f>
        <v>1.04062110040104E-008</v>
      </c>
      <c r="P908" s="56" t="n">
        <f aca="false">IF(L908=1,IF($B$29&lt;=N908,1,0),0)</f>
        <v>0</v>
      </c>
      <c r="Q908" s="58" t="n">
        <f aca="false">Q907+N908</f>
        <v>215608.5191027</v>
      </c>
    </row>
    <row r="909" customFormat="false" ht="15" hidden="false" customHeight="false" outlineLevel="0" collapsed="false">
      <c r="K909" s="56" t="n">
        <f aca="false">K908+1</f>
        <v>902</v>
      </c>
      <c r="L909" s="57" t="n">
        <f aca="false">IF(AND(K909&lt;=Assumptions!$C$42,L908=1,P908=0,O908&gt;Assumptions!$C$43),1,0)</f>
        <v>0</v>
      </c>
      <c r="M909" s="58" t="n">
        <f aca="false">O908</f>
        <v>1.04062110040104E-008</v>
      </c>
      <c r="N909" s="58" t="n">
        <f aca="false">IF(L909=1,M909*$B$25,0)</f>
        <v>0</v>
      </c>
      <c r="O909" s="58" t="n">
        <f aca="false">IF(L909=1,M909+N909-$B$29,M909)</f>
        <v>1.04062110040104E-008</v>
      </c>
      <c r="P909" s="56" t="n">
        <f aca="false">IF(L909=1,IF($B$29&lt;=N909,1,0),0)</f>
        <v>0</v>
      </c>
      <c r="Q909" s="58" t="n">
        <f aca="false">Q908+N909</f>
        <v>215608.5191027</v>
      </c>
    </row>
    <row r="910" customFormat="false" ht="15" hidden="false" customHeight="false" outlineLevel="0" collapsed="false">
      <c r="K910" s="56" t="n">
        <f aca="false">K909+1</f>
        <v>903</v>
      </c>
      <c r="L910" s="57" t="n">
        <f aca="false">IF(AND(K910&lt;=Assumptions!$C$42,L909=1,P909=0,O909&gt;Assumptions!$C$43),1,0)</f>
        <v>0</v>
      </c>
      <c r="M910" s="58" t="n">
        <f aca="false">O909</f>
        <v>1.04062110040104E-008</v>
      </c>
      <c r="N910" s="58" t="n">
        <f aca="false">IF(L910=1,M910*$B$25,0)</f>
        <v>0</v>
      </c>
      <c r="O910" s="58" t="n">
        <f aca="false">IF(L910=1,M910+N910-$B$29,M910)</f>
        <v>1.04062110040104E-008</v>
      </c>
      <c r="P910" s="56" t="n">
        <f aca="false">IF(L910=1,IF($B$29&lt;=N910,1,0),0)</f>
        <v>0</v>
      </c>
      <c r="Q910" s="58" t="n">
        <f aca="false">Q909+N910</f>
        <v>215608.5191027</v>
      </c>
    </row>
    <row r="911" customFormat="false" ht="15" hidden="false" customHeight="false" outlineLevel="0" collapsed="false">
      <c r="K911" s="56" t="n">
        <f aca="false">K910+1</f>
        <v>904</v>
      </c>
      <c r="L911" s="57" t="n">
        <f aca="false">IF(AND(K911&lt;=Assumptions!$C$42,L910=1,P910=0,O910&gt;Assumptions!$C$43),1,0)</f>
        <v>0</v>
      </c>
      <c r="M911" s="58" t="n">
        <f aca="false">O910</f>
        <v>1.04062110040104E-008</v>
      </c>
      <c r="N911" s="58" t="n">
        <f aca="false">IF(L911=1,M911*$B$25,0)</f>
        <v>0</v>
      </c>
      <c r="O911" s="58" t="n">
        <f aca="false">IF(L911=1,M911+N911-$B$29,M911)</f>
        <v>1.04062110040104E-008</v>
      </c>
      <c r="P911" s="56" t="n">
        <f aca="false">IF(L911=1,IF($B$29&lt;=N911,1,0),0)</f>
        <v>0</v>
      </c>
      <c r="Q911" s="58" t="n">
        <f aca="false">Q910+N911</f>
        <v>215608.5191027</v>
      </c>
    </row>
    <row r="912" customFormat="false" ht="15" hidden="false" customHeight="false" outlineLevel="0" collapsed="false">
      <c r="K912" s="56" t="n">
        <f aca="false">K911+1</f>
        <v>905</v>
      </c>
      <c r="L912" s="57" t="n">
        <f aca="false">IF(AND(K912&lt;=Assumptions!$C$42,L911=1,P911=0,O911&gt;Assumptions!$C$43),1,0)</f>
        <v>0</v>
      </c>
      <c r="M912" s="58" t="n">
        <f aca="false">O911</f>
        <v>1.04062110040104E-008</v>
      </c>
      <c r="N912" s="58" t="n">
        <f aca="false">IF(L912=1,M912*$B$25,0)</f>
        <v>0</v>
      </c>
      <c r="O912" s="58" t="n">
        <f aca="false">IF(L912=1,M912+N912-$B$29,M912)</f>
        <v>1.04062110040104E-008</v>
      </c>
      <c r="P912" s="56" t="n">
        <f aca="false">IF(L912=1,IF($B$29&lt;=N912,1,0),0)</f>
        <v>0</v>
      </c>
      <c r="Q912" s="58" t="n">
        <f aca="false">Q911+N912</f>
        <v>215608.5191027</v>
      </c>
    </row>
    <row r="913" customFormat="false" ht="15" hidden="false" customHeight="false" outlineLevel="0" collapsed="false">
      <c r="K913" s="56" t="n">
        <f aca="false">K912+1</f>
        <v>906</v>
      </c>
      <c r="L913" s="57" t="n">
        <f aca="false">IF(AND(K913&lt;=Assumptions!$C$42,L912=1,P912=0,O912&gt;Assumptions!$C$43),1,0)</f>
        <v>0</v>
      </c>
      <c r="M913" s="58" t="n">
        <f aca="false">O912</f>
        <v>1.04062110040104E-008</v>
      </c>
      <c r="N913" s="58" t="n">
        <f aca="false">IF(L913=1,M913*$B$25,0)</f>
        <v>0</v>
      </c>
      <c r="O913" s="58" t="n">
        <f aca="false">IF(L913=1,M913+N913-$B$29,M913)</f>
        <v>1.04062110040104E-008</v>
      </c>
      <c r="P913" s="56" t="n">
        <f aca="false">IF(L913=1,IF($B$29&lt;=N913,1,0),0)</f>
        <v>0</v>
      </c>
      <c r="Q913" s="58" t="n">
        <f aca="false">Q912+N913</f>
        <v>215608.5191027</v>
      </c>
    </row>
    <row r="914" customFormat="false" ht="15" hidden="false" customHeight="false" outlineLevel="0" collapsed="false">
      <c r="K914" s="56" t="n">
        <f aca="false">K913+1</f>
        <v>907</v>
      </c>
      <c r="L914" s="57" t="n">
        <f aca="false">IF(AND(K914&lt;=Assumptions!$C$42,L913=1,P913=0,O913&gt;Assumptions!$C$43),1,0)</f>
        <v>0</v>
      </c>
      <c r="M914" s="58" t="n">
        <f aca="false">O913</f>
        <v>1.04062110040104E-008</v>
      </c>
      <c r="N914" s="58" t="n">
        <f aca="false">IF(L914=1,M914*$B$25,0)</f>
        <v>0</v>
      </c>
      <c r="O914" s="58" t="n">
        <f aca="false">IF(L914=1,M914+N914-$B$29,M914)</f>
        <v>1.04062110040104E-008</v>
      </c>
      <c r="P914" s="56" t="n">
        <f aca="false">IF(L914=1,IF($B$29&lt;=N914,1,0),0)</f>
        <v>0</v>
      </c>
      <c r="Q914" s="58" t="n">
        <f aca="false">Q913+N914</f>
        <v>215608.5191027</v>
      </c>
    </row>
    <row r="915" customFormat="false" ht="15" hidden="false" customHeight="false" outlineLevel="0" collapsed="false">
      <c r="K915" s="56" t="n">
        <f aca="false">K914+1</f>
        <v>908</v>
      </c>
      <c r="L915" s="57" t="n">
        <f aca="false">IF(AND(K915&lt;=Assumptions!$C$42,L914=1,P914=0,O914&gt;Assumptions!$C$43),1,0)</f>
        <v>0</v>
      </c>
      <c r="M915" s="58" t="n">
        <f aca="false">O914</f>
        <v>1.04062110040104E-008</v>
      </c>
      <c r="N915" s="58" t="n">
        <f aca="false">IF(L915=1,M915*$B$25,0)</f>
        <v>0</v>
      </c>
      <c r="O915" s="58" t="n">
        <f aca="false">IF(L915=1,M915+N915-$B$29,M915)</f>
        <v>1.04062110040104E-008</v>
      </c>
      <c r="P915" s="56" t="n">
        <f aca="false">IF(L915=1,IF($B$29&lt;=N915,1,0),0)</f>
        <v>0</v>
      </c>
      <c r="Q915" s="58" t="n">
        <f aca="false">Q914+N915</f>
        <v>215608.5191027</v>
      </c>
    </row>
    <row r="916" customFormat="false" ht="15" hidden="false" customHeight="false" outlineLevel="0" collapsed="false">
      <c r="K916" s="56" t="n">
        <f aca="false">K915+1</f>
        <v>909</v>
      </c>
      <c r="L916" s="57" t="n">
        <f aca="false">IF(AND(K916&lt;=Assumptions!$C$42,L915=1,P915=0,O915&gt;Assumptions!$C$43),1,0)</f>
        <v>0</v>
      </c>
      <c r="M916" s="58" t="n">
        <f aca="false">O915</f>
        <v>1.04062110040104E-008</v>
      </c>
      <c r="N916" s="58" t="n">
        <f aca="false">IF(L916=1,M916*$B$25,0)</f>
        <v>0</v>
      </c>
      <c r="O916" s="58" t="n">
        <f aca="false">IF(L916=1,M916+N916-$B$29,M916)</f>
        <v>1.04062110040104E-008</v>
      </c>
      <c r="P916" s="56" t="n">
        <f aca="false">IF(L916=1,IF($B$29&lt;=N916,1,0),0)</f>
        <v>0</v>
      </c>
      <c r="Q916" s="58" t="n">
        <f aca="false">Q915+N916</f>
        <v>215608.5191027</v>
      </c>
    </row>
    <row r="917" customFormat="false" ht="15" hidden="false" customHeight="false" outlineLevel="0" collapsed="false">
      <c r="K917" s="56" t="n">
        <f aca="false">K916+1</f>
        <v>910</v>
      </c>
      <c r="L917" s="57" t="n">
        <f aca="false">IF(AND(K917&lt;=Assumptions!$C$42,L916=1,P916=0,O916&gt;Assumptions!$C$43),1,0)</f>
        <v>0</v>
      </c>
      <c r="M917" s="58" t="n">
        <f aca="false">O916</f>
        <v>1.04062110040104E-008</v>
      </c>
      <c r="N917" s="58" t="n">
        <f aca="false">IF(L917=1,M917*$B$25,0)</f>
        <v>0</v>
      </c>
      <c r="O917" s="58" t="n">
        <f aca="false">IF(L917=1,M917+N917-$B$29,M917)</f>
        <v>1.04062110040104E-008</v>
      </c>
      <c r="P917" s="56" t="n">
        <f aca="false">IF(L917=1,IF($B$29&lt;=N917,1,0),0)</f>
        <v>0</v>
      </c>
      <c r="Q917" s="58" t="n">
        <f aca="false">Q916+N917</f>
        <v>215608.5191027</v>
      </c>
    </row>
    <row r="918" customFormat="false" ht="15" hidden="false" customHeight="false" outlineLevel="0" collapsed="false">
      <c r="K918" s="56" t="n">
        <f aca="false">K917+1</f>
        <v>911</v>
      </c>
      <c r="L918" s="57" t="n">
        <f aca="false">IF(AND(K918&lt;=Assumptions!$C$42,L917=1,P917=0,O917&gt;Assumptions!$C$43),1,0)</f>
        <v>0</v>
      </c>
      <c r="M918" s="58" t="n">
        <f aca="false">O917</f>
        <v>1.04062110040104E-008</v>
      </c>
      <c r="N918" s="58" t="n">
        <f aca="false">IF(L918=1,M918*$B$25,0)</f>
        <v>0</v>
      </c>
      <c r="O918" s="58" t="n">
        <f aca="false">IF(L918=1,M918+N918-$B$29,M918)</f>
        <v>1.04062110040104E-008</v>
      </c>
      <c r="P918" s="56" t="n">
        <f aca="false">IF(L918=1,IF($B$29&lt;=N918,1,0),0)</f>
        <v>0</v>
      </c>
      <c r="Q918" s="58" t="n">
        <f aca="false">Q917+N918</f>
        <v>215608.5191027</v>
      </c>
    </row>
    <row r="919" customFormat="false" ht="15" hidden="false" customHeight="false" outlineLevel="0" collapsed="false">
      <c r="K919" s="56" t="n">
        <f aca="false">K918+1</f>
        <v>912</v>
      </c>
      <c r="L919" s="57" t="n">
        <f aca="false">IF(AND(K919&lt;=Assumptions!$C$42,L918=1,P918=0,O918&gt;Assumptions!$C$43),1,0)</f>
        <v>0</v>
      </c>
      <c r="M919" s="58" t="n">
        <f aca="false">O918</f>
        <v>1.04062110040104E-008</v>
      </c>
      <c r="N919" s="58" t="n">
        <f aca="false">IF(L919=1,M919*$B$25,0)</f>
        <v>0</v>
      </c>
      <c r="O919" s="58" t="n">
        <f aca="false">IF(L919=1,M919+N919-$B$29,M919)</f>
        <v>1.04062110040104E-008</v>
      </c>
      <c r="P919" s="56" t="n">
        <f aca="false">IF(L919=1,IF($B$29&lt;=N919,1,0),0)</f>
        <v>0</v>
      </c>
      <c r="Q919" s="58" t="n">
        <f aca="false">Q918+N919</f>
        <v>215608.5191027</v>
      </c>
    </row>
    <row r="920" customFormat="false" ht="15" hidden="false" customHeight="false" outlineLevel="0" collapsed="false">
      <c r="K920" s="56" t="n">
        <f aca="false">K919+1</f>
        <v>913</v>
      </c>
      <c r="L920" s="57" t="n">
        <f aca="false">IF(AND(K920&lt;=Assumptions!$C$42,L919=1,P919=0,O919&gt;Assumptions!$C$43),1,0)</f>
        <v>0</v>
      </c>
      <c r="M920" s="58" t="n">
        <f aca="false">O919</f>
        <v>1.04062110040104E-008</v>
      </c>
      <c r="N920" s="58" t="n">
        <f aca="false">IF(L920=1,M920*$B$25,0)</f>
        <v>0</v>
      </c>
      <c r="O920" s="58" t="n">
        <f aca="false">IF(L920=1,M920+N920-$B$29,M920)</f>
        <v>1.04062110040104E-008</v>
      </c>
      <c r="P920" s="56" t="n">
        <f aca="false">IF(L920=1,IF($B$29&lt;=N920,1,0),0)</f>
        <v>0</v>
      </c>
      <c r="Q920" s="58" t="n">
        <f aca="false">Q919+N920</f>
        <v>215608.5191027</v>
      </c>
    </row>
    <row r="921" customFormat="false" ht="15" hidden="false" customHeight="false" outlineLevel="0" collapsed="false">
      <c r="K921" s="56" t="n">
        <f aca="false">K920+1</f>
        <v>914</v>
      </c>
      <c r="L921" s="57" t="n">
        <f aca="false">IF(AND(K921&lt;=Assumptions!$C$42,L920=1,P920=0,O920&gt;Assumptions!$C$43),1,0)</f>
        <v>0</v>
      </c>
      <c r="M921" s="58" t="n">
        <f aca="false">O920</f>
        <v>1.04062110040104E-008</v>
      </c>
      <c r="N921" s="58" t="n">
        <f aca="false">IF(L921=1,M921*$B$25,0)</f>
        <v>0</v>
      </c>
      <c r="O921" s="58" t="n">
        <f aca="false">IF(L921=1,M921+N921-$B$29,M921)</f>
        <v>1.04062110040104E-008</v>
      </c>
      <c r="P921" s="56" t="n">
        <f aca="false">IF(L921=1,IF($B$29&lt;=N921,1,0),0)</f>
        <v>0</v>
      </c>
      <c r="Q921" s="58" t="n">
        <f aca="false">Q920+N921</f>
        <v>215608.5191027</v>
      </c>
    </row>
    <row r="922" customFormat="false" ht="15" hidden="false" customHeight="false" outlineLevel="0" collapsed="false">
      <c r="K922" s="56" t="n">
        <f aca="false">K921+1</f>
        <v>915</v>
      </c>
      <c r="L922" s="57" t="n">
        <f aca="false">IF(AND(K922&lt;=Assumptions!$C$42,L921=1,P921=0,O921&gt;Assumptions!$C$43),1,0)</f>
        <v>0</v>
      </c>
      <c r="M922" s="58" t="n">
        <f aca="false">O921</f>
        <v>1.04062110040104E-008</v>
      </c>
      <c r="N922" s="58" t="n">
        <f aca="false">IF(L922=1,M922*$B$25,0)</f>
        <v>0</v>
      </c>
      <c r="O922" s="58" t="n">
        <f aca="false">IF(L922=1,M922+N922-$B$29,M922)</f>
        <v>1.04062110040104E-008</v>
      </c>
      <c r="P922" s="56" t="n">
        <f aca="false">IF(L922=1,IF($B$29&lt;=N922,1,0),0)</f>
        <v>0</v>
      </c>
      <c r="Q922" s="58" t="n">
        <f aca="false">Q921+N922</f>
        <v>215608.5191027</v>
      </c>
    </row>
    <row r="923" customFormat="false" ht="15" hidden="false" customHeight="false" outlineLevel="0" collapsed="false">
      <c r="K923" s="56" t="n">
        <f aca="false">K922+1</f>
        <v>916</v>
      </c>
      <c r="L923" s="57" t="n">
        <f aca="false">IF(AND(K923&lt;=Assumptions!$C$42,L922=1,P922=0,O922&gt;Assumptions!$C$43),1,0)</f>
        <v>0</v>
      </c>
      <c r="M923" s="58" t="n">
        <f aca="false">O922</f>
        <v>1.04062110040104E-008</v>
      </c>
      <c r="N923" s="58" t="n">
        <f aca="false">IF(L923=1,M923*$B$25,0)</f>
        <v>0</v>
      </c>
      <c r="O923" s="58" t="n">
        <f aca="false">IF(L923=1,M923+N923-$B$29,M923)</f>
        <v>1.04062110040104E-008</v>
      </c>
      <c r="P923" s="56" t="n">
        <f aca="false">IF(L923=1,IF($B$29&lt;=N923,1,0),0)</f>
        <v>0</v>
      </c>
      <c r="Q923" s="58" t="n">
        <f aca="false">Q922+N923</f>
        <v>215608.5191027</v>
      </c>
    </row>
    <row r="924" customFormat="false" ht="15" hidden="false" customHeight="false" outlineLevel="0" collapsed="false">
      <c r="K924" s="56" t="n">
        <f aca="false">K923+1</f>
        <v>917</v>
      </c>
      <c r="L924" s="57" t="n">
        <f aca="false">IF(AND(K924&lt;=Assumptions!$C$42,L923=1,P923=0,O923&gt;Assumptions!$C$43),1,0)</f>
        <v>0</v>
      </c>
      <c r="M924" s="58" t="n">
        <f aca="false">O923</f>
        <v>1.04062110040104E-008</v>
      </c>
      <c r="N924" s="58" t="n">
        <f aca="false">IF(L924=1,M924*$B$25,0)</f>
        <v>0</v>
      </c>
      <c r="O924" s="58" t="n">
        <f aca="false">IF(L924=1,M924+N924-$B$29,M924)</f>
        <v>1.04062110040104E-008</v>
      </c>
      <c r="P924" s="56" t="n">
        <f aca="false">IF(L924=1,IF($B$29&lt;=N924,1,0),0)</f>
        <v>0</v>
      </c>
      <c r="Q924" s="58" t="n">
        <f aca="false">Q923+N924</f>
        <v>215608.5191027</v>
      </c>
    </row>
    <row r="925" customFormat="false" ht="15" hidden="false" customHeight="false" outlineLevel="0" collapsed="false">
      <c r="K925" s="56" t="n">
        <f aca="false">K924+1</f>
        <v>918</v>
      </c>
      <c r="L925" s="57" t="n">
        <f aca="false">IF(AND(K925&lt;=Assumptions!$C$42,L924=1,P924=0,O924&gt;Assumptions!$C$43),1,0)</f>
        <v>0</v>
      </c>
      <c r="M925" s="58" t="n">
        <f aca="false">O924</f>
        <v>1.04062110040104E-008</v>
      </c>
      <c r="N925" s="58" t="n">
        <f aca="false">IF(L925=1,M925*$B$25,0)</f>
        <v>0</v>
      </c>
      <c r="O925" s="58" t="n">
        <f aca="false">IF(L925=1,M925+N925-$B$29,M925)</f>
        <v>1.04062110040104E-008</v>
      </c>
      <c r="P925" s="56" t="n">
        <f aca="false">IF(L925=1,IF($B$29&lt;=N925,1,0),0)</f>
        <v>0</v>
      </c>
      <c r="Q925" s="58" t="n">
        <f aca="false">Q924+N925</f>
        <v>215608.5191027</v>
      </c>
    </row>
    <row r="926" customFormat="false" ht="15" hidden="false" customHeight="false" outlineLevel="0" collapsed="false">
      <c r="K926" s="56" t="n">
        <f aca="false">K925+1</f>
        <v>919</v>
      </c>
      <c r="L926" s="57" t="n">
        <f aca="false">IF(AND(K926&lt;=Assumptions!$C$42,L925=1,P925=0,O925&gt;Assumptions!$C$43),1,0)</f>
        <v>0</v>
      </c>
      <c r="M926" s="58" t="n">
        <f aca="false">O925</f>
        <v>1.04062110040104E-008</v>
      </c>
      <c r="N926" s="58" t="n">
        <f aca="false">IF(L926=1,M926*$B$25,0)</f>
        <v>0</v>
      </c>
      <c r="O926" s="58" t="n">
        <f aca="false">IF(L926=1,M926+N926-$B$29,M926)</f>
        <v>1.04062110040104E-008</v>
      </c>
      <c r="P926" s="56" t="n">
        <f aca="false">IF(L926=1,IF($B$29&lt;=N926,1,0),0)</f>
        <v>0</v>
      </c>
      <c r="Q926" s="58" t="n">
        <f aca="false">Q925+N926</f>
        <v>215608.5191027</v>
      </c>
    </row>
    <row r="927" customFormat="false" ht="15" hidden="false" customHeight="false" outlineLevel="0" collapsed="false">
      <c r="K927" s="56" t="n">
        <f aca="false">K926+1</f>
        <v>920</v>
      </c>
      <c r="L927" s="57" t="n">
        <f aca="false">IF(AND(K927&lt;=Assumptions!$C$42,L926=1,P926=0,O926&gt;Assumptions!$C$43),1,0)</f>
        <v>0</v>
      </c>
      <c r="M927" s="58" t="n">
        <f aca="false">O926</f>
        <v>1.04062110040104E-008</v>
      </c>
      <c r="N927" s="58" t="n">
        <f aca="false">IF(L927=1,M927*$B$25,0)</f>
        <v>0</v>
      </c>
      <c r="O927" s="58" t="n">
        <f aca="false">IF(L927=1,M927+N927-$B$29,M927)</f>
        <v>1.04062110040104E-008</v>
      </c>
      <c r="P927" s="56" t="n">
        <f aca="false">IF(L927=1,IF($B$29&lt;=N927,1,0),0)</f>
        <v>0</v>
      </c>
      <c r="Q927" s="58" t="n">
        <f aca="false">Q926+N927</f>
        <v>215608.5191027</v>
      </c>
    </row>
    <row r="928" customFormat="false" ht="15" hidden="false" customHeight="false" outlineLevel="0" collapsed="false">
      <c r="K928" s="56" t="n">
        <f aca="false">K927+1</f>
        <v>921</v>
      </c>
      <c r="L928" s="57" t="n">
        <f aca="false">IF(AND(K928&lt;=Assumptions!$C$42,L927=1,P927=0,O927&gt;Assumptions!$C$43),1,0)</f>
        <v>0</v>
      </c>
      <c r="M928" s="58" t="n">
        <f aca="false">O927</f>
        <v>1.04062110040104E-008</v>
      </c>
      <c r="N928" s="58" t="n">
        <f aca="false">IF(L928=1,M928*$B$25,0)</f>
        <v>0</v>
      </c>
      <c r="O928" s="58" t="n">
        <f aca="false">IF(L928=1,M928+N928-$B$29,M928)</f>
        <v>1.04062110040104E-008</v>
      </c>
      <c r="P928" s="56" t="n">
        <f aca="false">IF(L928=1,IF($B$29&lt;=N928,1,0),0)</f>
        <v>0</v>
      </c>
      <c r="Q928" s="58" t="n">
        <f aca="false">Q927+N928</f>
        <v>215608.5191027</v>
      </c>
    </row>
    <row r="929" customFormat="false" ht="15" hidden="false" customHeight="false" outlineLevel="0" collapsed="false">
      <c r="K929" s="56" t="n">
        <f aca="false">K928+1</f>
        <v>922</v>
      </c>
      <c r="L929" s="57" t="n">
        <f aca="false">IF(AND(K929&lt;=Assumptions!$C$42,L928=1,P928=0,O928&gt;Assumptions!$C$43),1,0)</f>
        <v>0</v>
      </c>
      <c r="M929" s="58" t="n">
        <f aca="false">O928</f>
        <v>1.04062110040104E-008</v>
      </c>
      <c r="N929" s="58" t="n">
        <f aca="false">IF(L929=1,M929*$B$25,0)</f>
        <v>0</v>
      </c>
      <c r="O929" s="58" t="n">
        <f aca="false">IF(L929=1,M929+N929-$B$29,M929)</f>
        <v>1.04062110040104E-008</v>
      </c>
      <c r="P929" s="56" t="n">
        <f aca="false">IF(L929=1,IF($B$29&lt;=N929,1,0),0)</f>
        <v>0</v>
      </c>
      <c r="Q929" s="58" t="n">
        <f aca="false">Q928+N929</f>
        <v>215608.5191027</v>
      </c>
    </row>
    <row r="930" customFormat="false" ht="15" hidden="false" customHeight="false" outlineLevel="0" collapsed="false">
      <c r="K930" s="56" t="n">
        <f aca="false">K929+1</f>
        <v>923</v>
      </c>
      <c r="L930" s="57" t="n">
        <f aca="false">IF(AND(K930&lt;=Assumptions!$C$42,L929=1,P929=0,O929&gt;Assumptions!$C$43),1,0)</f>
        <v>0</v>
      </c>
      <c r="M930" s="58" t="n">
        <f aca="false">O929</f>
        <v>1.04062110040104E-008</v>
      </c>
      <c r="N930" s="58" t="n">
        <f aca="false">IF(L930=1,M930*$B$25,0)</f>
        <v>0</v>
      </c>
      <c r="O930" s="58" t="n">
        <f aca="false">IF(L930=1,M930+N930-$B$29,M930)</f>
        <v>1.04062110040104E-008</v>
      </c>
      <c r="P930" s="56" t="n">
        <f aca="false">IF(L930=1,IF($B$29&lt;=N930,1,0),0)</f>
        <v>0</v>
      </c>
      <c r="Q930" s="58" t="n">
        <f aca="false">Q929+N930</f>
        <v>215608.5191027</v>
      </c>
    </row>
    <row r="931" customFormat="false" ht="15" hidden="false" customHeight="false" outlineLevel="0" collapsed="false">
      <c r="K931" s="56" t="n">
        <f aca="false">K930+1</f>
        <v>924</v>
      </c>
      <c r="L931" s="57" t="n">
        <f aca="false">IF(AND(K931&lt;=Assumptions!$C$42,L930=1,P930=0,O930&gt;Assumptions!$C$43),1,0)</f>
        <v>0</v>
      </c>
      <c r="M931" s="58" t="n">
        <f aca="false">O930</f>
        <v>1.04062110040104E-008</v>
      </c>
      <c r="N931" s="58" t="n">
        <f aca="false">IF(L931=1,M931*$B$25,0)</f>
        <v>0</v>
      </c>
      <c r="O931" s="58" t="n">
        <f aca="false">IF(L931=1,M931+N931-$B$29,M931)</f>
        <v>1.04062110040104E-008</v>
      </c>
      <c r="P931" s="56" t="n">
        <f aca="false">IF(L931=1,IF($B$29&lt;=N931,1,0),0)</f>
        <v>0</v>
      </c>
      <c r="Q931" s="58" t="n">
        <f aca="false">Q930+N931</f>
        <v>215608.5191027</v>
      </c>
    </row>
    <row r="932" customFormat="false" ht="15" hidden="false" customHeight="false" outlineLevel="0" collapsed="false">
      <c r="K932" s="56" t="n">
        <f aca="false">K931+1</f>
        <v>925</v>
      </c>
      <c r="L932" s="57" t="n">
        <f aca="false">IF(AND(K932&lt;=Assumptions!$C$42,L931=1,P931=0,O931&gt;Assumptions!$C$43),1,0)</f>
        <v>0</v>
      </c>
      <c r="M932" s="58" t="n">
        <f aca="false">O931</f>
        <v>1.04062110040104E-008</v>
      </c>
      <c r="N932" s="58" t="n">
        <f aca="false">IF(L932=1,M932*$B$25,0)</f>
        <v>0</v>
      </c>
      <c r="O932" s="58" t="n">
        <f aca="false">IF(L932=1,M932+N932-$B$29,M932)</f>
        <v>1.04062110040104E-008</v>
      </c>
      <c r="P932" s="56" t="n">
        <f aca="false">IF(L932=1,IF($B$29&lt;=N932,1,0),0)</f>
        <v>0</v>
      </c>
      <c r="Q932" s="58" t="n">
        <f aca="false">Q931+N932</f>
        <v>215608.5191027</v>
      </c>
    </row>
    <row r="933" customFormat="false" ht="15" hidden="false" customHeight="false" outlineLevel="0" collapsed="false">
      <c r="K933" s="56" t="n">
        <f aca="false">K932+1</f>
        <v>926</v>
      </c>
      <c r="L933" s="57" t="n">
        <f aca="false">IF(AND(K933&lt;=Assumptions!$C$42,L932=1,P932=0,O932&gt;Assumptions!$C$43),1,0)</f>
        <v>0</v>
      </c>
      <c r="M933" s="58" t="n">
        <f aca="false">O932</f>
        <v>1.04062110040104E-008</v>
      </c>
      <c r="N933" s="58" t="n">
        <f aca="false">IF(L933=1,M933*$B$25,0)</f>
        <v>0</v>
      </c>
      <c r="O933" s="58" t="n">
        <f aca="false">IF(L933=1,M933+N933-$B$29,M933)</f>
        <v>1.04062110040104E-008</v>
      </c>
      <c r="P933" s="56" t="n">
        <f aca="false">IF(L933=1,IF($B$29&lt;=N933,1,0),0)</f>
        <v>0</v>
      </c>
      <c r="Q933" s="58" t="n">
        <f aca="false">Q932+N933</f>
        <v>215608.5191027</v>
      </c>
    </row>
    <row r="934" customFormat="false" ht="15" hidden="false" customHeight="false" outlineLevel="0" collapsed="false">
      <c r="K934" s="56" t="n">
        <f aca="false">K933+1</f>
        <v>927</v>
      </c>
      <c r="L934" s="57" t="n">
        <f aca="false">IF(AND(K934&lt;=Assumptions!$C$42,L933=1,P933=0,O933&gt;Assumptions!$C$43),1,0)</f>
        <v>0</v>
      </c>
      <c r="M934" s="58" t="n">
        <f aca="false">O933</f>
        <v>1.04062110040104E-008</v>
      </c>
      <c r="N934" s="58" t="n">
        <f aca="false">IF(L934=1,M934*$B$25,0)</f>
        <v>0</v>
      </c>
      <c r="O934" s="58" t="n">
        <f aca="false">IF(L934=1,M934+N934-$B$29,M934)</f>
        <v>1.04062110040104E-008</v>
      </c>
      <c r="P934" s="56" t="n">
        <f aca="false">IF(L934=1,IF($B$29&lt;=N934,1,0),0)</f>
        <v>0</v>
      </c>
      <c r="Q934" s="58" t="n">
        <f aca="false">Q933+N934</f>
        <v>215608.5191027</v>
      </c>
    </row>
    <row r="935" customFormat="false" ht="15" hidden="false" customHeight="false" outlineLevel="0" collapsed="false">
      <c r="K935" s="56" t="n">
        <f aca="false">K934+1</f>
        <v>928</v>
      </c>
      <c r="L935" s="57" t="n">
        <f aca="false">IF(AND(K935&lt;=Assumptions!$C$42,L934=1,P934=0,O934&gt;Assumptions!$C$43),1,0)</f>
        <v>0</v>
      </c>
      <c r="M935" s="58" t="n">
        <f aca="false">O934</f>
        <v>1.04062110040104E-008</v>
      </c>
      <c r="N935" s="58" t="n">
        <f aca="false">IF(L935=1,M935*$B$25,0)</f>
        <v>0</v>
      </c>
      <c r="O935" s="58" t="n">
        <f aca="false">IF(L935=1,M935+N935-$B$29,M935)</f>
        <v>1.04062110040104E-008</v>
      </c>
      <c r="P935" s="56" t="n">
        <f aca="false">IF(L935=1,IF($B$29&lt;=N935,1,0),0)</f>
        <v>0</v>
      </c>
      <c r="Q935" s="58" t="n">
        <f aca="false">Q934+N935</f>
        <v>215608.5191027</v>
      </c>
    </row>
    <row r="936" customFormat="false" ht="15" hidden="false" customHeight="false" outlineLevel="0" collapsed="false">
      <c r="K936" s="56" t="n">
        <f aca="false">K935+1</f>
        <v>929</v>
      </c>
      <c r="L936" s="57" t="n">
        <f aca="false">IF(AND(K936&lt;=Assumptions!$C$42,L935=1,P935=0,O935&gt;Assumptions!$C$43),1,0)</f>
        <v>0</v>
      </c>
      <c r="M936" s="58" t="n">
        <f aca="false">O935</f>
        <v>1.04062110040104E-008</v>
      </c>
      <c r="N936" s="58" t="n">
        <f aca="false">IF(L936=1,M936*$B$25,0)</f>
        <v>0</v>
      </c>
      <c r="O936" s="58" t="n">
        <f aca="false">IF(L936=1,M936+N936-$B$29,M936)</f>
        <v>1.04062110040104E-008</v>
      </c>
      <c r="P936" s="56" t="n">
        <f aca="false">IF(L936=1,IF($B$29&lt;=N936,1,0),0)</f>
        <v>0</v>
      </c>
      <c r="Q936" s="58" t="n">
        <f aca="false">Q935+N936</f>
        <v>215608.5191027</v>
      </c>
    </row>
    <row r="937" customFormat="false" ht="15" hidden="false" customHeight="false" outlineLevel="0" collapsed="false">
      <c r="K937" s="56" t="n">
        <f aca="false">K936+1</f>
        <v>930</v>
      </c>
      <c r="L937" s="57" t="n">
        <f aca="false">IF(AND(K937&lt;=Assumptions!$C$42,L936=1,P936=0,O936&gt;Assumptions!$C$43),1,0)</f>
        <v>0</v>
      </c>
      <c r="M937" s="58" t="n">
        <f aca="false">O936</f>
        <v>1.04062110040104E-008</v>
      </c>
      <c r="N937" s="58" t="n">
        <f aca="false">IF(L937=1,M937*$B$25,0)</f>
        <v>0</v>
      </c>
      <c r="O937" s="58" t="n">
        <f aca="false">IF(L937=1,M937+N937-$B$29,M937)</f>
        <v>1.04062110040104E-008</v>
      </c>
      <c r="P937" s="56" t="n">
        <f aca="false">IF(L937=1,IF($B$29&lt;=N937,1,0),0)</f>
        <v>0</v>
      </c>
      <c r="Q937" s="58" t="n">
        <f aca="false">Q936+N937</f>
        <v>215608.5191027</v>
      </c>
    </row>
    <row r="938" customFormat="false" ht="15" hidden="false" customHeight="false" outlineLevel="0" collapsed="false">
      <c r="K938" s="56" t="n">
        <f aca="false">K937+1</f>
        <v>931</v>
      </c>
      <c r="L938" s="57" t="n">
        <f aca="false">IF(AND(K938&lt;=Assumptions!$C$42,L937=1,P937=0,O937&gt;Assumptions!$C$43),1,0)</f>
        <v>0</v>
      </c>
      <c r="M938" s="58" t="n">
        <f aca="false">O937</f>
        <v>1.04062110040104E-008</v>
      </c>
      <c r="N938" s="58" t="n">
        <f aca="false">IF(L938=1,M938*$B$25,0)</f>
        <v>0</v>
      </c>
      <c r="O938" s="58" t="n">
        <f aca="false">IF(L938=1,M938+N938-$B$29,M938)</f>
        <v>1.04062110040104E-008</v>
      </c>
      <c r="P938" s="56" t="n">
        <f aca="false">IF(L938=1,IF($B$29&lt;=N938,1,0),0)</f>
        <v>0</v>
      </c>
      <c r="Q938" s="58" t="n">
        <f aca="false">Q937+N938</f>
        <v>215608.5191027</v>
      </c>
    </row>
    <row r="939" customFormat="false" ht="15" hidden="false" customHeight="false" outlineLevel="0" collapsed="false">
      <c r="K939" s="56" t="n">
        <f aca="false">K938+1</f>
        <v>932</v>
      </c>
      <c r="L939" s="57" t="n">
        <f aca="false">IF(AND(K939&lt;=Assumptions!$C$42,L938=1,P938=0,O938&gt;Assumptions!$C$43),1,0)</f>
        <v>0</v>
      </c>
      <c r="M939" s="58" t="n">
        <f aca="false">O938</f>
        <v>1.04062110040104E-008</v>
      </c>
      <c r="N939" s="58" t="n">
        <f aca="false">IF(L939=1,M939*$B$25,0)</f>
        <v>0</v>
      </c>
      <c r="O939" s="58" t="n">
        <f aca="false">IF(L939=1,M939+N939-$B$29,M939)</f>
        <v>1.04062110040104E-008</v>
      </c>
      <c r="P939" s="56" t="n">
        <f aca="false">IF(L939=1,IF($B$29&lt;=N939,1,0),0)</f>
        <v>0</v>
      </c>
      <c r="Q939" s="58" t="n">
        <f aca="false">Q938+N939</f>
        <v>215608.5191027</v>
      </c>
    </row>
    <row r="940" customFormat="false" ht="15" hidden="false" customHeight="false" outlineLevel="0" collapsed="false">
      <c r="K940" s="56" t="n">
        <f aca="false">K939+1</f>
        <v>933</v>
      </c>
      <c r="L940" s="57" t="n">
        <f aca="false">IF(AND(K940&lt;=Assumptions!$C$42,L939=1,P939=0,O939&gt;Assumptions!$C$43),1,0)</f>
        <v>0</v>
      </c>
      <c r="M940" s="58" t="n">
        <f aca="false">O939</f>
        <v>1.04062110040104E-008</v>
      </c>
      <c r="N940" s="58" t="n">
        <f aca="false">IF(L940=1,M940*$B$25,0)</f>
        <v>0</v>
      </c>
      <c r="O940" s="58" t="n">
        <f aca="false">IF(L940=1,M940+N940-$B$29,M940)</f>
        <v>1.04062110040104E-008</v>
      </c>
      <c r="P940" s="56" t="n">
        <f aca="false">IF(L940=1,IF($B$29&lt;=N940,1,0),0)</f>
        <v>0</v>
      </c>
      <c r="Q940" s="58" t="n">
        <f aca="false">Q939+N940</f>
        <v>215608.5191027</v>
      </c>
    </row>
    <row r="941" customFormat="false" ht="15" hidden="false" customHeight="false" outlineLevel="0" collapsed="false">
      <c r="K941" s="56" t="n">
        <f aca="false">K940+1</f>
        <v>934</v>
      </c>
      <c r="L941" s="57" t="n">
        <f aca="false">IF(AND(K941&lt;=Assumptions!$C$42,L940=1,P940=0,O940&gt;Assumptions!$C$43),1,0)</f>
        <v>0</v>
      </c>
      <c r="M941" s="58" t="n">
        <f aca="false">O940</f>
        <v>1.04062110040104E-008</v>
      </c>
      <c r="N941" s="58" t="n">
        <f aca="false">IF(L941=1,M941*$B$25,0)</f>
        <v>0</v>
      </c>
      <c r="O941" s="58" t="n">
        <f aca="false">IF(L941=1,M941+N941-$B$29,M941)</f>
        <v>1.04062110040104E-008</v>
      </c>
      <c r="P941" s="56" t="n">
        <f aca="false">IF(L941=1,IF($B$29&lt;=N941,1,0),0)</f>
        <v>0</v>
      </c>
      <c r="Q941" s="58" t="n">
        <f aca="false">Q940+N941</f>
        <v>215608.5191027</v>
      </c>
    </row>
    <row r="942" customFormat="false" ht="15" hidden="false" customHeight="false" outlineLevel="0" collapsed="false">
      <c r="K942" s="56" t="n">
        <f aca="false">K941+1</f>
        <v>935</v>
      </c>
      <c r="L942" s="57" t="n">
        <f aca="false">IF(AND(K942&lt;=Assumptions!$C$42,L941=1,P941=0,O941&gt;Assumptions!$C$43),1,0)</f>
        <v>0</v>
      </c>
      <c r="M942" s="58" t="n">
        <f aca="false">O941</f>
        <v>1.04062110040104E-008</v>
      </c>
      <c r="N942" s="58" t="n">
        <f aca="false">IF(L942=1,M942*$B$25,0)</f>
        <v>0</v>
      </c>
      <c r="O942" s="58" t="n">
        <f aca="false">IF(L942=1,M942+N942-$B$29,M942)</f>
        <v>1.04062110040104E-008</v>
      </c>
      <c r="P942" s="56" t="n">
        <f aca="false">IF(L942=1,IF($B$29&lt;=N942,1,0),0)</f>
        <v>0</v>
      </c>
      <c r="Q942" s="58" t="n">
        <f aca="false">Q941+N942</f>
        <v>215608.5191027</v>
      </c>
    </row>
    <row r="943" customFormat="false" ht="15" hidden="false" customHeight="false" outlineLevel="0" collapsed="false">
      <c r="K943" s="56" t="n">
        <f aca="false">K942+1</f>
        <v>936</v>
      </c>
      <c r="L943" s="57" t="n">
        <f aca="false">IF(AND(K943&lt;=Assumptions!$C$42,L942=1,P942=0,O942&gt;Assumptions!$C$43),1,0)</f>
        <v>0</v>
      </c>
      <c r="M943" s="58" t="n">
        <f aca="false">O942</f>
        <v>1.04062110040104E-008</v>
      </c>
      <c r="N943" s="58" t="n">
        <f aca="false">IF(L943=1,M943*$B$25,0)</f>
        <v>0</v>
      </c>
      <c r="O943" s="58" t="n">
        <f aca="false">IF(L943=1,M943+N943-$B$29,M943)</f>
        <v>1.04062110040104E-008</v>
      </c>
      <c r="P943" s="56" t="n">
        <f aca="false">IF(L943=1,IF($B$29&lt;=N943,1,0),0)</f>
        <v>0</v>
      </c>
      <c r="Q943" s="58" t="n">
        <f aca="false">Q942+N943</f>
        <v>215608.5191027</v>
      </c>
    </row>
    <row r="944" customFormat="false" ht="15" hidden="false" customHeight="false" outlineLevel="0" collapsed="false">
      <c r="K944" s="56" t="n">
        <f aca="false">K943+1</f>
        <v>937</v>
      </c>
      <c r="L944" s="57" t="n">
        <f aca="false">IF(AND(K944&lt;=Assumptions!$C$42,L943=1,P943=0,O943&gt;Assumptions!$C$43),1,0)</f>
        <v>0</v>
      </c>
      <c r="M944" s="58" t="n">
        <f aca="false">O943</f>
        <v>1.04062110040104E-008</v>
      </c>
      <c r="N944" s="58" t="n">
        <f aca="false">IF(L944=1,M944*$B$25,0)</f>
        <v>0</v>
      </c>
      <c r="O944" s="58" t="n">
        <f aca="false">IF(L944=1,M944+N944-$B$29,M944)</f>
        <v>1.04062110040104E-008</v>
      </c>
      <c r="P944" s="56" t="n">
        <f aca="false">IF(L944=1,IF($B$29&lt;=N944,1,0),0)</f>
        <v>0</v>
      </c>
      <c r="Q944" s="58" t="n">
        <f aca="false">Q943+N944</f>
        <v>215608.5191027</v>
      </c>
    </row>
    <row r="945" customFormat="false" ht="15" hidden="false" customHeight="false" outlineLevel="0" collapsed="false">
      <c r="K945" s="56" t="n">
        <f aca="false">K944+1</f>
        <v>938</v>
      </c>
      <c r="L945" s="57" t="n">
        <f aca="false">IF(AND(K945&lt;=Assumptions!$C$42,L944=1,P944=0,O944&gt;Assumptions!$C$43),1,0)</f>
        <v>0</v>
      </c>
      <c r="M945" s="58" t="n">
        <f aca="false">O944</f>
        <v>1.04062110040104E-008</v>
      </c>
      <c r="N945" s="58" t="n">
        <f aca="false">IF(L945=1,M945*$B$25,0)</f>
        <v>0</v>
      </c>
      <c r="O945" s="58" t="n">
        <f aca="false">IF(L945=1,M945+N945-$B$29,M945)</f>
        <v>1.04062110040104E-008</v>
      </c>
      <c r="P945" s="56" t="n">
        <f aca="false">IF(L945=1,IF($B$29&lt;=N945,1,0),0)</f>
        <v>0</v>
      </c>
      <c r="Q945" s="58" t="n">
        <f aca="false">Q944+N945</f>
        <v>215608.5191027</v>
      </c>
    </row>
    <row r="946" customFormat="false" ht="15" hidden="false" customHeight="false" outlineLevel="0" collapsed="false">
      <c r="K946" s="56" t="n">
        <f aca="false">K945+1</f>
        <v>939</v>
      </c>
      <c r="L946" s="57" t="n">
        <f aca="false">IF(AND(K946&lt;=Assumptions!$C$42,L945=1,P945=0,O945&gt;Assumptions!$C$43),1,0)</f>
        <v>0</v>
      </c>
      <c r="M946" s="58" t="n">
        <f aca="false">O945</f>
        <v>1.04062110040104E-008</v>
      </c>
      <c r="N946" s="58" t="n">
        <f aca="false">IF(L946=1,M946*$B$25,0)</f>
        <v>0</v>
      </c>
      <c r="O946" s="58" t="n">
        <f aca="false">IF(L946=1,M946+N946-$B$29,M946)</f>
        <v>1.04062110040104E-008</v>
      </c>
      <c r="P946" s="56" t="n">
        <f aca="false">IF(L946=1,IF($B$29&lt;=N946,1,0),0)</f>
        <v>0</v>
      </c>
      <c r="Q946" s="58" t="n">
        <f aca="false">Q945+N946</f>
        <v>215608.5191027</v>
      </c>
    </row>
    <row r="947" customFormat="false" ht="15" hidden="false" customHeight="false" outlineLevel="0" collapsed="false">
      <c r="K947" s="56" t="n">
        <f aca="false">K946+1</f>
        <v>940</v>
      </c>
      <c r="L947" s="57" t="n">
        <f aca="false">IF(AND(K947&lt;=Assumptions!$C$42,L946=1,P946=0,O946&gt;Assumptions!$C$43),1,0)</f>
        <v>0</v>
      </c>
      <c r="M947" s="58" t="n">
        <f aca="false">O946</f>
        <v>1.04062110040104E-008</v>
      </c>
      <c r="N947" s="58" t="n">
        <f aca="false">IF(L947=1,M947*$B$25,0)</f>
        <v>0</v>
      </c>
      <c r="O947" s="58" t="n">
        <f aca="false">IF(L947=1,M947+N947-$B$29,M947)</f>
        <v>1.04062110040104E-008</v>
      </c>
      <c r="P947" s="56" t="n">
        <f aca="false">IF(L947=1,IF($B$29&lt;=N947,1,0),0)</f>
        <v>0</v>
      </c>
      <c r="Q947" s="58" t="n">
        <f aca="false">Q946+N947</f>
        <v>215608.5191027</v>
      </c>
    </row>
    <row r="948" customFormat="false" ht="15" hidden="false" customHeight="false" outlineLevel="0" collapsed="false">
      <c r="K948" s="56" t="n">
        <f aca="false">K947+1</f>
        <v>941</v>
      </c>
      <c r="L948" s="57" t="n">
        <f aca="false">IF(AND(K948&lt;=Assumptions!$C$42,L947=1,P947=0,O947&gt;Assumptions!$C$43),1,0)</f>
        <v>0</v>
      </c>
      <c r="M948" s="58" t="n">
        <f aca="false">O947</f>
        <v>1.04062110040104E-008</v>
      </c>
      <c r="N948" s="58" t="n">
        <f aca="false">IF(L948=1,M948*$B$25,0)</f>
        <v>0</v>
      </c>
      <c r="O948" s="58" t="n">
        <f aca="false">IF(L948=1,M948+N948-$B$29,M948)</f>
        <v>1.04062110040104E-008</v>
      </c>
      <c r="P948" s="56" t="n">
        <f aca="false">IF(L948=1,IF($B$29&lt;=N948,1,0),0)</f>
        <v>0</v>
      </c>
      <c r="Q948" s="58" t="n">
        <f aca="false">Q947+N948</f>
        <v>215608.5191027</v>
      </c>
    </row>
    <row r="949" customFormat="false" ht="15" hidden="false" customHeight="false" outlineLevel="0" collapsed="false">
      <c r="K949" s="56" t="n">
        <f aca="false">K948+1</f>
        <v>942</v>
      </c>
      <c r="L949" s="57" t="n">
        <f aca="false">IF(AND(K949&lt;=Assumptions!$C$42,L948=1,P948=0,O948&gt;Assumptions!$C$43),1,0)</f>
        <v>0</v>
      </c>
      <c r="M949" s="58" t="n">
        <f aca="false">O948</f>
        <v>1.04062110040104E-008</v>
      </c>
      <c r="N949" s="58" t="n">
        <f aca="false">IF(L949=1,M949*$B$25,0)</f>
        <v>0</v>
      </c>
      <c r="O949" s="58" t="n">
        <f aca="false">IF(L949=1,M949+N949-$B$29,M949)</f>
        <v>1.04062110040104E-008</v>
      </c>
      <c r="P949" s="56" t="n">
        <f aca="false">IF(L949=1,IF($B$29&lt;=N949,1,0),0)</f>
        <v>0</v>
      </c>
      <c r="Q949" s="58" t="n">
        <f aca="false">Q948+N949</f>
        <v>215608.5191027</v>
      </c>
    </row>
    <row r="950" customFormat="false" ht="15" hidden="false" customHeight="false" outlineLevel="0" collapsed="false">
      <c r="K950" s="56" t="n">
        <f aca="false">K949+1</f>
        <v>943</v>
      </c>
      <c r="L950" s="57" t="n">
        <f aca="false">IF(AND(K950&lt;=Assumptions!$C$42,L949=1,P949=0,O949&gt;Assumptions!$C$43),1,0)</f>
        <v>0</v>
      </c>
      <c r="M950" s="58" t="n">
        <f aca="false">O949</f>
        <v>1.04062110040104E-008</v>
      </c>
      <c r="N950" s="58" t="n">
        <f aca="false">IF(L950=1,M950*$B$25,0)</f>
        <v>0</v>
      </c>
      <c r="O950" s="58" t="n">
        <f aca="false">IF(L950=1,M950+N950-$B$29,M950)</f>
        <v>1.04062110040104E-008</v>
      </c>
      <c r="P950" s="56" t="n">
        <f aca="false">IF(L950=1,IF($B$29&lt;=N950,1,0),0)</f>
        <v>0</v>
      </c>
      <c r="Q950" s="58" t="n">
        <f aca="false">Q949+N950</f>
        <v>215608.5191027</v>
      </c>
    </row>
    <row r="951" customFormat="false" ht="15" hidden="false" customHeight="false" outlineLevel="0" collapsed="false">
      <c r="K951" s="56" t="n">
        <f aca="false">K950+1</f>
        <v>944</v>
      </c>
      <c r="L951" s="57" t="n">
        <f aca="false">IF(AND(K951&lt;=Assumptions!$C$42,L950=1,P950=0,O950&gt;Assumptions!$C$43),1,0)</f>
        <v>0</v>
      </c>
      <c r="M951" s="58" t="n">
        <f aca="false">O950</f>
        <v>1.04062110040104E-008</v>
      </c>
      <c r="N951" s="58" t="n">
        <f aca="false">IF(L951=1,M951*$B$25,0)</f>
        <v>0</v>
      </c>
      <c r="O951" s="58" t="n">
        <f aca="false">IF(L951=1,M951+N951-$B$29,M951)</f>
        <v>1.04062110040104E-008</v>
      </c>
      <c r="P951" s="56" t="n">
        <f aca="false">IF(L951=1,IF($B$29&lt;=N951,1,0),0)</f>
        <v>0</v>
      </c>
      <c r="Q951" s="58" t="n">
        <f aca="false">Q950+N951</f>
        <v>215608.5191027</v>
      </c>
    </row>
    <row r="952" customFormat="false" ht="15" hidden="false" customHeight="false" outlineLevel="0" collapsed="false">
      <c r="K952" s="56" t="n">
        <f aca="false">K951+1</f>
        <v>945</v>
      </c>
      <c r="L952" s="57" t="n">
        <f aca="false">IF(AND(K952&lt;=Assumptions!$C$42,L951=1,P951=0,O951&gt;Assumptions!$C$43),1,0)</f>
        <v>0</v>
      </c>
      <c r="M952" s="58" t="n">
        <f aca="false">O951</f>
        <v>1.04062110040104E-008</v>
      </c>
      <c r="N952" s="58" t="n">
        <f aca="false">IF(L952=1,M952*$B$25,0)</f>
        <v>0</v>
      </c>
      <c r="O952" s="58" t="n">
        <f aca="false">IF(L952=1,M952+N952-$B$29,M952)</f>
        <v>1.04062110040104E-008</v>
      </c>
      <c r="P952" s="56" t="n">
        <f aca="false">IF(L952=1,IF($B$29&lt;=N952,1,0),0)</f>
        <v>0</v>
      </c>
      <c r="Q952" s="58" t="n">
        <f aca="false">Q951+N952</f>
        <v>215608.5191027</v>
      </c>
    </row>
    <row r="953" customFormat="false" ht="15" hidden="false" customHeight="false" outlineLevel="0" collapsed="false">
      <c r="K953" s="56" t="n">
        <f aca="false">K952+1</f>
        <v>946</v>
      </c>
      <c r="L953" s="57" t="n">
        <f aca="false">IF(AND(K953&lt;=Assumptions!$C$42,L952=1,P952=0,O952&gt;Assumptions!$C$43),1,0)</f>
        <v>0</v>
      </c>
      <c r="M953" s="58" t="n">
        <f aca="false">O952</f>
        <v>1.04062110040104E-008</v>
      </c>
      <c r="N953" s="58" t="n">
        <f aca="false">IF(L953=1,M953*$B$25,0)</f>
        <v>0</v>
      </c>
      <c r="O953" s="58" t="n">
        <f aca="false">IF(L953=1,M953+N953-$B$29,M953)</f>
        <v>1.04062110040104E-008</v>
      </c>
      <c r="P953" s="56" t="n">
        <f aca="false">IF(L953=1,IF($B$29&lt;=N953,1,0),0)</f>
        <v>0</v>
      </c>
      <c r="Q953" s="58" t="n">
        <f aca="false">Q952+N953</f>
        <v>215608.5191027</v>
      </c>
    </row>
    <row r="954" customFormat="false" ht="15" hidden="false" customHeight="false" outlineLevel="0" collapsed="false">
      <c r="K954" s="56" t="n">
        <f aca="false">K953+1</f>
        <v>947</v>
      </c>
      <c r="L954" s="57" t="n">
        <f aca="false">IF(AND(K954&lt;=Assumptions!$C$42,L953=1,P953=0,O953&gt;Assumptions!$C$43),1,0)</f>
        <v>0</v>
      </c>
      <c r="M954" s="58" t="n">
        <f aca="false">O953</f>
        <v>1.04062110040104E-008</v>
      </c>
      <c r="N954" s="58" t="n">
        <f aca="false">IF(L954=1,M954*$B$25,0)</f>
        <v>0</v>
      </c>
      <c r="O954" s="58" t="n">
        <f aca="false">IF(L954=1,M954+N954-$B$29,M954)</f>
        <v>1.04062110040104E-008</v>
      </c>
      <c r="P954" s="56" t="n">
        <f aca="false">IF(L954=1,IF($B$29&lt;=N954,1,0),0)</f>
        <v>0</v>
      </c>
      <c r="Q954" s="58" t="n">
        <f aca="false">Q953+N954</f>
        <v>215608.5191027</v>
      </c>
    </row>
    <row r="955" customFormat="false" ht="15" hidden="false" customHeight="false" outlineLevel="0" collapsed="false">
      <c r="K955" s="56" t="n">
        <f aca="false">K954+1</f>
        <v>948</v>
      </c>
      <c r="L955" s="57" t="n">
        <f aca="false">IF(AND(K955&lt;=Assumptions!$C$42,L954=1,P954=0,O954&gt;Assumptions!$C$43),1,0)</f>
        <v>0</v>
      </c>
      <c r="M955" s="58" t="n">
        <f aca="false">O954</f>
        <v>1.04062110040104E-008</v>
      </c>
      <c r="N955" s="58" t="n">
        <f aca="false">IF(L955=1,M955*$B$25,0)</f>
        <v>0</v>
      </c>
      <c r="O955" s="58" t="n">
        <f aca="false">IF(L955=1,M955+N955-$B$29,M955)</f>
        <v>1.04062110040104E-008</v>
      </c>
      <c r="P955" s="56" t="n">
        <f aca="false">IF(L955=1,IF($B$29&lt;=N955,1,0),0)</f>
        <v>0</v>
      </c>
      <c r="Q955" s="58" t="n">
        <f aca="false">Q954+N955</f>
        <v>215608.5191027</v>
      </c>
    </row>
    <row r="956" customFormat="false" ht="15" hidden="false" customHeight="false" outlineLevel="0" collapsed="false">
      <c r="K956" s="56" t="n">
        <f aca="false">K955+1</f>
        <v>949</v>
      </c>
      <c r="L956" s="57" t="n">
        <f aca="false">IF(AND(K956&lt;=Assumptions!$C$42,L955=1,P955=0,O955&gt;Assumptions!$C$43),1,0)</f>
        <v>0</v>
      </c>
      <c r="M956" s="58" t="n">
        <f aca="false">O955</f>
        <v>1.04062110040104E-008</v>
      </c>
      <c r="N956" s="58" t="n">
        <f aca="false">IF(L956=1,M956*$B$25,0)</f>
        <v>0</v>
      </c>
      <c r="O956" s="58" t="n">
        <f aca="false">IF(L956=1,M956+N956-$B$29,M956)</f>
        <v>1.04062110040104E-008</v>
      </c>
      <c r="P956" s="56" t="n">
        <f aca="false">IF(L956=1,IF($B$29&lt;=N956,1,0),0)</f>
        <v>0</v>
      </c>
      <c r="Q956" s="58" t="n">
        <f aca="false">Q955+N956</f>
        <v>215608.5191027</v>
      </c>
    </row>
    <row r="957" customFormat="false" ht="15" hidden="false" customHeight="false" outlineLevel="0" collapsed="false">
      <c r="K957" s="56" t="n">
        <f aca="false">K956+1</f>
        <v>950</v>
      </c>
      <c r="L957" s="57" t="n">
        <f aca="false">IF(AND(K957&lt;=Assumptions!$C$42,L956=1,P956=0,O956&gt;Assumptions!$C$43),1,0)</f>
        <v>0</v>
      </c>
      <c r="M957" s="58" t="n">
        <f aca="false">O956</f>
        <v>1.04062110040104E-008</v>
      </c>
      <c r="N957" s="58" t="n">
        <f aca="false">IF(L957=1,M957*$B$25,0)</f>
        <v>0</v>
      </c>
      <c r="O957" s="58" t="n">
        <f aca="false">IF(L957=1,M957+N957-$B$29,M957)</f>
        <v>1.04062110040104E-008</v>
      </c>
      <c r="P957" s="56" t="n">
        <f aca="false">IF(L957=1,IF($B$29&lt;=N957,1,0),0)</f>
        <v>0</v>
      </c>
      <c r="Q957" s="58" t="n">
        <f aca="false">Q956+N957</f>
        <v>215608.5191027</v>
      </c>
    </row>
    <row r="958" customFormat="false" ht="15" hidden="false" customHeight="false" outlineLevel="0" collapsed="false">
      <c r="K958" s="56" t="n">
        <f aca="false">K957+1</f>
        <v>951</v>
      </c>
      <c r="L958" s="57" t="n">
        <f aca="false">IF(AND(K958&lt;=Assumptions!$C$42,L957=1,P957=0,O957&gt;Assumptions!$C$43),1,0)</f>
        <v>0</v>
      </c>
      <c r="M958" s="58" t="n">
        <f aca="false">O957</f>
        <v>1.04062110040104E-008</v>
      </c>
      <c r="N958" s="58" t="n">
        <f aca="false">IF(L958=1,M958*$B$25,0)</f>
        <v>0</v>
      </c>
      <c r="O958" s="58" t="n">
        <f aca="false">IF(L958=1,M958+N958-$B$29,M958)</f>
        <v>1.04062110040104E-008</v>
      </c>
      <c r="P958" s="56" t="n">
        <f aca="false">IF(L958=1,IF($B$29&lt;=N958,1,0),0)</f>
        <v>0</v>
      </c>
      <c r="Q958" s="58" t="n">
        <f aca="false">Q957+N958</f>
        <v>215608.5191027</v>
      </c>
    </row>
    <row r="959" customFormat="false" ht="15" hidden="false" customHeight="false" outlineLevel="0" collapsed="false">
      <c r="K959" s="56" t="n">
        <f aca="false">K958+1</f>
        <v>952</v>
      </c>
      <c r="L959" s="57" t="n">
        <f aca="false">IF(AND(K959&lt;=Assumptions!$C$42,L958=1,P958=0,O958&gt;Assumptions!$C$43),1,0)</f>
        <v>0</v>
      </c>
      <c r="M959" s="58" t="n">
        <f aca="false">O958</f>
        <v>1.04062110040104E-008</v>
      </c>
      <c r="N959" s="58" t="n">
        <f aca="false">IF(L959=1,M959*$B$25,0)</f>
        <v>0</v>
      </c>
      <c r="O959" s="58" t="n">
        <f aca="false">IF(L959=1,M959+N959-$B$29,M959)</f>
        <v>1.04062110040104E-008</v>
      </c>
      <c r="P959" s="56" t="n">
        <f aca="false">IF(L959=1,IF($B$29&lt;=N959,1,0),0)</f>
        <v>0</v>
      </c>
      <c r="Q959" s="58" t="n">
        <f aca="false">Q958+N959</f>
        <v>215608.5191027</v>
      </c>
    </row>
    <row r="960" customFormat="false" ht="15" hidden="false" customHeight="false" outlineLevel="0" collapsed="false">
      <c r="K960" s="56" t="n">
        <f aca="false">K959+1</f>
        <v>953</v>
      </c>
      <c r="L960" s="57" t="n">
        <f aca="false">IF(AND(K960&lt;=Assumptions!$C$42,L959=1,P959=0,O959&gt;Assumptions!$C$43),1,0)</f>
        <v>0</v>
      </c>
      <c r="M960" s="58" t="n">
        <f aca="false">O959</f>
        <v>1.04062110040104E-008</v>
      </c>
      <c r="N960" s="58" t="n">
        <f aca="false">IF(L960=1,M960*$B$25,0)</f>
        <v>0</v>
      </c>
      <c r="O960" s="58" t="n">
        <f aca="false">IF(L960=1,M960+N960-$B$29,M960)</f>
        <v>1.04062110040104E-008</v>
      </c>
      <c r="P960" s="56" t="n">
        <f aca="false">IF(L960=1,IF($B$29&lt;=N960,1,0),0)</f>
        <v>0</v>
      </c>
      <c r="Q960" s="58" t="n">
        <f aca="false">Q959+N960</f>
        <v>215608.5191027</v>
      </c>
    </row>
    <row r="961" customFormat="false" ht="15" hidden="false" customHeight="false" outlineLevel="0" collapsed="false">
      <c r="K961" s="56" t="n">
        <f aca="false">K960+1</f>
        <v>954</v>
      </c>
      <c r="L961" s="57" t="n">
        <f aca="false">IF(AND(K961&lt;=Assumptions!$C$42,L960=1,P960=0,O960&gt;Assumptions!$C$43),1,0)</f>
        <v>0</v>
      </c>
      <c r="M961" s="58" t="n">
        <f aca="false">O960</f>
        <v>1.04062110040104E-008</v>
      </c>
      <c r="N961" s="58" t="n">
        <f aca="false">IF(L961=1,M961*$B$25,0)</f>
        <v>0</v>
      </c>
      <c r="O961" s="58" t="n">
        <f aca="false">IF(L961=1,M961+N961-$B$29,M961)</f>
        <v>1.04062110040104E-008</v>
      </c>
      <c r="P961" s="56" t="n">
        <f aca="false">IF(L961=1,IF($B$29&lt;=N961,1,0),0)</f>
        <v>0</v>
      </c>
      <c r="Q961" s="58" t="n">
        <f aca="false">Q960+N961</f>
        <v>215608.5191027</v>
      </c>
    </row>
    <row r="962" customFormat="false" ht="15" hidden="false" customHeight="false" outlineLevel="0" collapsed="false">
      <c r="K962" s="56" t="n">
        <f aca="false">K961+1</f>
        <v>955</v>
      </c>
      <c r="L962" s="57" t="n">
        <f aca="false">IF(AND(K962&lt;=Assumptions!$C$42,L961=1,P961=0,O961&gt;Assumptions!$C$43),1,0)</f>
        <v>0</v>
      </c>
      <c r="M962" s="58" t="n">
        <f aca="false">O961</f>
        <v>1.04062110040104E-008</v>
      </c>
      <c r="N962" s="58" t="n">
        <f aca="false">IF(L962=1,M962*$B$25,0)</f>
        <v>0</v>
      </c>
      <c r="O962" s="58" t="n">
        <f aca="false">IF(L962=1,M962+N962-$B$29,M962)</f>
        <v>1.04062110040104E-008</v>
      </c>
      <c r="P962" s="56" t="n">
        <f aca="false">IF(L962=1,IF($B$29&lt;=N962,1,0),0)</f>
        <v>0</v>
      </c>
      <c r="Q962" s="58" t="n">
        <f aca="false">Q961+N962</f>
        <v>215608.5191027</v>
      </c>
    </row>
    <row r="963" customFormat="false" ht="15" hidden="false" customHeight="false" outlineLevel="0" collapsed="false">
      <c r="K963" s="56" t="n">
        <f aca="false">K962+1</f>
        <v>956</v>
      </c>
      <c r="L963" s="57" t="n">
        <f aca="false">IF(AND(K963&lt;=Assumptions!$C$42,L962=1,P962=0,O962&gt;Assumptions!$C$43),1,0)</f>
        <v>0</v>
      </c>
      <c r="M963" s="58" t="n">
        <f aca="false">O962</f>
        <v>1.04062110040104E-008</v>
      </c>
      <c r="N963" s="58" t="n">
        <f aca="false">IF(L963=1,M963*$B$25,0)</f>
        <v>0</v>
      </c>
      <c r="O963" s="58" t="n">
        <f aca="false">IF(L963=1,M963+N963-$B$29,M963)</f>
        <v>1.04062110040104E-008</v>
      </c>
      <c r="P963" s="56" t="n">
        <f aca="false">IF(L963=1,IF($B$29&lt;=N963,1,0),0)</f>
        <v>0</v>
      </c>
      <c r="Q963" s="58" t="n">
        <f aca="false">Q962+N963</f>
        <v>215608.5191027</v>
      </c>
    </row>
    <row r="964" customFormat="false" ht="15" hidden="false" customHeight="false" outlineLevel="0" collapsed="false">
      <c r="K964" s="56" t="n">
        <f aca="false">K963+1</f>
        <v>957</v>
      </c>
      <c r="L964" s="57" t="n">
        <f aca="false">IF(AND(K964&lt;=Assumptions!$C$42,L963=1,P963=0,O963&gt;Assumptions!$C$43),1,0)</f>
        <v>0</v>
      </c>
      <c r="M964" s="58" t="n">
        <f aca="false">O963</f>
        <v>1.04062110040104E-008</v>
      </c>
      <c r="N964" s="58" t="n">
        <f aca="false">IF(L964=1,M964*$B$25,0)</f>
        <v>0</v>
      </c>
      <c r="O964" s="58" t="n">
        <f aca="false">IF(L964=1,M964+N964-$B$29,M964)</f>
        <v>1.04062110040104E-008</v>
      </c>
      <c r="P964" s="56" t="n">
        <f aca="false">IF(L964=1,IF($B$29&lt;=N964,1,0),0)</f>
        <v>0</v>
      </c>
      <c r="Q964" s="58" t="n">
        <f aca="false">Q963+N964</f>
        <v>215608.5191027</v>
      </c>
    </row>
    <row r="965" customFormat="false" ht="15" hidden="false" customHeight="false" outlineLevel="0" collapsed="false">
      <c r="K965" s="56" t="n">
        <f aca="false">K964+1</f>
        <v>958</v>
      </c>
      <c r="L965" s="57" t="n">
        <f aca="false">IF(AND(K965&lt;=Assumptions!$C$42,L964=1,P964=0,O964&gt;Assumptions!$C$43),1,0)</f>
        <v>0</v>
      </c>
      <c r="M965" s="58" t="n">
        <f aca="false">O964</f>
        <v>1.04062110040104E-008</v>
      </c>
      <c r="N965" s="58" t="n">
        <f aca="false">IF(L965=1,M965*$B$25,0)</f>
        <v>0</v>
      </c>
      <c r="O965" s="58" t="n">
        <f aca="false">IF(L965=1,M965+N965-$B$29,M965)</f>
        <v>1.04062110040104E-008</v>
      </c>
      <c r="P965" s="56" t="n">
        <f aca="false">IF(L965=1,IF($B$29&lt;=N965,1,0),0)</f>
        <v>0</v>
      </c>
      <c r="Q965" s="58" t="n">
        <f aca="false">Q964+N965</f>
        <v>215608.5191027</v>
      </c>
    </row>
    <row r="966" customFormat="false" ht="15" hidden="false" customHeight="false" outlineLevel="0" collapsed="false">
      <c r="K966" s="56" t="n">
        <f aca="false">K965+1</f>
        <v>959</v>
      </c>
      <c r="L966" s="57" t="n">
        <f aca="false">IF(AND(K966&lt;=Assumptions!$C$42,L965=1,P965=0,O965&gt;Assumptions!$C$43),1,0)</f>
        <v>0</v>
      </c>
      <c r="M966" s="58" t="n">
        <f aca="false">O965</f>
        <v>1.04062110040104E-008</v>
      </c>
      <c r="N966" s="58" t="n">
        <f aca="false">IF(L966=1,M966*$B$25,0)</f>
        <v>0</v>
      </c>
      <c r="O966" s="58" t="n">
        <f aca="false">IF(L966=1,M966+N966-$B$29,M966)</f>
        <v>1.04062110040104E-008</v>
      </c>
      <c r="P966" s="56" t="n">
        <f aca="false">IF(L966=1,IF($B$29&lt;=N966,1,0),0)</f>
        <v>0</v>
      </c>
      <c r="Q966" s="58" t="n">
        <f aca="false">Q965+N966</f>
        <v>215608.5191027</v>
      </c>
    </row>
    <row r="967" customFormat="false" ht="15" hidden="false" customHeight="false" outlineLevel="0" collapsed="false">
      <c r="K967" s="56" t="n">
        <f aca="false">K966+1</f>
        <v>960</v>
      </c>
      <c r="L967" s="57" t="n">
        <f aca="false">IF(AND(K967&lt;=Assumptions!$C$42,L966=1,P966=0,O966&gt;Assumptions!$C$43),1,0)</f>
        <v>0</v>
      </c>
      <c r="M967" s="58" t="n">
        <f aca="false">O966</f>
        <v>1.04062110040104E-008</v>
      </c>
      <c r="N967" s="58" t="n">
        <f aca="false">IF(L967=1,M967*$B$25,0)</f>
        <v>0</v>
      </c>
      <c r="O967" s="58" t="n">
        <f aca="false">IF(L967=1,M967+N967-$B$29,M967)</f>
        <v>1.04062110040104E-008</v>
      </c>
      <c r="P967" s="56" t="n">
        <f aca="false">IF(L967=1,IF($B$29&lt;=N967,1,0),0)</f>
        <v>0</v>
      </c>
      <c r="Q967" s="58" t="n">
        <f aca="false">Q966+N967</f>
        <v>215608.5191027</v>
      </c>
    </row>
    <row r="968" customFormat="false" ht="15" hidden="false" customHeight="false" outlineLevel="0" collapsed="false">
      <c r="K968" s="56" t="n">
        <f aca="false">K967+1</f>
        <v>961</v>
      </c>
      <c r="L968" s="57" t="n">
        <f aca="false">IF(AND(K968&lt;=Assumptions!$C$42,L967=1,P967=0,O967&gt;Assumptions!$C$43),1,0)</f>
        <v>0</v>
      </c>
      <c r="M968" s="58" t="n">
        <f aca="false">O967</f>
        <v>1.04062110040104E-008</v>
      </c>
      <c r="N968" s="58" t="n">
        <f aca="false">IF(L968=1,M968*$B$25,0)</f>
        <v>0</v>
      </c>
      <c r="O968" s="58" t="n">
        <f aca="false">IF(L968=1,M968+N968-$B$29,M968)</f>
        <v>1.04062110040104E-008</v>
      </c>
      <c r="P968" s="56" t="n">
        <f aca="false">IF(L968=1,IF($B$29&lt;=N968,1,0),0)</f>
        <v>0</v>
      </c>
      <c r="Q968" s="58" t="n">
        <f aca="false">Q967+N968</f>
        <v>215608.5191027</v>
      </c>
    </row>
    <row r="969" customFormat="false" ht="15" hidden="false" customHeight="false" outlineLevel="0" collapsed="false">
      <c r="K969" s="56" t="n">
        <f aca="false">K968+1</f>
        <v>962</v>
      </c>
      <c r="L969" s="57" t="n">
        <f aca="false">IF(AND(K969&lt;=Assumptions!$C$42,L968=1,P968=0,O968&gt;Assumptions!$C$43),1,0)</f>
        <v>0</v>
      </c>
      <c r="M969" s="58" t="n">
        <f aca="false">O968</f>
        <v>1.04062110040104E-008</v>
      </c>
      <c r="N969" s="58" t="n">
        <f aca="false">IF(L969=1,M969*$B$25,0)</f>
        <v>0</v>
      </c>
      <c r="O969" s="58" t="n">
        <f aca="false">IF(L969=1,M969+N969-$B$29,M969)</f>
        <v>1.04062110040104E-008</v>
      </c>
      <c r="P969" s="56" t="n">
        <f aca="false">IF(L969=1,IF($B$29&lt;=N969,1,0),0)</f>
        <v>0</v>
      </c>
      <c r="Q969" s="58" t="n">
        <f aca="false">Q968+N969</f>
        <v>215608.5191027</v>
      </c>
    </row>
    <row r="970" customFormat="false" ht="15" hidden="false" customHeight="false" outlineLevel="0" collapsed="false">
      <c r="K970" s="56" t="n">
        <f aca="false">K969+1</f>
        <v>963</v>
      </c>
      <c r="L970" s="57" t="n">
        <f aca="false">IF(AND(K970&lt;=Assumptions!$C$42,L969=1,P969=0,O969&gt;Assumptions!$C$43),1,0)</f>
        <v>0</v>
      </c>
      <c r="M970" s="58" t="n">
        <f aca="false">O969</f>
        <v>1.04062110040104E-008</v>
      </c>
      <c r="N970" s="58" t="n">
        <f aca="false">IF(L970=1,M970*$B$25,0)</f>
        <v>0</v>
      </c>
      <c r="O970" s="58" t="n">
        <f aca="false">IF(L970=1,M970+N970-$B$29,M970)</f>
        <v>1.04062110040104E-008</v>
      </c>
      <c r="P970" s="56" t="n">
        <f aca="false">IF(L970=1,IF($B$29&lt;=N970,1,0),0)</f>
        <v>0</v>
      </c>
      <c r="Q970" s="58" t="n">
        <f aca="false">Q969+N970</f>
        <v>215608.5191027</v>
      </c>
    </row>
    <row r="971" customFormat="false" ht="15" hidden="false" customHeight="false" outlineLevel="0" collapsed="false">
      <c r="K971" s="56" t="n">
        <f aca="false">K970+1</f>
        <v>964</v>
      </c>
      <c r="L971" s="57" t="n">
        <f aca="false">IF(AND(K971&lt;=Assumptions!$C$42,L970=1,P970=0,O970&gt;Assumptions!$C$43),1,0)</f>
        <v>0</v>
      </c>
      <c r="M971" s="58" t="n">
        <f aca="false">O970</f>
        <v>1.04062110040104E-008</v>
      </c>
      <c r="N971" s="58" t="n">
        <f aca="false">IF(L971=1,M971*$B$25,0)</f>
        <v>0</v>
      </c>
      <c r="O971" s="58" t="n">
        <f aca="false">IF(L971=1,M971+N971-$B$29,M971)</f>
        <v>1.04062110040104E-008</v>
      </c>
      <c r="P971" s="56" t="n">
        <f aca="false">IF(L971=1,IF($B$29&lt;=N971,1,0),0)</f>
        <v>0</v>
      </c>
      <c r="Q971" s="58" t="n">
        <f aca="false">Q970+N971</f>
        <v>215608.5191027</v>
      </c>
    </row>
    <row r="972" customFormat="false" ht="15" hidden="false" customHeight="false" outlineLevel="0" collapsed="false">
      <c r="K972" s="56" t="n">
        <f aca="false">K971+1</f>
        <v>965</v>
      </c>
      <c r="L972" s="57" t="n">
        <f aca="false">IF(AND(K972&lt;=Assumptions!$C$42,L971=1,P971=0,O971&gt;Assumptions!$C$43),1,0)</f>
        <v>0</v>
      </c>
      <c r="M972" s="58" t="n">
        <f aca="false">O971</f>
        <v>1.04062110040104E-008</v>
      </c>
      <c r="N972" s="58" t="n">
        <f aca="false">IF(L972=1,M972*$B$25,0)</f>
        <v>0</v>
      </c>
      <c r="O972" s="58" t="n">
        <f aca="false">IF(L972=1,M972+N972-$B$29,M972)</f>
        <v>1.04062110040104E-008</v>
      </c>
      <c r="P972" s="56" t="n">
        <f aca="false">IF(L972=1,IF($B$29&lt;=N972,1,0),0)</f>
        <v>0</v>
      </c>
      <c r="Q972" s="58" t="n">
        <f aca="false">Q971+N972</f>
        <v>215608.5191027</v>
      </c>
    </row>
    <row r="973" customFormat="false" ht="15" hidden="false" customHeight="false" outlineLevel="0" collapsed="false">
      <c r="K973" s="56" t="n">
        <f aca="false">K972+1</f>
        <v>966</v>
      </c>
      <c r="L973" s="57" t="n">
        <f aca="false">IF(AND(K973&lt;=Assumptions!$C$42,L972=1,P972=0,O972&gt;Assumptions!$C$43),1,0)</f>
        <v>0</v>
      </c>
      <c r="M973" s="58" t="n">
        <f aca="false">O972</f>
        <v>1.04062110040104E-008</v>
      </c>
      <c r="N973" s="58" t="n">
        <f aca="false">IF(L973=1,M973*$B$25,0)</f>
        <v>0</v>
      </c>
      <c r="O973" s="58" t="n">
        <f aca="false">IF(L973=1,M973+N973-$B$29,M973)</f>
        <v>1.04062110040104E-008</v>
      </c>
      <c r="P973" s="56" t="n">
        <f aca="false">IF(L973=1,IF($B$29&lt;=N973,1,0),0)</f>
        <v>0</v>
      </c>
      <c r="Q973" s="58" t="n">
        <f aca="false">Q972+N973</f>
        <v>215608.5191027</v>
      </c>
    </row>
    <row r="974" customFormat="false" ht="15" hidden="false" customHeight="false" outlineLevel="0" collapsed="false">
      <c r="K974" s="56" t="n">
        <f aca="false">K973+1</f>
        <v>967</v>
      </c>
      <c r="L974" s="57" t="n">
        <f aca="false">IF(AND(K974&lt;=Assumptions!$C$42,L973=1,P973=0,O973&gt;Assumptions!$C$43),1,0)</f>
        <v>0</v>
      </c>
      <c r="M974" s="58" t="n">
        <f aca="false">O973</f>
        <v>1.04062110040104E-008</v>
      </c>
      <c r="N974" s="58" t="n">
        <f aca="false">IF(L974=1,M974*$B$25,0)</f>
        <v>0</v>
      </c>
      <c r="O974" s="58" t="n">
        <f aca="false">IF(L974=1,M974+N974-$B$29,M974)</f>
        <v>1.04062110040104E-008</v>
      </c>
      <c r="P974" s="56" t="n">
        <f aca="false">IF(L974=1,IF($B$29&lt;=N974,1,0),0)</f>
        <v>0</v>
      </c>
      <c r="Q974" s="58" t="n">
        <f aca="false">Q973+N974</f>
        <v>215608.5191027</v>
      </c>
    </row>
    <row r="975" customFormat="false" ht="15" hidden="false" customHeight="false" outlineLevel="0" collapsed="false">
      <c r="K975" s="56" t="n">
        <f aca="false">K974+1</f>
        <v>968</v>
      </c>
      <c r="L975" s="57" t="n">
        <f aca="false">IF(AND(K975&lt;=Assumptions!$C$42,L974=1,P974=0,O974&gt;Assumptions!$C$43),1,0)</f>
        <v>0</v>
      </c>
      <c r="M975" s="58" t="n">
        <f aca="false">O974</f>
        <v>1.04062110040104E-008</v>
      </c>
      <c r="N975" s="58" t="n">
        <f aca="false">IF(L975=1,M975*$B$25,0)</f>
        <v>0</v>
      </c>
      <c r="O975" s="58" t="n">
        <f aca="false">IF(L975=1,M975+N975-$B$29,M975)</f>
        <v>1.04062110040104E-008</v>
      </c>
      <c r="P975" s="56" t="n">
        <f aca="false">IF(L975=1,IF($B$29&lt;=N975,1,0),0)</f>
        <v>0</v>
      </c>
      <c r="Q975" s="58" t="n">
        <f aca="false">Q974+N975</f>
        <v>215608.5191027</v>
      </c>
    </row>
    <row r="976" customFormat="false" ht="15" hidden="false" customHeight="false" outlineLevel="0" collapsed="false">
      <c r="K976" s="56" t="n">
        <f aca="false">K975+1</f>
        <v>969</v>
      </c>
      <c r="L976" s="57" t="n">
        <f aca="false">IF(AND(K976&lt;=Assumptions!$C$42,L975=1,P975=0,O975&gt;Assumptions!$C$43),1,0)</f>
        <v>0</v>
      </c>
      <c r="M976" s="58" t="n">
        <f aca="false">O975</f>
        <v>1.04062110040104E-008</v>
      </c>
      <c r="N976" s="58" t="n">
        <f aca="false">IF(L976=1,M976*$B$25,0)</f>
        <v>0</v>
      </c>
      <c r="O976" s="58" t="n">
        <f aca="false">IF(L976=1,M976+N976-$B$29,M976)</f>
        <v>1.04062110040104E-008</v>
      </c>
      <c r="P976" s="56" t="n">
        <f aca="false">IF(L976=1,IF($B$29&lt;=N976,1,0),0)</f>
        <v>0</v>
      </c>
      <c r="Q976" s="58" t="n">
        <f aca="false">Q975+N976</f>
        <v>215608.5191027</v>
      </c>
    </row>
    <row r="977" customFormat="false" ht="15" hidden="false" customHeight="false" outlineLevel="0" collapsed="false">
      <c r="K977" s="56" t="n">
        <f aca="false">K976+1</f>
        <v>970</v>
      </c>
      <c r="L977" s="57" t="n">
        <f aca="false">IF(AND(K977&lt;=Assumptions!$C$42,L976=1,P976=0,O976&gt;Assumptions!$C$43),1,0)</f>
        <v>0</v>
      </c>
      <c r="M977" s="58" t="n">
        <f aca="false">O976</f>
        <v>1.04062110040104E-008</v>
      </c>
      <c r="N977" s="58" t="n">
        <f aca="false">IF(L977=1,M977*$B$25,0)</f>
        <v>0</v>
      </c>
      <c r="O977" s="58" t="n">
        <f aca="false">IF(L977=1,M977+N977-$B$29,M977)</f>
        <v>1.04062110040104E-008</v>
      </c>
      <c r="P977" s="56" t="n">
        <f aca="false">IF(L977=1,IF($B$29&lt;=N977,1,0),0)</f>
        <v>0</v>
      </c>
      <c r="Q977" s="58" t="n">
        <f aca="false">Q976+N977</f>
        <v>215608.5191027</v>
      </c>
    </row>
    <row r="978" customFormat="false" ht="15" hidden="false" customHeight="false" outlineLevel="0" collapsed="false">
      <c r="K978" s="56" t="n">
        <f aca="false">K977+1</f>
        <v>971</v>
      </c>
      <c r="L978" s="57" t="n">
        <f aca="false">IF(AND(K978&lt;=Assumptions!$C$42,L977=1,P977=0,O977&gt;Assumptions!$C$43),1,0)</f>
        <v>0</v>
      </c>
      <c r="M978" s="58" t="n">
        <f aca="false">O977</f>
        <v>1.04062110040104E-008</v>
      </c>
      <c r="N978" s="58" t="n">
        <f aca="false">IF(L978=1,M978*$B$25,0)</f>
        <v>0</v>
      </c>
      <c r="O978" s="58" t="n">
        <f aca="false">IF(L978=1,M978+N978-$B$29,M978)</f>
        <v>1.04062110040104E-008</v>
      </c>
      <c r="P978" s="56" t="n">
        <f aca="false">IF(L978=1,IF($B$29&lt;=N978,1,0),0)</f>
        <v>0</v>
      </c>
      <c r="Q978" s="58" t="n">
        <f aca="false">Q977+N978</f>
        <v>215608.5191027</v>
      </c>
    </row>
    <row r="979" customFormat="false" ht="15" hidden="false" customHeight="false" outlineLevel="0" collapsed="false">
      <c r="K979" s="56" t="n">
        <f aca="false">K978+1</f>
        <v>972</v>
      </c>
      <c r="L979" s="57" t="n">
        <f aca="false">IF(AND(K979&lt;=Assumptions!$C$42,L978=1,P978=0,O978&gt;Assumptions!$C$43),1,0)</f>
        <v>0</v>
      </c>
      <c r="M979" s="58" t="n">
        <f aca="false">O978</f>
        <v>1.04062110040104E-008</v>
      </c>
      <c r="N979" s="58" t="n">
        <f aca="false">IF(L979=1,M979*$B$25,0)</f>
        <v>0</v>
      </c>
      <c r="O979" s="58" t="n">
        <f aca="false">IF(L979=1,M979+N979-$B$29,M979)</f>
        <v>1.04062110040104E-008</v>
      </c>
      <c r="P979" s="56" t="n">
        <f aca="false">IF(L979=1,IF($B$29&lt;=N979,1,0),0)</f>
        <v>0</v>
      </c>
      <c r="Q979" s="58" t="n">
        <f aca="false">Q978+N979</f>
        <v>215608.5191027</v>
      </c>
    </row>
    <row r="980" customFormat="false" ht="15" hidden="false" customHeight="false" outlineLevel="0" collapsed="false">
      <c r="K980" s="56" t="n">
        <f aca="false">K979+1</f>
        <v>973</v>
      </c>
      <c r="L980" s="57" t="n">
        <f aca="false">IF(AND(K980&lt;=Assumptions!$C$42,L979=1,P979=0,O979&gt;Assumptions!$C$43),1,0)</f>
        <v>0</v>
      </c>
      <c r="M980" s="58" t="n">
        <f aca="false">O979</f>
        <v>1.04062110040104E-008</v>
      </c>
      <c r="N980" s="58" t="n">
        <f aca="false">IF(L980=1,M980*$B$25,0)</f>
        <v>0</v>
      </c>
      <c r="O980" s="58" t="n">
        <f aca="false">IF(L980=1,M980+N980-$B$29,M980)</f>
        <v>1.04062110040104E-008</v>
      </c>
      <c r="P980" s="56" t="n">
        <f aca="false">IF(L980=1,IF($B$29&lt;=N980,1,0),0)</f>
        <v>0</v>
      </c>
      <c r="Q980" s="58" t="n">
        <f aca="false">Q979+N980</f>
        <v>215608.5191027</v>
      </c>
    </row>
    <row r="981" customFormat="false" ht="15" hidden="false" customHeight="false" outlineLevel="0" collapsed="false">
      <c r="K981" s="56" t="n">
        <f aca="false">K980+1</f>
        <v>974</v>
      </c>
      <c r="L981" s="57" t="n">
        <f aca="false">IF(AND(K981&lt;=Assumptions!$C$42,L980=1,P980=0,O980&gt;Assumptions!$C$43),1,0)</f>
        <v>0</v>
      </c>
      <c r="M981" s="58" t="n">
        <f aca="false">O980</f>
        <v>1.04062110040104E-008</v>
      </c>
      <c r="N981" s="58" t="n">
        <f aca="false">IF(L981=1,M981*$B$25,0)</f>
        <v>0</v>
      </c>
      <c r="O981" s="58" t="n">
        <f aca="false">IF(L981=1,M981+N981-$B$29,M981)</f>
        <v>1.04062110040104E-008</v>
      </c>
      <c r="P981" s="56" t="n">
        <f aca="false">IF(L981=1,IF($B$29&lt;=N981,1,0),0)</f>
        <v>0</v>
      </c>
      <c r="Q981" s="58" t="n">
        <f aca="false">Q980+N981</f>
        <v>215608.5191027</v>
      </c>
    </row>
    <row r="982" customFormat="false" ht="15" hidden="false" customHeight="false" outlineLevel="0" collapsed="false">
      <c r="K982" s="56" t="n">
        <f aca="false">K981+1</f>
        <v>975</v>
      </c>
      <c r="L982" s="57" t="n">
        <f aca="false">IF(AND(K982&lt;=Assumptions!$C$42,L981=1,P981=0,O981&gt;Assumptions!$C$43),1,0)</f>
        <v>0</v>
      </c>
      <c r="M982" s="58" t="n">
        <f aca="false">O981</f>
        <v>1.04062110040104E-008</v>
      </c>
      <c r="N982" s="58" t="n">
        <f aca="false">IF(L982=1,M982*$B$25,0)</f>
        <v>0</v>
      </c>
      <c r="O982" s="58" t="n">
        <f aca="false">IF(L982=1,M982+N982-$B$29,M982)</f>
        <v>1.04062110040104E-008</v>
      </c>
      <c r="P982" s="56" t="n">
        <f aca="false">IF(L982=1,IF($B$29&lt;=N982,1,0),0)</f>
        <v>0</v>
      </c>
      <c r="Q982" s="58" t="n">
        <f aca="false">Q981+N982</f>
        <v>215608.5191027</v>
      </c>
    </row>
    <row r="983" customFormat="false" ht="15" hidden="false" customHeight="false" outlineLevel="0" collapsed="false">
      <c r="K983" s="56" t="n">
        <f aca="false">K982+1</f>
        <v>976</v>
      </c>
      <c r="L983" s="57" t="n">
        <f aca="false">IF(AND(K983&lt;=Assumptions!$C$42,L982=1,P982=0,O982&gt;Assumptions!$C$43),1,0)</f>
        <v>0</v>
      </c>
      <c r="M983" s="58" t="n">
        <f aca="false">O982</f>
        <v>1.04062110040104E-008</v>
      </c>
      <c r="N983" s="58" t="n">
        <f aca="false">IF(L983=1,M983*$B$25,0)</f>
        <v>0</v>
      </c>
      <c r="O983" s="58" t="n">
        <f aca="false">IF(L983=1,M983+N983-$B$29,M983)</f>
        <v>1.04062110040104E-008</v>
      </c>
      <c r="P983" s="56" t="n">
        <f aca="false">IF(L983=1,IF($B$29&lt;=N983,1,0),0)</f>
        <v>0</v>
      </c>
      <c r="Q983" s="58" t="n">
        <f aca="false">Q982+N983</f>
        <v>215608.5191027</v>
      </c>
    </row>
    <row r="984" customFormat="false" ht="15" hidden="false" customHeight="false" outlineLevel="0" collapsed="false">
      <c r="K984" s="56" t="n">
        <f aca="false">K983+1</f>
        <v>977</v>
      </c>
      <c r="L984" s="57" t="n">
        <f aca="false">IF(AND(K984&lt;=Assumptions!$C$42,L983=1,P983=0,O983&gt;Assumptions!$C$43),1,0)</f>
        <v>0</v>
      </c>
      <c r="M984" s="58" t="n">
        <f aca="false">O983</f>
        <v>1.04062110040104E-008</v>
      </c>
      <c r="N984" s="58" t="n">
        <f aca="false">IF(L984=1,M984*$B$25,0)</f>
        <v>0</v>
      </c>
      <c r="O984" s="58" t="n">
        <f aca="false">IF(L984=1,M984+N984-$B$29,M984)</f>
        <v>1.04062110040104E-008</v>
      </c>
      <c r="P984" s="56" t="n">
        <f aca="false">IF(L984=1,IF($B$29&lt;=N984,1,0),0)</f>
        <v>0</v>
      </c>
      <c r="Q984" s="58" t="n">
        <f aca="false">Q983+N984</f>
        <v>215608.5191027</v>
      </c>
    </row>
    <row r="985" customFormat="false" ht="15" hidden="false" customHeight="false" outlineLevel="0" collapsed="false">
      <c r="K985" s="56" t="n">
        <f aca="false">K984+1</f>
        <v>978</v>
      </c>
      <c r="L985" s="57" t="n">
        <f aca="false">IF(AND(K985&lt;=Assumptions!$C$42,L984=1,P984=0,O984&gt;Assumptions!$C$43),1,0)</f>
        <v>0</v>
      </c>
      <c r="M985" s="58" t="n">
        <f aca="false">O984</f>
        <v>1.04062110040104E-008</v>
      </c>
      <c r="N985" s="58" t="n">
        <f aca="false">IF(L985=1,M985*$B$25,0)</f>
        <v>0</v>
      </c>
      <c r="O985" s="58" t="n">
        <f aca="false">IF(L985=1,M985+N985-$B$29,M985)</f>
        <v>1.04062110040104E-008</v>
      </c>
      <c r="P985" s="56" t="n">
        <f aca="false">IF(L985=1,IF($B$29&lt;=N985,1,0),0)</f>
        <v>0</v>
      </c>
      <c r="Q985" s="58" t="n">
        <f aca="false">Q984+N985</f>
        <v>215608.5191027</v>
      </c>
    </row>
    <row r="986" customFormat="false" ht="15" hidden="false" customHeight="false" outlineLevel="0" collapsed="false">
      <c r="K986" s="56" t="n">
        <f aca="false">K985+1</f>
        <v>979</v>
      </c>
      <c r="L986" s="57" t="n">
        <f aca="false">IF(AND(K986&lt;=Assumptions!$C$42,L985=1,P985=0,O985&gt;Assumptions!$C$43),1,0)</f>
        <v>0</v>
      </c>
      <c r="M986" s="58" t="n">
        <f aca="false">O985</f>
        <v>1.04062110040104E-008</v>
      </c>
      <c r="N986" s="58" t="n">
        <f aca="false">IF(L986=1,M986*$B$25,0)</f>
        <v>0</v>
      </c>
      <c r="O986" s="58" t="n">
        <f aca="false">IF(L986=1,M986+N986-$B$29,M986)</f>
        <v>1.04062110040104E-008</v>
      </c>
      <c r="P986" s="56" t="n">
        <f aca="false">IF(L986=1,IF($B$29&lt;=N986,1,0),0)</f>
        <v>0</v>
      </c>
      <c r="Q986" s="58" t="n">
        <f aca="false">Q985+N986</f>
        <v>215608.5191027</v>
      </c>
    </row>
    <row r="987" customFormat="false" ht="15" hidden="false" customHeight="false" outlineLevel="0" collapsed="false">
      <c r="K987" s="56" t="n">
        <f aca="false">K986+1</f>
        <v>980</v>
      </c>
      <c r="L987" s="57" t="n">
        <f aca="false">IF(AND(K987&lt;=Assumptions!$C$42,L986=1,P986=0,O986&gt;Assumptions!$C$43),1,0)</f>
        <v>0</v>
      </c>
      <c r="M987" s="58" t="n">
        <f aca="false">O986</f>
        <v>1.04062110040104E-008</v>
      </c>
      <c r="N987" s="58" t="n">
        <f aca="false">IF(L987=1,M987*$B$25,0)</f>
        <v>0</v>
      </c>
      <c r="O987" s="58" t="n">
        <f aca="false">IF(L987=1,M987+N987-$B$29,M987)</f>
        <v>1.04062110040104E-008</v>
      </c>
      <c r="P987" s="56" t="n">
        <f aca="false">IF(L987=1,IF($B$29&lt;=N987,1,0),0)</f>
        <v>0</v>
      </c>
      <c r="Q987" s="58" t="n">
        <f aca="false">Q986+N987</f>
        <v>215608.5191027</v>
      </c>
    </row>
    <row r="988" customFormat="false" ht="15" hidden="false" customHeight="false" outlineLevel="0" collapsed="false">
      <c r="K988" s="56" t="n">
        <f aca="false">K987+1</f>
        <v>981</v>
      </c>
      <c r="L988" s="57" t="n">
        <f aca="false">IF(AND(K988&lt;=Assumptions!$C$42,L987=1,P987=0,O987&gt;Assumptions!$C$43),1,0)</f>
        <v>0</v>
      </c>
      <c r="M988" s="58" t="n">
        <f aca="false">O987</f>
        <v>1.04062110040104E-008</v>
      </c>
      <c r="N988" s="58" t="n">
        <f aca="false">IF(L988=1,M988*$B$25,0)</f>
        <v>0</v>
      </c>
      <c r="O988" s="58" t="n">
        <f aca="false">IF(L988=1,M988+N988-$B$29,M988)</f>
        <v>1.04062110040104E-008</v>
      </c>
      <c r="P988" s="56" t="n">
        <f aca="false">IF(L988=1,IF($B$29&lt;=N988,1,0),0)</f>
        <v>0</v>
      </c>
      <c r="Q988" s="58" t="n">
        <f aca="false">Q987+N988</f>
        <v>215608.5191027</v>
      </c>
    </row>
    <row r="989" customFormat="false" ht="15" hidden="false" customHeight="false" outlineLevel="0" collapsed="false">
      <c r="K989" s="56" t="n">
        <f aca="false">K988+1</f>
        <v>982</v>
      </c>
      <c r="L989" s="57" t="n">
        <f aca="false">IF(AND(K989&lt;=Assumptions!$C$42,L988=1,P988=0,O988&gt;Assumptions!$C$43),1,0)</f>
        <v>0</v>
      </c>
      <c r="M989" s="58" t="n">
        <f aca="false">O988</f>
        <v>1.04062110040104E-008</v>
      </c>
      <c r="N989" s="58" t="n">
        <f aca="false">IF(L989=1,M989*$B$25,0)</f>
        <v>0</v>
      </c>
      <c r="O989" s="58" t="n">
        <f aca="false">IF(L989=1,M989+N989-$B$29,M989)</f>
        <v>1.04062110040104E-008</v>
      </c>
      <c r="P989" s="56" t="n">
        <f aca="false">IF(L989=1,IF($B$29&lt;=N989,1,0),0)</f>
        <v>0</v>
      </c>
      <c r="Q989" s="58" t="n">
        <f aca="false">Q988+N989</f>
        <v>215608.5191027</v>
      </c>
    </row>
    <row r="990" customFormat="false" ht="15" hidden="false" customHeight="false" outlineLevel="0" collapsed="false">
      <c r="K990" s="56" t="n">
        <f aca="false">K989+1</f>
        <v>983</v>
      </c>
      <c r="L990" s="57" t="n">
        <f aca="false">IF(AND(K990&lt;=Assumptions!$C$42,L989=1,P989=0,O989&gt;Assumptions!$C$43),1,0)</f>
        <v>0</v>
      </c>
      <c r="M990" s="58" t="n">
        <f aca="false">O989</f>
        <v>1.04062110040104E-008</v>
      </c>
      <c r="N990" s="58" t="n">
        <f aca="false">IF(L990=1,M990*$B$25,0)</f>
        <v>0</v>
      </c>
      <c r="O990" s="58" t="n">
        <f aca="false">IF(L990=1,M990+N990-$B$29,M990)</f>
        <v>1.04062110040104E-008</v>
      </c>
      <c r="P990" s="56" t="n">
        <f aca="false">IF(L990=1,IF($B$29&lt;=N990,1,0),0)</f>
        <v>0</v>
      </c>
      <c r="Q990" s="58" t="n">
        <f aca="false">Q989+N990</f>
        <v>215608.5191027</v>
      </c>
    </row>
    <row r="991" customFormat="false" ht="15" hidden="false" customHeight="false" outlineLevel="0" collapsed="false">
      <c r="K991" s="56" t="n">
        <f aca="false">K990+1</f>
        <v>984</v>
      </c>
      <c r="L991" s="57" t="n">
        <f aca="false">IF(AND(K991&lt;=Assumptions!$C$42,L990=1,P990=0,O990&gt;Assumptions!$C$43),1,0)</f>
        <v>0</v>
      </c>
      <c r="M991" s="58" t="n">
        <f aca="false">O990</f>
        <v>1.04062110040104E-008</v>
      </c>
      <c r="N991" s="58" t="n">
        <f aca="false">IF(L991=1,M991*$B$25,0)</f>
        <v>0</v>
      </c>
      <c r="O991" s="58" t="n">
        <f aca="false">IF(L991=1,M991+N991-$B$29,M991)</f>
        <v>1.04062110040104E-008</v>
      </c>
      <c r="P991" s="56" t="n">
        <f aca="false">IF(L991=1,IF($B$29&lt;=N991,1,0),0)</f>
        <v>0</v>
      </c>
      <c r="Q991" s="58" t="n">
        <f aca="false">Q990+N991</f>
        <v>215608.5191027</v>
      </c>
    </row>
    <row r="992" customFormat="false" ht="15" hidden="false" customHeight="false" outlineLevel="0" collapsed="false">
      <c r="K992" s="56" t="n">
        <f aca="false">K991+1</f>
        <v>985</v>
      </c>
      <c r="L992" s="57" t="n">
        <f aca="false">IF(AND(K992&lt;=Assumptions!$C$42,L991=1,P991=0,O991&gt;Assumptions!$C$43),1,0)</f>
        <v>0</v>
      </c>
      <c r="M992" s="58" t="n">
        <f aca="false">O991</f>
        <v>1.04062110040104E-008</v>
      </c>
      <c r="N992" s="58" t="n">
        <f aca="false">IF(L992=1,M992*$B$25,0)</f>
        <v>0</v>
      </c>
      <c r="O992" s="58" t="n">
        <f aca="false">IF(L992=1,M992+N992-$B$29,M992)</f>
        <v>1.04062110040104E-008</v>
      </c>
      <c r="P992" s="56" t="n">
        <f aca="false">IF(L992=1,IF($B$29&lt;=N992,1,0),0)</f>
        <v>0</v>
      </c>
      <c r="Q992" s="58" t="n">
        <f aca="false">Q991+N992</f>
        <v>215608.5191027</v>
      </c>
    </row>
    <row r="993" customFormat="false" ht="15" hidden="false" customHeight="false" outlineLevel="0" collapsed="false">
      <c r="K993" s="56" t="n">
        <f aca="false">K992+1</f>
        <v>986</v>
      </c>
      <c r="L993" s="57" t="n">
        <f aca="false">IF(AND(K993&lt;=Assumptions!$C$42,L992=1,P992=0,O992&gt;Assumptions!$C$43),1,0)</f>
        <v>0</v>
      </c>
      <c r="M993" s="58" t="n">
        <f aca="false">O992</f>
        <v>1.04062110040104E-008</v>
      </c>
      <c r="N993" s="58" t="n">
        <f aca="false">IF(L993=1,M993*$B$25,0)</f>
        <v>0</v>
      </c>
      <c r="O993" s="58" t="n">
        <f aca="false">IF(L993=1,M993+N993-$B$29,M993)</f>
        <v>1.04062110040104E-008</v>
      </c>
      <c r="P993" s="56" t="n">
        <f aca="false">IF(L993=1,IF($B$29&lt;=N993,1,0),0)</f>
        <v>0</v>
      </c>
      <c r="Q993" s="58" t="n">
        <f aca="false">Q992+N993</f>
        <v>215608.5191027</v>
      </c>
    </row>
    <row r="994" customFormat="false" ht="15" hidden="false" customHeight="false" outlineLevel="0" collapsed="false">
      <c r="K994" s="56" t="n">
        <f aca="false">K993+1</f>
        <v>987</v>
      </c>
      <c r="L994" s="57" t="n">
        <f aca="false">IF(AND(K994&lt;=Assumptions!$C$42,L993=1,P993=0,O993&gt;Assumptions!$C$43),1,0)</f>
        <v>0</v>
      </c>
      <c r="M994" s="58" t="n">
        <f aca="false">O993</f>
        <v>1.04062110040104E-008</v>
      </c>
      <c r="N994" s="58" t="n">
        <f aca="false">IF(L994=1,M994*$B$25,0)</f>
        <v>0</v>
      </c>
      <c r="O994" s="58" t="n">
        <f aca="false">IF(L994=1,M994+N994-$B$29,M994)</f>
        <v>1.04062110040104E-008</v>
      </c>
      <c r="P994" s="56" t="n">
        <f aca="false">IF(L994=1,IF($B$29&lt;=N994,1,0),0)</f>
        <v>0</v>
      </c>
      <c r="Q994" s="58" t="n">
        <f aca="false">Q993+N994</f>
        <v>215608.5191027</v>
      </c>
    </row>
    <row r="995" customFormat="false" ht="15" hidden="false" customHeight="false" outlineLevel="0" collapsed="false">
      <c r="K995" s="56" t="n">
        <f aca="false">K994+1</f>
        <v>988</v>
      </c>
      <c r="L995" s="57" t="n">
        <f aca="false">IF(AND(K995&lt;=Assumptions!$C$42,L994=1,P994=0,O994&gt;Assumptions!$C$43),1,0)</f>
        <v>0</v>
      </c>
      <c r="M995" s="58" t="n">
        <f aca="false">O994</f>
        <v>1.04062110040104E-008</v>
      </c>
      <c r="N995" s="58" t="n">
        <f aca="false">IF(L995=1,M995*$B$25,0)</f>
        <v>0</v>
      </c>
      <c r="O995" s="58" t="n">
        <f aca="false">IF(L995=1,M995+N995-$B$29,M995)</f>
        <v>1.04062110040104E-008</v>
      </c>
      <c r="P995" s="56" t="n">
        <f aca="false">IF(L995=1,IF($B$29&lt;=N995,1,0),0)</f>
        <v>0</v>
      </c>
      <c r="Q995" s="58" t="n">
        <f aca="false">Q994+N995</f>
        <v>215608.5191027</v>
      </c>
    </row>
    <row r="996" customFormat="false" ht="15" hidden="false" customHeight="false" outlineLevel="0" collapsed="false">
      <c r="K996" s="56" t="n">
        <f aca="false">K995+1</f>
        <v>989</v>
      </c>
      <c r="L996" s="57" t="n">
        <f aca="false">IF(AND(K996&lt;=Assumptions!$C$42,L995=1,P995=0,O995&gt;Assumptions!$C$43),1,0)</f>
        <v>0</v>
      </c>
      <c r="M996" s="58" t="n">
        <f aca="false">O995</f>
        <v>1.04062110040104E-008</v>
      </c>
      <c r="N996" s="58" t="n">
        <f aca="false">IF(L996=1,M996*$B$25,0)</f>
        <v>0</v>
      </c>
      <c r="O996" s="58" t="n">
        <f aca="false">IF(L996=1,M996+N996-$B$29,M996)</f>
        <v>1.04062110040104E-008</v>
      </c>
      <c r="P996" s="56" t="n">
        <f aca="false">IF(L996=1,IF($B$29&lt;=N996,1,0),0)</f>
        <v>0</v>
      </c>
      <c r="Q996" s="58" t="n">
        <f aca="false">Q995+N996</f>
        <v>215608.5191027</v>
      </c>
    </row>
    <row r="997" customFormat="false" ht="15" hidden="false" customHeight="false" outlineLevel="0" collapsed="false">
      <c r="K997" s="56" t="n">
        <f aca="false">K996+1</f>
        <v>990</v>
      </c>
      <c r="L997" s="57" t="n">
        <f aca="false">IF(AND(K997&lt;=Assumptions!$C$42,L996=1,P996=0,O996&gt;Assumptions!$C$43),1,0)</f>
        <v>0</v>
      </c>
      <c r="M997" s="58" t="n">
        <f aca="false">O996</f>
        <v>1.04062110040104E-008</v>
      </c>
      <c r="N997" s="58" t="n">
        <f aca="false">IF(L997=1,M997*$B$25,0)</f>
        <v>0</v>
      </c>
      <c r="O997" s="58" t="n">
        <f aca="false">IF(L997=1,M997+N997-$B$29,M997)</f>
        <v>1.04062110040104E-008</v>
      </c>
      <c r="P997" s="56" t="n">
        <f aca="false">IF(L997=1,IF($B$29&lt;=N997,1,0),0)</f>
        <v>0</v>
      </c>
      <c r="Q997" s="58" t="n">
        <f aca="false">Q996+N997</f>
        <v>215608.5191027</v>
      </c>
    </row>
    <row r="998" customFormat="false" ht="15" hidden="false" customHeight="false" outlineLevel="0" collapsed="false">
      <c r="K998" s="56" t="n">
        <f aca="false">K997+1</f>
        <v>991</v>
      </c>
      <c r="L998" s="57" t="n">
        <f aca="false">IF(AND(K998&lt;=Assumptions!$C$42,L997=1,P997=0,O997&gt;Assumptions!$C$43),1,0)</f>
        <v>0</v>
      </c>
      <c r="M998" s="58" t="n">
        <f aca="false">O997</f>
        <v>1.04062110040104E-008</v>
      </c>
      <c r="N998" s="58" t="n">
        <f aca="false">IF(L998=1,M998*$B$25,0)</f>
        <v>0</v>
      </c>
      <c r="O998" s="58" t="n">
        <f aca="false">IF(L998=1,M998+N998-$B$29,M998)</f>
        <v>1.04062110040104E-008</v>
      </c>
      <c r="P998" s="56" t="n">
        <f aca="false">IF(L998=1,IF($B$29&lt;=N998,1,0),0)</f>
        <v>0</v>
      </c>
      <c r="Q998" s="58" t="n">
        <f aca="false">Q997+N998</f>
        <v>215608.5191027</v>
      </c>
    </row>
    <row r="999" customFormat="false" ht="15" hidden="false" customHeight="false" outlineLevel="0" collapsed="false">
      <c r="K999" s="56" t="n">
        <f aca="false">K998+1</f>
        <v>992</v>
      </c>
      <c r="L999" s="57" t="n">
        <f aca="false">IF(AND(K999&lt;=Assumptions!$C$42,L998=1,P998=0,O998&gt;Assumptions!$C$43),1,0)</f>
        <v>0</v>
      </c>
      <c r="M999" s="58" t="n">
        <f aca="false">O998</f>
        <v>1.04062110040104E-008</v>
      </c>
      <c r="N999" s="58" t="n">
        <f aca="false">IF(L999=1,M999*$B$25,0)</f>
        <v>0</v>
      </c>
      <c r="O999" s="58" t="n">
        <f aca="false">IF(L999=1,M999+N999-$B$29,M999)</f>
        <v>1.04062110040104E-008</v>
      </c>
      <c r="P999" s="56" t="n">
        <f aca="false">IF(L999=1,IF($B$29&lt;=N999,1,0),0)</f>
        <v>0</v>
      </c>
      <c r="Q999" s="58" t="n">
        <f aca="false">Q998+N999</f>
        <v>215608.5191027</v>
      </c>
    </row>
    <row r="1000" customFormat="false" ht="15" hidden="false" customHeight="false" outlineLevel="0" collapsed="false">
      <c r="K1000" s="56" t="n">
        <f aca="false">K999+1</f>
        <v>993</v>
      </c>
      <c r="L1000" s="57" t="n">
        <f aca="false">IF(AND(K1000&lt;=Assumptions!$C$42,L999=1,P999=0,O999&gt;Assumptions!$C$43),1,0)</f>
        <v>0</v>
      </c>
      <c r="M1000" s="58" t="n">
        <f aca="false">O999</f>
        <v>1.04062110040104E-008</v>
      </c>
      <c r="N1000" s="58" t="n">
        <f aca="false">IF(L1000=1,M1000*$B$25,0)</f>
        <v>0</v>
      </c>
      <c r="O1000" s="58" t="n">
        <f aca="false">IF(L1000=1,M1000+N1000-$B$29,M1000)</f>
        <v>1.04062110040104E-008</v>
      </c>
      <c r="P1000" s="56" t="n">
        <f aca="false">IF(L1000=1,IF($B$29&lt;=N1000,1,0),0)</f>
        <v>0</v>
      </c>
      <c r="Q1000" s="58" t="n">
        <f aca="false">Q999+N1000</f>
        <v>215608.5191027</v>
      </c>
    </row>
    <row r="1001" customFormat="false" ht="15" hidden="false" customHeight="false" outlineLevel="0" collapsed="false">
      <c r="K1001" s="56" t="n">
        <f aca="false">K1000+1</f>
        <v>994</v>
      </c>
      <c r="L1001" s="57" t="n">
        <f aca="false">IF(AND(K1001&lt;=Assumptions!$C$42,L1000=1,P1000=0,O1000&gt;Assumptions!$C$43),1,0)</f>
        <v>0</v>
      </c>
      <c r="M1001" s="58" t="n">
        <f aca="false">O1000</f>
        <v>1.04062110040104E-008</v>
      </c>
      <c r="N1001" s="58" t="n">
        <f aca="false">IF(L1001=1,M1001*$B$25,0)</f>
        <v>0</v>
      </c>
      <c r="O1001" s="58" t="n">
        <f aca="false">IF(L1001=1,M1001+N1001-$B$29,M1001)</f>
        <v>1.04062110040104E-008</v>
      </c>
      <c r="P1001" s="56" t="n">
        <f aca="false">IF(L1001=1,IF($B$29&lt;=N1001,1,0),0)</f>
        <v>0</v>
      </c>
      <c r="Q1001" s="58" t="n">
        <f aca="false">Q1000+N1001</f>
        <v>215608.5191027</v>
      </c>
    </row>
    <row r="1002" customFormat="false" ht="15" hidden="false" customHeight="false" outlineLevel="0" collapsed="false">
      <c r="K1002" s="56" t="n">
        <f aca="false">K1001+1</f>
        <v>995</v>
      </c>
      <c r="L1002" s="57" t="n">
        <f aca="false">IF(AND(K1002&lt;=Assumptions!$C$42,L1001=1,P1001=0,O1001&gt;Assumptions!$C$43),1,0)</f>
        <v>0</v>
      </c>
      <c r="M1002" s="58" t="n">
        <f aca="false">O1001</f>
        <v>1.04062110040104E-008</v>
      </c>
      <c r="N1002" s="58" t="n">
        <f aca="false">IF(L1002=1,M1002*$B$25,0)</f>
        <v>0</v>
      </c>
      <c r="O1002" s="58" t="n">
        <f aca="false">IF(L1002=1,M1002+N1002-$B$29,M1002)</f>
        <v>1.04062110040104E-008</v>
      </c>
      <c r="P1002" s="56" t="n">
        <f aca="false">IF(L1002=1,IF($B$29&lt;=N1002,1,0),0)</f>
        <v>0</v>
      </c>
      <c r="Q1002" s="58" t="n">
        <f aca="false">Q1001+N1002</f>
        <v>215608.5191027</v>
      </c>
    </row>
    <row r="1003" customFormat="false" ht="15" hidden="false" customHeight="false" outlineLevel="0" collapsed="false">
      <c r="K1003" s="56" t="n">
        <f aca="false">K1002+1</f>
        <v>996</v>
      </c>
      <c r="L1003" s="57" t="n">
        <f aca="false">IF(AND(K1003&lt;=Assumptions!$C$42,L1002=1,P1002=0,O1002&gt;Assumptions!$C$43),1,0)</f>
        <v>0</v>
      </c>
      <c r="M1003" s="58" t="n">
        <f aca="false">O1002</f>
        <v>1.04062110040104E-008</v>
      </c>
      <c r="N1003" s="58" t="n">
        <f aca="false">IF(L1003=1,M1003*$B$25,0)</f>
        <v>0</v>
      </c>
      <c r="O1003" s="58" t="n">
        <f aca="false">IF(L1003=1,M1003+N1003-$B$29,M1003)</f>
        <v>1.04062110040104E-008</v>
      </c>
      <c r="P1003" s="56" t="n">
        <f aca="false">IF(L1003=1,IF($B$29&lt;=N1003,1,0),0)</f>
        <v>0</v>
      </c>
      <c r="Q1003" s="58" t="n">
        <f aca="false">Q1002+N1003</f>
        <v>215608.5191027</v>
      </c>
    </row>
    <row r="1004" customFormat="false" ht="15" hidden="false" customHeight="false" outlineLevel="0" collapsed="false">
      <c r="K1004" s="56" t="n">
        <f aca="false">K1003+1</f>
        <v>997</v>
      </c>
      <c r="L1004" s="57" t="n">
        <f aca="false">IF(AND(K1004&lt;=Assumptions!$C$42,L1003=1,P1003=0,O1003&gt;Assumptions!$C$43),1,0)</f>
        <v>0</v>
      </c>
      <c r="M1004" s="58" t="n">
        <f aca="false">O1003</f>
        <v>1.04062110040104E-008</v>
      </c>
      <c r="N1004" s="58" t="n">
        <f aca="false">IF(L1004=1,M1004*$B$25,0)</f>
        <v>0</v>
      </c>
      <c r="O1004" s="58" t="n">
        <f aca="false">IF(L1004=1,M1004+N1004-$B$29,M1004)</f>
        <v>1.04062110040104E-008</v>
      </c>
      <c r="P1004" s="56" t="n">
        <f aca="false">IF(L1004=1,IF($B$29&lt;=N1004,1,0),0)</f>
        <v>0</v>
      </c>
      <c r="Q1004" s="58" t="n">
        <f aca="false">Q1003+N1004</f>
        <v>215608.5191027</v>
      </c>
    </row>
    <row r="1005" customFormat="false" ht="15" hidden="false" customHeight="false" outlineLevel="0" collapsed="false">
      <c r="K1005" s="56" t="n">
        <f aca="false">K1004+1</f>
        <v>998</v>
      </c>
      <c r="L1005" s="57" t="n">
        <f aca="false">IF(AND(K1005&lt;=Assumptions!$C$42,L1004=1,P1004=0,O1004&gt;Assumptions!$C$43),1,0)</f>
        <v>0</v>
      </c>
      <c r="M1005" s="58" t="n">
        <f aca="false">O1004</f>
        <v>1.04062110040104E-008</v>
      </c>
      <c r="N1005" s="58" t="n">
        <f aca="false">IF(L1005=1,M1005*$B$25,0)</f>
        <v>0</v>
      </c>
      <c r="O1005" s="58" t="n">
        <f aca="false">IF(L1005=1,M1005+N1005-$B$29,M1005)</f>
        <v>1.04062110040104E-008</v>
      </c>
      <c r="P1005" s="56" t="n">
        <f aca="false">IF(L1005=1,IF($B$29&lt;=N1005,1,0),0)</f>
        <v>0</v>
      </c>
      <c r="Q1005" s="58" t="n">
        <f aca="false">Q1004+N1005</f>
        <v>215608.5191027</v>
      </c>
    </row>
    <row r="1006" customFormat="false" ht="15" hidden="false" customHeight="false" outlineLevel="0" collapsed="false">
      <c r="K1006" s="56" t="n">
        <f aca="false">K1005+1</f>
        <v>999</v>
      </c>
      <c r="L1006" s="57" t="n">
        <f aca="false">IF(AND(K1006&lt;=Assumptions!$C$42,L1005=1,P1005=0,O1005&gt;Assumptions!$C$43),1,0)</f>
        <v>0</v>
      </c>
      <c r="M1006" s="58" t="n">
        <f aca="false">O1005</f>
        <v>1.04062110040104E-008</v>
      </c>
      <c r="N1006" s="58" t="n">
        <f aca="false">IF(L1006=1,M1006*$B$25,0)</f>
        <v>0</v>
      </c>
      <c r="O1006" s="58" t="n">
        <f aca="false">IF(L1006=1,M1006+N1006-$B$29,M1006)</f>
        <v>1.04062110040104E-008</v>
      </c>
      <c r="P1006" s="56" t="n">
        <f aca="false">IF(L1006=1,IF($B$29&lt;=N1006,1,0),0)</f>
        <v>0</v>
      </c>
      <c r="Q1006" s="58" t="n">
        <f aca="false">Q1005+N1006</f>
        <v>215608.5191027</v>
      </c>
    </row>
    <row r="1007" customFormat="false" ht="15" hidden="false" customHeight="false" outlineLevel="0" collapsed="false">
      <c r="K1007" s="56" t="n">
        <f aca="false">K1006+1</f>
        <v>1000</v>
      </c>
      <c r="L1007" s="57" t="n">
        <f aca="false">IF(AND(K1007&lt;=Assumptions!$C$42,L1006=1,P1006=0,O1006&gt;Assumptions!$C$43),1,0)</f>
        <v>0</v>
      </c>
      <c r="M1007" s="58" t="n">
        <f aca="false">O1006</f>
        <v>1.04062110040104E-008</v>
      </c>
      <c r="N1007" s="58" t="n">
        <f aca="false">IF(L1007=1,M1007*$B$25,0)</f>
        <v>0</v>
      </c>
      <c r="O1007" s="58" t="n">
        <f aca="false">IF(L1007=1,M1007+N1007-$B$29,M1007)</f>
        <v>1.04062110040104E-008</v>
      </c>
      <c r="P1007" s="56" t="n">
        <f aca="false">IF(L1007=1,IF($B$29&lt;=N1007,1,0),0)</f>
        <v>0</v>
      </c>
      <c r="Q1007" s="58" t="n">
        <f aca="false">Q1006+N1007</f>
        <v>215608.5191027</v>
      </c>
    </row>
    <row r="1008" customFormat="false" ht="15" hidden="false" customHeight="false" outlineLevel="0" collapsed="false">
      <c r="K1008" s="56" t="n">
        <f aca="false">K1007+1</f>
        <v>1001</v>
      </c>
      <c r="L1008" s="57" t="n">
        <f aca="false">IF(AND(K1008&lt;=Assumptions!$C$42,L1007=1,P1007=0,O1007&gt;Assumptions!$C$43),1,0)</f>
        <v>0</v>
      </c>
      <c r="M1008" s="58" t="n">
        <f aca="false">O1007</f>
        <v>1.04062110040104E-008</v>
      </c>
      <c r="N1008" s="58" t="n">
        <f aca="false">IF(L1008=1,M1008*$B$25,0)</f>
        <v>0</v>
      </c>
      <c r="O1008" s="58" t="n">
        <f aca="false">IF(L1008=1,M1008+N1008-$B$29,M1008)</f>
        <v>1.04062110040104E-008</v>
      </c>
      <c r="P1008" s="56" t="n">
        <f aca="false">IF(L1008=1,IF($B$29&lt;=N1008,1,0),0)</f>
        <v>0</v>
      </c>
      <c r="Q1008" s="58" t="n">
        <f aca="false">Q1007+N1008</f>
        <v>215608.5191027</v>
      </c>
    </row>
    <row r="1009" customFormat="false" ht="15" hidden="false" customHeight="false" outlineLevel="0" collapsed="false">
      <c r="K1009" s="56" t="n">
        <f aca="false">K1008+1</f>
        <v>1002</v>
      </c>
      <c r="L1009" s="57" t="n">
        <f aca="false">IF(AND(K1009&lt;=Assumptions!$C$42,L1008=1,P1008=0,O1008&gt;Assumptions!$C$43),1,0)</f>
        <v>0</v>
      </c>
      <c r="M1009" s="58" t="n">
        <f aca="false">O1008</f>
        <v>1.04062110040104E-008</v>
      </c>
      <c r="N1009" s="58" t="n">
        <f aca="false">IF(L1009=1,M1009*$B$25,0)</f>
        <v>0</v>
      </c>
      <c r="O1009" s="58" t="n">
        <f aca="false">IF(L1009=1,M1009+N1009-$B$29,M1009)</f>
        <v>1.04062110040104E-008</v>
      </c>
      <c r="P1009" s="56" t="n">
        <f aca="false">IF(L1009=1,IF($B$29&lt;=N1009,1,0),0)</f>
        <v>0</v>
      </c>
      <c r="Q1009" s="58" t="n">
        <f aca="false">Q1008+N1009</f>
        <v>215608.5191027</v>
      </c>
    </row>
    <row r="1010" customFormat="false" ht="15" hidden="false" customHeight="false" outlineLevel="0" collapsed="false">
      <c r="K1010" s="56" t="n">
        <f aca="false">K1009+1</f>
        <v>1003</v>
      </c>
      <c r="L1010" s="57" t="n">
        <f aca="false">IF(AND(K1010&lt;=Assumptions!$C$42,L1009=1,P1009=0,O1009&gt;Assumptions!$C$43),1,0)</f>
        <v>0</v>
      </c>
      <c r="M1010" s="58" t="n">
        <f aca="false">O1009</f>
        <v>1.04062110040104E-008</v>
      </c>
      <c r="N1010" s="58" t="n">
        <f aca="false">IF(L1010=1,M1010*$B$25,0)</f>
        <v>0</v>
      </c>
      <c r="O1010" s="58" t="n">
        <f aca="false">IF(L1010=1,M1010+N1010-$B$29,M1010)</f>
        <v>1.04062110040104E-008</v>
      </c>
      <c r="P1010" s="56" t="n">
        <f aca="false">IF(L1010=1,IF($B$29&lt;=N1010,1,0),0)</f>
        <v>0</v>
      </c>
      <c r="Q1010" s="58" t="n">
        <f aca="false">Q1009+N1010</f>
        <v>215608.5191027</v>
      </c>
    </row>
    <row r="1011" customFormat="false" ht="15" hidden="false" customHeight="false" outlineLevel="0" collapsed="false">
      <c r="K1011" s="56" t="n">
        <f aca="false">K1010+1</f>
        <v>1004</v>
      </c>
      <c r="L1011" s="57" t="n">
        <f aca="false">IF(AND(K1011&lt;=Assumptions!$C$42,L1010=1,P1010=0,O1010&gt;Assumptions!$C$43),1,0)</f>
        <v>0</v>
      </c>
      <c r="M1011" s="58" t="n">
        <f aca="false">O1010</f>
        <v>1.04062110040104E-008</v>
      </c>
      <c r="N1011" s="58" t="n">
        <f aca="false">IF(L1011=1,M1011*$B$25,0)</f>
        <v>0</v>
      </c>
      <c r="O1011" s="58" t="n">
        <f aca="false">IF(L1011=1,M1011+N1011-$B$29,M1011)</f>
        <v>1.04062110040104E-008</v>
      </c>
      <c r="P1011" s="56" t="n">
        <f aca="false">IF(L1011=1,IF($B$29&lt;=N1011,1,0),0)</f>
        <v>0</v>
      </c>
      <c r="Q1011" s="58" t="n">
        <f aca="false">Q1010+N1011</f>
        <v>215608.5191027</v>
      </c>
    </row>
    <row r="1012" customFormat="false" ht="15" hidden="false" customHeight="false" outlineLevel="0" collapsed="false">
      <c r="K1012" s="56" t="n">
        <f aca="false">K1011+1</f>
        <v>1005</v>
      </c>
      <c r="L1012" s="57" t="n">
        <f aca="false">IF(AND(K1012&lt;=Assumptions!$C$42,L1011=1,P1011=0,O1011&gt;Assumptions!$C$43),1,0)</f>
        <v>0</v>
      </c>
      <c r="M1012" s="58" t="n">
        <f aca="false">O1011</f>
        <v>1.04062110040104E-008</v>
      </c>
      <c r="N1012" s="58" t="n">
        <f aca="false">IF(L1012=1,M1012*$B$25,0)</f>
        <v>0</v>
      </c>
      <c r="O1012" s="58" t="n">
        <f aca="false">IF(L1012=1,M1012+N1012-$B$29,M1012)</f>
        <v>1.04062110040104E-008</v>
      </c>
      <c r="P1012" s="56" t="n">
        <f aca="false">IF(L1012=1,IF($B$29&lt;=N1012,1,0),0)</f>
        <v>0</v>
      </c>
      <c r="Q1012" s="58" t="n">
        <f aca="false">Q1011+N1012</f>
        <v>215608.5191027</v>
      </c>
    </row>
    <row r="1013" customFormat="false" ht="15" hidden="false" customHeight="false" outlineLevel="0" collapsed="false">
      <c r="K1013" s="56" t="n">
        <f aca="false">K1012+1</f>
        <v>1006</v>
      </c>
      <c r="L1013" s="57" t="n">
        <f aca="false">IF(AND(K1013&lt;=Assumptions!$C$42,L1012=1,P1012=0,O1012&gt;Assumptions!$C$43),1,0)</f>
        <v>0</v>
      </c>
      <c r="M1013" s="58" t="n">
        <f aca="false">O1012</f>
        <v>1.04062110040104E-008</v>
      </c>
      <c r="N1013" s="58" t="n">
        <f aca="false">IF(L1013=1,M1013*$B$25,0)</f>
        <v>0</v>
      </c>
      <c r="O1013" s="58" t="n">
        <f aca="false">IF(L1013=1,M1013+N1013-$B$29,M1013)</f>
        <v>1.04062110040104E-008</v>
      </c>
      <c r="P1013" s="56" t="n">
        <f aca="false">IF(L1013=1,IF($B$29&lt;=N1013,1,0),0)</f>
        <v>0</v>
      </c>
      <c r="Q1013" s="58" t="n">
        <f aca="false">Q1012+N1013</f>
        <v>215608.5191027</v>
      </c>
    </row>
    <row r="1014" customFormat="false" ht="15" hidden="false" customHeight="false" outlineLevel="0" collapsed="false">
      <c r="K1014" s="56" t="n">
        <f aca="false">K1013+1</f>
        <v>1007</v>
      </c>
      <c r="L1014" s="57" t="n">
        <f aca="false">IF(AND(K1014&lt;=Assumptions!$C$42,L1013=1,P1013=0,O1013&gt;Assumptions!$C$43),1,0)</f>
        <v>0</v>
      </c>
      <c r="M1014" s="58" t="n">
        <f aca="false">O1013</f>
        <v>1.04062110040104E-008</v>
      </c>
      <c r="N1014" s="58" t="n">
        <f aca="false">IF(L1014=1,M1014*$B$25,0)</f>
        <v>0</v>
      </c>
      <c r="O1014" s="58" t="n">
        <f aca="false">IF(L1014=1,M1014+N1014-$B$29,M1014)</f>
        <v>1.04062110040104E-008</v>
      </c>
      <c r="P1014" s="56" t="n">
        <f aca="false">IF(L1014=1,IF($B$29&lt;=N1014,1,0),0)</f>
        <v>0</v>
      </c>
      <c r="Q1014" s="58" t="n">
        <f aca="false">Q1013+N1014</f>
        <v>215608.5191027</v>
      </c>
    </row>
    <row r="1015" customFormat="false" ht="15" hidden="false" customHeight="false" outlineLevel="0" collapsed="false">
      <c r="K1015" s="56" t="n">
        <f aca="false">K1014+1</f>
        <v>1008</v>
      </c>
      <c r="L1015" s="57" t="n">
        <f aca="false">IF(AND(K1015&lt;=Assumptions!$C$42,L1014=1,P1014=0,O1014&gt;Assumptions!$C$43),1,0)</f>
        <v>0</v>
      </c>
      <c r="M1015" s="58" t="n">
        <f aca="false">O1014</f>
        <v>1.04062110040104E-008</v>
      </c>
      <c r="N1015" s="58" t="n">
        <f aca="false">IF(L1015=1,M1015*$B$25,0)</f>
        <v>0</v>
      </c>
      <c r="O1015" s="58" t="n">
        <f aca="false">IF(L1015=1,M1015+N1015-$B$29,M1015)</f>
        <v>1.04062110040104E-008</v>
      </c>
      <c r="P1015" s="56" t="n">
        <f aca="false">IF(L1015=1,IF($B$29&lt;=N1015,1,0),0)</f>
        <v>0</v>
      </c>
      <c r="Q1015" s="58" t="n">
        <f aca="false">Q1014+N1015</f>
        <v>215608.5191027</v>
      </c>
    </row>
    <row r="1016" customFormat="false" ht="15" hidden="false" customHeight="false" outlineLevel="0" collapsed="false">
      <c r="K1016" s="56" t="n">
        <f aca="false">K1015+1</f>
        <v>1009</v>
      </c>
      <c r="L1016" s="57" t="n">
        <f aca="false">IF(AND(K1016&lt;=Assumptions!$C$42,L1015=1,P1015=0,O1015&gt;Assumptions!$C$43),1,0)</f>
        <v>0</v>
      </c>
      <c r="M1016" s="58" t="n">
        <f aca="false">O1015</f>
        <v>1.04062110040104E-008</v>
      </c>
      <c r="N1016" s="58" t="n">
        <f aca="false">IF(L1016=1,M1016*$B$25,0)</f>
        <v>0</v>
      </c>
      <c r="O1016" s="58" t="n">
        <f aca="false">IF(L1016=1,M1016+N1016-$B$29,M1016)</f>
        <v>1.04062110040104E-008</v>
      </c>
      <c r="P1016" s="56" t="n">
        <f aca="false">IF(L1016=1,IF($B$29&lt;=N1016,1,0),0)</f>
        <v>0</v>
      </c>
      <c r="Q1016" s="58" t="n">
        <f aca="false">Q1015+N1016</f>
        <v>215608.5191027</v>
      </c>
    </row>
    <row r="1017" customFormat="false" ht="15" hidden="false" customHeight="false" outlineLevel="0" collapsed="false">
      <c r="K1017" s="56" t="n">
        <f aca="false">K1016+1</f>
        <v>1010</v>
      </c>
      <c r="L1017" s="57" t="n">
        <f aca="false">IF(AND(K1017&lt;=Assumptions!$C$42,L1016=1,P1016=0,O1016&gt;Assumptions!$C$43),1,0)</f>
        <v>0</v>
      </c>
      <c r="M1017" s="58" t="n">
        <f aca="false">O1016</f>
        <v>1.04062110040104E-008</v>
      </c>
      <c r="N1017" s="58" t="n">
        <f aca="false">IF(L1017=1,M1017*$B$25,0)</f>
        <v>0</v>
      </c>
      <c r="O1017" s="58" t="n">
        <f aca="false">IF(L1017=1,M1017+N1017-$B$29,M1017)</f>
        <v>1.04062110040104E-008</v>
      </c>
      <c r="P1017" s="56" t="n">
        <f aca="false">IF(L1017=1,IF($B$29&lt;=N1017,1,0),0)</f>
        <v>0</v>
      </c>
      <c r="Q1017" s="58" t="n">
        <f aca="false">Q1016+N1017</f>
        <v>215608.5191027</v>
      </c>
    </row>
    <row r="1018" customFormat="false" ht="15" hidden="false" customHeight="false" outlineLevel="0" collapsed="false">
      <c r="K1018" s="56" t="n">
        <f aca="false">K1017+1</f>
        <v>1011</v>
      </c>
      <c r="L1018" s="57" t="n">
        <f aca="false">IF(AND(K1018&lt;=Assumptions!$C$42,L1017=1,P1017=0,O1017&gt;Assumptions!$C$43),1,0)</f>
        <v>0</v>
      </c>
      <c r="M1018" s="58" t="n">
        <f aca="false">O1017</f>
        <v>1.04062110040104E-008</v>
      </c>
      <c r="N1018" s="58" t="n">
        <f aca="false">IF(L1018=1,M1018*$B$25,0)</f>
        <v>0</v>
      </c>
      <c r="O1018" s="58" t="n">
        <f aca="false">IF(L1018=1,M1018+N1018-$B$29,M1018)</f>
        <v>1.04062110040104E-008</v>
      </c>
      <c r="P1018" s="56" t="n">
        <f aca="false">IF(L1018=1,IF($B$29&lt;=N1018,1,0),0)</f>
        <v>0</v>
      </c>
      <c r="Q1018" s="58" t="n">
        <f aca="false">Q1017+N1018</f>
        <v>215608.5191027</v>
      </c>
    </row>
    <row r="1019" customFormat="false" ht="15" hidden="false" customHeight="false" outlineLevel="0" collapsed="false">
      <c r="K1019" s="56" t="n">
        <f aca="false">K1018+1</f>
        <v>1012</v>
      </c>
      <c r="L1019" s="57" t="n">
        <f aca="false">IF(AND(K1019&lt;=Assumptions!$C$42,L1018=1,P1018=0,O1018&gt;Assumptions!$C$43),1,0)</f>
        <v>0</v>
      </c>
      <c r="M1019" s="58" t="n">
        <f aca="false">O1018</f>
        <v>1.04062110040104E-008</v>
      </c>
      <c r="N1019" s="58" t="n">
        <f aca="false">IF(L1019=1,M1019*$B$25,0)</f>
        <v>0</v>
      </c>
      <c r="O1019" s="58" t="n">
        <f aca="false">IF(L1019=1,M1019+N1019-$B$29,M1019)</f>
        <v>1.04062110040104E-008</v>
      </c>
      <c r="P1019" s="56" t="n">
        <f aca="false">IF(L1019=1,IF($B$29&lt;=N1019,1,0),0)</f>
        <v>0</v>
      </c>
      <c r="Q1019" s="58" t="n">
        <f aca="false">Q1018+N1019</f>
        <v>215608.5191027</v>
      </c>
    </row>
    <row r="1020" customFormat="false" ht="15" hidden="false" customHeight="false" outlineLevel="0" collapsed="false">
      <c r="K1020" s="56" t="n">
        <f aca="false">K1019+1</f>
        <v>1013</v>
      </c>
      <c r="L1020" s="57" t="n">
        <f aca="false">IF(AND(K1020&lt;=Assumptions!$C$42,L1019=1,P1019=0,O1019&gt;Assumptions!$C$43),1,0)</f>
        <v>0</v>
      </c>
      <c r="M1020" s="58" t="n">
        <f aca="false">O1019</f>
        <v>1.04062110040104E-008</v>
      </c>
      <c r="N1020" s="58" t="n">
        <f aca="false">IF(L1020=1,M1020*$B$25,0)</f>
        <v>0</v>
      </c>
      <c r="O1020" s="58" t="n">
        <f aca="false">IF(L1020=1,M1020+N1020-$B$29,M1020)</f>
        <v>1.04062110040104E-008</v>
      </c>
      <c r="P1020" s="56" t="n">
        <f aca="false">IF(L1020=1,IF($B$29&lt;=N1020,1,0),0)</f>
        <v>0</v>
      </c>
      <c r="Q1020" s="58" t="n">
        <f aca="false">Q1019+N1020</f>
        <v>215608.5191027</v>
      </c>
    </row>
    <row r="1021" customFormat="false" ht="15" hidden="false" customHeight="false" outlineLevel="0" collapsed="false">
      <c r="K1021" s="56" t="n">
        <f aca="false">K1020+1</f>
        <v>1014</v>
      </c>
      <c r="L1021" s="57" t="n">
        <f aca="false">IF(AND(K1021&lt;=Assumptions!$C$42,L1020=1,P1020=0,O1020&gt;Assumptions!$C$43),1,0)</f>
        <v>0</v>
      </c>
      <c r="M1021" s="58" t="n">
        <f aca="false">O1020</f>
        <v>1.04062110040104E-008</v>
      </c>
      <c r="N1021" s="58" t="n">
        <f aca="false">IF(L1021=1,M1021*$B$25,0)</f>
        <v>0</v>
      </c>
      <c r="O1021" s="58" t="n">
        <f aca="false">IF(L1021=1,M1021+N1021-$B$29,M1021)</f>
        <v>1.04062110040104E-008</v>
      </c>
      <c r="P1021" s="56" t="n">
        <f aca="false">IF(L1021=1,IF($B$29&lt;=N1021,1,0),0)</f>
        <v>0</v>
      </c>
      <c r="Q1021" s="58" t="n">
        <f aca="false">Q1020+N1021</f>
        <v>215608.5191027</v>
      </c>
    </row>
    <row r="1022" customFormat="false" ht="15" hidden="false" customHeight="false" outlineLevel="0" collapsed="false">
      <c r="K1022" s="56" t="n">
        <f aca="false">K1021+1</f>
        <v>1015</v>
      </c>
      <c r="L1022" s="57" t="n">
        <f aca="false">IF(AND(K1022&lt;=Assumptions!$C$42,L1021=1,P1021=0,O1021&gt;Assumptions!$C$43),1,0)</f>
        <v>0</v>
      </c>
      <c r="M1022" s="58" t="n">
        <f aca="false">O1021</f>
        <v>1.04062110040104E-008</v>
      </c>
      <c r="N1022" s="58" t="n">
        <f aca="false">IF(L1022=1,M1022*$B$25,0)</f>
        <v>0</v>
      </c>
      <c r="O1022" s="58" t="n">
        <f aca="false">IF(L1022=1,M1022+N1022-$B$29,M1022)</f>
        <v>1.04062110040104E-008</v>
      </c>
      <c r="P1022" s="56" t="n">
        <f aca="false">IF(L1022=1,IF($B$29&lt;=N1022,1,0),0)</f>
        <v>0</v>
      </c>
      <c r="Q1022" s="58" t="n">
        <f aca="false">Q1021+N1022</f>
        <v>215608.5191027</v>
      </c>
    </row>
    <row r="1023" customFormat="false" ht="15" hidden="false" customHeight="false" outlineLevel="0" collapsed="false">
      <c r="K1023" s="56" t="n">
        <f aca="false">K1022+1</f>
        <v>1016</v>
      </c>
      <c r="L1023" s="57" t="n">
        <f aca="false">IF(AND(K1023&lt;=Assumptions!$C$42,L1022=1,P1022=0,O1022&gt;Assumptions!$C$43),1,0)</f>
        <v>0</v>
      </c>
      <c r="M1023" s="58" t="n">
        <f aca="false">O1022</f>
        <v>1.04062110040104E-008</v>
      </c>
      <c r="N1023" s="58" t="n">
        <f aca="false">IF(L1023=1,M1023*$B$25,0)</f>
        <v>0</v>
      </c>
      <c r="O1023" s="58" t="n">
        <f aca="false">IF(L1023=1,M1023+N1023-$B$29,M1023)</f>
        <v>1.04062110040104E-008</v>
      </c>
      <c r="P1023" s="56" t="n">
        <f aca="false">IF(L1023=1,IF($B$29&lt;=N1023,1,0),0)</f>
        <v>0</v>
      </c>
      <c r="Q1023" s="58" t="n">
        <f aca="false">Q1022+N1023</f>
        <v>215608.5191027</v>
      </c>
    </row>
    <row r="1024" customFormat="false" ht="15" hidden="false" customHeight="false" outlineLevel="0" collapsed="false">
      <c r="K1024" s="56" t="n">
        <f aca="false">K1023+1</f>
        <v>1017</v>
      </c>
      <c r="L1024" s="57" t="n">
        <f aca="false">IF(AND(K1024&lt;=Assumptions!$C$42,L1023=1,P1023=0,O1023&gt;Assumptions!$C$43),1,0)</f>
        <v>0</v>
      </c>
      <c r="M1024" s="58" t="n">
        <f aca="false">O1023</f>
        <v>1.04062110040104E-008</v>
      </c>
      <c r="N1024" s="58" t="n">
        <f aca="false">IF(L1024=1,M1024*$B$25,0)</f>
        <v>0</v>
      </c>
      <c r="O1024" s="58" t="n">
        <f aca="false">IF(L1024=1,M1024+N1024-$B$29,M1024)</f>
        <v>1.04062110040104E-008</v>
      </c>
      <c r="P1024" s="56" t="n">
        <f aca="false">IF(L1024=1,IF($B$29&lt;=N1024,1,0),0)</f>
        <v>0</v>
      </c>
      <c r="Q1024" s="58" t="n">
        <f aca="false">Q1023+N1024</f>
        <v>215608.5191027</v>
      </c>
    </row>
    <row r="1025" customFormat="false" ht="15" hidden="false" customHeight="false" outlineLevel="0" collapsed="false">
      <c r="K1025" s="56" t="n">
        <f aca="false">K1024+1</f>
        <v>1018</v>
      </c>
      <c r="L1025" s="57" t="n">
        <f aca="false">IF(AND(K1025&lt;=Assumptions!$C$42,L1024=1,P1024=0,O1024&gt;Assumptions!$C$43),1,0)</f>
        <v>0</v>
      </c>
      <c r="M1025" s="58" t="n">
        <f aca="false">O1024</f>
        <v>1.04062110040104E-008</v>
      </c>
      <c r="N1025" s="58" t="n">
        <f aca="false">IF(L1025=1,M1025*$B$25,0)</f>
        <v>0</v>
      </c>
      <c r="O1025" s="58" t="n">
        <f aca="false">IF(L1025=1,M1025+N1025-$B$29,M1025)</f>
        <v>1.04062110040104E-008</v>
      </c>
      <c r="P1025" s="56" t="n">
        <f aca="false">IF(L1025=1,IF($B$29&lt;=N1025,1,0),0)</f>
        <v>0</v>
      </c>
      <c r="Q1025" s="58" t="n">
        <f aca="false">Q1024+N1025</f>
        <v>215608.5191027</v>
      </c>
    </row>
    <row r="1026" customFormat="false" ht="15" hidden="false" customHeight="false" outlineLevel="0" collapsed="false">
      <c r="K1026" s="56" t="n">
        <f aca="false">K1025+1</f>
        <v>1019</v>
      </c>
      <c r="L1026" s="57" t="n">
        <f aca="false">IF(AND(K1026&lt;=Assumptions!$C$42,L1025=1,P1025=0,O1025&gt;Assumptions!$C$43),1,0)</f>
        <v>0</v>
      </c>
      <c r="M1026" s="58" t="n">
        <f aca="false">O1025</f>
        <v>1.04062110040104E-008</v>
      </c>
      <c r="N1026" s="58" t="n">
        <f aca="false">IF(L1026=1,M1026*$B$25,0)</f>
        <v>0</v>
      </c>
      <c r="O1026" s="58" t="n">
        <f aca="false">IF(L1026=1,M1026+N1026-$B$29,M1026)</f>
        <v>1.04062110040104E-008</v>
      </c>
      <c r="P1026" s="56" t="n">
        <f aca="false">IF(L1026=1,IF($B$29&lt;=N1026,1,0),0)</f>
        <v>0</v>
      </c>
      <c r="Q1026" s="58" t="n">
        <f aca="false">Q1025+N1026</f>
        <v>215608.5191027</v>
      </c>
    </row>
    <row r="1027" customFormat="false" ht="15" hidden="false" customHeight="false" outlineLevel="0" collapsed="false">
      <c r="K1027" s="56" t="n">
        <f aca="false">K1026+1</f>
        <v>1020</v>
      </c>
      <c r="L1027" s="57" t="n">
        <f aca="false">IF(AND(K1027&lt;=Assumptions!$C$42,L1026=1,P1026=0,O1026&gt;Assumptions!$C$43),1,0)</f>
        <v>0</v>
      </c>
      <c r="M1027" s="58" t="n">
        <f aca="false">O1026</f>
        <v>1.04062110040104E-008</v>
      </c>
      <c r="N1027" s="58" t="n">
        <f aca="false">IF(L1027=1,M1027*$B$25,0)</f>
        <v>0</v>
      </c>
      <c r="O1027" s="58" t="n">
        <f aca="false">IF(L1027=1,M1027+N1027-$B$29,M1027)</f>
        <v>1.04062110040104E-008</v>
      </c>
      <c r="P1027" s="56" t="n">
        <f aca="false">IF(L1027=1,IF($B$29&lt;=N1027,1,0),0)</f>
        <v>0</v>
      </c>
      <c r="Q1027" s="58" t="n">
        <f aca="false">Q1026+N1027</f>
        <v>215608.5191027</v>
      </c>
    </row>
    <row r="1028" customFormat="false" ht="15" hidden="false" customHeight="false" outlineLevel="0" collapsed="false">
      <c r="K1028" s="56" t="n">
        <f aca="false">K1027+1</f>
        <v>1021</v>
      </c>
      <c r="L1028" s="57" t="n">
        <f aca="false">IF(AND(K1028&lt;=Assumptions!$C$42,L1027=1,P1027=0,O1027&gt;Assumptions!$C$43),1,0)</f>
        <v>0</v>
      </c>
      <c r="M1028" s="58" t="n">
        <f aca="false">O1027</f>
        <v>1.04062110040104E-008</v>
      </c>
      <c r="N1028" s="58" t="n">
        <f aca="false">IF(L1028=1,M1028*$B$25,0)</f>
        <v>0</v>
      </c>
      <c r="O1028" s="58" t="n">
        <f aca="false">IF(L1028=1,M1028+N1028-$B$29,M1028)</f>
        <v>1.04062110040104E-008</v>
      </c>
      <c r="P1028" s="56" t="n">
        <f aca="false">IF(L1028=1,IF($B$29&lt;=N1028,1,0),0)</f>
        <v>0</v>
      </c>
      <c r="Q1028" s="58" t="n">
        <f aca="false">Q1027+N1028</f>
        <v>215608.5191027</v>
      </c>
    </row>
    <row r="1029" customFormat="false" ht="15" hidden="false" customHeight="false" outlineLevel="0" collapsed="false">
      <c r="K1029" s="56" t="n">
        <f aca="false">K1028+1</f>
        <v>1022</v>
      </c>
      <c r="L1029" s="57" t="n">
        <f aca="false">IF(AND(K1029&lt;=Assumptions!$C$42,L1028=1,P1028=0,O1028&gt;Assumptions!$C$43),1,0)</f>
        <v>0</v>
      </c>
      <c r="M1029" s="58" t="n">
        <f aca="false">O1028</f>
        <v>1.04062110040104E-008</v>
      </c>
      <c r="N1029" s="58" t="n">
        <f aca="false">IF(L1029=1,M1029*$B$25,0)</f>
        <v>0</v>
      </c>
      <c r="O1029" s="58" t="n">
        <f aca="false">IF(L1029=1,M1029+N1029-$B$29,M1029)</f>
        <v>1.04062110040104E-008</v>
      </c>
      <c r="P1029" s="56" t="n">
        <f aca="false">IF(L1029=1,IF($B$29&lt;=N1029,1,0),0)</f>
        <v>0</v>
      </c>
      <c r="Q1029" s="58" t="n">
        <f aca="false">Q1028+N1029</f>
        <v>215608.5191027</v>
      </c>
    </row>
    <row r="1030" customFormat="false" ht="15" hidden="false" customHeight="false" outlineLevel="0" collapsed="false">
      <c r="K1030" s="56" t="n">
        <f aca="false">K1029+1</f>
        <v>1023</v>
      </c>
      <c r="L1030" s="57" t="n">
        <f aca="false">IF(AND(K1030&lt;=Assumptions!$C$42,L1029=1,P1029=0,O1029&gt;Assumptions!$C$43),1,0)</f>
        <v>0</v>
      </c>
      <c r="M1030" s="58" t="n">
        <f aca="false">O1029</f>
        <v>1.04062110040104E-008</v>
      </c>
      <c r="N1030" s="58" t="n">
        <f aca="false">IF(L1030=1,M1030*$B$25,0)</f>
        <v>0</v>
      </c>
      <c r="O1030" s="58" t="n">
        <f aca="false">IF(L1030=1,M1030+N1030-$B$29,M1030)</f>
        <v>1.04062110040104E-008</v>
      </c>
      <c r="P1030" s="56" t="n">
        <f aca="false">IF(L1030=1,IF($B$29&lt;=N1030,1,0),0)</f>
        <v>0</v>
      </c>
      <c r="Q1030" s="58" t="n">
        <f aca="false">Q1029+N1030</f>
        <v>215608.5191027</v>
      </c>
    </row>
    <row r="1031" customFormat="false" ht="15" hidden="false" customHeight="false" outlineLevel="0" collapsed="false">
      <c r="K1031" s="56" t="n">
        <f aca="false">K1030+1</f>
        <v>1024</v>
      </c>
      <c r="L1031" s="57" t="n">
        <f aca="false">IF(AND(K1031&lt;=Assumptions!$C$42,L1030=1,P1030=0,O1030&gt;Assumptions!$C$43),1,0)</f>
        <v>0</v>
      </c>
      <c r="M1031" s="58" t="n">
        <f aca="false">O1030</f>
        <v>1.04062110040104E-008</v>
      </c>
      <c r="N1031" s="58" t="n">
        <f aca="false">IF(L1031=1,M1031*$B$25,0)</f>
        <v>0</v>
      </c>
      <c r="O1031" s="58" t="n">
        <f aca="false">IF(L1031=1,M1031+N1031-$B$29,M1031)</f>
        <v>1.04062110040104E-008</v>
      </c>
      <c r="P1031" s="56" t="n">
        <f aca="false">IF(L1031=1,IF($B$29&lt;=N1031,1,0),0)</f>
        <v>0</v>
      </c>
      <c r="Q1031" s="58" t="n">
        <f aca="false">Q1030+N1031</f>
        <v>215608.5191027</v>
      </c>
    </row>
    <row r="1032" customFormat="false" ht="15" hidden="false" customHeight="false" outlineLevel="0" collapsed="false">
      <c r="K1032" s="56" t="n">
        <f aca="false">K1031+1</f>
        <v>1025</v>
      </c>
      <c r="L1032" s="57" t="n">
        <f aca="false">IF(AND(K1032&lt;=Assumptions!$C$42,L1031=1,P1031=0,O1031&gt;Assumptions!$C$43),1,0)</f>
        <v>0</v>
      </c>
      <c r="M1032" s="58" t="n">
        <f aca="false">O1031</f>
        <v>1.04062110040104E-008</v>
      </c>
      <c r="N1032" s="58" t="n">
        <f aca="false">IF(L1032=1,M1032*$B$25,0)</f>
        <v>0</v>
      </c>
      <c r="O1032" s="58" t="n">
        <f aca="false">IF(L1032=1,M1032+N1032-$B$29,M1032)</f>
        <v>1.04062110040104E-008</v>
      </c>
      <c r="P1032" s="56" t="n">
        <f aca="false">IF(L1032=1,IF($B$29&lt;=N1032,1,0),0)</f>
        <v>0</v>
      </c>
      <c r="Q1032" s="58" t="n">
        <f aca="false">Q1031+N1032</f>
        <v>215608.5191027</v>
      </c>
    </row>
    <row r="1033" customFormat="false" ht="15" hidden="false" customHeight="false" outlineLevel="0" collapsed="false">
      <c r="K1033" s="56" t="n">
        <f aca="false">K1032+1</f>
        <v>1026</v>
      </c>
      <c r="L1033" s="57" t="n">
        <f aca="false">IF(AND(K1033&lt;=Assumptions!$C$42,L1032=1,P1032=0,O1032&gt;Assumptions!$C$43),1,0)</f>
        <v>0</v>
      </c>
      <c r="M1033" s="58" t="n">
        <f aca="false">O1032</f>
        <v>1.04062110040104E-008</v>
      </c>
      <c r="N1033" s="58" t="n">
        <f aca="false">IF(L1033=1,M1033*$B$25,0)</f>
        <v>0</v>
      </c>
      <c r="O1033" s="58" t="n">
        <f aca="false">IF(L1033=1,M1033+N1033-$B$29,M1033)</f>
        <v>1.04062110040104E-008</v>
      </c>
      <c r="P1033" s="56" t="n">
        <f aca="false">IF(L1033=1,IF($B$29&lt;=N1033,1,0),0)</f>
        <v>0</v>
      </c>
      <c r="Q1033" s="58" t="n">
        <f aca="false">Q1032+N1033</f>
        <v>215608.5191027</v>
      </c>
    </row>
    <row r="1034" customFormat="false" ht="15" hidden="false" customHeight="false" outlineLevel="0" collapsed="false">
      <c r="K1034" s="56" t="n">
        <f aca="false">K1033+1</f>
        <v>1027</v>
      </c>
      <c r="L1034" s="57" t="n">
        <f aca="false">IF(AND(K1034&lt;=Assumptions!$C$42,L1033=1,P1033=0,O1033&gt;Assumptions!$C$43),1,0)</f>
        <v>0</v>
      </c>
      <c r="M1034" s="58" t="n">
        <f aca="false">O1033</f>
        <v>1.04062110040104E-008</v>
      </c>
      <c r="N1034" s="58" t="n">
        <f aca="false">IF(L1034=1,M1034*$B$25,0)</f>
        <v>0</v>
      </c>
      <c r="O1034" s="58" t="n">
        <f aca="false">IF(L1034=1,M1034+N1034-$B$29,M1034)</f>
        <v>1.04062110040104E-008</v>
      </c>
      <c r="P1034" s="56" t="n">
        <f aca="false">IF(L1034=1,IF($B$29&lt;=N1034,1,0),0)</f>
        <v>0</v>
      </c>
      <c r="Q1034" s="58" t="n">
        <f aca="false">Q1033+N1034</f>
        <v>215608.5191027</v>
      </c>
    </row>
    <row r="1035" customFormat="false" ht="15" hidden="false" customHeight="false" outlineLevel="0" collapsed="false">
      <c r="K1035" s="56" t="n">
        <f aca="false">K1034+1</f>
        <v>1028</v>
      </c>
      <c r="L1035" s="57" t="n">
        <f aca="false">IF(AND(K1035&lt;=Assumptions!$C$42,L1034=1,P1034=0,O1034&gt;Assumptions!$C$43),1,0)</f>
        <v>0</v>
      </c>
      <c r="M1035" s="58" t="n">
        <f aca="false">O1034</f>
        <v>1.04062110040104E-008</v>
      </c>
      <c r="N1035" s="58" t="n">
        <f aca="false">IF(L1035=1,M1035*$B$25,0)</f>
        <v>0</v>
      </c>
      <c r="O1035" s="58" t="n">
        <f aca="false">IF(L1035=1,M1035+N1035-$B$29,M1035)</f>
        <v>1.04062110040104E-008</v>
      </c>
      <c r="P1035" s="56" t="n">
        <f aca="false">IF(L1035=1,IF($B$29&lt;=N1035,1,0),0)</f>
        <v>0</v>
      </c>
      <c r="Q1035" s="58" t="n">
        <f aca="false">Q1034+N1035</f>
        <v>215608.5191027</v>
      </c>
    </row>
    <row r="1036" customFormat="false" ht="15" hidden="false" customHeight="false" outlineLevel="0" collapsed="false">
      <c r="K1036" s="56" t="n">
        <f aca="false">K1035+1</f>
        <v>1029</v>
      </c>
      <c r="L1036" s="57" t="n">
        <f aca="false">IF(AND(K1036&lt;=Assumptions!$C$42,L1035=1,P1035=0,O1035&gt;Assumptions!$C$43),1,0)</f>
        <v>0</v>
      </c>
      <c r="M1036" s="58" t="n">
        <f aca="false">O1035</f>
        <v>1.04062110040104E-008</v>
      </c>
      <c r="N1036" s="58" t="n">
        <f aca="false">IF(L1036=1,M1036*$B$25,0)</f>
        <v>0</v>
      </c>
      <c r="O1036" s="58" t="n">
        <f aca="false">IF(L1036=1,M1036+N1036-$B$29,M1036)</f>
        <v>1.04062110040104E-008</v>
      </c>
      <c r="P1036" s="56" t="n">
        <f aca="false">IF(L1036=1,IF($B$29&lt;=N1036,1,0),0)</f>
        <v>0</v>
      </c>
      <c r="Q1036" s="58" t="n">
        <f aca="false">Q1035+N1036</f>
        <v>215608.5191027</v>
      </c>
    </row>
    <row r="1037" customFormat="false" ht="15" hidden="false" customHeight="false" outlineLevel="0" collapsed="false">
      <c r="K1037" s="56" t="n">
        <f aca="false">K1036+1</f>
        <v>1030</v>
      </c>
      <c r="L1037" s="57" t="n">
        <f aca="false">IF(AND(K1037&lt;=Assumptions!$C$42,L1036=1,P1036=0,O1036&gt;Assumptions!$C$43),1,0)</f>
        <v>0</v>
      </c>
      <c r="M1037" s="58" t="n">
        <f aca="false">O1036</f>
        <v>1.04062110040104E-008</v>
      </c>
      <c r="N1037" s="58" t="n">
        <f aca="false">IF(L1037=1,M1037*$B$25,0)</f>
        <v>0</v>
      </c>
      <c r="O1037" s="58" t="n">
        <f aca="false">IF(L1037=1,M1037+N1037-$B$29,M1037)</f>
        <v>1.04062110040104E-008</v>
      </c>
      <c r="P1037" s="56" t="n">
        <f aca="false">IF(L1037=1,IF($B$29&lt;=N1037,1,0),0)</f>
        <v>0</v>
      </c>
      <c r="Q1037" s="58" t="n">
        <f aca="false">Q1036+N1037</f>
        <v>215608.5191027</v>
      </c>
    </row>
    <row r="1038" customFormat="false" ht="15" hidden="false" customHeight="false" outlineLevel="0" collapsed="false">
      <c r="K1038" s="56" t="n">
        <f aca="false">K1037+1</f>
        <v>1031</v>
      </c>
      <c r="L1038" s="57" t="n">
        <f aca="false">IF(AND(K1038&lt;=Assumptions!$C$42,L1037=1,P1037=0,O1037&gt;Assumptions!$C$43),1,0)</f>
        <v>0</v>
      </c>
      <c r="M1038" s="58" t="n">
        <f aca="false">O1037</f>
        <v>1.04062110040104E-008</v>
      </c>
      <c r="N1038" s="58" t="n">
        <f aca="false">IF(L1038=1,M1038*$B$25,0)</f>
        <v>0</v>
      </c>
      <c r="O1038" s="58" t="n">
        <f aca="false">IF(L1038=1,M1038+N1038-$B$29,M1038)</f>
        <v>1.04062110040104E-008</v>
      </c>
      <c r="P1038" s="56" t="n">
        <f aca="false">IF(L1038=1,IF($B$29&lt;=N1038,1,0),0)</f>
        <v>0</v>
      </c>
      <c r="Q1038" s="58" t="n">
        <f aca="false">Q1037+N1038</f>
        <v>215608.5191027</v>
      </c>
    </row>
    <row r="1039" customFormat="false" ht="15" hidden="false" customHeight="false" outlineLevel="0" collapsed="false">
      <c r="K1039" s="56" t="n">
        <f aca="false">K1038+1</f>
        <v>1032</v>
      </c>
      <c r="L1039" s="57" t="n">
        <f aca="false">IF(AND(K1039&lt;=Assumptions!$C$42,L1038=1,P1038=0,O1038&gt;Assumptions!$C$43),1,0)</f>
        <v>0</v>
      </c>
      <c r="M1039" s="58" t="n">
        <f aca="false">O1038</f>
        <v>1.04062110040104E-008</v>
      </c>
      <c r="N1039" s="58" t="n">
        <f aca="false">IF(L1039=1,M1039*$B$25,0)</f>
        <v>0</v>
      </c>
      <c r="O1039" s="58" t="n">
        <f aca="false">IF(L1039=1,M1039+N1039-$B$29,M1039)</f>
        <v>1.04062110040104E-008</v>
      </c>
      <c r="P1039" s="56" t="n">
        <f aca="false">IF(L1039=1,IF($B$29&lt;=N1039,1,0),0)</f>
        <v>0</v>
      </c>
      <c r="Q1039" s="58" t="n">
        <f aca="false">Q1038+N1039</f>
        <v>215608.5191027</v>
      </c>
    </row>
    <row r="1040" customFormat="false" ht="15" hidden="false" customHeight="false" outlineLevel="0" collapsed="false">
      <c r="K1040" s="56" t="n">
        <f aca="false">K1039+1</f>
        <v>1033</v>
      </c>
      <c r="L1040" s="57" t="n">
        <f aca="false">IF(AND(K1040&lt;=Assumptions!$C$42,L1039=1,P1039=0,O1039&gt;Assumptions!$C$43),1,0)</f>
        <v>0</v>
      </c>
      <c r="M1040" s="58" t="n">
        <f aca="false">O1039</f>
        <v>1.04062110040104E-008</v>
      </c>
      <c r="N1040" s="58" t="n">
        <f aca="false">IF(L1040=1,M1040*$B$25,0)</f>
        <v>0</v>
      </c>
      <c r="O1040" s="58" t="n">
        <f aca="false">IF(L1040=1,M1040+N1040-$B$29,M1040)</f>
        <v>1.04062110040104E-008</v>
      </c>
      <c r="P1040" s="56" t="n">
        <f aca="false">IF(L1040=1,IF($B$29&lt;=N1040,1,0),0)</f>
        <v>0</v>
      </c>
      <c r="Q1040" s="58" t="n">
        <f aca="false">Q1039+N1040</f>
        <v>215608.5191027</v>
      </c>
    </row>
    <row r="1041" customFormat="false" ht="15" hidden="false" customHeight="false" outlineLevel="0" collapsed="false">
      <c r="K1041" s="56" t="n">
        <f aca="false">K1040+1</f>
        <v>1034</v>
      </c>
      <c r="L1041" s="57" t="n">
        <f aca="false">IF(AND(K1041&lt;=Assumptions!$C$42,L1040=1,P1040=0,O1040&gt;Assumptions!$C$43),1,0)</f>
        <v>0</v>
      </c>
      <c r="M1041" s="58" t="n">
        <f aca="false">O1040</f>
        <v>1.04062110040104E-008</v>
      </c>
      <c r="N1041" s="58" t="n">
        <f aca="false">IF(L1041=1,M1041*$B$25,0)</f>
        <v>0</v>
      </c>
      <c r="O1041" s="58" t="n">
        <f aca="false">IF(L1041=1,M1041+N1041-$B$29,M1041)</f>
        <v>1.04062110040104E-008</v>
      </c>
      <c r="P1041" s="56" t="n">
        <f aca="false">IF(L1041=1,IF($B$29&lt;=N1041,1,0),0)</f>
        <v>0</v>
      </c>
      <c r="Q1041" s="58" t="n">
        <f aca="false">Q1040+N1041</f>
        <v>215608.5191027</v>
      </c>
    </row>
    <row r="1042" customFormat="false" ht="15" hidden="false" customHeight="false" outlineLevel="0" collapsed="false">
      <c r="K1042" s="56" t="n">
        <f aca="false">K1041+1</f>
        <v>1035</v>
      </c>
      <c r="L1042" s="57" t="n">
        <f aca="false">IF(AND(K1042&lt;=Assumptions!$C$42,L1041=1,P1041=0,O1041&gt;Assumptions!$C$43),1,0)</f>
        <v>0</v>
      </c>
      <c r="M1042" s="58" t="n">
        <f aca="false">O1041</f>
        <v>1.04062110040104E-008</v>
      </c>
      <c r="N1042" s="58" t="n">
        <f aca="false">IF(L1042=1,M1042*$B$25,0)</f>
        <v>0</v>
      </c>
      <c r="O1042" s="58" t="n">
        <f aca="false">IF(L1042=1,M1042+N1042-$B$29,M1042)</f>
        <v>1.04062110040104E-008</v>
      </c>
      <c r="P1042" s="56" t="n">
        <f aca="false">IF(L1042=1,IF($B$29&lt;=N1042,1,0),0)</f>
        <v>0</v>
      </c>
      <c r="Q1042" s="58" t="n">
        <f aca="false">Q1041+N1042</f>
        <v>215608.5191027</v>
      </c>
    </row>
    <row r="1043" customFormat="false" ht="15" hidden="false" customHeight="false" outlineLevel="0" collapsed="false">
      <c r="K1043" s="56" t="n">
        <f aca="false">K1042+1</f>
        <v>1036</v>
      </c>
      <c r="L1043" s="57" t="n">
        <f aca="false">IF(AND(K1043&lt;=Assumptions!$C$42,L1042=1,P1042=0,O1042&gt;Assumptions!$C$43),1,0)</f>
        <v>0</v>
      </c>
      <c r="M1043" s="58" t="n">
        <f aca="false">O1042</f>
        <v>1.04062110040104E-008</v>
      </c>
      <c r="N1043" s="58" t="n">
        <f aca="false">IF(L1043=1,M1043*$B$25,0)</f>
        <v>0</v>
      </c>
      <c r="O1043" s="58" t="n">
        <f aca="false">IF(L1043=1,M1043+N1043-$B$29,M1043)</f>
        <v>1.04062110040104E-008</v>
      </c>
      <c r="P1043" s="56" t="n">
        <f aca="false">IF(L1043=1,IF($B$29&lt;=N1043,1,0),0)</f>
        <v>0</v>
      </c>
      <c r="Q1043" s="58" t="n">
        <f aca="false">Q1042+N1043</f>
        <v>215608.5191027</v>
      </c>
    </row>
    <row r="1044" customFormat="false" ht="15" hidden="false" customHeight="false" outlineLevel="0" collapsed="false">
      <c r="K1044" s="56" t="n">
        <f aca="false">K1043+1</f>
        <v>1037</v>
      </c>
      <c r="L1044" s="57" t="n">
        <f aca="false">IF(AND(K1044&lt;=Assumptions!$C$42,L1043=1,P1043=0,O1043&gt;Assumptions!$C$43),1,0)</f>
        <v>0</v>
      </c>
      <c r="M1044" s="58" t="n">
        <f aca="false">O1043</f>
        <v>1.04062110040104E-008</v>
      </c>
      <c r="N1044" s="58" t="n">
        <f aca="false">IF(L1044=1,M1044*$B$25,0)</f>
        <v>0</v>
      </c>
      <c r="O1044" s="58" t="n">
        <f aca="false">IF(L1044=1,M1044+N1044-$B$29,M1044)</f>
        <v>1.04062110040104E-008</v>
      </c>
      <c r="P1044" s="56" t="n">
        <f aca="false">IF(L1044=1,IF($B$29&lt;=N1044,1,0),0)</f>
        <v>0</v>
      </c>
      <c r="Q1044" s="58" t="n">
        <f aca="false">Q1043+N1044</f>
        <v>215608.5191027</v>
      </c>
    </row>
    <row r="1045" customFormat="false" ht="15" hidden="false" customHeight="false" outlineLevel="0" collapsed="false">
      <c r="K1045" s="56" t="n">
        <f aca="false">K1044+1</f>
        <v>1038</v>
      </c>
      <c r="L1045" s="57" t="n">
        <f aca="false">IF(AND(K1045&lt;=Assumptions!$C$42,L1044=1,P1044=0,O1044&gt;Assumptions!$C$43),1,0)</f>
        <v>0</v>
      </c>
      <c r="M1045" s="58" t="n">
        <f aca="false">O1044</f>
        <v>1.04062110040104E-008</v>
      </c>
      <c r="N1045" s="58" t="n">
        <f aca="false">IF(L1045=1,M1045*$B$25,0)</f>
        <v>0</v>
      </c>
      <c r="O1045" s="58" t="n">
        <f aca="false">IF(L1045=1,M1045+N1045-$B$29,M1045)</f>
        <v>1.04062110040104E-008</v>
      </c>
      <c r="P1045" s="56" t="n">
        <f aca="false">IF(L1045=1,IF($B$29&lt;=N1045,1,0),0)</f>
        <v>0</v>
      </c>
      <c r="Q1045" s="58" t="n">
        <f aca="false">Q1044+N1045</f>
        <v>215608.5191027</v>
      </c>
    </row>
    <row r="1046" customFormat="false" ht="15" hidden="false" customHeight="false" outlineLevel="0" collapsed="false">
      <c r="K1046" s="56" t="n">
        <f aca="false">K1045+1</f>
        <v>1039</v>
      </c>
      <c r="L1046" s="57" t="n">
        <f aca="false">IF(AND(K1046&lt;=Assumptions!$C$42,L1045=1,P1045=0,O1045&gt;Assumptions!$C$43),1,0)</f>
        <v>0</v>
      </c>
      <c r="M1046" s="58" t="n">
        <f aca="false">O1045</f>
        <v>1.04062110040104E-008</v>
      </c>
      <c r="N1046" s="58" t="n">
        <f aca="false">IF(L1046=1,M1046*$B$25,0)</f>
        <v>0</v>
      </c>
      <c r="O1046" s="58" t="n">
        <f aca="false">IF(L1046=1,M1046+N1046-$B$29,M1046)</f>
        <v>1.04062110040104E-008</v>
      </c>
      <c r="P1046" s="56" t="n">
        <f aca="false">IF(L1046=1,IF($B$29&lt;=N1046,1,0),0)</f>
        <v>0</v>
      </c>
      <c r="Q1046" s="58" t="n">
        <f aca="false">Q1045+N1046</f>
        <v>215608.5191027</v>
      </c>
    </row>
    <row r="1047" customFormat="false" ht="15" hidden="false" customHeight="false" outlineLevel="0" collapsed="false">
      <c r="K1047" s="56" t="n">
        <f aca="false">K1046+1</f>
        <v>1040</v>
      </c>
      <c r="L1047" s="57" t="n">
        <f aca="false">IF(AND(K1047&lt;=Assumptions!$C$42,L1046=1,P1046=0,O1046&gt;Assumptions!$C$43),1,0)</f>
        <v>0</v>
      </c>
      <c r="M1047" s="58" t="n">
        <f aca="false">O1046</f>
        <v>1.04062110040104E-008</v>
      </c>
      <c r="N1047" s="58" t="n">
        <f aca="false">IF(L1047=1,M1047*$B$25,0)</f>
        <v>0</v>
      </c>
      <c r="O1047" s="58" t="n">
        <f aca="false">IF(L1047=1,M1047+N1047-$B$29,M1047)</f>
        <v>1.04062110040104E-008</v>
      </c>
      <c r="P1047" s="56" t="n">
        <f aca="false">IF(L1047=1,IF($B$29&lt;=N1047,1,0),0)</f>
        <v>0</v>
      </c>
      <c r="Q1047" s="58" t="n">
        <f aca="false">Q1046+N1047</f>
        <v>215608.5191027</v>
      </c>
    </row>
    <row r="1048" customFormat="false" ht="15" hidden="false" customHeight="false" outlineLevel="0" collapsed="false">
      <c r="K1048" s="56" t="n">
        <f aca="false">K1047+1</f>
        <v>1041</v>
      </c>
      <c r="L1048" s="57" t="n">
        <f aca="false">IF(AND(K1048&lt;=Assumptions!$C$42,L1047=1,P1047=0,O1047&gt;Assumptions!$C$43),1,0)</f>
        <v>0</v>
      </c>
      <c r="M1048" s="58" t="n">
        <f aca="false">O1047</f>
        <v>1.04062110040104E-008</v>
      </c>
      <c r="N1048" s="58" t="n">
        <f aca="false">IF(L1048=1,M1048*$B$25,0)</f>
        <v>0</v>
      </c>
      <c r="O1048" s="58" t="n">
        <f aca="false">IF(L1048=1,M1048+N1048-$B$29,M1048)</f>
        <v>1.04062110040104E-008</v>
      </c>
      <c r="P1048" s="56" t="n">
        <f aca="false">IF(L1048=1,IF($B$29&lt;=N1048,1,0),0)</f>
        <v>0</v>
      </c>
      <c r="Q1048" s="58" t="n">
        <f aca="false">Q1047+N1048</f>
        <v>215608.5191027</v>
      </c>
    </row>
    <row r="1049" customFormat="false" ht="15" hidden="false" customHeight="false" outlineLevel="0" collapsed="false">
      <c r="K1049" s="56" t="n">
        <f aca="false">K1048+1</f>
        <v>1042</v>
      </c>
      <c r="L1049" s="57" t="n">
        <f aca="false">IF(AND(K1049&lt;=Assumptions!$C$42,L1048=1,P1048=0,O1048&gt;Assumptions!$C$43),1,0)</f>
        <v>0</v>
      </c>
      <c r="M1049" s="58" t="n">
        <f aca="false">O1048</f>
        <v>1.04062110040104E-008</v>
      </c>
      <c r="N1049" s="58" t="n">
        <f aca="false">IF(L1049=1,M1049*$B$25,0)</f>
        <v>0</v>
      </c>
      <c r="O1049" s="58" t="n">
        <f aca="false">IF(L1049=1,M1049+N1049-$B$29,M1049)</f>
        <v>1.04062110040104E-008</v>
      </c>
      <c r="P1049" s="56" t="n">
        <f aca="false">IF(L1049=1,IF($B$29&lt;=N1049,1,0),0)</f>
        <v>0</v>
      </c>
      <c r="Q1049" s="58" t="n">
        <f aca="false">Q1048+N1049</f>
        <v>215608.5191027</v>
      </c>
    </row>
    <row r="1050" customFormat="false" ht="15" hidden="false" customHeight="false" outlineLevel="0" collapsed="false">
      <c r="K1050" s="56" t="n">
        <f aca="false">K1049+1</f>
        <v>1043</v>
      </c>
      <c r="L1050" s="57" t="n">
        <f aca="false">IF(AND(K1050&lt;=Assumptions!$C$42,L1049=1,P1049=0,O1049&gt;Assumptions!$C$43),1,0)</f>
        <v>0</v>
      </c>
      <c r="M1050" s="58" t="n">
        <f aca="false">O1049</f>
        <v>1.04062110040104E-008</v>
      </c>
      <c r="N1050" s="58" t="n">
        <f aca="false">IF(L1050=1,M1050*$B$25,0)</f>
        <v>0</v>
      </c>
      <c r="O1050" s="58" t="n">
        <f aca="false">IF(L1050=1,M1050+N1050-$B$29,M1050)</f>
        <v>1.04062110040104E-008</v>
      </c>
      <c r="P1050" s="56" t="n">
        <f aca="false">IF(L1050=1,IF($B$29&lt;=N1050,1,0),0)</f>
        <v>0</v>
      </c>
      <c r="Q1050" s="58" t="n">
        <f aca="false">Q1049+N1050</f>
        <v>215608.5191027</v>
      </c>
    </row>
    <row r="1051" customFormat="false" ht="15" hidden="false" customHeight="false" outlineLevel="0" collapsed="false">
      <c r="K1051" s="56" t="n">
        <f aca="false">K1050+1</f>
        <v>1044</v>
      </c>
      <c r="L1051" s="57" t="n">
        <f aca="false">IF(AND(K1051&lt;=Assumptions!$C$42,L1050=1,P1050=0,O1050&gt;Assumptions!$C$43),1,0)</f>
        <v>0</v>
      </c>
      <c r="M1051" s="58" t="n">
        <f aca="false">O1050</f>
        <v>1.04062110040104E-008</v>
      </c>
      <c r="N1051" s="58" t="n">
        <f aca="false">IF(L1051=1,M1051*$B$25,0)</f>
        <v>0</v>
      </c>
      <c r="O1051" s="58" t="n">
        <f aca="false">IF(L1051=1,M1051+N1051-$B$29,M1051)</f>
        <v>1.04062110040104E-008</v>
      </c>
      <c r="P1051" s="56" t="n">
        <f aca="false">IF(L1051=1,IF($B$29&lt;=N1051,1,0),0)</f>
        <v>0</v>
      </c>
      <c r="Q1051" s="58" t="n">
        <f aca="false">Q1050+N1051</f>
        <v>215608.5191027</v>
      </c>
    </row>
    <row r="1052" customFormat="false" ht="15" hidden="false" customHeight="false" outlineLevel="0" collapsed="false">
      <c r="K1052" s="56" t="n">
        <f aca="false">K1051+1</f>
        <v>1045</v>
      </c>
      <c r="L1052" s="57" t="n">
        <f aca="false">IF(AND(K1052&lt;=Assumptions!$C$42,L1051=1,P1051=0,O1051&gt;Assumptions!$C$43),1,0)</f>
        <v>0</v>
      </c>
      <c r="M1052" s="58" t="n">
        <f aca="false">O1051</f>
        <v>1.04062110040104E-008</v>
      </c>
      <c r="N1052" s="58" t="n">
        <f aca="false">IF(L1052=1,M1052*$B$25,0)</f>
        <v>0</v>
      </c>
      <c r="O1052" s="58" t="n">
        <f aca="false">IF(L1052=1,M1052+N1052-$B$29,M1052)</f>
        <v>1.04062110040104E-008</v>
      </c>
      <c r="P1052" s="56" t="n">
        <f aca="false">IF(L1052=1,IF($B$29&lt;=N1052,1,0),0)</f>
        <v>0</v>
      </c>
      <c r="Q1052" s="58" t="n">
        <f aca="false">Q1051+N1052</f>
        <v>215608.5191027</v>
      </c>
    </row>
    <row r="1053" customFormat="false" ht="15" hidden="false" customHeight="false" outlineLevel="0" collapsed="false">
      <c r="K1053" s="56" t="n">
        <f aca="false">K1052+1</f>
        <v>1046</v>
      </c>
      <c r="L1053" s="57" t="n">
        <f aca="false">IF(AND(K1053&lt;=Assumptions!$C$42,L1052=1,P1052=0,O1052&gt;Assumptions!$C$43),1,0)</f>
        <v>0</v>
      </c>
      <c r="M1053" s="58" t="n">
        <f aca="false">O1052</f>
        <v>1.04062110040104E-008</v>
      </c>
      <c r="N1053" s="58" t="n">
        <f aca="false">IF(L1053=1,M1053*$B$25,0)</f>
        <v>0</v>
      </c>
      <c r="O1053" s="58" t="n">
        <f aca="false">IF(L1053=1,M1053+N1053-$B$29,M1053)</f>
        <v>1.04062110040104E-008</v>
      </c>
      <c r="P1053" s="56" t="n">
        <f aca="false">IF(L1053=1,IF($B$29&lt;=N1053,1,0),0)</f>
        <v>0</v>
      </c>
      <c r="Q1053" s="58" t="n">
        <f aca="false">Q1052+N1053</f>
        <v>215608.5191027</v>
      </c>
    </row>
    <row r="1054" customFormat="false" ht="15" hidden="false" customHeight="false" outlineLevel="0" collapsed="false">
      <c r="K1054" s="56" t="n">
        <f aca="false">K1053+1</f>
        <v>1047</v>
      </c>
      <c r="L1054" s="57" t="n">
        <f aca="false">IF(AND(K1054&lt;=Assumptions!$C$42,L1053=1,P1053=0,O1053&gt;Assumptions!$C$43),1,0)</f>
        <v>0</v>
      </c>
      <c r="M1054" s="58" t="n">
        <f aca="false">O1053</f>
        <v>1.04062110040104E-008</v>
      </c>
      <c r="N1054" s="58" t="n">
        <f aca="false">IF(L1054=1,M1054*$B$25,0)</f>
        <v>0</v>
      </c>
      <c r="O1054" s="58" t="n">
        <f aca="false">IF(L1054=1,M1054+N1054-$B$29,M1054)</f>
        <v>1.04062110040104E-008</v>
      </c>
      <c r="P1054" s="56" t="n">
        <f aca="false">IF(L1054=1,IF($B$29&lt;=N1054,1,0),0)</f>
        <v>0</v>
      </c>
      <c r="Q1054" s="58" t="n">
        <f aca="false">Q1053+N1054</f>
        <v>215608.5191027</v>
      </c>
    </row>
    <row r="1055" customFormat="false" ht="15" hidden="false" customHeight="false" outlineLevel="0" collapsed="false">
      <c r="K1055" s="56" t="n">
        <f aca="false">K1054+1</f>
        <v>1048</v>
      </c>
      <c r="L1055" s="57" t="n">
        <f aca="false">IF(AND(K1055&lt;=Assumptions!$C$42,L1054=1,P1054=0,O1054&gt;Assumptions!$C$43),1,0)</f>
        <v>0</v>
      </c>
      <c r="M1055" s="58" t="n">
        <f aca="false">O1054</f>
        <v>1.04062110040104E-008</v>
      </c>
      <c r="N1055" s="58" t="n">
        <f aca="false">IF(L1055=1,M1055*$B$25,0)</f>
        <v>0</v>
      </c>
      <c r="O1055" s="58" t="n">
        <f aca="false">IF(L1055=1,M1055+N1055-$B$29,M1055)</f>
        <v>1.04062110040104E-008</v>
      </c>
      <c r="P1055" s="56" t="n">
        <f aca="false">IF(L1055=1,IF($B$29&lt;=N1055,1,0),0)</f>
        <v>0</v>
      </c>
      <c r="Q1055" s="58" t="n">
        <f aca="false">Q1054+N1055</f>
        <v>215608.5191027</v>
      </c>
    </row>
    <row r="1056" customFormat="false" ht="15" hidden="false" customHeight="false" outlineLevel="0" collapsed="false">
      <c r="K1056" s="56" t="n">
        <f aca="false">K1055+1</f>
        <v>1049</v>
      </c>
      <c r="L1056" s="57" t="n">
        <f aca="false">IF(AND(K1056&lt;=Assumptions!$C$42,L1055=1,P1055=0,O1055&gt;Assumptions!$C$43),1,0)</f>
        <v>0</v>
      </c>
      <c r="M1056" s="58" t="n">
        <f aca="false">O1055</f>
        <v>1.04062110040104E-008</v>
      </c>
      <c r="N1056" s="58" t="n">
        <f aca="false">IF(L1056=1,M1056*$B$25,0)</f>
        <v>0</v>
      </c>
      <c r="O1056" s="58" t="n">
        <f aca="false">IF(L1056=1,M1056+N1056-$B$29,M1056)</f>
        <v>1.04062110040104E-008</v>
      </c>
      <c r="P1056" s="56" t="n">
        <f aca="false">IF(L1056=1,IF($B$29&lt;=N1056,1,0),0)</f>
        <v>0</v>
      </c>
      <c r="Q1056" s="58" t="n">
        <f aca="false">Q1055+N1056</f>
        <v>215608.5191027</v>
      </c>
    </row>
    <row r="1057" customFormat="false" ht="15" hidden="false" customHeight="false" outlineLevel="0" collapsed="false">
      <c r="K1057" s="56" t="n">
        <f aca="false">K1056+1</f>
        <v>1050</v>
      </c>
      <c r="L1057" s="57" t="n">
        <f aca="false">IF(AND(K1057&lt;=Assumptions!$C$42,L1056=1,P1056=0,O1056&gt;Assumptions!$C$43),1,0)</f>
        <v>0</v>
      </c>
      <c r="M1057" s="58" t="n">
        <f aca="false">O1056</f>
        <v>1.04062110040104E-008</v>
      </c>
      <c r="N1057" s="58" t="n">
        <f aca="false">IF(L1057=1,M1057*$B$25,0)</f>
        <v>0</v>
      </c>
      <c r="O1057" s="58" t="n">
        <f aca="false">IF(L1057=1,M1057+N1057-$B$29,M1057)</f>
        <v>1.04062110040104E-008</v>
      </c>
      <c r="P1057" s="56" t="n">
        <f aca="false">IF(L1057=1,IF($B$29&lt;=N1057,1,0),0)</f>
        <v>0</v>
      </c>
      <c r="Q1057" s="58" t="n">
        <f aca="false">Q1056+N1057</f>
        <v>215608.5191027</v>
      </c>
    </row>
    <row r="1058" customFormat="false" ht="15" hidden="false" customHeight="false" outlineLevel="0" collapsed="false">
      <c r="K1058" s="56" t="n">
        <f aca="false">K1057+1</f>
        <v>1051</v>
      </c>
      <c r="L1058" s="57" t="n">
        <f aca="false">IF(AND(K1058&lt;=Assumptions!$C$42,L1057=1,P1057=0,O1057&gt;Assumptions!$C$43),1,0)</f>
        <v>0</v>
      </c>
      <c r="M1058" s="58" t="n">
        <f aca="false">O1057</f>
        <v>1.04062110040104E-008</v>
      </c>
      <c r="N1058" s="58" t="n">
        <f aca="false">IF(L1058=1,M1058*$B$25,0)</f>
        <v>0</v>
      </c>
      <c r="O1058" s="58" t="n">
        <f aca="false">IF(L1058=1,M1058+N1058-$B$29,M1058)</f>
        <v>1.04062110040104E-008</v>
      </c>
      <c r="P1058" s="56" t="n">
        <f aca="false">IF(L1058=1,IF($B$29&lt;=N1058,1,0),0)</f>
        <v>0</v>
      </c>
      <c r="Q1058" s="58" t="n">
        <f aca="false">Q1057+N1058</f>
        <v>215608.5191027</v>
      </c>
    </row>
    <row r="1059" customFormat="false" ht="15" hidden="false" customHeight="false" outlineLevel="0" collapsed="false">
      <c r="K1059" s="56" t="n">
        <f aca="false">K1058+1</f>
        <v>1052</v>
      </c>
      <c r="L1059" s="57" t="n">
        <f aca="false">IF(AND(K1059&lt;=Assumptions!$C$42,L1058=1,P1058=0,O1058&gt;Assumptions!$C$43),1,0)</f>
        <v>0</v>
      </c>
      <c r="M1059" s="58" t="n">
        <f aca="false">O1058</f>
        <v>1.04062110040104E-008</v>
      </c>
      <c r="N1059" s="58" t="n">
        <f aca="false">IF(L1059=1,M1059*$B$25,0)</f>
        <v>0</v>
      </c>
      <c r="O1059" s="58" t="n">
        <f aca="false">IF(L1059=1,M1059+N1059-$B$29,M1059)</f>
        <v>1.04062110040104E-008</v>
      </c>
      <c r="P1059" s="56" t="n">
        <f aca="false">IF(L1059=1,IF($B$29&lt;=N1059,1,0),0)</f>
        <v>0</v>
      </c>
      <c r="Q1059" s="58" t="n">
        <f aca="false">Q1058+N1059</f>
        <v>215608.5191027</v>
      </c>
    </row>
    <row r="1060" customFormat="false" ht="15" hidden="false" customHeight="false" outlineLevel="0" collapsed="false">
      <c r="K1060" s="56" t="n">
        <f aca="false">K1059+1</f>
        <v>1053</v>
      </c>
      <c r="L1060" s="57" t="n">
        <f aca="false">IF(AND(K1060&lt;=Assumptions!$C$42,L1059=1,P1059=0,O1059&gt;Assumptions!$C$43),1,0)</f>
        <v>0</v>
      </c>
      <c r="M1060" s="58" t="n">
        <f aca="false">O1059</f>
        <v>1.04062110040104E-008</v>
      </c>
      <c r="N1060" s="58" t="n">
        <f aca="false">IF(L1060=1,M1060*$B$25,0)</f>
        <v>0</v>
      </c>
      <c r="O1060" s="58" t="n">
        <f aca="false">IF(L1060=1,M1060+N1060-$B$29,M1060)</f>
        <v>1.04062110040104E-008</v>
      </c>
      <c r="P1060" s="56" t="n">
        <f aca="false">IF(L1060=1,IF($B$29&lt;=N1060,1,0),0)</f>
        <v>0</v>
      </c>
      <c r="Q1060" s="58" t="n">
        <f aca="false">Q1059+N1060</f>
        <v>215608.5191027</v>
      </c>
    </row>
    <row r="1061" customFormat="false" ht="15" hidden="false" customHeight="false" outlineLevel="0" collapsed="false">
      <c r="K1061" s="56" t="n">
        <f aca="false">K1060+1</f>
        <v>1054</v>
      </c>
      <c r="L1061" s="57" t="n">
        <f aca="false">IF(AND(K1061&lt;=Assumptions!$C$42,L1060=1,P1060=0,O1060&gt;Assumptions!$C$43),1,0)</f>
        <v>0</v>
      </c>
      <c r="M1061" s="58" t="n">
        <f aca="false">O1060</f>
        <v>1.04062110040104E-008</v>
      </c>
      <c r="N1061" s="58" t="n">
        <f aca="false">IF(L1061=1,M1061*$B$25,0)</f>
        <v>0</v>
      </c>
      <c r="O1061" s="58" t="n">
        <f aca="false">IF(L1061=1,M1061+N1061-$B$29,M1061)</f>
        <v>1.04062110040104E-008</v>
      </c>
      <c r="P1061" s="56" t="n">
        <f aca="false">IF(L1061=1,IF($B$29&lt;=N1061,1,0),0)</f>
        <v>0</v>
      </c>
      <c r="Q1061" s="58" t="n">
        <f aca="false">Q1060+N1061</f>
        <v>215608.5191027</v>
      </c>
    </row>
    <row r="1062" customFormat="false" ht="15" hidden="false" customHeight="false" outlineLevel="0" collapsed="false">
      <c r="K1062" s="56" t="n">
        <f aca="false">K1061+1</f>
        <v>1055</v>
      </c>
      <c r="L1062" s="57" t="n">
        <f aca="false">IF(AND(K1062&lt;=Assumptions!$C$42,L1061=1,P1061=0,O1061&gt;Assumptions!$C$43),1,0)</f>
        <v>0</v>
      </c>
      <c r="M1062" s="58" t="n">
        <f aca="false">O1061</f>
        <v>1.04062110040104E-008</v>
      </c>
      <c r="N1062" s="58" t="n">
        <f aca="false">IF(L1062=1,M1062*$B$25,0)</f>
        <v>0</v>
      </c>
      <c r="O1062" s="58" t="n">
        <f aca="false">IF(L1062=1,M1062+N1062-$B$29,M1062)</f>
        <v>1.04062110040104E-008</v>
      </c>
      <c r="P1062" s="56" t="n">
        <f aca="false">IF(L1062=1,IF($B$29&lt;=N1062,1,0),0)</f>
        <v>0</v>
      </c>
      <c r="Q1062" s="58" t="n">
        <f aca="false">Q1061+N1062</f>
        <v>215608.5191027</v>
      </c>
    </row>
    <row r="1063" customFormat="false" ht="15" hidden="false" customHeight="false" outlineLevel="0" collapsed="false">
      <c r="K1063" s="56" t="n">
        <f aca="false">K1062+1</f>
        <v>1056</v>
      </c>
      <c r="L1063" s="57" t="n">
        <f aca="false">IF(AND(K1063&lt;=Assumptions!$C$42,L1062=1,P1062=0,O1062&gt;Assumptions!$C$43),1,0)</f>
        <v>0</v>
      </c>
      <c r="M1063" s="58" t="n">
        <f aca="false">O1062</f>
        <v>1.04062110040104E-008</v>
      </c>
      <c r="N1063" s="58" t="n">
        <f aca="false">IF(L1063=1,M1063*$B$25,0)</f>
        <v>0</v>
      </c>
      <c r="O1063" s="58" t="n">
        <f aca="false">IF(L1063=1,M1063+N1063-$B$29,M1063)</f>
        <v>1.04062110040104E-008</v>
      </c>
      <c r="P1063" s="56" t="n">
        <f aca="false">IF(L1063=1,IF($B$29&lt;=N1063,1,0),0)</f>
        <v>0</v>
      </c>
      <c r="Q1063" s="58" t="n">
        <f aca="false">Q1062+N1063</f>
        <v>215608.5191027</v>
      </c>
    </row>
    <row r="1064" customFormat="false" ht="15" hidden="false" customHeight="false" outlineLevel="0" collapsed="false">
      <c r="K1064" s="56" t="n">
        <f aca="false">K1063+1</f>
        <v>1057</v>
      </c>
      <c r="L1064" s="57" t="n">
        <f aca="false">IF(AND(K1064&lt;=Assumptions!$C$42,L1063=1,P1063=0,O1063&gt;Assumptions!$C$43),1,0)</f>
        <v>0</v>
      </c>
      <c r="M1064" s="58" t="n">
        <f aca="false">O1063</f>
        <v>1.04062110040104E-008</v>
      </c>
      <c r="N1064" s="58" t="n">
        <f aca="false">IF(L1064=1,M1064*$B$25,0)</f>
        <v>0</v>
      </c>
      <c r="O1064" s="58" t="n">
        <f aca="false">IF(L1064=1,M1064+N1064-$B$29,M1064)</f>
        <v>1.04062110040104E-008</v>
      </c>
      <c r="P1064" s="56" t="n">
        <f aca="false">IF(L1064=1,IF($B$29&lt;=N1064,1,0),0)</f>
        <v>0</v>
      </c>
      <c r="Q1064" s="58" t="n">
        <f aca="false">Q1063+N1064</f>
        <v>215608.5191027</v>
      </c>
    </row>
    <row r="1065" customFormat="false" ht="15" hidden="false" customHeight="false" outlineLevel="0" collapsed="false">
      <c r="K1065" s="56" t="n">
        <f aca="false">K1064+1</f>
        <v>1058</v>
      </c>
      <c r="L1065" s="57" t="n">
        <f aca="false">IF(AND(K1065&lt;=Assumptions!$C$42,L1064=1,P1064=0,O1064&gt;Assumptions!$C$43),1,0)</f>
        <v>0</v>
      </c>
      <c r="M1065" s="58" t="n">
        <f aca="false">O1064</f>
        <v>1.04062110040104E-008</v>
      </c>
      <c r="N1065" s="58" t="n">
        <f aca="false">IF(L1065=1,M1065*$B$25,0)</f>
        <v>0</v>
      </c>
      <c r="O1065" s="58" t="n">
        <f aca="false">IF(L1065=1,M1065+N1065-$B$29,M1065)</f>
        <v>1.04062110040104E-008</v>
      </c>
      <c r="P1065" s="56" t="n">
        <f aca="false">IF(L1065=1,IF($B$29&lt;=N1065,1,0),0)</f>
        <v>0</v>
      </c>
      <c r="Q1065" s="58" t="n">
        <f aca="false">Q1064+N1065</f>
        <v>215608.5191027</v>
      </c>
    </row>
    <row r="1066" customFormat="false" ht="15" hidden="false" customHeight="false" outlineLevel="0" collapsed="false">
      <c r="K1066" s="56" t="n">
        <f aca="false">K1065+1</f>
        <v>1059</v>
      </c>
      <c r="L1066" s="57" t="n">
        <f aca="false">IF(AND(K1066&lt;=Assumptions!$C$42,L1065=1,P1065=0,O1065&gt;Assumptions!$C$43),1,0)</f>
        <v>0</v>
      </c>
      <c r="M1066" s="58" t="n">
        <f aca="false">O1065</f>
        <v>1.04062110040104E-008</v>
      </c>
      <c r="N1066" s="58" t="n">
        <f aca="false">IF(L1066=1,M1066*$B$25,0)</f>
        <v>0</v>
      </c>
      <c r="O1066" s="58" t="n">
        <f aca="false">IF(L1066=1,M1066+N1066-$B$29,M1066)</f>
        <v>1.04062110040104E-008</v>
      </c>
      <c r="P1066" s="56" t="n">
        <f aca="false">IF(L1066=1,IF($B$29&lt;=N1066,1,0),0)</f>
        <v>0</v>
      </c>
      <c r="Q1066" s="58" t="n">
        <f aca="false">Q1065+N1066</f>
        <v>215608.5191027</v>
      </c>
    </row>
    <row r="1067" customFormat="false" ht="15" hidden="false" customHeight="false" outlineLevel="0" collapsed="false">
      <c r="K1067" s="56" t="n">
        <f aca="false">K1066+1</f>
        <v>1060</v>
      </c>
      <c r="L1067" s="57" t="n">
        <f aca="false">IF(AND(K1067&lt;=Assumptions!$C$42,L1066=1,P1066=0,O1066&gt;Assumptions!$C$43),1,0)</f>
        <v>0</v>
      </c>
      <c r="M1067" s="58" t="n">
        <f aca="false">O1066</f>
        <v>1.04062110040104E-008</v>
      </c>
      <c r="N1067" s="58" t="n">
        <f aca="false">IF(L1067=1,M1067*$B$25,0)</f>
        <v>0</v>
      </c>
      <c r="O1067" s="58" t="n">
        <f aca="false">IF(L1067=1,M1067+N1067-$B$29,M1067)</f>
        <v>1.04062110040104E-008</v>
      </c>
      <c r="P1067" s="56" t="n">
        <f aca="false">IF(L1067=1,IF($B$29&lt;=N1067,1,0),0)</f>
        <v>0</v>
      </c>
      <c r="Q1067" s="58" t="n">
        <f aca="false">Q1066+N1067</f>
        <v>215608.5191027</v>
      </c>
    </row>
    <row r="1068" customFormat="false" ht="15" hidden="false" customHeight="false" outlineLevel="0" collapsed="false">
      <c r="K1068" s="56" t="n">
        <f aca="false">K1067+1</f>
        <v>1061</v>
      </c>
      <c r="L1068" s="57" t="n">
        <f aca="false">IF(AND(K1068&lt;=Assumptions!$C$42,L1067=1,P1067=0,O1067&gt;Assumptions!$C$43),1,0)</f>
        <v>0</v>
      </c>
      <c r="M1068" s="58" t="n">
        <f aca="false">O1067</f>
        <v>1.04062110040104E-008</v>
      </c>
      <c r="N1068" s="58" t="n">
        <f aca="false">IF(L1068=1,M1068*$B$25,0)</f>
        <v>0</v>
      </c>
      <c r="O1068" s="58" t="n">
        <f aca="false">IF(L1068=1,M1068+N1068-$B$29,M1068)</f>
        <v>1.04062110040104E-008</v>
      </c>
      <c r="P1068" s="56" t="n">
        <f aca="false">IF(L1068=1,IF($B$29&lt;=N1068,1,0),0)</f>
        <v>0</v>
      </c>
      <c r="Q1068" s="58" t="n">
        <f aca="false">Q1067+N1068</f>
        <v>215608.5191027</v>
      </c>
    </row>
    <row r="1069" customFormat="false" ht="15" hidden="false" customHeight="false" outlineLevel="0" collapsed="false">
      <c r="K1069" s="56" t="n">
        <f aca="false">K1068+1</f>
        <v>1062</v>
      </c>
      <c r="L1069" s="57" t="n">
        <f aca="false">IF(AND(K1069&lt;=Assumptions!$C$42,L1068=1,P1068=0,O1068&gt;Assumptions!$C$43),1,0)</f>
        <v>0</v>
      </c>
      <c r="M1069" s="58" t="n">
        <f aca="false">O1068</f>
        <v>1.04062110040104E-008</v>
      </c>
      <c r="N1069" s="58" t="n">
        <f aca="false">IF(L1069=1,M1069*$B$25,0)</f>
        <v>0</v>
      </c>
      <c r="O1069" s="58" t="n">
        <f aca="false">IF(L1069=1,M1069+N1069-$B$29,M1069)</f>
        <v>1.04062110040104E-008</v>
      </c>
      <c r="P1069" s="56" t="n">
        <f aca="false">IF(L1069=1,IF($B$29&lt;=N1069,1,0),0)</f>
        <v>0</v>
      </c>
      <c r="Q1069" s="58" t="n">
        <f aca="false">Q1068+N1069</f>
        <v>215608.5191027</v>
      </c>
    </row>
    <row r="1070" customFormat="false" ht="15" hidden="false" customHeight="false" outlineLevel="0" collapsed="false">
      <c r="K1070" s="56" t="n">
        <f aca="false">K1069+1</f>
        <v>1063</v>
      </c>
      <c r="L1070" s="57" t="n">
        <f aca="false">IF(AND(K1070&lt;=Assumptions!$C$42,L1069=1,P1069=0,O1069&gt;Assumptions!$C$43),1,0)</f>
        <v>0</v>
      </c>
      <c r="M1070" s="58" t="n">
        <f aca="false">O1069</f>
        <v>1.04062110040104E-008</v>
      </c>
      <c r="N1070" s="58" t="n">
        <f aca="false">IF(L1070=1,M1070*$B$25,0)</f>
        <v>0</v>
      </c>
      <c r="O1070" s="58" t="n">
        <f aca="false">IF(L1070=1,M1070+N1070-$B$29,M1070)</f>
        <v>1.04062110040104E-008</v>
      </c>
      <c r="P1070" s="56" t="n">
        <f aca="false">IF(L1070=1,IF($B$29&lt;=N1070,1,0),0)</f>
        <v>0</v>
      </c>
      <c r="Q1070" s="58" t="n">
        <f aca="false">Q1069+N1070</f>
        <v>215608.5191027</v>
      </c>
    </row>
    <row r="1071" customFormat="false" ht="15" hidden="false" customHeight="false" outlineLevel="0" collapsed="false">
      <c r="K1071" s="56" t="n">
        <f aca="false">K1070+1</f>
        <v>1064</v>
      </c>
      <c r="L1071" s="57" t="n">
        <f aca="false">IF(AND(K1071&lt;=Assumptions!$C$42,L1070=1,P1070=0,O1070&gt;Assumptions!$C$43),1,0)</f>
        <v>0</v>
      </c>
      <c r="M1071" s="58" t="n">
        <f aca="false">O1070</f>
        <v>1.04062110040104E-008</v>
      </c>
      <c r="N1071" s="58" t="n">
        <f aca="false">IF(L1071=1,M1071*$B$25,0)</f>
        <v>0</v>
      </c>
      <c r="O1071" s="58" t="n">
        <f aca="false">IF(L1071=1,M1071+N1071-$B$29,M1071)</f>
        <v>1.04062110040104E-008</v>
      </c>
      <c r="P1071" s="56" t="n">
        <f aca="false">IF(L1071=1,IF($B$29&lt;=N1071,1,0),0)</f>
        <v>0</v>
      </c>
      <c r="Q1071" s="58" t="n">
        <f aca="false">Q1070+N1071</f>
        <v>215608.5191027</v>
      </c>
    </row>
    <row r="1072" customFormat="false" ht="15" hidden="false" customHeight="false" outlineLevel="0" collapsed="false">
      <c r="K1072" s="56" t="n">
        <f aca="false">K1071+1</f>
        <v>1065</v>
      </c>
      <c r="L1072" s="57" t="n">
        <f aca="false">IF(AND(K1072&lt;=Assumptions!$C$42,L1071=1,P1071=0,O1071&gt;Assumptions!$C$43),1,0)</f>
        <v>0</v>
      </c>
      <c r="M1072" s="58" t="n">
        <f aca="false">O1071</f>
        <v>1.04062110040104E-008</v>
      </c>
      <c r="N1072" s="58" t="n">
        <f aca="false">IF(L1072=1,M1072*$B$25,0)</f>
        <v>0</v>
      </c>
      <c r="O1072" s="58" t="n">
        <f aca="false">IF(L1072=1,M1072+N1072-$B$29,M1072)</f>
        <v>1.04062110040104E-008</v>
      </c>
      <c r="P1072" s="56" t="n">
        <f aca="false">IF(L1072=1,IF($B$29&lt;=N1072,1,0),0)</f>
        <v>0</v>
      </c>
      <c r="Q1072" s="58" t="n">
        <f aca="false">Q1071+N1072</f>
        <v>215608.5191027</v>
      </c>
    </row>
    <row r="1073" customFormat="false" ht="15" hidden="false" customHeight="false" outlineLevel="0" collapsed="false">
      <c r="K1073" s="56" t="n">
        <f aca="false">K1072+1</f>
        <v>1066</v>
      </c>
      <c r="L1073" s="57" t="n">
        <f aca="false">IF(AND(K1073&lt;=Assumptions!$C$42,L1072=1,P1072=0,O1072&gt;Assumptions!$C$43),1,0)</f>
        <v>0</v>
      </c>
      <c r="M1073" s="58" t="n">
        <f aca="false">O1072</f>
        <v>1.04062110040104E-008</v>
      </c>
      <c r="N1073" s="58" t="n">
        <f aca="false">IF(L1073=1,M1073*$B$25,0)</f>
        <v>0</v>
      </c>
      <c r="O1073" s="58" t="n">
        <f aca="false">IF(L1073=1,M1073+N1073-$B$29,M1073)</f>
        <v>1.04062110040104E-008</v>
      </c>
      <c r="P1073" s="56" t="n">
        <f aca="false">IF(L1073=1,IF($B$29&lt;=N1073,1,0),0)</f>
        <v>0</v>
      </c>
      <c r="Q1073" s="58" t="n">
        <f aca="false">Q1072+N1073</f>
        <v>215608.5191027</v>
      </c>
    </row>
    <row r="1074" customFormat="false" ht="15" hidden="false" customHeight="false" outlineLevel="0" collapsed="false">
      <c r="K1074" s="56" t="n">
        <f aca="false">K1073+1</f>
        <v>1067</v>
      </c>
      <c r="L1074" s="57" t="n">
        <f aca="false">IF(AND(K1074&lt;=Assumptions!$C$42,L1073=1,P1073=0,O1073&gt;Assumptions!$C$43),1,0)</f>
        <v>0</v>
      </c>
      <c r="M1074" s="58" t="n">
        <f aca="false">O1073</f>
        <v>1.04062110040104E-008</v>
      </c>
      <c r="N1074" s="58" t="n">
        <f aca="false">IF(L1074=1,M1074*$B$25,0)</f>
        <v>0</v>
      </c>
      <c r="O1074" s="58" t="n">
        <f aca="false">IF(L1074=1,M1074+N1074-$B$29,M1074)</f>
        <v>1.04062110040104E-008</v>
      </c>
      <c r="P1074" s="56" t="n">
        <f aca="false">IF(L1074=1,IF($B$29&lt;=N1074,1,0),0)</f>
        <v>0</v>
      </c>
      <c r="Q1074" s="58" t="n">
        <f aca="false">Q1073+N1074</f>
        <v>215608.5191027</v>
      </c>
    </row>
    <row r="1075" customFormat="false" ht="15" hidden="false" customHeight="false" outlineLevel="0" collapsed="false">
      <c r="K1075" s="56" t="n">
        <f aca="false">K1074+1</f>
        <v>1068</v>
      </c>
      <c r="L1075" s="57" t="n">
        <f aca="false">IF(AND(K1075&lt;=Assumptions!$C$42,L1074=1,P1074=0,O1074&gt;Assumptions!$C$43),1,0)</f>
        <v>0</v>
      </c>
      <c r="M1075" s="58" t="n">
        <f aca="false">O1074</f>
        <v>1.04062110040104E-008</v>
      </c>
      <c r="N1075" s="58" t="n">
        <f aca="false">IF(L1075=1,M1075*$B$25,0)</f>
        <v>0</v>
      </c>
      <c r="O1075" s="58" t="n">
        <f aca="false">IF(L1075=1,M1075+N1075-$B$29,M1075)</f>
        <v>1.04062110040104E-008</v>
      </c>
      <c r="P1075" s="56" t="n">
        <f aca="false">IF(L1075=1,IF($B$29&lt;=N1075,1,0),0)</f>
        <v>0</v>
      </c>
      <c r="Q1075" s="58" t="n">
        <f aca="false">Q1074+N1075</f>
        <v>215608.5191027</v>
      </c>
    </row>
    <row r="1076" customFormat="false" ht="15" hidden="false" customHeight="false" outlineLevel="0" collapsed="false">
      <c r="K1076" s="56" t="n">
        <f aca="false">K1075+1</f>
        <v>1069</v>
      </c>
      <c r="L1076" s="57" t="n">
        <f aca="false">IF(AND(K1076&lt;=Assumptions!$C$42,L1075=1,P1075=0,O1075&gt;Assumptions!$C$43),1,0)</f>
        <v>0</v>
      </c>
      <c r="M1076" s="58" t="n">
        <f aca="false">O1075</f>
        <v>1.04062110040104E-008</v>
      </c>
      <c r="N1076" s="58" t="n">
        <f aca="false">IF(L1076=1,M1076*$B$25,0)</f>
        <v>0</v>
      </c>
      <c r="O1076" s="58" t="n">
        <f aca="false">IF(L1076=1,M1076+N1076-$B$29,M1076)</f>
        <v>1.04062110040104E-008</v>
      </c>
      <c r="P1076" s="56" t="n">
        <f aca="false">IF(L1076=1,IF($B$29&lt;=N1076,1,0),0)</f>
        <v>0</v>
      </c>
      <c r="Q1076" s="58" t="n">
        <f aca="false">Q1075+N1076</f>
        <v>215608.5191027</v>
      </c>
    </row>
    <row r="1077" customFormat="false" ht="15" hidden="false" customHeight="false" outlineLevel="0" collapsed="false">
      <c r="K1077" s="56" t="n">
        <f aca="false">K1076+1</f>
        <v>1070</v>
      </c>
      <c r="L1077" s="57" t="n">
        <f aca="false">IF(AND(K1077&lt;=Assumptions!$C$42,L1076=1,P1076=0,O1076&gt;Assumptions!$C$43),1,0)</f>
        <v>0</v>
      </c>
      <c r="M1077" s="58" t="n">
        <f aca="false">O1076</f>
        <v>1.04062110040104E-008</v>
      </c>
      <c r="N1077" s="58" t="n">
        <f aca="false">IF(L1077=1,M1077*$B$25,0)</f>
        <v>0</v>
      </c>
      <c r="O1077" s="58" t="n">
        <f aca="false">IF(L1077=1,M1077+N1077-$B$29,M1077)</f>
        <v>1.04062110040104E-008</v>
      </c>
      <c r="P1077" s="56" t="n">
        <f aca="false">IF(L1077=1,IF($B$29&lt;=N1077,1,0),0)</f>
        <v>0</v>
      </c>
      <c r="Q1077" s="58" t="n">
        <f aca="false">Q1076+N1077</f>
        <v>215608.5191027</v>
      </c>
    </row>
    <row r="1078" customFormat="false" ht="15" hidden="false" customHeight="false" outlineLevel="0" collapsed="false">
      <c r="K1078" s="56" t="n">
        <f aca="false">K1077+1</f>
        <v>1071</v>
      </c>
      <c r="L1078" s="57" t="n">
        <f aca="false">IF(AND(K1078&lt;=Assumptions!$C$42,L1077=1,P1077=0,O1077&gt;Assumptions!$C$43),1,0)</f>
        <v>0</v>
      </c>
      <c r="M1078" s="58" t="n">
        <f aca="false">O1077</f>
        <v>1.04062110040104E-008</v>
      </c>
      <c r="N1078" s="58" t="n">
        <f aca="false">IF(L1078=1,M1078*$B$25,0)</f>
        <v>0</v>
      </c>
      <c r="O1078" s="58" t="n">
        <f aca="false">IF(L1078=1,M1078+N1078-$B$29,M1078)</f>
        <v>1.04062110040104E-008</v>
      </c>
      <c r="P1078" s="56" t="n">
        <f aca="false">IF(L1078=1,IF($B$29&lt;=N1078,1,0),0)</f>
        <v>0</v>
      </c>
      <c r="Q1078" s="58" t="n">
        <f aca="false">Q1077+N1078</f>
        <v>215608.5191027</v>
      </c>
    </row>
    <row r="1079" customFormat="false" ht="15" hidden="false" customHeight="false" outlineLevel="0" collapsed="false">
      <c r="K1079" s="56" t="n">
        <f aca="false">K1078+1</f>
        <v>1072</v>
      </c>
      <c r="L1079" s="57" t="n">
        <f aca="false">IF(AND(K1079&lt;=Assumptions!$C$42,L1078=1,P1078=0,O1078&gt;Assumptions!$C$43),1,0)</f>
        <v>0</v>
      </c>
      <c r="M1079" s="58" t="n">
        <f aca="false">O1078</f>
        <v>1.04062110040104E-008</v>
      </c>
      <c r="N1079" s="58" t="n">
        <f aca="false">IF(L1079=1,M1079*$B$25,0)</f>
        <v>0</v>
      </c>
      <c r="O1079" s="58" t="n">
        <f aca="false">IF(L1079=1,M1079+N1079-$B$29,M1079)</f>
        <v>1.04062110040104E-008</v>
      </c>
      <c r="P1079" s="56" t="n">
        <f aca="false">IF(L1079=1,IF($B$29&lt;=N1079,1,0),0)</f>
        <v>0</v>
      </c>
      <c r="Q1079" s="58" t="n">
        <f aca="false">Q1078+N1079</f>
        <v>215608.5191027</v>
      </c>
    </row>
    <row r="1080" customFormat="false" ht="15" hidden="false" customHeight="false" outlineLevel="0" collapsed="false">
      <c r="K1080" s="56" t="n">
        <f aca="false">K1079+1</f>
        <v>1073</v>
      </c>
      <c r="L1080" s="57" t="n">
        <f aca="false">IF(AND(K1080&lt;=Assumptions!$C$42,L1079=1,P1079=0,O1079&gt;Assumptions!$C$43),1,0)</f>
        <v>0</v>
      </c>
      <c r="M1080" s="58" t="n">
        <f aca="false">O1079</f>
        <v>1.04062110040104E-008</v>
      </c>
      <c r="N1080" s="58" t="n">
        <f aca="false">IF(L1080=1,M1080*$B$25,0)</f>
        <v>0</v>
      </c>
      <c r="O1080" s="58" t="n">
        <f aca="false">IF(L1080=1,M1080+N1080-$B$29,M1080)</f>
        <v>1.04062110040104E-008</v>
      </c>
      <c r="P1080" s="56" t="n">
        <f aca="false">IF(L1080=1,IF($B$29&lt;=N1080,1,0),0)</f>
        <v>0</v>
      </c>
      <c r="Q1080" s="58" t="n">
        <f aca="false">Q1079+N1080</f>
        <v>215608.5191027</v>
      </c>
    </row>
    <row r="1081" customFormat="false" ht="15" hidden="false" customHeight="false" outlineLevel="0" collapsed="false">
      <c r="K1081" s="56" t="n">
        <f aca="false">K1080+1</f>
        <v>1074</v>
      </c>
      <c r="L1081" s="57" t="n">
        <f aca="false">IF(AND(K1081&lt;=Assumptions!$C$42,L1080=1,P1080=0,O1080&gt;Assumptions!$C$43),1,0)</f>
        <v>0</v>
      </c>
      <c r="M1081" s="58" t="n">
        <f aca="false">O1080</f>
        <v>1.04062110040104E-008</v>
      </c>
      <c r="N1081" s="58" t="n">
        <f aca="false">IF(L1081=1,M1081*$B$25,0)</f>
        <v>0</v>
      </c>
      <c r="O1081" s="58" t="n">
        <f aca="false">IF(L1081=1,M1081+N1081-$B$29,M1081)</f>
        <v>1.04062110040104E-008</v>
      </c>
      <c r="P1081" s="56" t="n">
        <f aca="false">IF(L1081=1,IF($B$29&lt;=N1081,1,0),0)</f>
        <v>0</v>
      </c>
      <c r="Q1081" s="58" t="n">
        <f aca="false">Q1080+N1081</f>
        <v>215608.5191027</v>
      </c>
    </row>
    <row r="1082" customFormat="false" ht="15" hidden="false" customHeight="false" outlineLevel="0" collapsed="false">
      <c r="K1082" s="56" t="n">
        <f aca="false">K1081+1</f>
        <v>1075</v>
      </c>
      <c r="L1082" s="57" t="n">
        <f aca="false">IF(AND(K1082&lt;=Assumptions!$C$42,L1081=1,P1081=0,O1081&gt;Assumptions!$C$43),1,0)</f>
        <v>0</v>
      </c>
      <c r="M1082" s="58" t="n">
        <f aca="false">O1081</f>
        <v>1.04062110040104E-008</v>
      </c>
      <c r="N1082" s="58" t="n">
        <f aca="false">IF(L1082=1,M1082*$B$25,0)</f>
        <v>0</v>
      </c>
      <c r="O1082" s="58" t="n">
        <f aca="false">IF(L1082=1,M1082+N1082-$B$29,M1082)</f>
        <v>1.04062110040104E-008</v>
      </c>
      <c r="P1082" s="56" t="n">
        <f aca="false">IF(L1082=1,IF($B$29&lt;=N1082,1,0),0)</f>
        <v>0</v>
      </c>
      <c r="Q1082" s="58" t="n">
        <f aca="false">Q1081+N1082</f>
        <v>215608.5191027</v>
      </c>
    </row>
    <row r="1083" customFormat="false" ht="15" hidden="false" customHeight="false" outlineLevel="0" collapsed="false">
      <c r="K1083" s="56" t="n">
        <f aca="false">K1082+1</f>
        <v>1076</v>
      </c>
      <c r="L1083" s="57" t="n">
        <f aca="false">IF(AND(K1083&lt;=Assumptions!$C$42,L1082=1,P1082=0,O1082&gt;Assumptions!$C$43),1,0)</f>
        <v>0</v>
      </c>
      <c r="M1083" s="58" t="n">
        <f aca="false">O1082</f>
        <v>1.04062110040104E-008</v>
      </c>
      <c r="N1083" s="58" t="n">
        <f aca="false">IF(L1083=1,M1083*$B$25,0)</f>
        <v>0</v>
      </c>
      <c r="O1083" s="58" t="n">
        <f aca="false">IF(L1083=1,M1083+N1083-$B$29,M1083)</f>
        <v>1.04062110040104E-008</v>
      </c>
      <c r="P1083" s="56" t="n">
        <f aca="false">IF(L1083=1,IF($B$29&lt;=N1083,1,0),0)</f>
        <v>0</v>
      </c>
      <c r="Q1083" s="58" t="n">
        <f aca="false">Q1082+N1083</f>
        <v>215608.5191027</v>
      </c>
    </row>
    <row r="1084" customFormat="false" ht="15" hidden="false" customHeight="false" outlineLevel="0" collapsed="false">
      <c r="K1084" s="56" t="n">
        <f aca="false">K1083+1</f>
        <v>1077</v>
      </c>
      <c r="L1084" s="57" t="n">
        <f aca="false">IF(AND(K1084&lt;=Assumptions!$C$42,L1083=1,P1083=0,O1083&gt;Assumptions!$C$43),1,0)</f>
        <v>0</v>
      </c>
      <c r="M1084" s="58" t="n">
        <f aca="false">O1083</f>
        <v>1.04062110040104E-008</v>
      </c>
      <c r="N1084" s="58" t="n">
        <f aca="false">IF(L1084=1,M1084*$B$25,0)</f>
        <v>0</v>
      </c>
      <c r="O1084" s="58" t="n">
        <f aca="false">IF(L1084=1,M1084+N1084-$B$29,M1084)</f>
        <v>1.04062110040104E-008</v>
      </c>
      <c r="P1084" s="56" t="n">
        <f aca="false">IF(L1084=1,IF($B$29&lt;=N1084,1,0),0)</f>
        <v>0</v>
      </c>
      <c r="Q1084" s="58" t="n">
        <f aca="false">Q1083+N1084</f>
        <v>215608.5191027</v>
      </c>
    </row>
    <row r="1085" customFormat="false" ht="15" hidden="false" customHeight="false" outlineLevel="0" collapsed="false">
      <c r="K1085" s="56" t="n">
        <f aca="false">K1084+1</f>
        <v>1078</v>
      </c>
      <c r="L1085" s="57" t="n">
        <f aca="false">IF(AND(K1085&lt;=Assumptions!$C$42,L1084=1,P1084=0,O1084&gt;Assumptions!$C$43),1,0)</f>
        <v>0</v>
      </c>
      <c r="M1085" s="58" t="n">
        <f aca="false">O1084</f>
        <v>1.04062110040104E-008</v>
      </c>
      <c r="N1085" s="58" t="n">
        <f aca="false">IF(L1085=1,M1085*$B$25,0)</f>
        <v>0</v>
      </c>
      <c r="O1085" s="58" t="n">
        <f aca="false">IF(L1085=1,M1085+N1085-$B$29,M1085)</f>
        <v>1.04062110040104E-008</v>
      </c>
      <c r="P1085" s="56" t="n">
        <f aca="false">IF(L1085=1,IF($B$29&lt;=N1085,1,0),0)</f>
        <v>0</v>
      </c>
      <c r="Q1085" s="58" t="n">
        <f aca="false">Q1084+N1085</f>
        <v>215608.5191027</v>
      </c>
    </row>
    <row r="1086" customFormat="false" ht="15" hidden="false" customHeight="false" outlineLevel="0" collapsed="false">
      <c r="K1086" s="56" t="n">
        <f aca="false">K1085+1</f>
        <v>1079</v>
      </c>
      <c r="L1086" s="57" t="n">
        <f aca="false">IF(AND(K1086&lt;=Assumptions!$C$42,L1085=1,P1085=0,O1085&gt;Assumptions!$C$43),1,0)</f>
        <v>0</v>
      </c>
      <c r="M1086" s="58" t="n">
        <f aca="false">O1085</f>
        <v>1.04062110040104E-008</v>
      </c>
      <c r="N1086" s="58" t="n">
        <f aca="false">IF(L1086=1,M1086*$B$25,0)</f>
        <v>0</v>
      </c>
      <c r="O1086" s="58" t="n">
        <f aca="false">IF(L1086=1,M1086+N1086-$B$29,M1086)</f>
        <v>1.04062110040104E-008</v>
      </c>
      <c r="P1086" s="56" t="n">
        <f aca="false">IF(L1086=1,IF($B$29&lt;=N1086,1,0),0)</f>
        <v>0</v>
      </c>
      <c r="Q1086" s="58" t="n">
        <f aca="false">Q1085+N1086</f>
        <v>215608.5191027</v>
      </c>
    </row>
    <row r="1087" customFormat="false" ht="15" hidden="false" customHeight="false" outlineLevel="0" collapsed="false">
      <c r="K1087" s="56" t="n">
        <f aca="false">K1086+1</f>
        <v>1080</v>
      </c>
      <c r="L1087" s="57" t="n">
        <f aca="false">IF(AND(K1087&lt;=Assumptions!$C$42,L1086=1,P1086=0,O1086&gt;Assumptions!$C$43),1,0)</f>
        <v>0</v>
      </c>
      <c r="M1087" s="58" t="n">
        <f aca="false">O1086</f>
        <v>1.04062110040104E-008</v>
      </c>
      <c r="N1087" s="58" t="n">
        <f aca="false">IF(L1087=1,M1087*$B$25,0)</f>
        <v>0</v>
      </c>
      <c r="O1087" s="58" t="n">
        <f aca="false">IF(L1087=1,M1087+N1087-$B$29,M1087)</f>
        <v>1.04062110040104E-008</v>
      </c>
      <c r="P1087" s="56" t="n">
        <f aca="false">IF(L1087=1,IF($B$29&lt;=N1087,1,0),0)</f>
        <v>0</v>
      </c>
      <c r="Q1087" s="58" t="n">
        <f aca="false">Q1086+N1087</f>
        <v>215608.5191027</v>
      </c>
    </row>
    <row r="1088" customFormat="false" ht="15" hidden="false" customHeight="false" outlineLevel="0" collapsed="false">
      <c r="K1088" s="56" t="n">
        <f aca="false">K1087+1</f>
        <v>1081</v>
      </c>
      <c r="L1088" s="57" t="n">
        <f aca="false">IF(AND(K1088&lt;=Assumptions!$C$42,L1087=1,P1087=0,O1087&gt;Assumptions!$C$43),1,0)</f>
        <v>0</v>
      </c>
      <c r="M1088" s="58" t="n">
        <f aca="false">O1087</f>
        <v>1.04062110040104E-008</v>
      </c>
      <c r="N1088" s="58" t="n">
        <f aca="false">IF(L1088=1,M1088*$B$25,0)</f>
        <v>0</v>
      </c>
      <c r="O1088" s="58" t="n">
        <f aca="false">IF(L1088=1,M1088+N1088-$B$29,M1088)</f>
        <v>1.04062110040104E-008</v>
      </c>
      <c r="P1088" s="56" t="n">
        <f aca="false">IF(L1088=1,IF($B$29&lt;=N1088,1,0),0)</f>
        <v>0</v>
      </c>
      <c r="Q1088" s="58" t="n">
        <f aca="false">Q1087+N1088</f>
        <v>215608.5191027</v>
      </c>
    </row>
    <row r="1089" customFormat="false" ht="15" hidden="false" customHeight="false" outlineLevel="0" collapsed="false">
      <c r="K1089" s="56" t="n">
        <f aca="false">K1088+1</f>
        <v>1082</v>
      </c>
      <c r="L1089" s="57" t="n">
        <f aca="false">IF(AND(K1089&lt;=Assumptions!$C$42,L1088=1,P1088=0,O1088&gt;Assumptions!$C$43),1,0)</f>
        <v>0</v>
      </c>
      <c r="M1089" s="58" t="n">
        <f aca="false">O1088</f>
        <v>1.04062110040104E-008</v>
      </c>
      <c r="N1089" s="58" t="n">
        <f aca="false">IF(L1089=1,M1089*$B$25,0)</f>
        <v>0</v>
      </c>
      <c r="O1089" s="58" t="n">
        <f aca="false">IF(L1089=1,M1089+N1089-$B$29,M1089)</f>
        <v>1.04062110040104E-008</v>
      </c>
      <c r="P1089" s="56" t="n">
        <f aca="false">IF(L1089=1,IF($B$29&lt;=N1089,1,0),0)</f>
        <v>0</v>
      </c>
      <c r="Q1089" s="58" t="n">
        <f aca="false">Q1088+N1089</f>
        <v>215608.5191027</v>
      </c>
    </row>
    <row r="1090" customFormat="false" ht="15" hidden="false" customHeight="false" outlineLevel="0" collapsed="false">
      <c r="K1090" s="56" t="n">
        <f aca="false">K1089+1</f>
        <v>1083</v>
      </c>
      <c r="L1090" s="57" t="n">
        <f aca="false">IF(AND(K1090&lt;=Assumptions!$C$42,L1089=1,P1089=0,O1089&gt;Assumptions!$C$43),1,0)</f>
        <v>0</v>
      </c>
      <c r="M1090" s="58" t="n">
        <f aca="false">O1089</f>
        <v>1.04062110040104E-008</v>
      </c>
      <c r="N1090" s="58" t="n">
        <f aca="false">IF(L1090=1,M1090*$B$25,0)</f>
        <v>0</v>
      </c>
      <c r="O1090" s="58" t="n">
        <f aca="false">IF(L1090=1,M1090+N1090-$B$29,M1090)</f>
        <v>1.04062110040104E-008</v>
      </c>
      <c r="P1090" s="56" t="n">
        <f aca="false">IF(L1090=1,IF($B$29&lt;=N1090,1,0),0)</f>
        <v>0</v>
      </c>
      <c r="Q1090" s="58" t="n">
        <f aca="false">Q1089+N1090</f>
        <v>215608.5191027</v>
      </c>
    </row>
    <row r="1091" customFormat="false" ht="15" hidden="false" customHeight="false" outlineLevel="0" collapsed="false">
      <c r="K1091" s="56" t="n">
        <f aca="false">K1090+1</f>
        <v>1084</v>
      </c>
      <c r="L1091" s="57" t="n">
        <f aca="false">IF(AND(K1091&lt;=Assumptions!$C$42,L1090=1,P1090=0,O1090&gt;Assumptions!$C$43),1,0)</f>
        <v>0</v>
      </c>
      <c r="M1091" s="58" t="n">
        <f aca="false">O1090</f>
        <v>1.04062110040104E-008</v>
      </c>
      <c r="N1091" s="58" t="n">
        <f aca="false">IF(L1091=1,M1091*$B$25,0)</f>
        <v>0</v>
      </c>
      <c r="O1091" s="58" t="n">
        <f aca="false">IF(L1091=1,M1091+N1091-$B$29,M1091)</f>
        <v>1.04062110040104E-008</v>
      </c>
      <c r="P1091" s="56" t="n">
        <f aca="false">IF(L1091=1,IF($B$29&lt;=N1091,1,0),0)</f>
        <v>0</v>
      </c>
      <c r="Q1091" s="58" t="n">
        <f aca="false">Q1090+N1091</f>
        <v>215608.5191027</v>
      </c>
    </row>
    <row r="1092" customFormat="false" ht="15" hidden="false" customHeight="false" outlineLevel="0" collapsed="false">
      <c r="K1092" s="56" t="n">
        <f aca="false">K1091+1</f>
        <v>1085</v>
      </c>
      <c r="L1092" s="57" t="n">
        <f aca="false">IF(AND(K1092&lt;=Assumptions!$C$42,L1091=1,P1091=0,O1091&gt;Assumptions!$C$43),1,0)</f>
        <v>0</v>
      </c>
      <c r="M1092" s="58" t="n">
        <f aca="false">O1091</f>
        <v>1.04062110040104E-008</v>
      </c>
      <c r="N1092" s="58" t="n">
        <f aca="false">IF(L1092=1,M1092*$B$25,0)</f>
        <v>0</v>
      </c>
      <c r="O1092" s="58" t="n">
        <f aca="false">IF(L1092=1,M1092+N1092-$B$29,M1092)</f>
        <v>1.04062110040104E-008</v>
      </c>
      <c r="P1092" s="56" t="n">
        <f aca="false">IF(L1092=1,IF($B$29&lt;=N1092,1,0),0)</f>
        <v>0</v>
      </c>
      <c r="Q1092" s="58" t="n">
        <f aca="false">Q1091+N1092</f>
        <v>215608.5191027</v>
      </c>
    </row>
    <row r="1093" customFormat="false" ht="15" hidden="false" customHeight="false" outlineLevel="0" collapsed="false">
      <c r="K1093" s="56" t="n">
        <f aca="false">K1092+1</f>
        <v>1086</v>
      </c>
      <c r="L1093" s="57" t="n">
        <f aca="false">IF(AND(K1093&lt;=Assumptions!$C$42,L1092=1,P1092=0,O1092&gt;Assumptions!$C$43),1,0)</f>
        <v>0</v>
      </c>
      <c r="M1093" s="58" t="n">
        <f aca="false">O1092</f>
        <v>1.04062110040104E-008</v>
      </c>
      <c r="N1093" s="58" t="n">
        <f aca="false">IF(L1093=1,M1093*$B$25,0)</f>
        <v>0</v>
      </c>
      <c r="O1093" s="58" t="n">
        <f aca="false">IF(L1093=1,M1093+N1093-$B$29,M1093)</f>
        <v>1.04062110040104E-008</v>
      </c>
      <c r="P1093" s="56" t="n">
        <f aca="false">IF(L1093=1,IF($B$29&lt;=N1093,1,0),0)</f>
        <v>0</v>
      </c>
      <c r="Q1093" s="58" t="n">
        <f aca="false">Q1092+N1093</f>
        <v>215608.5191027</v>
      </c>
    </row>
    <row r="1094" customFormat="false" ht="15" hidden="false" customHeight="false" outlineLevel="0" collapsed="false">
      <c r="K1094" s="56" t="n">
        <f aca="false">K1093+1</f>
        <v>1087</v>
      </c>
      <c r="L1094" s="57" t="n">
        <f aca="false">IF(AND(K1094&lt;=Assumptions!$C$42,L1093=1,P1093=0,O1093&gt;Assumptions!$C$43),1,0)</f>
        <v>0</v>
      </c>
      <c r="M1094" s="58" t="n">
        <f aca="false">O1093</f>
        <v>1.04062110040104E-008</v>
      </c>
      <c r="N1094" s="58" t="n">
        <f aca="false">IF(L1094=1,M1094*$B$25,0)</f>
        <v>0</v>
      </c>
      <c r="O1094" s="58" t="n">
        <f aca="false">IF(L1094=1,M1094+N1094-$B$29,M1094)</f>
        <v>1.04062110040104E-008</v>
      </c>
      <c r="P1094" s="56" t="n">
        <f aca="false">IF(L1094=1,IF($B$29&lt;=N1094,1,0),0)</f>
        <v>0</v>
      </c>
      <c r="Q1094" s="58" t="n">
        <f aca="false">Q1093+N1094</f>
        <v>215608.5191027</v>
      </c>
    </row>
    <row r="1095" customFormat="false" ht="15" hidden="false" customHeight="false" outlineLevel="0" collapsed="false">
      <c r="K1095" s="56" t="n">
        <f aca="false">K1094+1</f>
        <v>1088</v>
      </c>
      <c r="L1095" s="57" t="n">
        <f aca="false">IF(AND(K1095&lt;=Assumptions!$C$42,L1094=1,P1094=0,O1094&gt;Assumptions!$C$43),1,0)</f>
        <v>0</v>
      </c>
      <c r="M1095" s="58" t="n">
        <f aca="false">O1094</f>
        <v>1.04062110040104E-008</v>
      </c>
      <c r="N1095" s="58" t="n">
        <f aca="false">IF(L1095=1,M1095*$B$25,0)</f>
        <v>0</v>
      </c>
      <c r="O1095" s="58" t="n">
        <f aca="false">IF(L1095=1,M1095+N1095-$B$29,M1095)</f>
        <v>1.04062110040104E-008</v>
      </c>
      <c r="P1095" s="56" t="n">
        <f aca="false">IF(L1095=1,IF($B$29&lt;=N1095,1,0),0)</f>
        <v>0</v>
      </c>
      <c r="Q1095" s="58" t="n">
        <f aca="false">Q1094+N1095</f>
        <v>215608.5191027</v>
      </c>
    </row>
    <row r="1096" customFormat="false" ht="15" hidden="false" customHeight="false" outlineLevel="0" collapsed="false">
      <c r="K1096" s="56" t="n">
        <f aca="false">K1095+1</f>
        <v>1089</v>
      </c>
      <c r="L1096" s="57" t="n">
        <f aca="false">IF(AND(K1096&lt;=Assumptions!$C$42,L1095=1,P1095=0,O1095&gt;Assumptions!$C$43),1,0)</f>
        <v>0</v>
      </c>
      <c r="M1096" s="58" t="n">
        <f aca="false">O1095</f>
        <v>1.04062110040104E-008</v>
      </c>
      <c r="N1096" s="58" t="n">
        <f aca="false">IF(L1096=1,M1096*$B$25,0)</f>
        <v>0</v>
      </c>
      <c r="O1096" s="58" t="n">
        <f aca="false">IF(L1096=1,M1096+N1096-$B$29,M1096)</f>
        <v>1.04062110040104E-008</v>
      </c>
      <c r="P1096" s="56" t="n">
        <f aca="false">IF(L1096=1,IF($B$29&lt;=N1096,1,0),0)</f>
        <v>0</v>
      </c>
      <c r="Q1096" s="58" t="n">
        <f aca="false">Q1095+N1096</f>
        <v>215608.5191027</v>
      </c>
    </row>
    <row r="1097" customFormat="false" ht="15" hidden="false" customHeight="false" outlineLevel="0" collapsed="false">
      <c r="K1097" s="56" t="n">
        <f aca="false">K1096+1</f>
        <v>1090</v>
      </c>
      <c r="L1097" s="57" t="n">
        <f aca="false">IF(AND(K1097&lt;=Assumptions!$C$42,L1096=1,P1096=0,O1096&gt;Assumptions!$C$43),1,0)</f>
        <v>0</v>
      </c>
      <c r="M1097" s="58" t="n">
        <f aca="false">O1096</f>
        <v>1.04062110040104E-008</v>
      </c>
      <c r="N1097" s="58" t="n">
        <f aca="false">IF(L1097=1,M1097*$B$25,0)</f>
        <v>0</v>
      </c>
      <c r="O1097" s="58" t="n">
        <f aca="false">IF(L1097=1,M1097+N1097-$B$29,M1097)</f>
        <v>1.04062110040104E-008</v>
      </c>
      <c r="P1097" s="56" t="n">
        <f aca="false">IF(L1097=1,IF($B$29&lt;=N1097,1,0),0)</f>
        <v>0</v>
      </c>
      <c r="Q1097" s="58" t="n">
        <f aca="false">Q1096+N1097</f>
        <v>215608.5191027</v>
      </c>
    </row>
    <row r="1098" customFormat="false" ht="15" hidden="false" customHeight="false" outlineLevel="0" collapsed="false">
      <c r="K1098" s="56" t="n">
        <f aca="false">K1097+1</f>
        <v>1091</v>
      </c>
      <c r="L1098" s="57" t="n">
        <f aca="false">IF(AND(K1098&lt;=Assumptions!$C$42,L1097=1,P1097=0,O1097&gt;Assumptions!$C$43),1,0)</f>
        <v>0</v>
      </c>
      <c r="M1098" s="58" t="n">
        <f aca="false">O1097</f>
        <v>1.04062110040104E-008</v>
      </c>
      <c r="N1098" s="58" t="n">
        <f aca="false">IF(L1098=1,M1098*$B$25,0)</f>
        <v>0</v>
      </c>
      <c r="O1098" s="58" t="n">
        <f aca="false">IF(L1098=1,M1098+N1098-$B$29,M1098)</f>
        <v>1.04062110040104E-008</v>
      </c>
      <c r="P1098" s="56" t="n">
        <f aca="false">IF(L1098=1,IF($B$29&lt;=N1098,1,0),0)</f>
        <v>0</v>
      </c>
      <c r="Q1098" s="58" t="n">
        <f aca="false">Q1097+N1098</f>
        <v>215608.5191027</v>
      </c>
    </row>
    <row r="1099" customFormat="false" ht="15" hidden="false" customHeight="false" outlineLevel="0" collapsed="false">
      <c r="K1099" s="56" t="n">
        <f aca="false">K1098+1</f>
        <v>1092</v>
      </c>
      <c r="L1099" s="57" t="n">
        <f aca="false">IF(AND(K1099&lt;=Assumptions!$C$42,L1098=1,P1098=0,O1098&gt;Assumptions!$C$43),1,0)</f>
        <v>0</v>
      </c>
      <c r="M1099" s="58" t="n">
        <f aca="false">O1098</f>
        <v>1.04062110040104E-008</v>
      </c>
      <c r="N1099" s="58" t="n">
        <f aca="false">IF(L1099=1,M1099*$B$25,0)</f>
        <v>0</v>
      </c>
      <c r="O1099" s="58" t="n">
        <f aca="false">IF(L1099=1,M1099+N1099-$B$29,M1099)</f>
        <v>1.04062110040104E-008</v>
      </c>
      <c r="P1099" s="56" t="n">
        <f aca="false">IF(L1099=1,IF($B$29&lt;=N1099,1,0),0)</f>
        <v>0</v>
      </c>
      <c r="Q1099" s="58" t="n">
        <f aca="false">Q1098+N1099</f>
        <v>215608.5191027</v>
      </c>
    </row>
    <row r="1100" customFormat="false" ht="15" hidden="false" customHeight="false" outlineLevel="0" collapsed="false">
      <c r="K1100" s="56" t="n">
        <f aca="false">K1099+1</f>
        <v>1093</v>
      </c>
      <c r="L1100" s="57" t="n">
        <f aca="false">IF(AND(K1100&lt;=Assumptions!$C$42,L1099=1,P1099=0,O1099&gt;Assumptions!$C$43),1,0)</f>
        <v>0</v>
      </c>
      <c r="M1100" s="58" t="n">
        <f aca="false">O1099</f>
        <v>1.04062110040104E-008</v>
      </c>
      <c r="N1100" s="58" t="n">
        <f aca="false">IF(L1100=1,M1100*$B$25,0)</f>
        <v>0</v>
      </c>
      <c r="O1100" s="58" t="n">
        <f aca="false">IF(L1100=1,M1100+N1100-$B$29,M1100)</f>
        <v>1.04062110040104E-008</v>
      </c>
      <c r="P1100" s="56" t="n">
        <f aca="false">IF(L1100=1,IF($B$29&lt;=N1100,1,0),0)</f>
        <v>0</v>
      </c>
      <c r="Q1100" s="58" t="n">
        <f aca="false">Q1099+N1100</f>
        <v>215608.5191027</v>
      </c>
    </row>
    <row r="1101" customFormat="false" ht="15" hidden="false" customHeight="false" outlineLevel="0" collapsed="false">
      <c r="K1101" s="56" t="n">
        <f aca="false">K1100+1</f>
        <v>1094</v>
      </c>
      <c r="L1101" s="57" t="n">
        <f aca="false">IF(AND(K1101&lt;=Assumptions!$C$42,L1100=1,P1100=0,O1100&gt;Assumptions!$C$43),1,0)</f>
        <v>0</v>
      </c>
      <c r="M1101" s="58" t="n">
        <f aca="false">O1100</f>
        <v>1.04062110040104E-008</v>
      </c>
      <c r="N1101" s="58" t="n">
        <f aca="false">IF(L1101=1,M1101*$B$25,0)</f>
        <v>0</v>
      </c>
      <c r="O1101" s="58" t="n">
        <f aca="false">IF(L1101=1,M1101+N1101-$B$29,M1101)</f>
        <v>1.04062110040104E-008</v>
      </c>
      <c r="P1101" s="56" t="n">
        <f aca="false">IF(L1101=1,IF($B$29&lt;=N1101,1,0),0)</f>
        <v>0</v>
      </c>
      <c r="Q1101" s="58" t="n">
        <f aca="false">Q1100+N1101</f>
        <v>215608.5191027</v>
      </c>
    </row>
    <row r="1102" customFormat="false" ht="15" hidden="false" customHeight="false" outlineLevel="0" collapsed="false">
      <c r="K1102" s="56" t="n">
        <f aca="false">K1101+1</f>
        <v>1095</v>
      </c>
      <c r="L1102" s="57" t="n">
        <f aca="false">IF(AND(K1102&lt;=Assumptions!$C$42,L1101=1,P1101=0,O1101&gt;Assumptions!$C$43),1,0)</f>
        <v>0</v>
      </c>
      <c r="M1102" s="58" t="n">
        <f aca="false">O1101</f>
        <v>1.04062110040104E-008</v>
      </c>
      <c r="N1102" s="58" t="n">
        <f aca="false">IF(L1102=1,M1102*$B$25,0)</f>
        <v>0</v>
      </c>
      <c r="O1102" s="58" t="n">
        <f aca="false">IF(L1102=1,M1102+N1102-$B$29,M1102)</f>
        <v>1.04062110040104E-008</v>
      </c>
      <c r="P1102" s="56" t="n">
        <f aca="false">IF(L1102=1,IF($B$29&lt;=N1102,1,0),0)</f>
        <v>0</v>
      </c>
      <c r="Q1102" s="58" t="n">
        <f aca="false">Q1101+N1102</f>
        <v>215608.5191027</v>
      </c>
    </row>
    <row r="1103" customFormat="false" ht="15" hidden="false" customHeight="false" outlineLevel="0" collapsed="false">
      <c r="K1103" s="56" t="n">
        <f aca="false">K1102+1</f>
        <v>1096</v>
      </c>
      <c r="L1103" s="57" t="n">
        <f aca="false">IF(AND(K1103&lt;=Assumptions!$C$42,L1102=1,P1102=0,O1102&gt;Assumptions!$C$43),1,0)</f>
        <v>0</v>
      </c>
      <c r="M1103" s="58" t="n">
        <f aca="false">O1102</f>
        <v>1.04062110040104E-008</v>
      </c>
      <c r="N1103" s="58" t="n">
        <f aca="false">IF(L1103=1,M1103*$B$25,0)</f>
        <v>0</v>
      </c>
      <c r="O1103" s="58" t="n">
        <f aca="false">IF(L1103=1,M1103+N1103-$B$29,M1103)</f>
        <v>1.04062110040104E-008</v>
      </c>
      <c r="P1103" s="56" t="n">
        <f aca="false">IF(L1103=1,IF($B$29&lt;=N1103,1,0),0)</f>
        <v>0</v>
      </c>
      <c r="Q1103" s="58" t="n">
        <f aca="false">Q1102+N1103</f>
        <v>215608.5191027</v>
      </c>
    </row>
    <row r="1104" customFormat="false" ht="15" hidden="false" customHeight="false" outlineLevel="0" collapsed="false">
      <c r="K1104" s="56" t="n">
        <f aca="false">K1103+1</f>
        <v>1097</v>
      </c>
      <c r="L1104" s="57" t="n">
        <f aca="false">IF(AND(K1104&lt;=Assumptions!$C$42,L1103=1,P1103=0,O1103&gt;Assumptions!$C$43),1,0)</f>
        <v>0</v>
      </c>
      <c r="M1104" s="58" t="n">
        <f aca="false">O1103</f>
        <v>1.04062110040104E-008</v>
      </c>
      <c r="N1104" s="58" t="n">
        <f aca="false">IF(L1104=1,M1104*$B$25,0)</f>
        <v>0</v>
      </c>
      <c r="O1104" s="58" t="n">
        <f aca="false">IF(L1104=1,M1104+N1104-$B$29,M1104)</f>
        <v>1.04062110040104E-008</v>
      </c>
      <c r="P1104" s="56" t="n">
        <f aca="false">IF(L1104=1,IF($B$29&lt;=N1104,1,0),0)</f>
        <v>0</v>
      </c>
      <c r="Q1104" s="58" t="n">
        <f aca="false">Q1103+N1104</f>
        <v>215608.5191027</v>
      </c>
    </row>
    <row r="1105" customFormat="false" ht="15" hidden="false" customHeight="false" outlineLevel="0" collapsed="false">
      <c r="K1105" s="56" t="n">
        <f aca="false">K1104+1</f>
        <v>1098</v>
      </c>
      <c r="L1105" s="57" t="n">
        <f aca="false">IF(AND(K1105&lt;=Assumptions!$C$42,L1104=1,P1104=0,O1104&gt;Assumptions!$C$43),1,0)</f>
        <v>0</v>
      </c>
      <c r="M1105" s="58" t="n">
        <f aca="false">O1104</f>
        <v>1.04062110040104E-008</v>
      </c>
      <c r="N1105" s="58" t="n">
        <f aca="false">IF(L1105=1,M1105*$B$25,0)</f>
        <v>0</v>
      </c>
      <c r="O1105" s="58" t="n">
        <f aca="false">IF(L1105=1,M1105+N1105-$B$29,M1105)</f>
        <v>1.04062110040104E-008</v>
      </c>
      <c r="P1105" s="56" t="n">
        <f aca="false">IF(L1105=1,IF($B$29&lt;=N1105,1,0),0)</f>
        <v>0</v>
      </c>
      <c r="Q1105" s="58" t="n">
        <f aca="false">Q1104+N1105</f>
        <v>215608.5191027</v>
      </c>
    </row>
    <row r="1106" customFormat="false" ht="15" hidden="false" customHeight="false" outlineLevel="0" collapsed="false">
      <c r="K1106" s="56" t="n">
        <f aca="false">K1105+1</f>
        <v>1099</v>
      </c>
      <c r="L1106" s="57" t="n">
        <f aca="false">IF(AND(K1106&lt;=Assumptions!$C$42,L1105=1,P1105=0,O1105&gt;Assumptions!$C$43),1,0)</f>
        <v>0</v>
      </c>
      <c r="M1106" s="58" t="n">
        <f aca="false">O1105</f>
        <v>1.04062110040104E-008</v>
      </c>
      <c r="N1106" s="58" t="n">
        <f aca="false">IF(L1106=1,M1106*$B$25,0)</f>
        <v>0</v>
      </c>
      <c r="O1106" s="58" t="n">
        <f aca="false">IF(L1106=1,M1106+N1106-$B$29,M1106)</f>
        <v>1.04062110040104E-008</v>
      </c>
      <c r="P1106" s="56" t="n">
        <f aca="false">IF(L1106=1,IF($B$29&lt;=N1106,1,0),0)</f>
        <v>0</v>
      </c>
      <c r="Q1106" s="58" t="n">
        <f aca="false">Q1105+N1106</f>
        <v>215608.5191027</v>
      </c>
    </row>
    <row r="1107" customFormat="false" ht="15" hidden="false" customHeight="false" outlineLevel="0" collapsed="false">
      <c r="K1107" s="56" t="n">
        <f aca="false">K1106+1</f>
        <v>1100</v>
      </c>
      <c r="L1107" s="57" t="n">
        <f aca="false">IF(AND(K1107&lt;=Assumptions!$C$42,L1106=1,P1106=0,O1106&gt;Assumptions!$C$43),1,0)</f>
        <v>0</v>
      </c>
      <c r="M1107" s="58" t="n">
        <f aca="false">O1106</f>
        <v>1.04062110040104E-008</v>
      </c>
      <c r="N1107" s="58" t="n">
        <f aca="false">IF(L1107=1,M1107*$B$25,0)</f>
        <v>0</v>
      </c>
      <c r="O1107" s="58" t="n">
        <f aca="false">IF(L1107=1,M1107+N1107-$B$29,M1107)</f>
        <v>1.04062110040104E-008</v>
      </c>
      <c r="P1107" s="56" t="n">
        <f aca="false">IF(L1107=1,IF($B$29&lt;=N1107,1,0),0)</f>
        <v>0</v>
      </c>
      <c r="Q1107" s="58" t="n">
        <f aca="false">Q1106+N1107</f>
        <v>215608.5191027</v>
      </c>
    </row>
    <row r="1108" customFormat="false" ht="15" hidden="false" customHeight="false" outlineLevel="0" collapsed="false">
      <c r="K1108" s="56" t="n">
        <f aca="false">K1107+1</f>
        <v>1101</v>
      </c>
      <c r="L1108" s="57" t="n">
        <f aca="false">IF(AND(K1108&lt;=Assumptions!$C$42,L1107=1,P1107=0,O1107&gt;Assumptions!$C$43),1,0)</f>
        <v>0</v>
      </c>
      <c r="M1108" s="58" t="n">
        <f aca="false">O1107</f>
        <v>1.04062110040104E-008</v>
      </c>
      <c r="N1108" s="58" t="n">
        <f aca="false">IF(L1108=1,M1108*$B$25,0)</f>
        <v>0</v>
      </c>
      <c r="O1108" s="58" t="n">
        <f aca="false">IF(L1108=1,M1108+N1108-$B$29,M1108)</f>
        <v>1.04062110040104E-008</v>
      </c>
      <c r="P1108" s="56" t="n">
        <f aca="false">IF(L1108=1,IF($B$29&lt;=N1108,1,0),0)</f>
        <v>0</v>
      </c>
      <c r="Q1108" s="58" t="n">
        <f aca="false">Q1107+N1108</f>
        <v>215608.5191027</v>
      </c>
    </row>
    <row r="1109" customFormat="false" ht="15" hidden="false" customHeight="false" outlineLevel="0" collapsed="false">
      <c r="K1109" s="56" t="n">
        <f aca="false">K1108+1</f>
        <v>1102</v>
      </c>
      <c r="L1109" s="57" t="n">
        <f aca="false">IF(AND(K1109&lt;=Assumptions!$C$42,L1108=1,P1108=0,O1108&gt;Assumptions!$C$43),1,0)</f>
        <v>0</v>
      </c>
      <c r="M1109" s="58" t="n">
        <f aca="false">O1108</f>
        <v>1.04062110040104E-008</v>
      </c>
      <c r="N1109" s="58" t="n">
        <f aca="false">IF(L1109=1,M1109*$B$25,0)</f>
        <v>0</v>
      </c>
      <c r="O1109" s="58" t="n">
        <f aca="false">IF(L1109=1,M1109+N1109-$B$29,M1109)</f>
        <v>1.04062110040104E-008</v>
      </c>
      <c r="P1109" s="56" t="n">
        <f aca="false">IF(L1109=1,IF($B$29&lt;=N1109,1,0),0)</f>
        <v>0</v>
      </c>
      <c r="Q1109" s="58" t="n">
        <f aca="false">Q1108+N1109</f>
        <v>215608.5191027</v>
      </c>
    </row>
    <row r="1110" customFormat="false" ht="15" hidden="false" customHeight="false" outlineLevel="0" collapsed="false">
      <c r="K1110" s="56" t="n">
        <f aca="false">K1109+1</f>
        <v>1103</v>
      </c>
      <c r="L1110" s="57" t="n">
        <f aca="false">IF(AND(K1110&lt;=Assumptions!$C$42,L1109=1,P1109=0,O1109&gt;Assumptions!$C$43),1,0)</f>
        <v>0</v>
      </c>
      <c r="M1110" s="58" t="n">
        <f aca="false">O1109</f>
        <v>1.04062110040104E-008</v>
      </c>
      <c r="N1110" s="58" t="n">
        <f aca="false">IF(L1110=1,M1110*$B$25,0)</f>
        <v>0</v>
      </c>
      <c r="O1110" s="58" t="n">
        <f aca="false">IF(L1110=1,M1110+N1110-$B$29,M1110)</f>
        <v>1.04062110040104E-008</v>
      </c>
      <c r="P1110" s="56" t="n">
        <f aca="false">IF(L1110=1,IF($B$29&lt;=N1110,1,0),0)</f>
        <v>0</v>
      </c>
      <c r="Q1110" s="58" t="n">
        <f aca="false">Q1109+N1110</f>
        <v>215608.5191027</v>
      </c>
    </row>
    <row r="1111" customFormat="false" ht="15" hidden="false" customHeight="false" outlineLevel="0" collapsed="false">
      <c r="K1111" s="56" t="n">
        <f aca="false">K1110+1</f>
        <v>1104</v>
      </c>
      <c r="L1111" s="57" t="n">
        <f aca="false">IF(AND(K1111&lt;=Assumptions!$C$42,L1110=1,P1110=0,O1110&gt;Assumptions!$C$43),1,0)</f>
        <v>0</v>
      </c>
      <c r="M1111" s="58" t="n">
        <f aca="false">O1110</f>
        <v>1.04062110040104E-008</v>
      </c>
      <c r="N1111" s="58" t="n">
        <f aca="false">IF(L1111=1,M1111*$B$25,0)</f>
        <v>0</v>
      </c>
      <c r="O1111" s="58" t="n">
        <f aca="false">IF(L1111=1,M1111+N1111-$B$29,M1111)</f>
        <v>1.04062110040104E-008</v>
      </c>
      <c r="P1111" s="56" t="n">
        <f aca="false">IF(L1111=1,IF($B$29&lt;=N1111,1,0),0)</f>
        <v>0</v>
      </c>
      <c r="Q1111" s="58" t="n">
        <f aca="false">Q1110+N1111</f>
        <v>215608.5191027</v>
      </c>
    </row>
    <row r="1112" customFormat="false" ht="15" hidden="false" customHeight="false" outlineLevel="0" collapsed="false">
      <c r="K1112" s="56" t="n">
        <f aca="false">K1111+1</f>
        <v>1105</v>
      </c>
      <c r="L1112" s="57" t="n">
        <f aca="false">IF(AND(K1112&lt;=Assumptions!$C$42,L1111=1,P1111=0,O1111&gt;Assumptions!$C$43),1,0)</f>
        <v>0</v>
      </c>
      <c r="M1112" s="58" t="n">
        <f aca="false">O1111</f>
        <v>1.04062110040104E-008</v>
      </c>
      <c r="N1112" s="58" t="n">
        <f aca="false">IF(L1112=1,M1112*$B$25,0)</f>
        <v>0</v>
      </c>
      <c r="O1112" s="58" t="n">
        <f aca="false">IF(L1112=1,M1112+N1112-$B$29,M1112)</f>
        <v>1.04062110040104E-008</v>
      </c>
      <c r="P1112" s="56" t="n">
        <f aca="false">IF(L1112=1,IF($B$29&lt;=N1112,1,0),0)</f>
        <v>0</v>
      </c>
      <c r="Q1112" s="58" t="n">
        <f aca="false">Q1111+N1112</f>
        <v>215608.5191027</v>
      </c>
    </row>
    <row r="1113" customFormat="false" ht="15" hidden="false" customHeight="false" outlineLevel="0" collapsed="false">
      <c r="K1113" s="56" t="n">
        <f aca="false">K1112+1</f>
        <v>1106</v>
      </c>
      <c r="L1113" s="57" t="n">
        <f aca="false">IF(AND(K1113&lt;=Assumptions!$C$42,L1112=1,P1112=0,O1112&gt;Assumptions!$C$43),1,0)</f>
        <v>0</v>
      </c>
      <c r="M1113" s="58" t="n">
        <f aca="false">O1112</f>
        <v>1.04062110040104E-008</v>
      </c>
      <c r="N1113" s="58" t="n">
        <f aca="false">IF(L1113=1,M1113*$B$25,0)</f>
        <v>0</v>
      </c>
      <c r="O1113" s="58" t="n">
        <f aca="false">IF(L1113=1,M1113+N1113-$B$29,M1113)</f>
        <v>1.04062110040104E-008</v>
      </c>
      <c r="P1113" s="56" t="n">
        <f aca="false">IF(L1113=1,IF($B$29&lt;=N1113,1,0),0)</f>
        <v>0</v>
      </c>
      <c r="Q1113" s="58" t="n">
        <f aca="false">Q1112+N1113</f>
        <v>215608.5191027</v>
      </c>
    </row>
    <row r="1114" customFormat="false" ht="15" hidden="false" customHeight="false" outlineLevel="0" collapsed="false">
      <c r="K1114" s="56" t="n">
        <f aca="false">K1113+1</f>
        <v>1107</v>
      </c>
      <c r="L1114" s="57" t="n">
        <f aca="false">IF(AND(K1114&lt;=Assumptions!$C$42,L1113=1,P1113=0,O1113&gt;Assumptions!$C$43),1,0)</f>
        <v>0</v>
      </c>
      <c r="M1114" s="58" t="n">
        <f aca="false">O1113</f>
        <v>1.04062110040104E-008</v>
      </c>
      <c r="N1114" s="58" t="n">
        <f aca="false">IF(L1114=1,M1114*$B$25,0)</f>
        <v>0</v>
      </c>
      <c r="O1114" s="58" t="n">
        <f aca="false">IF(L1114=1,M1114+N1114-$B$29,M1114)</f>
        <v>1.04062110040104E-008</v>
      </c>
      <c r="P1114" s="56" t="n">
        <f aca="false">IF(L1114=1,IF($B$29&lt;=N1114,1,0),0)</f>
        <v>0</v>
      </c>
      <c r="Q1114" s="58" t="n">
        <f aca="false">Q1113+N1114</f>
        <v>215608.5191027</v>
      </c>
    </row>
    <row r="1115" customFormat="false" ht="15" hidden="false" customHeight="false" outlineLevel="0" collapsed="false">
      <c r="K1115" s="56" t="n">
        <f aca="false">K1114+1</f>
        <v>1108</v>
      </c>
      <c r="L1115" s="57" t="n">
        <f aca="false">IF(AND(K1115&lt;=Assumptions!$C$42,L1114=1,P1114=0,O1114&gt;Assumptions!$C$43),1,0)</f>
        <v>0</v>
      </c>
      <c r="M1115" s="58" t="n">
        <f aca="false">O1114</f>
        <v>1.04062110040104E-008</v>
      </c>
      <c r="N1115" s="58" t="n">
        <f aca="false">IF(L1115=1,M1115*$B$25,0)</f>
        <v>0</v>
      </c>
      <c r="O1115" s="58" t="n">
        <f aca="false">IF(L1115=1,M1115+N1115-$B$29,M1115)</f>
        <v>1.04062110040104E-008</v>
      </c>
      <c r="P1115" s="56" t="n">
        <f aca="false">IF(L1115=1,IF($B$29&lt;=N1115,1,0),0)</f>
        <v>0</v>
      </c>
      <c r="Q1115" s="58" t="n">
        <f aca="false">Q1114+N1115</f>
        <v>215608.5191027</v>
      </c>
    </row>
    <row r="1116" customFormat="false" ht="15" hidden="false" customHeight="false" outlineLevel="0" collapsed="false">
      <c r="K1116" s="56" t="n">
        <f aca="false">K1115+1</f>
        <v>1109</v>
      </c>
      <c r="L1116" s="57" t="n">
        <f aca="false">IF(AND(K1116&lt;=Assumptions!$C$42,L1115=1,P1115=0,O1115&gt;Assumptions!$C$43),1,0)</f>
        <v>0</v>
      </c>
      <c r="M1116" s="58" t="n">
        <f aca="false">O1115</f>
        <v>1.04062110040104E-008</v>
      </c>
      <c r="N1116" s="58" t="n">
        <f aca="false">IF(L1116=1,M1116*$B$25,0)</f>
        <v>0</v>
      </c>
      <c r="O1116" s="58" t="n">
        <f aca="false">IF(L1116=1,M1116+N1116-$B$29,M1116)</f>
        <v>1.04062110040104E-008</v>
      </c>
      <c r="P1116" s="56" t="n">
        <f aca="false">IF(L1116=1,IF($B$29&lt;=N1116,1,0),0)</f>
        <v>0</v>
      </c>
      <c r="Q1116" s="58" t="n">
        <f aca="false">Q1115+N1116</f>
        <v>215608.5191027</v>
      </c>
    </row>
    <row r="1117" customFormat="false" ht="15" hidden="false" customHeight="false" outlineLevel="0" collapsed="false">
      <c r="K1117" s="56" t="n">
        <f aca="false">K1116+1</f>
        <v>1110</v>
      </c>
      <c r="L1117" s="57" t="n">
        <f aca="false">IF(AND(K1117&lt;=Assumptions!$C$42,L1116=1,P1116=0,O1116&gt;Assumptions!$C$43),1,0)</f>
        <v>0</v>
      </c>
      <c r="M1117" s="58" t="n">
        <f aca="false">O1116</f>
        <v>1.04062110040104E-008</v>
      </c>
      <c r="N1117" s="58" t="n">
        <f aca="false">IF(L1117=1,M1117*$B$25,0)</f>
        <v>0</v>
      </c>
      <c r="O1117" s="58" t="n">
        <f aca="false">IF(L1117=1,M1117+N1117-$B$29,M1117)</f>
        <v>1.04062110040104E-008</v>
      </c>
      <c r="P1117" s="56" t="n">
        <f aca="false">IF(L1117=1,IF($B$29&lt;=N1117,1,0),0)</f>
        <v>0</v>
      </c>
      <c r="Q1117" s="58" t="n">
        <f aca="false">Q1116+N1117</f>
        <v>215608.5191027</v>
      </c>
    </row>
    <row r="1118" customFormat="false" ht="15" hidden="false" customHeight="false" outlineLevel="0" collapsed="false">
      <c r="K1118" s="56" t="n">
        <f aca="false">K1117+1</f>
        <v>1111</v>
      </c>
      <c r="L1118" s="57" t="n">
        <f aca="false">IF(AND(K1118&lt;=Assumptions!$C$42,L1117=1,P1117=0,O1117&gt;Assumptions!$C$43),1,0)</f>
        <v>0</v>
      </c>
      <c r="M1118" s="58" t="n">
        <f aca="false">O1117</f>
        <v>1.04062110040104E-008</v>
      </c>
      <c r="N1118" s="58" t="n">
        <f aca="false">IF(L1118=1,M1118*$B$25,0)</f>
        <v>0</v>
      </c>
      <c r="O1118" s="58" t="n">
        <f aca="false">IF(L1118=1,M1118+N1118-$B$29,M1118)</f>
        <v>1.04062110040104E-008</v>
      </c>
      <c r="P1118" s="56" t="n">
        <f aca="false">IF(L1118=1,IF($B$29&lt;=N1118,1,0),0)</f>
        <v>0</v>
      </c>
      <c r="Q1118" s="58" t="n">
        <f aca="false">Q1117+N1118</f>
        <v>215608.5191027</v>
      </c>
    </row>
    <row r="1119" customFormat="false" ht="15" hidden="false" customHeight="false" outlineLevel="0" collapsed="false">
      <c r="K1119" s="56" t="n">
        <f aca="false">K1118+1</f>
        <v>1112</v>
      </c>
      <c r="L1119" s="57" t="n">
        <f aca="false">IF(AND(K1119&lt;=Assumptions!$C$42,L1118=1,P1118=0,O1118&gt;Assumptions!$C$43),1,0)</f>
        <v>0</v>
      </c>
      <c r="M1119" s="58" t="n">
        <f aca="false">O1118</f>
        <v>1.04062110040104E-008</v>
      </c>
      <c r="N1119" s="58" t="n">
        <f aca="false">IF(L1119=1,M1119*$B$25,0)</f>
        <v>0</v>
      </c>
      <c r="O1119" s="58" t="n">
        <f aca="false">IF(L1119=1,M1119+N1119-$B$29,M1119)</f>
        <v>1.04062110040104E-008</v>
      </c>
      <c r="P1119" s="56" t="n">
        <f aca="false">IF(L1119=1,IF($B$29&lt;=N1119,1,0),0)</f>
        <v>0</v>
      </c>
      <c r="Q1119" s="58" t="n">
        <f aca="false">Q1118+N1119</f>
        <v>215608.5191027</v>
      </c>
    </row>
    <row r="1120" customFormat="false" ht="15" hidden="false" customHeight="false" outlineLevel="0" collapsed="false">
      <c r="K1120" s="56" t="n">
        <f aca="false">K1119+1</f>
        <v>1113</v>
      </c>
      <c r="L1120" s="57" t="n">
        <f aca="false">IF(AND(K1120&lt;=Assumptions!$C$42,L1119=1,P1119=0,O1119&gt;Assumptions!$C$43),1,0)</f>
        <v>0</v>
      </c>
      <c r="M1120" s="58" t="n">
        <f aca="false">O1119</f>
        <v>1.04062110040104E-008</v>
      </c>
      <c r="N1120" s="58" t="n">
        <f aca="false">IF(L1120=1,M1120*$B$25,0)</f>
        <v>0</v>
      </c>
      <c r="O1120" s="58" t="n">
        <f aca="false">IF(L1120=1,M1120+N1120-$B$29,M1120)</f>
        <v>1.04062110040104E-008</v>
      </c>
      <c r="P1120" s="56" t="n">
        <f aca="false">IF(L1120=1,IF($B$29&lt;=N1120,1,0),0)</f>
        <v>0</v>
      </c>
      <c r="Q1120" s="58" t="n">
        <f aca="false">Q1119+N1120</f>
        <v>215608.5191027</v>
      </c>
    </row>
    <row r="1121" customFormat="false" ht="15" hidden="false" customHeight="false" outlineLevel="0" collapsed="false">
      <c r="K1121" s="56" t="n">
        <f aca="false">K1120+1</f>
        <v>1114</v>
      </c>
      <c r="L1121" s="57" t="n">
        <f aca="false">IF(AND(K1121&lt;=Assumptions!$C$42,L1120=1,P1120=0,O1120&gt;Assumptions!$C$43),1,0)</f>
        <v>0</v>
      </c>
      <c r="M1121" s="58" t="n">
        <f aca="false">O1120</f>
        <v>1.04062110040104E-008</v>
      </c>
      <c r="N1121" s="58" t="n">
        <f aca="false">IF(L1121=1,M1121*$B$25,0)</f>
        <v>0</v>
      </c>
      <c r="O1121" s="58" t="n">
        <f aca="false">IF(L1121=1,M1121+N1121-$B$29,M1121)</f>
        <v>1.04062110040104E-008</v>
      </c>
      <c r="P1121" s="56" t="n">
        <f aca="false">IF(L1121=1,IF($B$29&lt;=N1121,1,0),0)</f>
        <v>0</v>
      </c>
      <c r="Q1121" s="58" t="n">
        <f aca="false">Q1120+N1121</f>
        <v>215608.5191027</v>
      </c>
    </row>
    <row r="1122" customFormat="false" ht="15" hidden="false" customHeight="false" outlineLevel="0" collapsed="false">
      <c r="K1122" s="56" t="n">
        <f aca="false">K1121+1</f>
        <v>1115</v>
      </c>
      <c r="L1122" s="57" t="n">
        <f aca="false">IF(AND(K1122&lt;=Assumptions!$C$42,L1121=1,P1121=0,O1121&gt;Assumptions!$C$43),1,0)</f>
        <v>0</v>
      </c>
      <c r="M1122" s="58" t="n">
        <f aca="false">O1121</f>
        <v>1.04062110040104E-008</v>
      </c>
      <c r="N1122" s="58" t="n">
        <f aca="false">IF(L1122=1,M1122*$B$25,0)</f>
        <v>0</v>
      </c>
      <c r="O1122" s="58" t="n">
        <f aca="false">IF(L1122=1,M1122+N1122-$B$29,M1122)</f>
        <v>1.04062110040104E-008</v>
      </c>
      <c r="P1122" s="56" t="n">
        <f aca="false">IF(L1122=1,IF($B$29&lt;=N1122,1,0),0)</f>
        <v>0</v>
      </c>
      <c r="Q1122" s="58" t="n">
        <f aca="false">Q1121+N1122</f>
        <v>215608.5191027</v>
      </c>
    </row>
    <row r="1123" customFormat="false" ht="15" hidden="false" customHeight="false" outlineLevel="0" collapsed="false">
      <c r="K1123" s="56" t="n">
        <f aca="false">K1122+1</f>
        <v>1116</v>
      </c>
      <c r="L1123" s="57" t="n">
        <f aca="false">IF(AND(K1123&lt;=Assumptions!$C$42,L1122=1,P1122=0,O1122&gt;Assumptions!$C$43),1,0)</f>
        <v>0</v>
      </c>
      <c r="M1123" s="58" t="n">
        <f aca="false">O1122</f>
        <v>1.04062110040104E-008</v>
      </c>
      <c r="N1123" s="58" t="n">
        <f aca="false">IF(L1123=1,M1123*$B$25,0)</f>
        <v>0</v>
      </c>
      <c r="O1123" s="58" t="n">
        <f aca="false">IF(L1123=1,M1123+N1123-$B$29,M1123)</f>
        <v>1.04062110040104E-008</v>
      </c>
      <c r="P1123" s="56" t="n">
        <f aca="false">IF(L1123=1,IF($B$29&lt;=N1123,1,0),0)</f>
        <v>0</v>
      </c>
      <c r="Q1123" s="58" t="n">
        <f aca="false">Q1122+N1123</f>
        <v>215608.5191027</v>
      </c>
    </row>
    <row r="1124" customFormat="false" ht="15" hidden="false" customHeight="false" outlineLevel="0" collapsed="false">
      <c r="K1124" s="56" t="n">
        <f aca="false">K1123+1</f>
        <v>1117</v>
      </c>
      <c r="L1124" s="57" t="n">
        <f aca="false">IF(AND(K1124&lt;=Assumptions!$C$42,L1123=1,P1123=0,O1123&gt;Assumptions!$C$43),1,0)</f>
        <v>0</v>
      </c>
      <c r="M1124" s="58" t="n">
        <f aca="false">O1123</f>
        <v>1.04062110040104E-008</v>
      </c>
      <c r="N1124" s="58" t="n">
        <f aca="false">IF(L1124=1,M1124*$B$25,0)</f>
        <v>0</v>
      </c>
      <c r="O1124" s="58" t="n">
        <f aca="false">IF(L1124=1,M1124+N1124-$B$29,M1124)</f>
        <v>1.04062110040104E-008</v>
      </c>
      <c r="P1124" s="56" t="n">
        <f aca="false">IF(L1124=1,IF($B$29&lt;=N1124,1,0),0)</f>
        <v>0</v>
      </c>
      <c r="Q1124" s="58" t="n">
        <f aca="false">Q1123+N1124</f>
        <v>215608.5191027</v>
      </c>
    </row>
    <row r="1125" customFormat="false" ht="15" hidden="false" customHeight="false" outlineLevel="0" collapsed="false">
      <c r="K1125" s="56" t="n">
        <f aca="false">K1124+1</f>
        <v>1118</v>
      </c>
      <c r="L1125" s="57" t="n">
        <f aca="false">IF(AND(K1125&lt;=Assumptions!$C$42,L1124=1,P1124=0,O1124&gt;Assumptions!$C$43),1,0)</f>
        <v>0</v>
      </c>
      <c r="M1125" s="58" t="n">
        <f aca="false">O1124</f>
        <v>1.04062110040104E-008</v>
      </c>
      <c r="N1125" s="58" t="n">
        <f aca="false">IF(L1125=1,M1125*$B$25,0)</f>
        <v>0</v>
      </c>
      <c r="O1125" s="58" t="n">
        <f aca="false">IF(L1125=1,M1125+N1125-$B$29,M1125)</f>
        <v>1.04062110040104E-008</v>
      </c>
      <c r="P1125" s="56" t="n">
        <f aca="false">IF(L1125=1,IF($B$29&lt;=N1125,1,0),0)</f>
        <v>0</v>
      </c>
      <c r="Q1125" s="58" t="n">
        <f aca="false">Q1124+N1125</f>
        <v>215608.5191027</v>
      </c>
    </row>
    <row r="1126" customFormat="false" ht="15" hidden="false" customHeight="false" outlineLevel="0" collapsed="false">
      <c r="K1126" s="56" t="n">
        <f aca="false">K1125+1</f>
        <v>1119</v>
      </c>
      <c r="L1126" s="57" t="n">
        <f aca="false">IF(AND(K1126&lt;=Assumptions!$C$42,L1125=1,P1125=0,O1125&gt;Assumptions!$C$43),1,0)</f>
        <v>0</v>
      </c>
      <c r="M1126" s="58" t="n">
        <f aca="false">O1125</f>
        <v>1.04062110040104E-008</v>
      </c>
      <c r="N1126" s="58" t="n">
        <f aca="false">IF(L1126=1,M1126*$B$25,0)</f>
        <v>0</v>
      </c>
      <c r="O1126" s="58" t="n">
        <f aca="false">IF(L1126=1,M1126+N1126-$B$29,M1126)</f>
        <v>1.04062110040104E-008</v>
      </c>
      <c r="P1126" s="56" t="n">
        <f aca="false">IF(L1126=1,IF($B$29&lt;=N1126,1,0),0)</f>
        <v>0</v>
      </c>
      <c r="Q1126" s="58" t="n">
        <f aca="false">Q1125+N1126</f>
        <v>215608.5191027</v>
      </c>
    </row>
    <row r="1127" customFormat="false" ht="15" hidden="false" customHeight="false" outlineLevel="0" collapsed="false">
      <c r="K1127" s="56" t="n">
        <f aca="false">K1126+1</f>
        <v>1120</v>
      </c>
      <c r="L1127" s="57" t="n">
        <f aca="false">IF(AND(K1127&lt;=Assumptions!$C$42,L1126=1,P1126=0,O1126&gt;Assumptions!$C$43),1,0)</f>
        <v>0</v>
      </c>
      <c r="M1127" s="58" t="n">
        <f aca="false">O1126</f>
        <v>1.04062110040104E-008</v>
      </c>
      <c r="N1127" s="58" t="n">
        <f aca="false">IF(L1127=1,M1127*$B$25,0)</f>
        <v>0</v>
      </c>
      <c r="O1127" s="58" t="n">
        <f aca="false">IF(L1127=1,M1127+N1127-$B$29,M1127)</f>
        <v>1.04062110040104E-008</v>
      </c>
      <c r="P1127" s="56" t="n">
        <f aca="false">IF(L1127=1,IF($B$29&lt;=N1127,1,0),0)</f>
        <v>0</v>
      </c>
      <c r="Q1127" s="58" t="n">
        <f aca="false">Q1126+N1127</f>
        <v>215608.5191027</v>
      </c>
    </row>
    <row r="1128" customFormat="false" ht="15" hidden="false" customHeight="false" outlineLevel="0" collapsed="false">
      <c r="K1128" s="56" t="n">
        <f aca="false">K1127+1</f>
        <v>1121</v>
      </c>
      <c r="L1128" s="57" t="n">
        <f aca="false">IF(AND(K1128&lt;=Assumptions!$C$42,L1127=1,P1127=0,O1127&gt;Assumptions!$C$43),1,0)</f>
        <v>0</v>
      </c>
      <c r="M1128" s="58" t="n">
        <f aca="false">O1127</f>
        <v>1.04062110040104E-008</v>
      </c>
      <c r="N1128" s="58" t="n">
        <f aca="false">IF(L1128=1,M1128*$B$25,0)</f>
        <v>0</v>
      </c>
      <c r="O1128" s="58" t="n">
        <f aca="false">IF(L1128=1,M1128+N1128-$B$29,M1128)</f>
        <v>1.04062110040104E-008</v>
      </c>
      <c r="P1128" s="56" t="n">
        <f aca="false">IF(L1128=1,IF($B$29&lt;=N1128,1,0),0)</f>
        <v>0</v>
      </c>
      <c r="Q1128" s="58" t="n">
        <f aca="false">Q1127+N1128</f>
        <v>215608.5191027</v>
      </c>
    </row>
    <row r="1129" customFormat="false" ht="15" hidden="false" customHeight="false" outlineLevel="0" collapsed="false">
      <c r="K1129" s="56" t="n">
        <f aca="false">K1128+1</f>
        <v>1122</v>
      </c>
      <c r="L1129" s="57" t="n">
        <f aca="false">IF(AND(K1129&lt;=Assumptions!$C$42,L1128=1,P1128=0,O1128&gt;Assumptions!$C$43),1,0)</f>
        <v>0</v>
      </c>
      <c r="M1129" s="58" t="n">
        <f aca="false">O1128</f>
        <v>1.04062110040104E-008</v>
      </c>
      <c r="N1129" s="58" t="n">
        <f aca="false">IF(L1129=1,M1129*$B$25,0)</f>
        <v>0</v>
      </c>
      <c r="O1129" s="58" t="n">
        <f aca="false">IF(L1129=1,M1129+N1129-$B$29,M1129)</f>
        <v>1.04062110040104E-008</v>
      </c>
      <c r="P1129" s="56" t="n">
        <f aca="false">IF(L1129=1,IF($B$29&lt;=N1129,1,0),0)</f>
        <v>0</v>
      </c>
      <c r="Q1129" s="58" t="n">
        <f aca="false">Q1128+N1129</f>
        <v>215608.5191027</v>
      </c>
    </row>
    <row r="1130" customFormat="false" ht="15" hidden="false" customHeight="false" outlineLevel="0" collapsed="false">
      <c r="K1130" s="56" t="n">
        <f aca="false">K1129+1</f>
        <v>1123</v>
      </c>
      <c r="L1130" s="57" t="n">
        <f aca="false">IF(AND(K1130&lt;=Assumptions!$C$42,L1129=1,P1129=0,O1129&gt;Assumptions!$C$43),1,0)</f>
        <v>0</v>
      </c>
      <c r="M1130" s="58" t="n">
        <f aca="false">O1129</f>
        <v>1.04062110040104E-008</v>
      </c>
      <c r="N1130" s="58" t="n">
        <f aca="false">IF(L1130=1,M1130*$B$25,0)</f>
        <v>0</v>
      </c>
      <c r="O1130" s="58" t="n">
        <f aca="false">IF(L1130=1,M1130+N1130-$B$29,M1130)</f>
        <v>1.04062110040104E-008</v>
      </c>
      <c r="P1130" s="56" t="n">
        <f aca="false">IF(L1130=1,IF($B$29&lt;=N1130,1,0),0)</f>
        <v>0</v>
      </c>
      <c r="Q1130" s="58" t="n">
        <f aca="false">Q1129+N1130</f>
        <v>215608.5191027</v>
      </c>
    </row>
    <row r="1131" customFormat="false" ht="15" hidden="false" customHeight="false" outlineLevel="0" collapsed="false">
      <c r="K1131" s="56" t="n">
        <f aca="false">K1130+1</f>
        <v>1124</v>
      </c>
      <c r="L1131" s="57" t="n">
        <f aca="false">IF(AND(K1131&lt;=Assumptions!$C$42,L1130=1,P1130=0,O1130&gt;Assumptions!$C$43),1,0)</f>
        <v>0</v>
      </c>
      <c r="M1131" s="58" t="n">
        <f aca="false">O1130</f>
        <v>1.04062110040104E-008</v>
      </c>
      <c r="N1131" s="58" t="n">
        <f aca="false">IF(L1131=1,M1131*$B$25,0)</f>
        <v>0</v>
      </c>
      <c r="O1131" s="58" t="n">
        <f aca="false">IF(L1131=1,M1131+N1131-$B$29,M1131)</f>
        <v>1.04062110040104E-008</v>
      </c>
      <c r="P1131" s="56" t="n">
        <f aca="false">IF(L1131=1,IF($B$29&lt;=N1131,1,0),0)</f>
        <v>0</v>
      </c>
      <c r="Q1131" s="58" t="n">
        <f aca="false">Q1130+N1131</f>
        <v>215608.5191027</v>
      </c>
    </row>
    <row r="1132" customFormat="false" ht="15" hidden="false" customHeight="false" outlineLevel="0" collapsed="false">
      <c r="K1132" s="56" t="n">
        <f aca="false">K1131+1</f>
        <v>1125</v>
      </c>
      <c r="L1132" s="57" t="n">
        <f aca="false">IF(AND(K1132&lt;=Assumptions!$C$42,L1131=1,P1131=0,O1131&gt;Assumptions!$C$43),1,0)</f>
        <v>0</v>
      </c>
      <c r="M1132" s="58" t="n">
        <f aca="false">O1131</f>
        <v>1.04062110040104E-008</v>
      </c>
      <c r="N1132" s="58" t="n">
        <f aca="false">IF(L1132=1,M1132*$B$25,0)</f>
        <v>0</v>
      </c>
      <c r="O1132" s="58" t="n">
        <f aca="false">IF(L1132=1,M1132+N1132-$B$29,M1132)</f>
        <v>1.04062110040104E-008</v>
      </c>
      <c r="P1132" s="56" t="n">
        <f aca="false">IF(L1132=1,IF($B$29&lt;=N1132,1,0),0)</f>
        <v>0</v>
      </c>
      <c r="Q1132" s="58" t="n">
        <f aca="false">Q1131+N1132</f>
        <v>215608.5191027</v>
      </c>
    </row>
    <row r="1133" customFormat="false" ht="15" hidden="false" customHeight="false" outlineLevel="0" collapsed="false">
      <c r="K1133" s="56" t="n">
        <f aca="false">K1132+1</f>
        <v>1126</v>
      </c>
      <c r="L1133" s="57" t="n">
        <f aca="false">IF(AND(K1133&lt;=Assumptions!$C$42,L1132=1,P1132=0,O1132&gt;Assumptions!$C$43),1,0)</f>
        <v>0</v>
      </c>
      <c r="M1133" s="58" t="n">
        <f aca="false">O1132</f>
        <v>1.04062110040104E-008</v>
      </c>
      <c r="N1133" s="58" t="n">
        <f aca="false">IF(L1133=1,M1133*$B$25,0)</f>
        <v>0</v>
      </c>
      <c r="O1133" s="58" t="n">
        <f aca="false">IF(L1133=1,M1133+N1133-$B$29,M1133)</f>
        <v>1.04062110040104E-008</v>
      </c>
      <c r="P1133" s="56" t="n">
        <f aca="false">IF(L1133=1,IF($B$29&lt;=N1133,1,0),0)</f>
        <v>0</v>
      </c>
      <c r="Q1133" s="58" t="n">
        <f aca="false">Q1132+N1133</f>
        <v>215608.5191027</v>
      </c>
    </row>
    <row r="1134" customFormat="false" ht="15" hidden="false" customHeight="false" outlineLevel="0" collapsed="false">
      <c r="K1134" s="56" t="n">
        <f aca="false">K1133+1</f>
        <v>1127</v>
      </c>
      <c r="L1134" s="57" t="n">
        <f aca="false">IF(AND(K1134&lt;=Assumptions!$C$42,L1133=1,P1133=0,O1133&gt;Assumptions!$C$43),1,0)</f>
        <v>0</v>
      </c>
      <c r="M1134" s="58" t="n">
        <f aca="false">O1133</f>
        <v>1.04062110040104E-008</v>
      </c>
      <c r="N1134" s="58" t="n">
        <f aca="false">IF(L1134=1,M1134*$B$25,0)</f>
        <v>0</v>
      </c>
      <c r="O1134" s="58" t="n">
        <f aca="false">IF(L1134=1,M1134+N1134-$B$29,M1134)</f>
        <v>1.04062110040104E-008</v>
      </c>
      <c r="P1134" s="56" t="n">
        <f aca="false">IF(L1134=1,IF($B$29&lt;=N1134,1,0),0)</f>
        <v>0</v>
      </c>
      <c r="Q1134" s="58" t="n">
        <f aca="false">Q1133+N1134</f>
        <v>215608.5191027</v>
      </c>
    </row>
    <row r="1135" customFormat="false" ht="15" hidden="false" customHeight="false" outlineLevel="0" collapsed="false">
      <c r="K1135" s="56" t="n">
        <f aca="false">K1134+1</f>
        <v>1128</v>
      </c>
      <c r="L1135" s="57" t="n">
        <f aca="false">IF(AND(K1135&lt;=Assumptions!$C$42,L1134=1,P1134=0,O1134&gt;Assumptions!$C$43),1,0)</f>
        <v>0</v>
      </c>
      <c r="M1135" s="58" t="n">
        <f aca="false">O1134</f>
        <v>1.04062110040104E-008</v>
      </c>
      <c r="N1135" s="58" t="n">
        <f aca="false">IF(L1135=1,M1135*$B$25,0)</f>
        <v>0</v>
      </c>
      <c r="O1135" s="58" t="n">
        <f aca="false">IF(L1135=1,M1135+N1135-$B$29,M1135)</f>
        <v>1.04062110040104E-008</v>
      </c>
      <c r="P1135" s="56" t="n">
        <f aca="false">IF(L1135=1,IF($B$29&lt;=N1135,1,0),0)</f>
        <v>0</v>
      </c>
      <c r="Q1135" s="58" t="n">
        <f aca="false">Q1134+N1135</f>
        <v>215608.5191027</v>
      </c>
    </row>
    <row r="1136" customFormat="false" ht="15" hidden="false" customHeight="false" outlineLevel="0" collapsed="false">
      <c r="K1136" s="56" t="n">
        <f aca="false">K1135+1</f>
        <v>1129</v>
      </c>
      <c r="L1136" s="57" t="n">
        <f aca="false">IF(AND(K1136&lt;=Assumptions!$C$42,L1135=1,P1135=0,O1135&gt;Assumptions!$C$43),1,0)</f>
        <v>0</v>
      </c>
      <c r="M1136" s="58" t="n">
        <f aca="false">O1135</f>
        <v>1.04062110040104E-008</v>
      </c>
      <c r="N1136" s="58" t="n">
        <f aca="false">IF(L1136=1,M1136*$B$25,0)</f>
        <v>0</v>
      </c>
      <c r="O1136" s="58" t="n">
        <f aca="false">IF(L1136=1,M1136+N1136-$B$29,M1136)</f>
        <v>1.04062110040104E-008</v>
      </c>
      <c r="P1136" s="56" t="n">
        <f aca="false">IF(L1136=1,IF($B$29&lt;=N1136,1,0),0)</f>
        <v>0</v>
      </c>
      <c r="Q1136" s="58" t="n">
        <f aca="false">Q1135+N1136</f>
        <v>215608.5191027</v>
      </c>
    </row>
    <row r="1137" customFormat="false" ht="15" hidden="false" customHeight="false" outlineLevel="0" collapsed="false">
      <c r="K1137" s="56" t="n">
        <f aca="false">K1136+1</f>
        <v>1130</v>
      </c>
      <c r="L1137" s="57" t="n">
        <f aca="false">IF(AND(K1137&lt;=Assumptions!$C$42,L1136=1,P1136=0,O1136&gt;Assumptions!$C$43),1,0)</f>
        <v>0</v>
      </c>
      <c r="M1137" s="58" t="n">
        <f aca="false">O1136</f>
        <v>1.04062110040104E-008</v>
      </c>
      <c r="N1137" s="58" t="n">
        <f aca="false">IF(L1137=1,M1137*$B$25,0)</f>
        <v>0</v>
      </c>
      <c r="O1137" s="58" t="n">
        <f aca="false">IF(L1137=1,M1137+N1137-$B$29,M1137)</f>
        <v>1.04062110040104E-008</v>
      </c>
      <c r="P1137" s="56" t="n">
        <f aca="false">IF(L1137=1,IF($B$29&lt;=N1137,1,0),0)</f>
        <v>0</v>
      </c>
      <c r="Q1137" s="58" t="n">
        <f aca="false">Q1136+N1137</f>
        <v>215608.5191027</v>
      </c>
    </row>
    <row r="1138" customFormat="false" ht="15" hidden="false" customHeight="false" outlineLevel="0" collapsed="false">
      <c r="K1138" s="56" t="n">
        <f aca="false">K1137+1</f>
        <v>1131</v>
      </c>
      <c r="L1138" s="57" t="n">
        <f aca="false">IF(AND(K1138&lt;=Assumptions!$C$42,L1137=1,P1137=0,O1137&gt;Assumptions!$C$43),1,0)</f>
        <v>0</v>
      </c>
      <c r="M1138" s="58" t="n">
        <f aca="false">O1137</f>
        <v>1.04062110040104E-008</v>
      </c>
      <c r="N1138" s="58" t="n">
        <f aca="false">IF(L1138=1,M1138*$B$25,0)</f>
        <v>0</v>
      </c>
      <c r="O1138" s="58" t="n">
        <f aca="false">IF(L1138=1,M1138+N1138-$B$29,M1138)</f>
        <v>1.04062110040104E-008</v>
      </c>
      <c r="P1138" s="56" t="n">
        <f aca="false">IF(L1138=1,IF($B$29&lt;=N1138,1,0),0)</f>
        <v>0</v>
      </c>
      <c r="Q1138" s="58" t="n">
        <f aca="false">Q1137+N1138</f>
        <v>215608.5191027</v>
      </c>
    </row>
    <row r="1139" customFormat="false" ht="15" hidden="false" customHeight="false" outlineLevel="0" collapsed="false">
      <c r="K1139" s="56" t="n">
        <f aca="false">K1138+1</f>
        <v>1132</v>
      </c>
      <c r="L1139" s="57" t="n">
        <f aca="false">IF(AND(K1139&lt;=Assumptions!$C$42,L1138=1,P1138=0,O1138&gt;Assumptions!$C$43),1,0)</f>
        <v>0</v>
      </c>
      <c r="M1139" s="58" t="n">
        <f aca="false">O1138</f>
        <v>1.04062110040104E-008</v>
      </c>
      <c r="N1139" s="58" t="n">
        <f aca="false">IF(L1139=1,M1139*$B$25,0)</f>
        <v>0</v>
      </c>
      <c r="O1139" s="58" t="n">
        <f aca="false">IF(L1139=1,M1139+N1139-$B$29,M1139)</f>
        <v>1.04062110040104E-008</v>
      </c>
      <c r="P1139" s="56" t="n">
        <f aca="false">IF(L1139=1,IF($B$29&lt;=N1139,1,0),0)</f>
        <v>0</v>
      </c>
      <c r="Q1139" s="58" t="n">
        <f aca="false">Q1138+N1139</f>
        <v>215608.5191027</v>
      </c>
    </row>
    <row r="1140" customFormat="false" ht="15" hidden="false" customHeight="false" outlineLevel="0" collapsed="false">
      <c r="K1140" s="56" t="n">
        <f aca="false">K1139+1</f>
        <v>1133</v>
      </c>
      <c r="L1140" s="57" t="n">
        <f aca="false">IF(AND(K1140&lt;=Assumptions!$C$42,L1139=1,P1139=0,O1139&gt;Assumptions!$C$43),1,0)</f>
        <v>0</v>
      </c>
      <c r="M1140" s="58" t="n">
        <f aca="false">O1139</f>
        <v>1.04062110040104E-008</v>
      </c>
      <c r="N1140" s="58" t="n">
        <f aca="false">IF(L1140=1,M1140*$B$25,0)</f>
        <v>0</v>
      </c>
      <c r="O1140" s="58" t="n">
        <f aca="false">IF(L1140=1,M1140+N1140-$B$29,M1140)</f>
        <v>1.04062110040104E-008</v>
      </c>
      <c r="P1140" s="56" t="n">
        <f aca="false">IF(L1140=1,IF($B$29&lt;=N1140,1,0),0)</f>
        <v>0</v>
      </c>
      <c r="Q1140" s="58" t="n">
        <f aca="false">Q1139+N1140</f>
        <v>215608.5191027</v>
      </c>
    </row>
    <row r="1141" customFormat="false" ht="15" hidden="false" customHeight="false" outlineLevel="0" collapsed="false">
      <c r="K1141" s="56" t="n">
        <f aca="false">K1140+1</f>
        <v>1134</v>
      </c>
      <c r="L1141" s="57" t="n">
        <f aca="false">IF(AND(K1141&lt;=Assumptions!$C$42,L1140=1,P1140=0,O1140&gt;Assumptions!$C$43),1,0)</f>
        <v>0</v>
      </c>
      <c r="M1141" s="58" t="n">
        <f aca="false">O1140</f>
        <v>1.04062110040104E-008</v>
      </c>
      <c r="N1141" s="58" t="n">
        <f aca="false">IF(L1141=1,M1141*$B$25,0)</f>
        <v>0</v>
      </c>
      <c r="O1141" s="58" t="n">
        <f aca="false">IF(L1141=1,M1141+N1141-$B$29,M1141)</f>
        <v>1.04062110040104E-008</v>
      </c>
      <c r="P1141" s="56" t="n">
        <f aca="false">IF(L1141=1,IF($B$29&lt;=N1141,1,0),0)</f>
        <v>0</v>
      </c>
      <c r="Q1141" s="58" t="n">
        <f aca="false">Q1140+N1141</f>
        <v>215608.5191027</v>
      </c>
    </row>
    <row r="1142" customFormat="false" ht="15" hidden="false" customHeight="false" outlineLevel="0" collapsed="false">
      <c r="K1142" s="56" t="n">
        <f aca="false">K1141+1</f>
        <v>1135</v>
      </c>
      <c r="L1142" s="57" t="n">
        <f aca="false">IF(AND(K1142&lt;=Assumptions!$C$42,L1141=1,P1141=0,O1141&gt;Assumptions!$C$43),1,0)</f>
        <v>0</v>
      </c>
      <c r="M1142" s="58" t="n">
        <f aca="false">O1141</f>
        <v>1.04062110040104E-008</v>
      </c>
      <c r="N1142" s="58" t="n">
        <f aca="false">IF(L1142=1,M1142*$B$25,0)</f>
        <v>0</v>
      </c>
      <c r="O1142" s="58" t="n">
        <f aca="false">IF(L1142=1,M1142+N1142-$B$29,M1142)</f>
        <v>1.04062110040104E-008</v>
      </c>
      <c r="P1142" s="56" t="n">
        <f aca="false">IF(L1142=1,IF($B$29&lt;=N1142,1,0),0)</f>
        <v>0</v>
      </c>
      <c r="Q1142" s="58" t="n">
        <f aca="false">Q1141+N1142</f>
        <v>215608.5191027</v>
      </c>
    </row>
    <row r="1143" customFormat="false" ht="15" hidden="false" customHeight="false" outlineLevel="0" collapsed="false">
      <c r="K1143" s="56" t="n">
        <f aca="false">K1142+1</f>
        <v>1136</v>
      </c>
      <c r="L1143" s="57" t="n">
        <f aca="false">IF(AND(K1143&lt;=Assumptions!$C$42,L1142=1,P1142=0,O1142&gt;Assumptions!$C$43),1,0)</f>
        <v>0</v>
      </c>
      <c r="M1143" s="58" t="n">
        <f aca="false">O1142</f>
        <v>1.04062110040104E-008</v>
      </c>
      <c r="N1143" s="58" t="n">
        <f aca="false">IF(L1143=1,M1143*$B$25,0)</f>
        <v>0</v>
      </c>
      <c r="O1143" s="58" t="n">
        <f aca="false">IF(L1143=1,M1143+N1143-$B$29,M1143)</f>
        <v>1.04062110040104E-008</v>
      </c>
      <c r="P1143" s="56" t="n">
        <f aca="false">IF(L1143=1,IF($B$29&lt;=N1143,1,0),0)</f>
        <v>0</v>
      </c>
      <c r="Q1143" s="58" t="n">
        <f aca="false">Q1142+N1143</f>
        <v>215608.5191027</v>
      </c>
    </row>
    <row r="1144" customFormat="false" ht="15" hidden="false" customHeight="false" outlineLevel="0" collapsed="false">
      <c r="K1144" s="56" t="n">
        <f aca="false">K1143+1</f>
        <v>1137</v>
      </c>
      <c r="L1144" s="57" t="n">
        <f aca="false">IF(AND(K1144&lt;=Assumptions!$C$42,L1143=1,P1143=0,O1143&gt;Assumptions!$C$43),1,0)</f>
        <v>0</v>
      </c>
      <c r="M1144" s="58" t="n">
        <f aca="false">O1143</f>
        <v>1.04062110040104E-008</v>
      </c>
      <c r="N1144" s="58" t="n">
        <f aca="false">IF(L1144=1,M1144*$B$25,0)</f>
        <v>0</v>
      </c>
      <c r="O1144" s="58" t="n">
        <f aca="false">IF(L1144=1,M1144+N1144-$B$29,M1144)</f>
        <v>1.04062110040104E-008</v>
      </c>
      <c r="P1144" s="56" t="n">
        <f aca="false">IF(L1144=1,IF($B$29&lt;=N1144,1,0),0)</f>
        <v>0</v>
      </c>
      <c r="Q1144" s="58" t="n">
        <f aca="false">Q1143+N1144</f>
        <v>215608.5191027</v>
      </c>
    </row>
    <row r="1145" customFormat="false" ht="15" hidden="false" customHeight="false" outlineLevel="0" collapsed="false">
      <c r="K1145" s="56" t="n">
        <f aca="false">K1144+1</f>
        <v>1138</v>
      </c>
      <c r="L1145" s="57" t="n">
        <f aca="false">IF(AND(K1145&lt;=Assumptions!$C$42,L1144=1,P1144=0,O1144&gt;Assumptions!$C$43),1,0)</f>
        <v>0</v>
      </c>
      <c r="M1145" s="58" t="n">
        <f aca="false">O1144</f>
        <v>1.04062110040104E-008</v>
      </c>
      <c r="N1145" s="58" t="n">
        <f aca="false">IF(L1145=1,M1145*$B$25,0)</f>
        <v>0</v>
      </c>
      <c r="O1145" s="58" t="n">
        <f aca="false">IF(L1145=1,M1145+N1145-$B$29,M1145)</f>
        <v>1.04062110040104E-008</v>
      </c>
      <c r="P1145" s="56" t="n">
        <f aca="false">IF(L1145=1,IF($B$29&lt;=N1145,1,0),0)</f>
        <v>0</v>
      </c>
      <c r="Q1145" s="58" t="n">
        <f aca="false">Q1144+N1145</f>
        <v>215608.5191027</v>
      </c>
    </row>
    <row r="1146" customFormat="false" ht="15" hidden="false" customHeight="false" outlineLevel="0" collapsed="false">
      <c r="K1146" s="56" t="n">
        <f aca="false">K1145+1</f>
        <v>1139</v>
      </c>
      <c r="L1146" s="57" t="n">
        <f aca="false">IF(AND(K1146&lt;=Assumptions!$C$42,L1145=1,P1145=0,O1145&gt;Assumptions!$C$43),1,0)</f>
        <v>0</v>
      </c>
      <c r="M1146" s="58" t="n">
        <f aca="false">O1145</f>
        <v>1.04062110040104E-008</v>
      </c>
      <c r="N1146" s="58" t="n">
        <f aca="false">IF(L1146=1,M1146*$B$25,0)</f>
        <v>0</v>
      </c>
      <c r="O1146" s="58" t="n">
        <f aca="false">IF(L1146=1,M1146+N1146-$B$29,M1146)</f>
        <v>1.04062110040104E-008</v>
      </c>
      <c r="P1146" s="56" t="n">
        <f aca="false">IF(L1146=1,IF($B$29&lt;=N1146,1,0),0)</f>
        <v>0</v>
      </c>
      <c r="Q1146" s="58" t="n">
        <f aca="false">Q1145+N1146</f>
        <v>215608.5191027</v>
      </c>
    </row>
    <row r="1147" customFormat="false" ht="15" hidden="false" customHeight="false" outlineLevel="0" collapsed="false">
      <c r="K1147" s="56" t="n">
        <f aca="false">K1146+1</f>
        <v>1140</v>
      </c>
      <c r="L1147" s="57" t="n">
        <f aca="false">IF(AND(K1147&lt;=Assumptions!$C$42,L1146=1,P1146=0,O1146&gt;Assumptions!$C$43),1,0)</f>
        <v>0</v>
      </c>
      <c r="M1147" s="58" t="n">
        <f aca="false">O1146</f>
        <v>1.04062110040104E-008</v>
      </c>
      <c r="N1147" s="58" t="n">
        <f aca="false">IF(L1147=1,M1147*$B$25,0)</f>
        <v>0</v>
      </c>
      <c r="O1147" s="58" t="n">
        <f aca="false">IF(L1147=1,M1147+N1147-$B$29,M1147)</f>
        <v>1.04062110040104E-008</v>
      </c>
      <c r="P1147" s="56" t="n">
        <f aca="false">IF(L1147=1,IF($B$29&lt;=N1147,1,0),0)</f>
        <v>0</v>
      </c>
      <c r="Q1147" s="58" t="n">
        <f aca="false">Q1146+N1147</f>
        <v>215608.5191027</v>
      </c>
    </row>
    <row r="1148" customFormat="false" ht="15" hidden="false" customHeight="false" outlineLevel="0" collapsed="false">
      <c r="K1148" s="56" t="n">
        <f aca="false">K1147+1</f>
        <v>1141</v>
      </c>
      <c r="L1148" s="57" t="n">
        <f aca="false">IF(AND(K1148&lt;=Assumptions!$C$42,L1147=1,P1147=0,O1147&gt;Assumptions!$C$43),1,0)</f>
        <v>0</v>
      </c>
      <c r="M1148" s="58" t="n">
        <f aca="false">O1147</f>
        <v>1.04062110040104E-008</v>
      </c>
      <c r="N1148" s="58" t="n">
        <f aca="false">IF(L1148=1,M1148*$B$25,0)</f>
        <v>0</v>
      </c>
      <c r="O1148" s="58" t="n">
        <f aca="false">IF(L1148=1,M1148+N1148-$B$29,M1148)</f>
        <v>1.04062110040104E-008</v>
      </c>
      <c r="P1148" s="56" t="n">
        <f aca="false">IF(L1148=1,IF($B$29&lt;=N1148,1,0),0)</f>
        <v>0</v>
      </c>
      <c r="Q1148" s="58" t="n">
        <f aca="false">Q1147+N1148</f>
        <v>215608.5191027</v>
      </c>
    </row>
    <row r="1149" customFormat="false" ht="15" hidden="false" customHeight="false" outlineLevel="0" collapsed="false">
      <c r="K1149" s="56" t="n">
        <f aca="false">K1148+1</f>
        <v>1142</v>
      </c>
      <c r="L1149" s="57" t="n">
        <f aca="false">IF(AND(K1149&lt;=Assumptions!$C$42,L1148=1,P1148=0,O1148&gt;Assumptions!$C$43),1,0)</f>
        <v>0</v>
      </c>
      <c r="M1149" s="58" t="n">
        <f aca="false">O1148</f>
        <v>1.04062110040104E-008</v>
      </c>
      <c r="N1149" s="58" t="n">
        <f aca="false">IF(L1149=1,M1149*$B$25,0)</f>
        <v>0</v>
      </c>
      <c r="O1149" s="58" t="n">
        <f aca="false">IF(L1149=1,M1149+N1149-$B$29,M1149)</f>
        <v>1.04062110040104E-008</v>
      </c>
      <c r="P1149" s="56" t="n">
        <f aca="false">IF(L1149=1,IF($B$29&lt;=N1149,1,0),0)</f>
        <v>0</v>
      </c>
      <c r="Q1149" s="58" t="n">
        <f aca="false">Q1148+N1149</f>
        <v>215608.5191027</v>
      </c>
    </row>
    <row r="1150" customFormat="false" ht="15" hidden="false" customHeight="false" outlineLevel="0" collapsed="false">
      <c r="K1150" s="56" t="n">
        <f aca="false">K1149+1</f>
        <v>1143</v>
      </c>
      <c r="L1150" s="57" t="n">
        <f aca="false">IF(AND(K1150&lt;=Assumptions!$C$42,L1149=1,P1149=0,O1149&gt;Assumptions!$C$43),1,0)</f>
        <v>0</v>
      </c>
      <c r="M1150" s="58" t="n">
        <f aca="false">O1149</f>
        <v>1.04062110040104E-008</v>
      </c>
      <c r="N1150" s="58" t="n">
        <f aca="false">IF(L1150=1,M1150*$B$25,0)</f>
        <v>0</v>
      </c>
      <c r="O1150" s="58" t="n">
        <f aca="false">IF(L1150=1,M1150+N1150-$B$29,M1150)</f>
        <v>1.04062110040104E-008</v>
      </c>
      <c r="P1150" s="56" t="n">
        <f aca="false">IF(L1150=1,IF($B$29&lt;=N1150,1,0),0)</f>
        <v>0</v>
      </c>
      <c r="Q1150" s="58" t="n">
        <f aca="false">Q1149+N1150</f>
        <v>215608.5191027</v>
      </c>
    </row>
    <row r="1151" customFormat="false" ht="15" hidden="false" customHeight="false" outlineLevel="0" collapsed="false">
      <c r="K1151" s="56" t="n">
        <f aca="false">K1150+1</f>
        <v>1144</v>
      </c>
      <c r="L1151" s="57" t="n">
        <f aca="false">IF(AND(K1151&lt;=Assumptions!$C$42,L1150=1,P1150=0,O1150&gt;Assumptions!$C$43),1,0)</f>
        <v>0</v>
      </c>
      <c r="M1151" s="58" t="n">
        <f aca="false">O1150</f>
        <v>1.04062110040104E-008</v>
      </c>
      <c r="N1151" s="58" t="n">
        <f aca="false">IF(L1151=1,M1151*$B$25,0)</f>
        <v>0</v>
      </c>
      <c r="O1151" s="58" t="n">
        <f aca="false">IF(L1151=1,M1151+N1151-$B$29,M1151)</f>
        <v>1.04062110040104E-008</v>
      </c>
      <c r="P1151" s="56" t="n">
        <f aca="false">IF(L1151=1,IF($B$29&lt;=N1151,1,0),0)</f>
        <v>0</v>
      </c>
      <c r="Q1151" s="58" t="n">
        <f aca="false">Q1150+N1151</f>
        <v>215608.5191027</v>
      </c>
    </row>
    <row r="1152" customFormat="false" ht="15" hidden="false" customHeight="false" outlineLevel="0" collapsed="false">
      <c r="K1152" s="56" t="n">
        <f aca="false">K1151+1</f>
        <v>1145</v>
      </c>
      <c r="L1152" s="57" t="n">
        <f aca="false">IF(AND(K1152&lt;=Assumptions!$C$42,L1151=1,P1151=0,O1151&gt;Assumptions!$C$43),1,0)</f>
        <v>0</v>
      </c>
      <c r="M1152" s="58" t="n">
        <f aca="false">O1151</f>
        <v>1.04062110040104E-008</v>
      </c>
      <c r="N1152" s="58" t="n">
        <f aca="false">IF(L1152=1,M1152*$B$25,0)</f>
        <v>0</v>
      </c>
      <c r="O1152" s="58" t="n">
        <f aca="false">IF(L1152=1,M1152+N1152-$B$29,M1152)</f>
        <v>1.04062110040104E-008</v>
      </c>
      <c r="P1152" s="56" t="n">
        <f aca="false">IF(L1152=1,IF($B$29&lt;=N1152,1,0),0)</f>
        <v>0</v>
      </c>
      <c r="Q1152" s="58" t="n">
        <f aca="false">Q1151+N1152</f>
        <v>215608.5191027</v>
      </c>
    </row>
    <row r="1153" customFormat="false" ht="15" hidden="false" customHeight="false" outlineLevel="0" collapsed="false">
      <c r="K1153" s="56" t="n">
        <f aca="false">K1152+1</f>
        <v>1146</v>
      </c>
      <c r="L1153" s="57" t="n">
        <f aca="false">IF(AND(K1153&lt;=Assumptions!$C$42,L1152=1,P1152=0,O1152&gt;Assumptions!$C$43),1,0)</f>
        <v>0</v>
      </c>
      <c r="M1153" s="58" t="n">
        <f aca="false">O1152</f>
        <v>1.04062110040104E-008</v>
      </c>
      <c r="N1153" s="58" t="n">
        <f aca="false">IF(L1153=1,M1153*$B$25,0)</f>
        <v>0</v>
      </c>
      <c r="O1153" s="58" t="n">
        <f aca="false">IF(L1153=1,M1153+N1153-$B$29,M1153)</f>
        <v>1.04062110040104E-008</v>
      </c>
      <c r="P1153" s="56" t="n">
        <f aca="false">IF(L1153=1,IF($B$29&lt;=N1153,1,0),0)</f>
        <v>0</v>
      </c>
      <c r="Q1153" s="58" t="n">
        <f aca="false">Q1152+N1153</f>
        <v>215608.5191027</v>
      </c>
    </row>
    <row r="1154" customFormat="false" ht="15" hidden="false" customHeight="false" outlineLevel="0" collapsed="false">
      <c r="K1154" s="56" t="n">
        <f aca="false">K1153+1</f>
        <v>1147</v>
      </c>
      <c r="L1154" s="57" t="n">
        <f aca="false">IF(AND(K1154&lt;=Assumptions!$C$42,L1153=1,P1153=0,O1153&gt;Assumptions!$C$43),1,0)</f>
        <v>0</v>
      </c>
      <c r="M1154" s="58" t="n">
        <f aca="false">O1153</f>
        <v>1.04062110040104E-008</v>
      </c>
      <c r="N1154" s="58" t="n">
        <f aca="false">IF(L1154=1,M1154*$B$25,0)</f>
        <v>0</v>
      </c>
      <c r="O1154" s="58" t="n">
        <f aca="false">IF(L1154=1,M1154+N1154-$B$29,M1154)</f>
        <v>1.04062110040104E-008</v>
      </c>
      <c r="P1154" s="56" t="n">
        <f aca="false">IF(L1154=1,IF($B$29&lt;=N1154,1,0),0)</f>
        <v>0</v>
      </c>
      <c r="Q1154" s="58" t="n">
        <f aca="false">Q1153+N1154</f>
        <v>215608.5191027</v>
      </c>
    </row>
    <row r="1155" customFormat="false" ht="15" hidden="false" customHeight="false" outlineLevel="0" collapsed="false">
      <c r="K1155" s="56" t="n">
        <f aca="false">K1154+1</f>
        <v>1148</v>
      </c>
      <c r="L1155" s="57" t="n">
        <f aca="false">IF(AND(K1155&lt;=Assumptions!$C$42,L1154=1,P1154=0,O1154&gt;Assumptions!$C$43),1,0)</f>
        <v>0</v>
      </c>
      <c r="M1155" s="58" t="n">
        <f aca="false">O1154</f>
        <v>1.04062110040104E-008</v>
      </c>
      <c r="N1155" s="58" t="n">
        <f aca="false">IF(L1155=1,M1155*$B$25,0)</f>
        <v>0</v>
      </c>
      <c r="O1155" s="58" t="n">
        <f aca="false">IF(L1155=1,M1155+N1155-$B$29,M1155)</f>
        <v>1.04062110040104E-008</v>
      </c>
      <c r="P1155" s="56" t="n">
        <f aca="false">IF(L1155=1,IF($B$29&lt;=N1155,1,0),0)</f>
        <v>0</v>
      </c>
      <c r="Q1155" s="58" t="n">
        <f aca="false">Q1154+N1155</f>
        <v>215608.5191027</v>
      </c>
    </row>
    <row r="1156" customFormat="false" ht="15" hidden="false" customHeight="false" outlineLevel="0" collapsed="false">
      <c r="K1156" s="56" t="n">
        <f aca="false">K1155+1</f>
        <v>1149</v>
      </c>
      <c r="L1156" s="57" t="n">
        <f aca="false">IF(AND(K1156&lt;=Assumptions!$C$42,L1155=1,P1155=0,O1155&gt;Assumptions!$C$43),1,0)</f>
        <v>0</v>
      </c>
      <c r="M1156" s="58" t="n">
        <f aca="false">O1155</f>
        <v>1.04062110040104E-008</v>
      </c>
      <c r="N1156" s="58" t="n">
        <f aca="false">IF(L1156=1,M1156*$B$25,0)</f>
        <v>0</v>
      </c>
      <c r="O1156" s="58" t="n">
        <f aca="false">IF(L1156=1,M1156+N1156-$B$29,M1156)</f>
        <v>1.04062110040104E-008</v>
      </c>
      <c r="P1156" s="56" t="n">
        <f aca="false">IF(L1156=1,IF($B$29&lt;=N1156,1,0),0)</f>
        <v>0</v>
      </c>
      <c r="Q1156" s="58" t="n">
        <f aca="false">Q1155+N1156</f>
        <v>215608.5191027</v>
      </c>
    </row>
    <row r="1157" customFormat="false" ht="15" hidden="false" customHeight="false" outlineLevel="0" collapsed="false">
      <c r="K1157" s="56" t="n">
        <f aca="false">K1156+1</f>
        <v>1150</v>
      </c>
      <c r="L1157" s="57" t="n">
        <f aca="false">IF(AND(K1157&lt;=Assumptions!$C$42,L1156=1,P1156=0,O1156&gt;Assumptions!$C$43),1,0)</f>
        <v>0</v>
      </c>
      <c r="M1157" s="58" t="n">
        <f aca="false">O1156</f>
        <v>1.04062110040104E-008</v>
      </c>
      <c r="N1157" s="58" t="n">
        <f aca="false">IF(L1157=1,M1157*$B$25,0)</f>
        <v>0</v>
      </c>
      <c r="O1157" s="58" t="n">
        <f aca="false">IF(L1157=1,M1157+N1157-$B$29,M1157)</f>
        <v>1.04062110040104E-008</v>
      </c>
      <c r="P1157" s="56" t="n">
        <f aca="false">IF(L1157=1,IF($B$29&lt;=N1157,1,0),0)</f>
        <v>0</v>
      </c>
      <c r="Q1157" s="58" t="n">
        <f aca="false">Q1156+N1157</f>
        <v>215608.5191027</v>
      </c>
    </row>
    <row r="1158" customFormat="false" ht="15" hidden="false" customHeight="false" outlineLevel="0" collapsed="false">
      <c r="K1158" s="56" t="n">
        <f aca="false">K1157+1</f>
        <v>1151</v>
      </c>
      <c r="L1158" s="57" t="n">
        <f aca="false">IF(AND(K1158&lt;=Assumptions!$C$42,L1157=1,P1157=0,O1157&gt;Assumptions!$C$43),1,0)</f>
        <v>0</v>
      </c>
      <c r="M1158" s="58" t="n">
        <f aca="false">O1157</f>
        <v>1.04062110040104E-008</v>
      </c>
      <c r="N1158" s="58" t="n">
        <f aca="false">IF(L1158=1,M1158*$B$25,0)</f>
        <v>0</v>
      </c>
      <c r="O1158" s="58" t="n">
        <f aca="false">IF(L1158=1,M1158+N1158-$B$29,M1158)</f>
        <v>1.04062110040104E-008</v>
      </c>
      <c r="P1158" s="56" t="n">
        <f aca="false">IF(L1158=1,IF($B$29&lt;=N1158,1,0),0)</f>
        <v>0</v>
      </c>
      <c r="Q1158" s="58" t="n">
        <f aca="false">Q1157+N1158</f>
        <v>215608.5191027</v>
      </c>
    </row>
    <row r="1159" customFormat="false" ht="15" hidden="false" customHeight="false" outlineLevel="0" collapsed="false">
      <c r="K1159" s="56" t="n">
        <f aca="false">K1158+1</f>
        <v>1152</v>
      </c>
      <c r="L1159" s="57" t="n">
        <f aca="false">IF(AND(K1159&lt;=Assumptions!$C$42,L1158=1,P1158=0,O1158&gt;Assumptions!$C$43),1,0)</f>
        <v>0</v>
      </c>
      <c r="M1159" s="58" t="n">
        <f aca="false">O1158</f>
        <v>1.04062110040104E-008</v>
      </c>
      <c r="N1159" s="58" t="n">
        <f aca="false">IF(L1159=1,M1159*$B$25,0)</f>
        <v>0</v>
      </c>
      <c r="O1159" s="58" t="n">
        <f aca="false">IF(L1159=1,M1159+N1159-$B$29,M1159)</f>
        <v>1.04062110040104E-008</v>
      </c>
      <c r="P1159" s="56" t="n">
        <f aca="false">IF(L1159=1,IF($B$29&lt;=N1159,1,0),0)</f>
        <v>0</v>
      </c>
      <c r="Q1159" s="58" t="n">
        <f aca="false">Q1158+N1159</f>
        <v>215608.5191027</v>
      </c>
    </row>
    <row r="1160" customFormat="false" ht="15" hidden="false" customHeight="false" outlineLevel="0" collapsed="false">
      <c r="K1160" s="56" t="n">
        <f aca="false">K1159+1</f>
        <v>1153</v>
      </c>
      <c r="L1160" s="57" t="n">
        <f aca="false">IF(AND(K1160&lt;=Assumptions!$C$42,L1159=1,P1159=0,O1159&gt;Assumptions!$C$43),1,0)</f>
        <v>0</v>
      </c>
      <c r="M1160" s="58" t="n">
        <f aca="false">O1159</f>
        <v>1.04062110040104E-008</v>
      </c>
      <c r="N1160" s="58" t="n">
        <f aca="false">IF(L1160=1,M1160*$B$25,0)</f>
        <v>0</v>
      </c>
      <c r="O1160" s="58" t="n">
        <f aca="false">IF(L1160=1,M1160+N1160-$B$29,M1160)</f>
        <v>1.04062110040104E-008</v>
      </c>
      <c r="P1160" s="56" t="n">
        <f aca="false">IF(L1160=1,IF($B$29&lt;=N1160,1,0),0)</f>
        <v>0</v>
      </c>
      <c r="Q1160" s="58" t="n">
        <f aca="false">Q1159+N1160</f>
        <v>215608.5191027</v>
      </c>
    </row>
    <row r="1161" customFormat="false" ht="15" hidden="false" customHeight="false" outlineLevel="0" collapsed="false">
      <c r="K1161" s="56" t="n">
        <f aca="false">K1160+1</f>
        <v>1154</v>
      </c>
      <c r="L1161" s="57" t="n">
        <f aca="false">IF(AND(K1161&lt;=Assumptions!$C$42,L1160=1,P1160=0,O1160&gt;Assumptions!$C$43),1,0)</f>
        <v>0</v>
      </c>
      <c r="M1161" s="58" t="n">
        <f aca="false">O1160</f>
        <v>1.04062110040104E-008</v>
      </c>
      <c r="N1161" s="58" t="n">
        <f aca="false">IF(L1161=1,M1161*$B$25,0)</f>
        <v>0</v>
      </c>
      <c r="O1161" s="58" t="n">
        <f aca="false">IF(L1161=1,M1161+N1161-$B$29,M1161)</f>
        <v>1.04062110040104E-008</v>
      </c>
      <c r="P1161" s="56" t="n">
        <f aca="false">IF(L1161=1,IF($B$29&lt;=N1161,1,0),0)</f>
        <v>0</v>
      </c>
      <c r="Q1161" s="58" t="n">
        <f aca="false">Q1160+N1161</f>
        <v>215608.5191027</v>
      </c>
    </row>
    <row r="1162" customFormat="false" ht="15" hidden="false" customHeight="false" outlineLevel="0" collapsed="false">
      <c r="K1162" s="56" t="n">
        <f aca="false">K1161+1</f>
        <v>1155</v>
      </c>
      <c r="L1162" s="57" t="n">
        <f aca="false">IF(AND(K1162&lt;=Assumptions!$C$42,L1161=1,P1161=0,O1161&gt;Assumptions!$C$43),1,0)</f>
        <v>0</v>
      </c>
      <c r="M1162" s="58" t="n">
        <f aca="false">O1161</f>
        <v>1.04062110040104E-008</v>
      </c>
      <c r="N1162" s="58" t="n">
        <f aca="false">IF(L1162=1,M1162*$B$25,0)</f>
        <v>0</v>
      </c>
      <c r="O1162" s="58" t="n">
        <f aca="false">IF(L1162=1,M1162+N1162-$B$29,M1162)</f>
        <v>1.04062110040104E-008</v>
      </c>
      <c r="P1162" s="56" t="n">
        <f aca="false">IF(L1162=1,IF($B$29&lt;=N1162,1,0),0)</f>
        <v>0</v>
      </c>
      <c r="Q1162" s="58" t="n">
        <f aca="false">Q1161+N1162</f>
        <v>215608.5191027</v>
      </c>
    </row>
    <row r="1163" customFormat="false" ht="15" hidden="false" customHeight="false" outlineLevel="0" collapsed="false">
      <c r="K1163" s="56" t="n">
        <f aca="false">K1162+1</f>
        <v>1156</v>
      </c>
      <c r="L1163" s="57" t="n">
        <f aca="false">IF(AND(K1163&lt;=Assumptions!$C$42,L1162=1,P1162=0,O1162&gt;Assumptions!$C$43),1,0)</f>
        <v>0</v>
      </c>
      <c r="M1163" s="58" t="n">
        <f aca="false">O1162</f>
        <v>1.04062110040104E-008</v>
      </c>
      <c r="N1163" s="58" t="n">
        <f aca="false">IF(L1163=1,M1163*$B$25,0)</f>
        <v>0</v>
      </c>
      <c r="O1163" s="58" t="n">
        <f aca="false">IF(L1163=1,M1163+N1163-$B$29,M1163)</f>
        <v>1.04062110040104E-008</v>
      </c>
      <c r="P1163" s="56" t="n">
        <f aca="false">IF(L1163=1,IF($B$29&lt;=N1163,1,0),0)</f>
        <v>0</v>
      </c>
      <c r="Q1163" s="58" t="n">
        <f aca="false">Q1162+N1163</f>
        <v>215608.5191027</v>
      </c>
    </row>
    <row r="1164" customFormat="false" ht="15" hidden="false" customHeight="false" outlineLevel="0" collapsed="false">
      <c r="K1164" s="56" t="n">
        <f aca="false">K1163+1</f>
        <v>1157</v>
      </c>
      <c r="L1164" s="57" t="n">
        <f aca="false">IF(AND(K1164&lt;=Assumptions!$C$42,L1163=1,P1163=0,O1163&gt;Assumptions!$C$43),1,0)</f>
        <v>0</v>
      </c>
      <c r="M1164" s="58" t="n">
        <f aca="false">O1163</f>
        <v>1.04062110040104E-008</v>
      </c>
      <c r="N1164" s="58" t="n">
        <f aca="false">IF(L1164=1,M1164*$B$25,0)</f>
        <v>0</v>
      </c>
      <c r="O1164" s="58" t="n">
        <f aca="false">IF(L1164=1,M1164+N1164-$B$29,M1164)</f>
        <v>1.04062110040104E-008</v>
      </c>
      <c r="P1164" s="56" t="n">
        <f aca="false">IF(L1164=1,IF($B$29&lt;=N1164,1,0),0)</f>
        <v>0</v>
      </c>
      <c r="Q1164" s="58" t="n">
        <f aca="false">Q1163+N1164</f>
        <v>215608.5191027</v>
      </c>
    </row>
    <row r="1165" customFormat="false" ht="15" hidden="false" customHeight="false" outlineLevel="0" collapsed="false">
      <c r="K1165" s="56" t="n">
        <f aca="false">K1164+1</f>
        <v>1158</v>
      </c>
      <c r="L1165" s="57" t="n">
        <f aca="false">IF(AND(K1165&lt;=Assumptions!$C$42,L1164=1,P1164=0,O1164&gt;Assumptions!$C$43),1,0)</f>
        <v>0</v>
      </c>
      <c r="M1165" s="58" t="n">
        <f aca="false">O1164</f>
        <v>1.04062110040104E-008</v>
      </c>
      <c r="N1165" s="58" t="n">
        <f aca="false">IF(L1165=1,M1165*$B$25,0)</f>
        <v>0</v>
      </c>
      <c r="O1165" s="58" t="n">
        <f aca="false">IF(L1165=1,M1165+N1165-$B$29,M1165)</f>
        <v>1.04062110040104E-008</v>
      </c>
      <c r="P1165" s="56" t="n">
        <f aca="false">IF(L1165=1,IF($B$29&lt;=N1165,1,0),0)</f>
        <v>0</v>
      </c>
      <c r="Q1165" s="58" t="n">
        <f aca="false">Q1164+N1165</f>
        <v>215608.5191027</v>
      </c>
    </row>
    <row r="1166" customFormat="false" ht="15" hidden="false" customHeight="false" outlineLevel="0" collapsed="false">
      <c r="K1166" s="56" t="n">
        <f aca="false">K1165+1</f>
        <v>1159</v>
      </c>
      <c r="L1166" s="57" t="n">
        <f aca="false">IF(AND(K1166&lt;=Assumptions!$C$42,L1165=1,P1165=0,O1165&gt;Assumptions!$C$43),1,0)</f>
        <v>0</v>
      </c>
      <c r="M1166" s="58" t="n">
        <f aca="false">O1165</f>
        <v>1.04062110040104E-008</v>
      </c>
      <c r="N1166" s="58" t="n">
        <f aca="false">IF(L1166=1,M1166*$B$25,0)</f>
        <v>0</v>
      </c>
      <c r="O1166" s="58" t="n">
        <f aca="false">IF(L1166=1,M1166+N1166-$B$29,M1166)</f>
        <v>1.04062110040104E-008</v>
      </c>
      <c r="P1166" s="56" t="n">
        <f aca="false">IF(L1166=1,IF($B$29&lt;=N1166,1,0),0)</f>
        <v>0</v>
      </c>
      <c r="Q1166" s="58" t="n">
        <f aca="false">Q1165+N1166</f>
        <v>215608.5191027</v>
      </c>
    </row>
    <row r="1167" customFormat="false" ht="15" hidden="false" customHeight="false" outlineLevel="0" collapsed="false">
      <c r="K1167" s="56" t="n">
        <f aca="false">K1166+1</f>
        <v>1160</v>
      </c>
      <c r="L1167" s="57" t="n">
        <f aca="false">IF(AND(K1167&lt;=Assumptions!$C$42,L1166=1,P1166=0,O1166&gt;Assumptions!$C$43),1,0)</f>
        <v>0</v>
      </c>
      <c r="M1167" s="58" t="n">
        <f aca="false">O1166</f>
        <v>1.04062110040104E-008</v>
      </c>
      <c r="N1167" s="58" t="n">
        <f aca="false">IF(L1167=1,M1167*$B$25,0)</f>
        <v>0</v>
      </c>
      <c r="O1167" s="58" t="n">
        <f aca="false">IF(L1167=1,M1167+N1167-$B$29,M1167)</f>
        <v>1.04062110040104E-008</v>
      </c>
      <c r="P1167" s="56" t="n">
        <f aca="false">IF(L1167=1,IF($B$29&lt;=N1167,1,0),0)</f>
        <v>0</v>
      </c>
      <c r="Q1167" s="58" t="n">
        <f aca="false">Q1166+N1167</f>
        <v>215608.5191027</v>
      </c>
    </row>
    <row r="1168" customFormat="false" ht="15" hidden="false" customHeight="false" outlineLevel="0" collapsed="false">
      <c r="K1168" s="56" t="n">
        <f aca="false">K1167+1</f>
        <v>1161</v>
      </c>
      <c r="L1168" s="57" t="n">
        <f aca="false">IF(AND(K1168&lt;=Assumptions!$C$42,L1167=1,P1167=0,O1167&gt;Assumptions!$C$43),1,0)</f>
        <v>0</v>
      </c>
      <c r="M1168" s="58" t="n">
        <f aca="false">O1167</f>
        <v>1.04062110040104E-008</v>
      </c>
      <c r="N1168" s="58" t="n">
        <f aca="false">IF(L1168=1,M1168*$B$25,0)</f>
        <v>0</v>
      </c>
      <c r="O1168" s="58" t="n">
        <f aca="false">IF(L1168=1,M1168+N1168-$B$29,M1168)</f>
        <v>1.04062110040104E-008</v>
      </c>
      <c r="P1168" s="56" t="n">
        <f aca="false">IF(L1168=1,IF($B$29&lt;=N1168,1,0),0)</f>
        <v>0</v>
      </c>
      <c r="Q1168" s="58" t="n">
        <f aca="false">Q1167+N1168</f>
        <v>215608.5191027</v>
      </c>
    </row>
    <row r="1169" customFormat="false" ht="15" hidden="false" customHeight="false" outlineLevel="0" collapsed="false">
      <c r="K1169" s="56" t="n">
        <f aca="false">K1168+1</f>
        <v>1162</v>
      </c>
      <c r="L1169" s="57" t="n">
        <f aca="false">IF(AND(K1169&lt;=Assumptions!$C$42,L1168=1,P1168=0,O1168&gt;Assumptions!$C$43),1,0)</f>
        <v>0</v>
      </c>
      <c r="M1169" s="58" t="n">
        <f aca="false">O1168</f>
        <v>1.04062110040104E-008</v>
      </c>
      <c r="N1169" s="58" t="n">
        <f aca="false">IF(L1169=1,M1169*$B$25,0)</f>
        <v>0</v>
      </c>
      <c r="O1169" s="58" t="n">
        <f aca="false">IF(L1169=1,M1169+N1169-$B$29,M1169)</f>
        <v>1.04062110040104E-008</v>
      </c>
      <c r="P1169" s="56" t="n">
        <f aca="false">IF(L1169=1,IF($B$29&lt;=N1169,1,0),0)</f>
        <v>0</v>
      </c>
      <c r="Q1169" s="58" t="n">
        <f aca="false">Q1168+N1169</f>
        <v>215608.5191027</v>
      </c>
    </row>
    <row r="1170" customFormat="false" ht="15" hidden="false" customHeight="false" outlineLevel="0" collapsed="false">
      <c r="K1170" s="56" t="n">
        <f aca="false">K1169+1</f>
        <v>1163</v>
      </c>
      <c r="L1170" s="57" t="n">
        <f aca="false">IF(AND(K1170&lt;=Assumptions!$C$42,L1169=1,P1169=0,O1169&gt;Assumptions!$C$43),1,0)</f>
        <v>0</v>
      </c>
      <c r="M1170" s="58" t="n">
        <f aca="false">O1169</f>
        <v>1.04062110040104E-008</v>
      </c>
      <c r="N1170" s="58" t="n">
        <f aca="false">IF(L1170=1,M1170*$B$25,0)</f>
        <v>0</v>
      </c>
      <c r="O1170" s="58" t="n">
        <f aca="false">IF(L1170=1,M1170+N1170-$B$29,M1170)</f>
        <v>1.04062110040104E-008</v>
      </c>
      <c r="P1170" s="56" t="n">
        <f aca="false">IF(L1170=1,IF($B$29&lt;=N1170,1,0),0)</f>
        <v>0</v>
      </c>
      <c r="Q1170" s="58" t="n">
        <f aca="false">Q1169+N1170</f>
        <v>215608.5191027</v>
      </c>
    </row>
    <row r="1171" customFormat="false" ht="15" hidden="false" customHeight="false" outlineLevel="0" collapsed="false">
      <c r="K1171" s="56" t="n">
        <f aca="false">K1170+1</f>
        <v>1164</v>
      </c>
      <c r="L1171" s="57" t="n">
        <f aca="false">IF(AND(K1171&lt;=Assumptions!$C$42,L1170=1,P1170=0,O1170&gt;Assumptions!$C$43),1,0)</f>
        <v>0</v>
      </c>
      <c r="M1171" s="58" t="n">
        <f aca="false">O1170</f>
        <v>1.04062110040104E-008</v>
      </c>
      <c r="N1171" s="58" t="n">
        <f aca="false">IF(L1171=1,M1171*$B$25,0)</f>
        <v>0</v>
      </c>
      <c r="O1171" s="58" t="n">
        <f aca="false">IF(L1171=1,M1171+N1171-$B$29,M1171)</f>
        <v>1.04062110040104E-008</v>
      </c>
      <c r="P1171" s="56" t="n">
        <f aca="false">IF(L1171=1,IF($B$29&lt;=N1171,1,0),0)</f>
        <v>0</v>
      </c>
      <c r="Q1171" s="58" t="n">
        <f aca="false">Q1170+N1171</f>
        <v>215608.5191027</v>
      </c>
    </row>
    <row r="1172" customFormat="false" ht="15" hidden="false" customHeight="false" outlineLevel="0" collapsed="false">
      <c r="K1172" s="56" t="n">
        <f aca="false">K1171+1</f>
        <v>1165</v>
      </c>
      <c r="L1172" s="57" t="n">
        <f aca="false">IF(AND(K1172&lt;=Assumptions!$C$42,L1171=1,P1171=0,O1171&gt;Assumptions!$C$43),1,0)</f>
        <v>0</v>
      </c>
      <c r="M1172" s="58" t="n">
        <f aca="false">O1171</f>
        <v>1.04062110040104E-008</v>
      </c>
      <c r="N1172" s="58" t="n">
        <f aca="false">IF(L1172=1,M1172*$B$25,0)</f>
        <v>0</v>
      </c>
      <c r="O1172" s="58" t="n">
        <f aca="false">IF(L1172=1,M1172+N1172-$B$29,M1172)</f>
        <v>1.04062110040104E-008</v>
      </c>
      <c r="P1172" s="56" t="n">
        <f aca="false">IF(L1172=1,IF($B$29&lt;=N1172,1,0),0)</f>
        <v>0</v>
      </c>
      <c r="Q1172" s="58" t="n">
        <f aca="false">Q1171+N1172</f>
        <v>215608.5191027</v>
      </c>
    </row>
    <row r="1173" customFormat="false" ht="15" hidden="false" customHeight="false" outlineLevel="0" collapsed="false">
      <c r="K1173" s="56" t="n">
        <f aca="false">K1172+1</f>
        <v>1166</v>
      </c>
      <c r="L1173" s="57" t="n">
        <f aca="false">IF(AND(K1173&lt;=Assumptions!$C$42,L1172=1,P1172=0,O1172&gt;Assumptions!$C$43),1,0)</f>
        <v>0</v>
      </c>
      <c r="M1173" s="58" t="n">
        <f aca="false">O1172</f>
        <v>1.04062110040104E-008</v>
      </c>
      <c r="N1173" s="58" t="n">
        <f aca="false">IF(L1173=1,M1173*$B$25,0)</f>
        <v>0</v>
      </c>
      <c r="O1173" s="58" t="n">
        <f aca="false">IF(L1173=1,M1173+N1173-$B$29,M1173)</f>
        <v>1.04062110040104E-008</v>
      </c>
      <c r="P1173" s="56" t="n">
        <f aca="false">IF(L1173=1,IF($B$29&lt;=N1173,1,0),0)</f>
        <v>0</v>
      </c>
      <c r="Q1173" s="58" t="n">
        <f aca="false">Q1172+N1173</f>
        <v>215608.5191027</v>
      </c>
    </row>
    <row r="1174" customFormat="false" ht="15" hidden="false" customHeight="false" outlineLevel="0" collapsed="false">
      <c r="K1174" s="56" t="n">
        <f aca="false">K1173+1</f>
        <v>1167</v>
      </c>
      <c r="L1174" s="57" t="n">
        <f aca="false">IF(AND(K1174&lt;=Assumptions!$C$42,L1173=1,P1173=0,O1173&gt;Assumptions!$C$43),1,0)</f>
        <v>0</v>
      </c>
      <c r="M1174" s="58" t="n">
        <f aca="false">O1173</f>
        <v>1.04062110040104E-008</v>
      </c>
      <c r="N1174" s="58" t="n">
        <f aca="false">IF(L1174=1,M1174*$B$25,0)</f>
        <v>0</v>
      </c>
      <c r="O1174" s="58" t="n">
        <f aca="false">IF(L1174=1,M1174+N1174-$B$29,M1174)</f>
        <v>1.04062110040104E-008</v>
      </c>
      <c r="P1174" s="56" t="n">
        <f aca="false">IF(L1174=1,IF($B$29&lt;=N1174,1,0),0)</f>
        <v>0</v>
      </c>
      <c r="Q1174" s="58" t="n">
        <f aca="false">Q1173+N1174</f>
        <v>215608.5191027</v>
      </c>
    </row>
    <row r="1175" customFormat="false" ht="15" hidden="false" customHeight="false" outlineLevel="0" collapsed="false">
      <c r="K1175" s="56" t="n">
        <f aca="false">K1174+1</f>
        <v>1168</v>
      </c>
      <c r="L1175" s="57" t="n">
        <f aca="false">IF(AND(K1175&lt;=Assumptions!$C$42,L1174=1,P1174=0,O1174&gt;Assumptions!$C$43),1,0)</f>
        <v>0</v>
      </c>
      <c r="M1175" s="58" t="n">
        <f aca="false">O1174</f>
        <v>1.04062110040104E-008</v>
      </c>
      <c r="N1175" s="58" t="n">
        <f aca="false">IF(L1175=1,M1175*$B$25,0)</f>
        <v>0</v>
      </c>
      <c r="O1175" s="58" t="n">
        <f aca="false">IF(L1175=1,M1175+N1175-$B$29,M1175)</f>
        <v>1.04062110040104E-008</v>
      </c>
      <c r="P1175" s="56" t="n">
        <f aca="false">IF(L1175=1,IF($B$29&lt;=N1175,1,0),0)</f>
        <v>0</v>
      </c>
      <c r="Q1175" s="58" t="n">
        <f aca="false">Q1174+N1175</f>
        <v>215608.5191027</v>
      </c>
    </row>
    <row r="1176" customFormat="false" ht="15" hidden="false" customHeight="false" outlineLevel="0" collapsed="false">
      <c r="K1176" s="56" t="n">
        <f aca="false">K1175+1</f>
        <v>1169</v>
      </c>
      <c r="L1176" s="57" t="n">
        <f aca="false">IF(AND(K1176&lt;=Assumptions!$C$42,L1175=1,P1175=0,O1175&gt;Assumptions!$C$43),1,0)</f>
        <v>0</v>
      </c>
      <c r="M1176" s="58" t="n">
        <f aca="false">O1175</f>
        <v>1.04062110040104E-008</v>
      </c>
      <c r="N1176" s="58" t="n">
        <f aca="false">IF(L1176=1,M1176*$B$25,0)</f>
        <v>0</v>
      </c>
      <c r="O1176" s="58" t="n">
        <f aca="false">IF(L1176=1,M1176+N1176-$B$29,M1176)</f>
        <v>1.04062110040104E-008</v>
      </c>
      <c r="P1176" s="56" t="n">
        <f aca="false">IF(L1176=1,IF($B$29&lt;=N1176,1,0),0)</f>
        <v>0</v>
      </c>
      <c r="Q1176" s="58" t="n">
        <f aca="false">Q1175+N1176</f>
        <v>215608.5191027</v>
      </c>
    </row>
    <row r="1177" customFormat="false" ht="15" hidden="false" customHeight="false" outlineLevel="0" collapsed="false">
      <c r="K1177" s="56" t="n">
        <f aca="false">K1176+1</f>
        <v>1170</v>
      </c>
      <c r="L1177" s="57" t="n">
        <f aca="false">IF(AND(K1177&lt;=Assumptions!$C$42,L1176=1,P1176=0,O1176&gt;Assumptions!$C$43),1,0)</f>
        <v>0</v>
      </c>
      <c r="M1177" s="58" t="n">
        <f aca="false">O1176</f>
        <v>1.04062110040104E-008</v>
      </c>
      <c r="N1177" s="58" t="n">
        <f aca="false">IF(L1177=1,M1177*$B$25,0)</f>
        <v>0</v>
      </c>
      <c r="O1177" s="58" t="n">
        <f aca="false">IF(L1177=1,M1177+N1177-$B$29,M1177)</f>
        <v>1.04062110040104E-008</v>
      </c>
      <c r="P1177" s="56" t="n">
        <f aca="false">IF(L1177=1,IF($B$29&lt;=N1177,1,0),0)</f>
        <v>0</v>
      </c>
      <c r="Q1177" s="58" t="n">
        <f aca="false">Q1176+N1177</f>
        <v>215608.5191027</v>
      </c>
    </row>
    <row r="1178" customFormat="false" ht="15" hidden="false" customHeight="false" outlineLevel="0" collapsed="false">
      <c r="K1178" s="56" t="n">
        <f aca="false">K1177+1</f>
        <v>1171</v>
      </c>
      <c r="L1178" s="57" t="n">
        <f aca="false">IF(AND(K1178&lt;=Assumptions!$C$42,L1177=1,P1177=0,O1177&gt;Assumptions!$C$43),1,0)</f>
        <v>0</v>
      </c>
      <c r="M1178" s="58" t="n">
        <f aca="false">O1177</f>
        <v>1.04062110040104E-008</v>
      </c>
      <c r="N1178" s="58" t="n">
        <f aca="false">IF(L1178=1,M1178*$B$25,0)</f>
        <v>0</v>
      </c>
      <c r="O1178" s="58" t="n">
        <f aca="false">IF(L1178=1,M1178+N1178-$B$29,M1178)</f>
        <v>1.04062110040104E-008</v>
      </c>
      <c r="P1178" s="56" t="n">
        <f aca="false">IF(L1178=1,IF($B$29&lt;=N1178,1,0),0)</f>
        <v>0</v>
      </c>
      <c r="Q1178" s="58" t="n">
        <f aca="false">Q1177+N1178</f>
        <v>215608.5191027</v>
      </c>
    </row>
    <row r="1179" customFormat="false" ht="15" hidden="false" customHeight="false" outlineLevel="0" collapsed="false">
      <c r="K1179" s="56" t="n">
        <f aca="false">K1178+1</f>
        <v>1172</v>
      </c>
      <c r="L1179" s="57" t="n">
        <f aca="false">IF(AND(K1179&lt;=Assumptions!$C$42,L1178=1,P1178=0,O1178&gt;Assumptions!$C$43),1,0)</f>
        <v>0</v>
      </c>
      <c r="M1179" s="58" t="n">
        <f aca="false">O1178</f>
        <v>1.04062110040104E-008</v>
      </c>
      <c r="N1179" s="58" t="n">
        <f aca="false">IF(L1179=1,M1179*$B$25,0)</f>
        <v>0</v>
      </c>
      <c r="O1179" s="58" t="n">
        <f aca="false">IF(L1179=1,M1179+N1179-$B$29,M1179)</f>
        <v>1.04062110040104E-008</v>
      </c>
      <c r="P1179" s="56" t="n">
        <f aca="false">IF(L1179=1,IF($B$29&lt;=N1179,1,0),0)</f>
        <v>0</v>
      </c>
      <c r="Q1179" s="58" t="n">
        <f aca="false">Q1178+N1179</f>
        <v>215608.5191027</v>
      </c>
    </row>
    <row r="1180" customFormat="false" ht="15" hidden="false" customHeight="false" outlineLevel="0" collapsed="false">
      <c r="K1180" s="56" t="n">
        <f aca="false">K1179+1</f>
        <v>1173</v>
      </c>
      <c r="L1180" s="57" t="n">
        <f aca="false">IF(AND(K1180&lt;=Assumptions!$C$42,L1179=1,P1179=0,O1179&gt;Assumptions!$C$43),1,0)</f>
        <v>0</v>
      </c>
      <c r="M1180" s="58" t="n">
        <f aca="false">O1179</f>
        <v>1.04062110040104E-008</v>
      </c>
      <c r="N1180" s="58" t="n">
        <f aca="false">IF(L1180=1,M1180*$B$25,0)</f>
        <v>0</v>
      </c>
      <c r="O1180" s="58" t="n">
        <f aca="false">IF(L1180=1,M1180+N1180-$B$29,M1180)</f>
        <v>1.04062110040104E-008</v>
      </c>
      <c r="P1180" s="56" t="n">
        <f aca="false">IF(L1180=1,IF($B$29&lt;=N1180,1,0),0)</f>
        <v>0</v>
      </c>
      <c r="Q1180" s="58" t="n">
        <f aca="false">Q1179+N1180</f>
        <v>215608.5191027</v>
      </c>
    </row>
    <row r="1181" customFormat="false" ht="15" hidden="false" customHeight="false" outlineLevel="0" collapsed="false">
      <c r="K1181" s="56" t="n">
        <f aca="false">K1180+1</f>
        <v>1174</v>
      </c>
      <c r="L1181" s="57" t="n">
        <f aca="false">IF(AND(K1181&lt;=Assumptions!$C$42,L1180=1,P1180=0,O1180&gt;Assumptions!$C$43),1,0)</f>
        <v>0</v>
      </c>
      <c r="M1181" s="58" t="n">
        <f aca="false">O1180</f>
        <v>1.04062110040104E-008</v>
      </c>
      <c r="N1181" s="58" t="n">
        <f aca="false">IF(L1181=1,M1181*$B$25,0)</f>
        <v>0</v>
      </c>
      <c r="O1181" s="58" t="n">
        <f aca="false">IF(L1181=1,M1181+N1181-$B$29,M1181)</f>
        <v>1.04062110040104E-008</v>
      </c>
      <c r="P1181" s="56" t="n">
        <f aca="false">IF(L1181=1,IF($B$29&lt;=N1181,1,0),0)</f>
        <v>0</v>
      </c>
      <c r="Q1181" s="58" t="n">
        <f aca="false">Q1180+N1181</f>
        <v>215608.5191027</v>
      </c>
    </row>
    <row r="1182" customFormat="false" ht="15" hidden="false" customHeight="false" outlineLevel="0" collapsed="false">
      <c r="K1182" s="56" t="n">
        <f aca="false">K1181+1</f>
        <v>1175</v>
      </c>
      <c r="L1182" s="57" t="n">
        <f aca="false">IF(AND(K1182&lt;=Assumptions!$C$42,L1181=1,P1181=0,O1181&gt;Assumptions!$C$43),1,0)</f>
        <v>0</v>
      </c>
      <c r="M1182" s="58" t="n">
        <f aca="false">O1181</f>
        <v>1.04062110040104E-008</v>
      </c>
      <c r="N1182" s="58" t="n">
        <f aca="false">IF(L1182=1,M1182*$B$25,0)</f>
        <v>0</v>
      </c>
      <c r="O1182" s="58" t="n">
        <f aca="false">IF(L1182=1,M1182+N1182-$B$29,M1182)</f>
        <v>1.04062110040104E-008</v>
      </c>
      <c r="P1182" s="56" t="n">
        <f aca="false">IF(L1182=1,IF($B$29&lt;=N1182,1,0),0)</f>
        <v>0</v>
      </c>
      <c r="Q1182" s="58" t="n">
        <f aca="false">Q1181+N1182</f>
        <v>215608.5191027</v>
      </c>
    </row>
    <row r="1183" customFormat="false" ht="15" hidden="false" customHeight="false" outlineLevel="0" collapsed="false">
      <c r="K1183" s="56" t="n">
        <f aca="false">K1182+1</f>
        <v>1176</v>
      </c>
      <c r="L1183" s="57" t="n">
        <f aca="false">IF(AND(K1183&lt;=Assumptions!$C$42,L1182=1,P1182=0,O1182&gt;Assumptions!$C$43),1,0)</f>
        <v>0</v>
      </c>
      <c r="M1183" s="58" t="n">
        <f aca="false">O1182</f>
        <v>1.04062110040104E-008</v>
      </c>
      <c r="N1183" s="58" t="n">
        <f aca="false">IF(L1183=1,M1183*$B$25,0)</f>
        <v>0</v>
      </c>
      <c r="O1183" s="58" t="n">
        <f aca="false">IF(L1183=1,M1183+N1183-$B$29,M1183)</f>
        <v>1.04062110040104E-008</v>
      </c>
      <c r="P1183" s="56" t="n">
        <f aca="false">IF(L1183=1,IF($B$29&lt;=N1183,1,0),0)</f>
        <v>0</v>
      </c>
      <c r="Q1183" s="58" t="n">
        <f aca="false">Q1182+N1183</f>
        <v>215608.5191027</v>
      </c>
    </row>
    <row r="1184" customFormat="false" ht="15" hidden="false" customHeight="false" outlineLevel="0" collapsed="false">
      <c r="K1184" s="56" t="n">
        <f aca="false">K1183+1</f>
        <v>1177</v>
      </c>
      <c r="L1184" s="57" t="n">
        <f aca="false">IF(AND(K1184&lt;=Assumptions!$C$42,L1183=1,P1183=0,O1183&gt;Assumptions!$C$43),1,0)</f>
        <v>0</v>
      </c>
      <c r="M1184" s="58" t="n">
        <f aca="false">O1183</f>
        <v>1.04062110040104E-008</v>
      </c>
      <c r="N1184" s="58" t="n">
        <f aca="false">IF(L1184=1,M1184*$B$25,0)</f>
        <v>0</v>
      </c>
      <c r="O1184" s="58" t="n">
        <f aca="false">IF(L1184=1,M1184+N1184-$B$29,M1184)</f>
        <v>1.04062110040104E-008</v>
      </c>
      <c r="P1184" s="56" t="n">
        <f aca="false">IF(L1184=1,IF($B$29&lt;=N1184,1,0),0)</f>
        <v>0</v>
      </c>
      <c r="Q1184" s="58" t="n">
        <f aca="false">Q1183+N1184</f>
        <v>215608.5191027</v>
      </c>
    </row>
    <row r="1185" customFormat="false" ht="15" hidden="false" customHeight="false" outlineLevel="0" collapsed="false">
      <c r="K1185" s="56" t="n">
        <f aca="false">K1184+1</f>
        <v>1178</v>
      </c>
      <c r="L1185" s="57" t="n">
        <f aca="false">IF(AND(K1185&lt;=Assumptions!$C$42,L1184=1,P1184=0,O1184&gt;Assumptions!$C$43),1,0)</f>
        <v>0</v>
      </c>
      <c r="M1185" s="58" t="n">
        <f aca="false">O1184</f>
        <v>1.04062110040104E-008</v>
      </c>
      <c r="N1185" s="58" t="n">
        <f aca="false">IF(L1185=1,M1185*$B$25,0)</f>
        <v>0</v>
      </c>
      <c r="O1185" s="58" t="n">
        <f aca="false">IF(L1185=1,M1185+N1185-$B$29,M1185)</f>
        <v>1.04062110040104E-008</v>
      </c>
      <c r="P1185" s="56" t="n">
        <f aca="false">IF(L1185=1,IF($B$29&lt;=N1185,1,0),0)</f>
        <v>0</v>
      </c>
      <c r="Q1185" s="58" t="n">
        <f aca="false">Q1184+N1185</f>
        <v>215608.5191027</v>
      </c>
    </row>
    <row r="1186" customFormat="false" ht="15" hidden="false" customHeight="false" outlineLevel="0" collapsed="false">
      <c r="K1186" s="56" t="n">
        <f aca="false">K1185+1</f>
        <v>1179</v>
      </c>
      <c r="L1186" s="57" t="n">
        <f aca="false">IF(AND(K1186&lt;=Assumptions!$C$42,L1185=1,P1185=0,O1185&gt;Assumptions!$C$43),1,0)</f>
        <v>0</v>
      </c>
      <c r="M1186" s="58" t="n">
        <f aca="false">O1185</f>
        <v>1.04062110040104E-008</v>
      </c>
      <c r="N1186" s="58" t="n">
        <f aca="false">IF(L1186=1,M1186*$B$25,0)</f>
        <v>0</v>
      </c>
      <c r="O1186" s="58" t="n">
        <f aca="false">IF(L1186=1,M1186+N1186-$B$29,M1186)</f>
        <v>1.04062110040104E-008</v>
      </c>
      <c r="P1186" s="56" t="n">
        <f aca="false">IF(L1186=1,IF($B$29&lt;=N1186,1,0),0)</f>
        <v>0</v>
      </c>
      <c r="Q1186" s="58" t="n">
        <f aca="false">Q1185+N1186</f>
        <v>215608.5191027</v>
      </c>
    </row>
    <row r="1187" customFormat="false" ht="15" hidden="false" customHeight="false" outlineLevel="0" collapsed="false">
      <c r="K1187" s="56" t="n">
        <f aca="false">K1186+1</f>
        <v>1180</v>
      </c>
      <c r="L1187" s="57" t="n">
        <f aca="false">IF(AND(K1187&lt;=Assumptions!$C$42,L1186=1,P1186=0,O1186&gt;Assumptions!$C$43),1,0)</f>
        <v>0</v>
      </c>
      <c r="M1187" s="58" t="n">
        <f aca="false">O1186</f>
        <v>1.04062110040104E-008</v>
      </c>
      <c r="N1187" s="58" t="n">
        <f aca="false">IF(L1187=1,M1187*$B$25,0)</f>
        <v>0</v>
      </c>
      <c r="O1187" s="58" t="n">
        <f aca="false">IF(L1187=1,M1187+N1187-$B$29,M1187)</f>
        <v>1.04062110040104E-008</v>
      </c>
      <c r="P1187" s="56" t="n">
        <f aca="false">IF(L1187=1,IF($B$29&lt;=N1187,1,0),0)</f>
        <v>0</v>
      </c>
      <c r="Q1187" s="58" t="n">
        <f aca="false">Q1186+N1187</f>
        <v>215608.5191027</v>
      </c>
    </row>
    <row r="1188" customFormat="false" ht="15" hidden="false" customHeight="false" outlineLevel="0" collapsed="false">
      <c r="K1188" s="56" t="n">
        <f aca="false">K1187+1</f>
        <v>1181</v>
      </c>
      <c r="L1188" s="57" t="n">
        <f aca="false">IF(AND(K1188&lt;=Assumptions!$C$42,L1187=1,P1187=0,O1187&gt;Assumptions!$C$43),1,0)</f>
        <v>0</v>
      </c>
      <c r="M1188" s="58" t="n">
        <f aca="false">O1187</f>
        <v>1.04062110040104E-008</v>
      </c>
      <c r="N1188" s="58" t="n">
        <f aca="false">IF(L1188=1,M1188*$B$25,0)</f>
        <v>0</v>
      </c>
      <c r="O1188" s="58" t="n">
        <f aca="false">IF(L1188=1,M1188+N1188-$B$29,M1188)</f>
        <v>1.04062110040104E-008</v>
      </c>
      <c r="P1188" s="56" t="n">
        <f aca="false">IF(L1188=1,IF($B$29&lt;=N1188,1,0),0)</f>
        <v>0</v>
      </c>
      <c r="Q1188" s="58" t="n">
        <f aca="false">Q1187+N1188</f>
        <v>215608.5191027</v>
      </c>
    </row>
    <row r="1189" customFormat="false" ht="15" hidden="false" customHeight="false" outlineLevel="0" collapsed="false">
      <c r="K1189" s="56" t="n">
        <f aca="false">K1188+1</f>
        <v>1182</v>
      </c>
      <c r="L1189" s="57" t="n">
        <f aca="false">IF(AND(K1189&lt;=Assumptions!$C$42,L1188=1,P1188=0,O1188&gt;Assumptions!$C$43),1,0)</f>
        <v>0</v>
      </c>
      <c r="M1189" s="58" t="n">
        <f aca="false">O1188</f>
        <v>1.04062110040104E-008</v>
      </c>
      <c r="N1189" s="58" t="n">
        <f aca="false">IF(L1189=1,M1189*$B$25,0)</f>
        <v>0</v>
      </c>
      <c r="O1189" s="58" t="n">
        <f aca="false">IF(L1189=1,M1189+N1189-$B$29,M1189)</f>
        <v>1.04062110040104E-008</v>
      </c>
      <c r="P1189" s="56" t="n">
        <f aca="false">IF(L1189=1,IF($B$29&lt;=N1189,1,0),0)</f>
        <v>0</v>
      </c>
      <c r="Q1189" s="58" t="n">
        <f aca="false">Q1188+N1189</f>
        <v>215608.5191027</v>
      </c>
    </row>
    <row r="1190" customFormat="false" ht="15" hidden="false" customHeight="false" outlineLevel="0" collapsed="false">
      <c r="K1190" s="56" t="n">
        <f aca="false">K1189+1</f>
        <v>1183</v>
      </c>
      <c r="L1190" s="57" t="n">
        <f aca="false">IF(AND(K1190&lt;=Assumptions!$C$42,L1189=1,P1189=0,O1189&gt;Assumptions!$C$43),1,0)</f>
        <v>0</v>
      </c>
      <c r="M1190" s="58" t="n">
        <f aca="false">O1189</f>
        <v>1.04062110040104E-008</v>
      </c>
      <c r="N1190" s="58" t="n">
        <f aca="false">IF(L1190=1,M1190*$B$25,0)</f>
        <v>0</v>
      </c>
      <c r="O1190" s="58" t="n">
        <f aca="false">IF(L1190=1,M1190+N1190-$B$29,M1190)</f>
        <v>1.04062110040104E-008</v>
      </c>
      <c r="P1190" s="56" t="n">
        <f aca="false">IF(L1190=1,IF($B$29&lt;=N1190,1,0),0)</f>
        <v>0</v>
      </c>
      <c r="Q1190" s="58" t="n">
        <f aca="false">Q1189+N1190</f>
        <v>215608.5191027</v>
      </c>
    </row>
    <row r="1191" customFormat="false" ht="15" hidden="false" customHeight="false" outlineLevel="0" collapsed="false">
      <c r="K1191" s="56" t="n">
        <f aca="false">K1190+1</f>
        <v>1184</v>
      </c>
      <c r="L1191" s="57" t="n">
        <f aca="false">IF(AND(K1191&lt;=Assumptions!$C$42,L1190=1,P1190=0,O1190&gt;Assumptions!$C$43),1,0)</f>
        <v>0</v>
      </c>
      <c r="M1191" s="58" t="n">
        <f aca="false">O1190</f>
        <v>1.04062110040104E-008</v>
      </c>
      <c r="N1191" s="58" t="n">
        <f aca="false">IF(L1191=1,M1191*$B$25,0)</f>
        <v>0</v>
      </c>
      <c r="O1191" s="58" t="n">
        <f aca="false">IF(L1191=1,M1191+N1191-$B$29,M1191)</f>
        <v>1.04062110040104E-008</v>
      </c>
      <c r="P1191" s="56" t="n">
        <f aca="false">IF(L1191=1,IF($B$29&lt;=N1191,1,0),0)</f>
        <v>0</v>
      </c>
      <c r="Q1191" s="58" t="n">
        <f aca="false">Q1190+N1191</f>
        <v>215608.5191027</v>
      </c>
    </row>
    <row r="1192" customFormat="false" ht="15" hidden="false" customHeight="false" outlineLevel="0" collapsed="false">
      <c r="K1192" s="56" t="n">
        <f aca="false">K1191+1</f>
        <v>1185</v>
      </c>
      <c r="L1192" s="57" t="n">
        <f aca="false">IF(AND(K1192&lt;=Assumptions!$C$42,L1191=1,P1191=0,O1191&gt;Assumptions!$C$43),1,0)</f>
        <v>0</v>
      </c>
      <c r="M1192" s="58" t="n">
        <f aca="false">O1191</f>
        <v>1.04062110040104E-008</v>
      </c>
      <c r="N1192" s="58" t="n">
        <f aca="false">IF(L1192=1,M1192*$B$25,0)</f>
        <v>0</v>
      </c>
      <c r="O1192" s="58" t="n">
        <f aca="false">IF(L1192=1,M1192+N1192-$B$29,M1192)</f>
        <v>1.04062110040104E-008</v>
      </c>
      <c r="P1192" s="56" t="n">
        <f aca="false">IF(L1192=1,IF($B$29&lt;=N1192,1,0),0)</f>
        <v>0</v>
      </c>
      <c r="Q1192" s="58" t="n">
        <f aca="false">Q1191+N1192</f>
        <v>215608.5191027</v>
      </c>
    </row>
    <row r="1193" customFormat="false" ht="15" hidden="false" customHeight="false" outlineLevel="0" collapsed="false">
      <c r="K1193" s="56" t="n">
        <f aca="false">K1192+1</f>
        <v>1186</v>
      </c>
      <c r="L1193" s="57" t="n">
        <f aca="false">IF(AND(K1193&lt;=Assumptions!$C$42,L1192=1,P1192=0,O1192&gt;Assumptions!$C$43),1,0)</f>
        <v>0</v>
      </c>
      <c r="M1193" s="58" t="n">
        <f aca="false">O1192</f>
        <v>1.04062110040104E-008</v>
      </c>
      <c r="N1193" s="58" t="n">
        <f aca="false">IF(L1193=1,M1193*$B$25,0)</f>
        <v>0</v>
      </c>
      <c r="O1193" s="58" t="n">
        <f aca="false">IF(L1193=1,M1193+N1193-$B$29,M1193)</f>
        <v>1.04062110040104E-008</v>
      </c>
      <c r="P1193" s="56" t="n">
        <f aca="false">IF(L1193=1,IF($B$29&lt;=N1193,1,0),0)</f>
        <v>0</v>
      </c>
      <c r="Q1193" s="58" t="n">
        <f aca="false">Q1192+N1193</f>
        <v>215608.5191027</v>
      </c>
    </row>
    <row r="1194" customFormat="false" ht="15" hidden="false" customHeight="false" outlineLevel="0" collapsed="false">
      <c r="K1194" s="56" t="n">
        <f aca="false">K1193+1</f>
        <v>1187</v>
      </c>
      <c r="L1194" s="57" t="n">
        <f aca="false">IF(AND(K1194&lt;=Assumptions!$C$42,L1193=1,P1193=0,O1193&gt;Assumptions!$C$43),1,0)</f>
        <v>0</v>
      </c>
      <c r="M1194" s="58" t="n">
        <f aca="false">O1193</f>
        <v>1.04062110040104E-008</v>
      </c>
      <c r="N1194" s="58" t="n">
        <f aca="false">IF(L1194=1,M1194*$B$25,0)</f>
        <v>0</v>
      </c>
      <c r="O1194" s="58" t="n">
        <f aca="false">IF(L1194=1,M1194+N1194-$B$29,M1194)</f>
        <v>1.04062110040104E-008</v>
      </c>
      <c r="P1194" s="56" t="n">
        <f aca="false">IF(L1194=1,IF($B$29&lt;=N1194,1,0),0)</f>
        <v>0</v>
      </c>
      <c r="Q1194" s="58" t="n">
        <f aca="false">Q1193+N1194</f>
        <v>215608.5191027</v>
      </c>
    </row>
    <row r="1195" customFormat="false" ht="15" hidden="false" customHeight="false" outlineLevel="0" collapsed="false">
      <c r="K1195" s="56" t="n">
        <f aca="false">K1194+1</f>
        <v>1188</v>
      </c>
      <c r="L1195" s="57" t="n">
        <f aca="false">IF(AND(K1195&lt;=Assumptions!$C$42,L1194=1,P1194=0,O1194&gt;Assumptions!$C$43),1,0)</f>
        <v>0</v>
      </c>
      <c r="M1195" s="58" t="n">
        <f aca="false">O1194</f>
        <v>1.04062110040104E-008</v>
      </c>
      <c r="N1195" s="58" t="n">
        <f aca="false">IF(L1195=1,M1195*$B$25,0)</f>
        <v>0</v>
      </c>
      <c r="O1195" s="58" t="n">
        <f aca="false">IF(L1195=1,M1195+N1195-$B$29,M1195)</f>
        <v>1.04062110040104E-008</v>
      </c>
      <c r="P1195" s="56" t="n">
        <f aca="false">IF(L1195=1,IF($B$29&lt;=N1195,1,0),0)</f>
        <v>0</v>
      </c>
      <c r="Q1195" s="58" t="n">
        <f aca="false">Q1194+N1195</f>
        <v>215608.5191027</v>
      </c>
    </row>
    <row r="1196" customFormat="false" ht="15" hidden="false" customHeight="false" outlineLevel="0" collapsed="false">
      <c r="K1196" s="56" t="n">
        <f aca="false">K1195+1</f>
        <v>1189</v>
      </c>
      <c r="L1196" s="57" t="n">
        <f aca="false">IF(AND(K1196&lt;=Assumptions!$C$42,L1195=1,P1195=0,O1195&gt;Assumptions!$C$43),1,0)</f>
        <v>0</v>
      </c>
      <c r="M1196" s="58" t="n">
        <f aca="false">O1195</f>
        <v>1.04062110040104E-008</v>
      </c>
      <c r="N1196" s="58" t="n">
        <f aca="false">IF(L1196=1,M1196*$B$25,0)</f>
        <v>0</v>
      </c>
      <c r="O1196" s="58" t="n">
        <f aca="false">IF(L1196=1,M1196+N1196-$B$29,M1196)</f>
        <v>1.04062110040104E-008</v>
      </c>
      <c r="P1196" s="56" t="n">
        <f aca="false">IF(L1196=1,IF($B$29&lt;=N1196,1,0),0)</f>
        <v>0</v>
      </c>
      <c r="Q1196" s="58" t="n">
        <f aca="false">Q1195+N1196</f>
        <v>215608.5191027</v>
      </c>
    </row>
    <row r="1197" customFormat="false" ht="15" hidden="false" customHeight="false" outlineLevel="0" collapsed="false">
      <c r="K1197" s="56" t="n">
        <f aca="false">K1196+1</f>
        <v>1190</v>
      </c>
      <c r="L1197" s="57" t="n">
        <f aca="false">IF(AND(K1197&lt;=Assumptions!$C$42,L1196=1,P1196=0,O1196&gt;Assumptions!$C$43),1,0)</f>
        <v>0</v>
      </c>
      <c r="M1197" s="58" t="n">
        <f aca="false">O1196</f>
        <v>1.04062110040104E-008</v>
      </c>
      <c r="N1197" s="58" t="n">
        <f aca="false">IF(L1197=1,M1197*$B$25,0)</f>
        <v>0</v>
      </c>
      <c r="O1197" s="58" t="n">
        <f aca="false">IF(L1197=1,M1197+N1197-$B$29,M1197)</f>
        <v>1.04062110040104E-008</v>
      </c>
      <c r="P1197" s="56" t="n">
        <f aca="false">IF(L1197=1,IF($B$29&lt;=N1197,1,0),0)</f>
        <v>0</v>
      </c>
      <c r="Q1197" s="58" t="n">
        <f aca="false">Q1196+N1197</f>
        <v>215608.5191027</v>
      </c>
    </row>
    <row r="1198" customFormat="false" ht="15" hidden="false" customHeight="false" outlineLevel="0" collapsed="false">
      <c r="K1198" s="56" t="n">
        <f aca="false">K1197+1</f>
        <v>1191</v>
      </c>
      <c r="L1198" s="57" t="n">
        <f aca="false">IF(AND(K1198&lt;=Assumptions!$C$42,L1197=1,P1197=0,O1197&gt;Assumptions!$C$43),1,0)</f>
        <v>0</v>
      </c>
      <c r="M1198" s="58" t="n">
        <f aca="false">O1197</f>
        <v>1.04062110040104E-008</v>
      </c>
      <c r="N1198" s="58" t="n">
        <f aca="false">IF(L1198=1,M1198*$B$25,0)</f>
        <v>0</v>
      </c>
      <c r="O1198" s="58" t="n">
        <f aca="false">IF(L1198=1,M1198+N1198-$B$29,M1198)</f>
        <v>1.04062110040104E-008</v>
      </c>
      <c r="P1198" s="56" t="n">
        <f aca="false">IF(L1198=1,IF($B$29&lt;=N1198,1,0),0)</f>
        <v>0</v>
      </c>
      <c r="Q1198" s="58" t="n">
        <f aca="false">Q1197+N1198</f>
        <v>215608.5191027</v>
      </c>
    </row>
    <row r="1199" customFormat="false" ht="15" hidden="false" customHeight="false" outlineLevel="0" collapsed="false">
      <c r="K1199" s="56" t="n">
        <f aca="false">K1198+1</f>
        <v>1192</v>
      </c>
      <c r="L1199" s="57" t="n">
        <f aca="false">IF(AND(K1199&lt;=Assumptions!$C$42,L1198=1,P1198=0,O1198&gt;Assumptions!$C$43),1,0)</f>
        <v>0</v>
      </c>
      <c r="M1199" s="58" t="n">
        <f aca="false">O1198</f>
        <v>1.04062110040104E-008</v>
      </c>
      <c r="N1199" s="58" t="n">
        <f aca="false">IF(L1199=1,M1199*$B$25,0)</f>
        <v>0</v>
      </c>
      <c r="O1199" s="58" t="n">
        <f aca="false">IF(L1199=1,M1199+N1199-$B$29,M1199)</f>
        <v>1.04062110040104E-008</v>
      </c>
      <c r="P1199" s="56" t="n">
        <f aca="false">IF(L1199=1,IF($B$29&lt;=N1199,1,0),0)</f>
        <v>0</v>
      </c>
      <c r="Q1199" s="58" t="n">
        <f aca="false">Q1198+N1199</f>
        <v>215608.5191027</v>
      </c>
    </row>
    <row r="1200" customFormat="false" ht="15" hidden="false" customHeight="false" outlineLevel="0" collapsed="false">
      <c r="K1200" s="56" t="n">
        <f aca="false">K1199+1</f>
        <v>1193</v>
      </c>
      <c r="L1200" s="57" t="n">
        <f aca="false">IF(AND(K1200&lt;=Assumptions!$C$42,L1199=1,P1199=0,O1199&gt;Assumptions!$C$43),1,0)</f>
        <v>0</v>
      </c>
      <c r="M1200" s="58" t="n">
        <f aca="false">O1199</f>
        <v>1.04062110040104E-008</v>
      </c>
      <c r="N1200" s="58" t="n">
        <f aca="false">IF(L1200=1,M1200*$B$25,0)</f>
        <v>0</v>
      </c>
      <c r="O1200" s="58" t="n">
        <f aca="false">IF(L1200=1,M1200+N1200-$B$29,M1200)</f>
        <v>1.04062110040104E-008</v>
      </c>
      <c r="P1200" s="56" t="n">
        <f aca="false">IF(L1200=1,IF($B$29&lt;=N1200,1,0),0)</f>
        <v>0</v>
      </c>
      <c r="Q1200" s="58" t="n">
        <f aca="false">Q1199+N1200</f>
        <v>215608.5191027</v>
      </c>
    </row>
    <row r="1201" customFormat="false" ht="15" hidden="false" customHeight="false" outlineLevel="0" collapsed="false">
      <c r="K1201" s="56" t="n">
        <f aca="false">K1200+1</f>
        <v>1194</v>
      </c>
      <c r="L1201" s="57" t="n">
        <f aca="false">IF(AND(K1201&lt;=Assumptions!$C$42,L1200=1,P1200=0,O1200&gt;Assumptions!$C$43),1,0)</f>
        <v>0</v>
      </c>
      <c r="M1201" s="58" t="n">
        <f aca="false">O1200</f>
        <v>1.04062110040104E-008</v>
      </c>
      <c r="N1201" s="58" t="n">
        <f aca="false">IF(L1201=1,M1201*$B$25,0)</f>
        <v>0</v>
      </c>
      <c r="O1201" s="58" t="n">
        <f aca="false">IF(L1201=1,M1201+N1201-$B$29,M1201)</f>
        <v>1.04062110040104E-008</v>
      </c>
      <c r="P1201" s="56" t="n">
        <f aca="false">IF(L1201=1,IF($B$29&lt;=N1201,1,0),0)</f>
        <v>0</v>
      </c>
      <c r="Q1201" s="58" t="n">
        <f aca="false">Q1200+N1201</f>
        <v>215608.5191027</v>
      </c>
    </row>
    <row r="1202" customFormat="false" ht="15" hidden="false" customHeight="false" outlineLevel="0" collapsed="false">
      <c r="K1202" s="56" t="n">
        <f aca="false">K1201+1</f>
        <v>1195</v>
      </c>
      <c r="L1202" s="57" t="n">
        <f aca="false">IF(AND(K1202&lt;=Assumptions!$C$42,L1201=1,P1201=0,O1201&gt;Assumptions!$C$43),1,0)</f>
        <v>0</v>
      </c>
      <c r="M1202" s="58" t="n">
        <f aca="false">O1201</f>
        <v>1.04062110040104E-008</v>
      </c>
      <c r="N1202" s="58" t="n">
        <f aca="false">IF(L1202=1,M1202*$B$25,0)</f>
        <v>0</v>
      </c>
      <c r="O1202" s="58" t="n">
        <f aca="false">IF(L1202=1,M1202+N1202-$B$29,M1202)</f>
        <v>1.04062110040104E-008</v>
      </c>
      <c r="P1202" s="56" t="n">
        <f aca="false">IF(L1202=1,IF($B$29&lt;=N1202,1,0),0)</f>
        <v>0</v>
      </c>
      <c r="Q1202" s="58" t="n">
        <f aca="false">Q1201+N1202</f>
        <v>215608.5191027</v>
      </c>
    </row>
    <row r="1203" customFormat="false" ht="15" hidden="false" customHeight="false" outlineLevel="0" collapsed="false">
      <c r="K1203" s="56" t="n">
        <f aca="false">K1202+1</f>
        <v>1196</v>
      </c>
      <c r="L1203" s="57" t="n">
        <f aca="false">IF(AND(K1203&lt;=Assumptions!$C$42,L1202=1,P1202=0,O1202&gt;Assumptions!$C$43),1,0)</f>
        <v>0</v>
      </c>
      <c r="M1203" s="58" t="n">
        <f aca="false">O1202</f>
        <v>1.04062110040104E-008</v>
      </c>
      <c r="N1203" s="58" t="n">
        <f aca="false">IF(L1203=1,M1203*$B$25,0)</f>
        <v>0</v>
      </c>
      <c r="O1203" s="58" t="n">
        <f aca="false">IF(L1203=1,M1203+N1203-$B$29,M1203)</f>
        <v>1.04062110040104E-008</v>
      </c>
      <c r="P1203" s="56" t="n">
        <f aca="false">IF(L1203=1,IF($B$29&lt;=N1203,1,0),0)</f>
        <v>0</v>
      </c>
      <c r="Q1203" s="58" t="n">
        <f aca="false">Q1202+N1203</f>
        <v>215608.5191027</v>
      </c>
    </row>
    <row r="1204" customFormat="false" ht="15" hidden="false" customHeight="false" outlineLevel="0" collapsed="false">
      <c r="K1204" s="56" t="n">
        <f aca="false">K1203+1</f>
        <v>1197</v>
      </c>
      <c r="L1204" s="57" t="n">
        <f aca="false">IF(AND(K1204&lt;=Assumptions!$C$42,L1203=1,P1203=0,O1203&gt;Assumptions!$C$43),1,0)</f>
        <v>0</v>
      </c>
      <c r="M1204" s="58" t="n">
        <f aca="false">O1203</f>
        <v>1.04062110040104E-008</v>
      </c>
      <c r="N1204" s="58" t="n">
        <f aca="false">IF(L1204=1,M1204*$B$25,0)</f>
        <v>0</v>
      </c>
      <c r="O1204" s="58" t="n">
        <f aca="false">IF(L1204=1,M1204+N1204-$B$29,M1204)</f>
        <v>1.04062110040104E-008</v>
      </c>
      <c r="P1204" s="56" t="n">
        <f aca="false">IF(L1204=1,IF($B$29&lt;=N1204,1,0),0)</f>
        <v>0</v>
      </c>
      <c r="Q1204" s="58" t="n">
        <f aca="false">Q1203+N1204</f>
        <v>215608.5191027</v>
      </c>
    </row>
    <row r="1205" customFormat="false" ht="15" hidden="false" customHeight="false" outlineLevel="0" collapsed="false">
      <c r="K1205" s="56" t="n">
        <f aca="false">K1204+1</f>
        <v>1198</v>
      </c>
      <c r="L1205" s="57" t="n">
        <f aca="false">IF(AND(K1205&lt;=Assumptions!$C$42,L1204=1,P1204=0,O1204&gt;Assumptions!$C$43),1,0)</f>
        <v>0</v>
      </c>
      <c r="M1205" s="58" t="n">
        <f aca="false">O1204</f>
        <v>1.04062110040104E-008</v>
      </c>
      <c r="N1205" s="58" t="n">
        <f aca="false">IF(L1205=1,M1205*$B$25,0)</f>
        <v>0</v>
      </c>
      <c r="O1205" s="58" t="n">
        <f aca="false">IF(L1205=1,M1205+N1205-$B$29,M1205)</f>
        <v>1.04062110040104E-008</v>
      </c>
      <c r="P1205" s="56" t="n">
        <f aca="false">IF(L1205=1,IF($B$29&lt;=N1205,1,0),0)</f>
        <v>0</v>
      </c>
      <c r="Q1205" s="58" t="n">
        <f aca="false">Q1204+N1205</f>
        <v>215608.5191027</v>
      </c>
    </row>
    <row r="1206" customFormat="false" ht="15" hidden="false" customHeight="false" outlineLevel="0" collapsed="false">
      <c r="K1206" s="56" t="n">
        <f aca="false">K1205+1</f>
        <v>1199</v>
      </c>
      <c r="L1206" s="57" t="n">
        <f aca="false">IF(AND(K1206&lt;=Assumptions!$C$42,L1205=1,P1205=0,O1205&gt;Assumptions!$C$43),1,0)</f>
        <v>0</v>
      </c>
      <c r="M1206" s="58" t="n">
        <f aca="false">O1205</f>
        <v>1.04062110040104E-008</v>
      </c>
      <c r="N1206" s="58" t="n">
        <f aca="false">IF(L1206=1,M1206*$B$25,0)</f>
        <v>0</v>
      </c>
      <c r="O1206" s="58" t="n">
        <f aca="false">IF(L1206=1,M1206+N1206-$B$29,M1206)</f>
        <v>1.04062110040104E-008</v>
      </c>
      <c r="P1206" s="56" t="n">
        <f aca="false">IF(L1206=1,IF($B$29&lt;=N1206,1,0),0)</f>
        <v>0</v>
      </c>
      <c r="Q1206" s="58" t="n">
        <f aca="false">Q1205+N1206</f>
        <v>215608.5191027</v>
      </c>
    </row>
    <row r="1207" customFormat="false" ht="15" hidden="false" customHeight="false" outlineLevel="0" collapsed="false">
      <c r="K1207" s="56" t="n">
        <f aca="false">K1206+1</f>
        <v>1200</v>
      </c>
      <c r="L1207" s="57" t="n">
        <f aca="false">IF(AND(K1207&lt;=Assumptions!$C$42,L1206=1,P1206=0,O1206&gt;Assumptions!$C$43),1,0)</f>
        <v>0</v>
      </c>
      <c r="M1207" s="58" t="n">
        <f aca="false">O1206</f>
        <v>1.04062110040104E-008</v>
      </c>
      <c r="N1207" s="58" t="n">
        <f aca="false">IF(L1207=1,M1207*$B$25,0)</f>
        <v>0</v>
      </c>
      <c r="O1207" s="58" t="n">
        <f aca="false">IF(L1207=1,M1207+N1207-$B$29,M1207)</f>
        <v>1.04062110040104E-008</v>
      </c>
      <c r="P1207" s="56" t="n">
        <f aca="false">IF(L1207=1,IF($B$29&lt;=N1207,1,0),0)</f>
        <v>0</v>
      </c>
      <c r="Q1207" s="58" t="n">
        <f aca="false">Q1206+N1207</f>
        <v>215608.5191027</v>
      </c>
    </row>
  </sheetData>
  <mergeCells count="27">
    <mergeCell ref="A3:I3"/>
    <mergeCell ref="A4:I4"/>
    <mergeCell ref="A5:I5"/>
    <mergeCell ref="D25:I25"/>
    <mergeCell ref="D26:I26"/>
    <mergeCell ref="D27:I27"/>
    <mergeCell ref="D28:I28"/>
    <mergeCell ref="D29:I29"/>
    <mergeCell ref="D30:I30"/>
    <mergeCell ref="D31:I31"/>
    <mergeCell ref="D32:I32"/>
    <mergeCell ref="D33:I33"/>
    <mergeCell ref="D34:I34"/>
    <mergeCell ref="D35:I35"/>
    <mergeCell ref="D36:I36"/>
    <mergeCell ref="D37:I37"/>
    <mergeCell ref="D41:I41"/>
    <mergeCell ref="D42:I42"/>
    <mergeCell ref="D43:I43"/>
    <mergeCell ref="D44:I44"/>
    <mergeCell ref="D45:I45"/>
    <mergeCell ref="D46:I46"/>
    <mergeCell ref="D47:I47"/>
    <mergeCell ref="D48:I48"/>
    <mergeCell ref="D49:I49"/>
    <mergeCell ref="D50:I50"/>
    <mergeCell ref="D51:I51"/>
  </mergeCells>
  <dataValidations count="6">
    <dataValidation allowBlank="false" error="The prototype accepts 0 to 1 here." errorStyle="stop" errorTitle="Outside the prototype range" operator="between" showDropDown="false" showErrorMessage="true" showInputMessage="false" sqref="B21" type="whole">
      <formula1>0</formula1>
      <formula2>1</formula2>
    </dataValidation>
    <dataValidation allowBlank="false" error="The prototype accepts 0.01 to 0.08 here." errorStyle="stop" errorTitle="Outside the prototype range" operator="between" showDropDown="false" showErrorMessage="true" showInputMessage="false" sqref="B11" type="decimal">
      <formula1>0.01</formula1>
      <formula2>0.08</formula2>
    </dataValidation>
    <dataValidation allowBlank="false" error="The prototype accepts 50000 to 10000000 here." errorStyle="stop" errorTitle="Outside the prototype range" operator="between" showDropDown="false" showErrorMessage="true" showInputMessage="false" sqref="B10" type="decimal">
      <formula1>50000</formula1>
      <formula2>10000000</formula2>
    </dataValidation>
    <dataValidation allowBlank="false" error="The prototype accepts 5 to 35 here." errorStyle="stop" errorTitle="Outside the prototype range" operator="between" showDropDown="false" showErrorMessage="true" showInputMessage="false" sqref="B12" type="decimal">
      <formula1>5</formula1>
      <formula2>35</formula2>
    </dataValidation>
    <dataValidation allowBlank="false" error="The prototype accepts 0 to 100000 here." errorStyle="stop" errorTitle="Outside the prototype range" operator="between" showDropDown="false" showErrorMessage="true" showInputMessage="false" sqref="B20" type="decimal">
      <formula1>0</formula1>
      <formula2>100000</formula2>
    </dataValidation>
    <dataValidation allowBlank="false" error="The prototype accepts -0.02 to 0.03 here." errorStyle="stop" errorTitle="Outside the prototype range" operator="between" showDropDown="false" showErrorMessage="true" showInputMessage="false" sqref="B16" type="decimal">
      <formula1>-0.02</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492</v>
      </c>
    </row>
    <row r="2" customFormat="false" ht="15" hidden="false" customHeight="false" outlineLevel="0" collapsed="false">
      <c r="A2" s="30" t="s">
        <v>493</v>
      </c>
    </row>
    <row r="3" customFormat="false" ht="37.5" hidden="false" customHeight="true" outlineLevel="0" collapsed="false">
      <c r="A3" s="31" t="s">
        <v>494</v>
      </c>
      <c r="B3" s="31"/>
      <c r="C3" s="31"/>
      <c r="D3" s="31"/>
      <c r="E3" s="31"/>
      <c r="F3" s="31"/>
      <c r="G3" s="31"/>
      <c r="H3" s="31"/>
      <c r="I3" s="31"/>
    </row>
    <row r="4" customFormat="false" ht="63.75" hidden="false" customHeight="true" outlineLevel="0" collapsed="false">
      <c r="A4" s="31" t="s">
        <v>495</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496</v>
      </c>
      <c r="B10" s="33" t="n">
        <v>350000</v>
      </c>
      <c r="C10" s="7" t="s">
        <v>257</v>
      </c>
      <c r="D10" s="34" t="n">
        <v>350000</v>
      </c>
      <c r="E10" s="34" t="n">
        <v>100000</v>
      </c>
      <c r="F10" s="34" t="n">
        <v>1000000</v>
      </c>
      <c r="G10" s="34" t="n">
        <v>10000000</v>
      </c>
      <c r="H10" s="34" t="n">
        <v>5000</v>
      </c>
      <c r="I10" s="35"/>
    </row>
    <row r="11" customFormat="false" ht="15" hidden="false" customHeight="false" outlineLevel="0" collapsed="false">
      <c r="A11" s="7" t="s">
        <v>497</v>
      </c>
      <c r="B11" s="38" t="n">
        <v>0.1</v>
      </c>
      <c r="C11" s="7" t="s">
        <v>386</v>
      </c>
      <c r="D11" s="39" t="n">
        <v>0.1</v>
      </c>
      <c r="E11" s="39" t="n">
        <v>0.05</v>
      </c>
      <c r="F11" s="39" t="n">
        <v>0.3</v>
      </c>
      <c r="G11" s="39" t="n">
        <v>0.3</v>
      </c>
      <c r="H11" s="39" t="n">
        <v>0.01</v>
      </c>
      <c r="I11" s="35"/>
    </row>
    <row r="12" customFormat="false" ht="15" hidden="false" customHeight="false" outlineLevel="0" collapsed="false">
      <c r="A12" s="7" t="s">
        <v>498</v>
      </c>
      <c r="B12" s="33" t="n">
        <v>12000</v>
      </c>
      <c r="C12" s="7" t="s">
        <v>257</v>
      </c>
      <c r="D12" s="34" t="n">
        <v>12000</v>
      </c>
      <c r="E12" s="34" t="n">
        <v>0</v>
      </c>
      <c r="F12" s="34" t="n">
        <v>200000</v>
      </c>
      <c r="G12" s="34" t="n">
        <v>2000000</v>
      </c>
      <c r="H12" s="34" t="n">
        <v>500</v>
      </c>
      <c r="I12" s="35" t="s">
        <v>382</v>
      </c>
    </row>
    <row r="13" customFormat="false" ht="15" hidden="false" customHeight="false" outlineLevel="0" collapsed="false">
      <c r="A13" s="7" t="s">
        <v>499</v>
      </c>
      <c r="B13" s="33" t="n">
        <v>800</v>
      </c>
      <c r="C13" s="7" t="s">
        <v>257</v>
      </c>
      <c r="D13" s="34" t="n">
        <v>800</v>
      </c>
      <c r="E13" s="34" t="n">
        <v>50</v>
      </c>
      <c r="F13" s="34" t="n">
        <v>5000</v>
      </c>
      <c r="G13" s="34" t="n">
        <v>50000</v>
      </c>
      <c r="H13" s="34" t="n">
        <v>50</v>
      </c>
      <c r="I13" s="35"/>
    </row>
    <row r="15" customFormat="false" ht="15" hidden="false" customHeight="false" outlineLevel="0" collapsed="false">
      <c r="A15" s="15" t="s">
        <v>389</v>
      </c>
      <c r="B15" s="16"/>
      <c r="C15" s="16"/>
      <c r="D15" s="16"/>
      <c r="E15" s="16"/>
      <c r="F15" s="16"/>
      <c r="G15" s="16"/>
      <c r="H15" s="16"/>
      <c r="I15" s="16"/>
    </row>
    <row r="16" customFormat="false" ht="15" hidden="false" customHeight="false" outlineLevel="0" collapsed="false">
      <c r="A16" s="17" t="s">
        <v>30</v>
      </c>
      <c r="B16" s="17" t="s">
        <v>192</v>
      </c>
      <c r="C16" s="17" t="s">
        <v>193</v>
      </c>
      <c r="D16" s="17" t="s">
        <v>371</v>
      </c>
      <c r="E16" s="17" t="s">
        <v>372</v>
      </c>
      <c r="F16" s="17" t="s">
        <v>373</v>
      </c>
      <c r="G16" s="17" t="s">
        <v>374</v>
      </c>
      <c r="H16" s="17" t="s">
        <v>375</v>
      </c>
      <c r="I16" s="17" t="s">
        <v>376</v>
      </c>
    </row>
    <row r="17" customFormat="false" ht="15" hidden="false" customHeight="false" outlineLevel="0" collapsed="false">
      <c r="A17" s="7" t="s">
        <v>500</v>
      </c>
      <c r="B17" s="33" t="n">
        <v>0</v>
      </c>
      <c r="C17" s="7" t="s">
        <v>257</v>
      </c>
      <c r="D17" s="34" t="n">
        <v>0</v>
      </c>
      <c r="E17" s="34" t="n">
        <v>0</v>
      </c>
      <c r="F17" s="34" t="n">
        <v>1500</v>
      </c>
      <c r="G17" s="34" t="n">
        <v>15000</v>
      </c>
      <c r="H17" s="34" t="n">
        <v>50</v>
      </c>
      <c r="I17" s="35"/>
    </row>
    <row r="19" customFormat="false" ht="15" hidden="false" customHeight="false" outlineLevel="0" collapsed="false">
      <c r="A19" s="15" t="s">
        <v>391</v>
      </c>
      <c r="B19" s="16"/>
      <c r="C19" s="16"/>
      <c r="D19" s="16"/>
      <c r="E19" s="16"/>
      <c r="F19" s="16"/>
      <c r="G19" s="16"/>
      <c r="H19" s="16"/>
      <c r="I19" s="16"/>
    </row>
    <row r="20" customFormat="false" ht="15" hidden="false" customHeight="false" outlineLevel="0" collapsed="false">
      <c r="A20" s="17" t="s">
        <v>392</v>
      </c>
      <c r="B20" s="17" t="s">
        <v>192</v>
      </c>
      <c r="C20" s="17" t="s">
        <v>193</v>
      </c>
      <c r="D20" s="17" t="s">
        <v>393</v>
      </c>
    </row>
    <row r="21" customFormat="false" ht="15" hidden="false" customHeight="false" outlineLevel="0" collapsed="false">
      <c r="A21" s="7" t="s">
        <v>497</v>
      </c>
      <c r="B21" s="43" t="n">
        <f aca="false">$B$10*$B$11</f>
        <v>35000</v>
      </c>
      <c r="C21" s="41" t="s">
        <v>257</v>
      </c>
      <c r="D21" s="42" t="s">
        <v>501</v>
      </c>
      <c r="E21" s="42"/>
      <c r="F21" s="42"/>
      <c r="G21" s="42"/>
      <c r="H21" s="42"/>
      <c r="I21" s="42"/>
    </row>
    <row r="22" customFormat="false" ht="15" hidden="false" customHeight="false" outlineLevel="0" collapsed="false">
      <c r="A22" s="7" t="s">
        <v>502</v>
      </c>
      <c r="B22" s="43" t="n">
        <f aca="false">MAX(0,$B$21-$B$12)</f>
        <v>23000</v>
      </c>
      <c r="C22" s="41" t="s">
        <v>257</v>
      </c>
      <c r="D22" s="42" t="s">
        <v>503</v>
      </c>
      <c r="E22" s="42"/>
      <c r="F22" s="42"/>
      <c r="G22" s="42"/>
      <c r="H22" s="42"/>
      <c r="I22" s="42"/>
    </row>
    <row r="23" customFormat="false" ht="15" hidden="false" customHeight="false" outlineLevel="0" collapsed="false">
      <c r="A23" s="7" t="s">
        <v>504</v>
      </c>
      <c r="B23" s="43" t="n">
        <f aca="false">$B$13+$B$17</f>
        <v>800</v>
      </c>
      <c r="C23" s="41" t="s">
        <v>257</v>
      </c>
      <c r="D23" s="42" t="s">
        <v>505</v>
      </c>
      <c r="E23" s="42"/>
      <c r="F23" s="42"/>
      <c r="G23" s="42"/>
      <c r="H23" s="42"/>
      <c r="I23" s="42"/>
    </row>
    <row r="24" customFormat="false" ht="15" hidden="false" customHeight="false" outlineLevel="0" collapsed="false">
      <c r="A24" s="7" t="s">
        <v>506</v>
      </c>
      <c r="B24" s="61" t="n">
        <f aca="false">IF($B$23=0,0,$B$22/$B$23)</f>
        <v>28.75</v>
      </c>
      <c r="C24" s="41" t="s">
        <v>507</v>
      </c>
      <c r="D24" s="42" t="s">
        <v>508</v>
      </c>
      <c r="E24" s="42"/>
      <c r="F24" s="42"/>
      <c r="G24" s="42"/>
      <c r="H24" s="42"/>
      <c r="I24" s="42"/>
    </row>
    <row r="25" customFormat="false" ht="15" hidden="false" customHeight="false" outlineLevel="0" collapsed="false">
      <c r="A25" s="7" t="s">
        <v>509</v>
      </c>
      <c r="B25" s="46" t="n">
        <f aca="false">(-INT(-($B$24)))</f>
        <v>29</v>
      </c>
      <c r="C25" s="41" t="s">
        <v>240</v>
      </c>
      <c r="D25" s="42" t="s">
        <v>510</v>
      </c>
      <c r="E25" s="42"/>
      <c r="F25" s="42"/>
      <c r="G25" s="42"/>
      <c r="H25" s="42"/>
      <c r="I25" s="42"/>
    </row>
    <row r="27" customFormat="false" ht="15" hidden="false" customHeight="false" outlineLevel="0" collapsed="false">
      <c r="A27" s="15" t="s">
        <v>415</v>
      </c>
      <c r="B27" s="16"/>
      <c r="C27" s="16"/>
      <c r="D27" s="16"/>
      <c r="E27" s="16"/>
      <c r="F27" s="16"/>
      <c r="G27" s="16"/>
      <c r="H27" s="16"/>
      <c r="I27" s="16"/>
    </row>
    <row r="28" customFormat="false" ht="15" hidden="false" customHeight="false" outlineLevel="0" collapsed="false">
      <c r="A28" s="17" t="s">
        <v>416</v>
      </c>
      <c r="B28" s="17" t="s">
        <v>192</v>
      </c>
      <c r="C28" s="17" t="s">
        <v>417</v>
      </c>
      <c r="D28" s="17" t="s">
        <v>418</v>
      </c>
    </row>
    <row r="29" customFormat="false" ht="15" hidden="false" customHeight="false" outlineLevel="0" collapsed="false">
      <c r="A29" s="4" t="s">
        <v>419</v>
      </c>
      <c r="B29" s="48"/>
      <c r="C29" s="49" t="str">
        <f aca="false">"Time to your deposit"</f>
        <v>Time to your deposit</v>
      </c>
      <c r="D29" s="42" t="s">
        <v>420</v>
      </c>
      <c r="E29" s="42"/>
      <c r="F29" s="42"/>
      <c r="G29" s="42"/>
      <c r="H29" s="42"/>
      <c r="I29" s="42"/>
    </row>
    <row r="30" customFormat="false" ht="15" hidden="false" customHeight="false" outlineLevel="0" collapsed="false">
      <c r="A30" s="4" t="s">
        <v>511</v>
      </c>
      <c r="B30" s="48" t="n">
        <f aca="false">IF($B$22&lt;&gt;0,$B$25,0)</f>
        <v>29</v>
      </c>
      <c r="C30" s="49" t="str">
        <f aca="false">IF($B$22&lt;&gt;0,IF(INT($B$25/12)&gt;0,INT($B$25/12)&amp;" yr"&amp;IF(INT($B$25/12)&gt;1,"s","")&amp;IF(ROUND(MOD($B$25,12),0)&lt;&gt;0," "&amp;ROUND(MOD($B$25,12),0)&amp;" mo",""),ROUND(MOD($B$25,12),0)&amp;" months"),"You have it")</f>
        <v>2 yrs 5 mo</v>
      </c>
      <c r="D30" s="42" t="s">
        <v>512</v>
      </c>
      <c r="E30" s="42"/>
      <c r="F30" s="42"/>
      <c r="G30" s="42"/>
      <c r="H30" s="42"/>
      <c r="I30" s="42"/>
    </row>
    <row r="31" customFormat="false" ht="15" hidden="false" customHeight="false" outlineLevel="0" collapsed="false">
      <c r="A31" s="4" t="s">
        <v>513</v>
      </c>
      <c r="B31" s="50" t="n">
        <f aca="false">$B$21</f>
        <v>35000</v>
      </c>
      <c r="C31" s="49" t="str">
        <f aca="false">IF(($B$21)&lt;0,"−€","€")&amp;FIXED(ROUND(ABS($B$21),0),0)</f>
        <v>€35,000</v>
      </c>
      <c r="D31" s="42" t="s">
        <v>424</v>
      </c>
      <c r="E31" s="42"/>
      <c r="F31" s="42"/>
      <c r="G31" s="42"/>
      <c r="H31" s="42"/>
      <c r="I31" s="42"/>
    </row>
    <row r="32" customFormat="false" ht="15" hidden="false" customHeight="false" outlineLevel="0" collapsed="false">
      <c r="A32" s="4" t="s">
        <v>514</v>
      </c>
      <c r="B32" s="50" t="n">
        <f aca="false">$B$23</f>
        <v>800</v>
      </c>
      <c r="C32" s="49" t="str">
        <f aca="false">IF(($B$23)&lt;0,"−€","€")&amp;FIXED(ROUND(ABS($B$23),0),0)</f>
        <v>€800</v>
      </c>
      <c r="D32" s="42" t="s">
        <v>424</v>
      </c>
      <c r="E32" s="42"/>
      <c r="F32" s="42"/>
      <c r="G32" s="42"/>
      <c r="H32" s="42"/>
      <c r="I32" s="42"/>
    </row>
    <row r="33" customFormat="false" ht="15" hidden="false" customHeight="false" outlineLevel="0" collapsed="false">
      <c r="A33" s="4" t="s">
        <v>497</v>
      </c>
      <c r="B33" s="50" t="n">
        <f aca="false">$B$21</f>
        <v>35000</v>
      </c>
      <c r="C33" s="49" t="str">
        <f aca="false">IF(($B$21)&lt;0,"−€","€")&amp;FIXED(ROUND(ABS($B$21),0),0)</f>
        <v>€35,000</v>
      </c>
      <c r="D33" s="42" t="s">
        <v>427</v>
      </c>
      <c r="E33" s="42"/>
      <c r="F33" s="42"/>
      <c r="G33" s="42"/>
      <c r="H33" s="42"/>
      <c r="I33" s="42"/>
    </row>
    <row r="34" customFormat="false" ht="15" hidden="false" customHeight="false" outlineLevel="0" collapsed="false">
      <c r="A34" s="4" t="s">
        <v>502</v>
      </c>
      <c r="B34" s="50" t="n">
        <f aca="false">$B$22</f>
        <v>23000</v>
      </c>
      <c r="C34" s="49" t="str">
        <f aca="false">IF(($B$22)&lt;0,"−€","€")&amp;FIXED(ROUND(ABS($B$22),0),0)</f>
        <v>€23,000</v>
      </c>
      <c r="D34" s="42" t="s">
        <v>428</v>
      </c>
      <c r="E34" s="42"/>
      <c r="F34" s="42"/>
      <c r="G34" s="42"/>
      <c r="H34" s="42"/>
      <c r="I34" s="42"/>
    </row>
    <row r="35" customFormat="false" ht="15" hidden="false" customHeight="false" outlineLevel="0" collapsed="false">
      <c r="A35" s="4" t="s">
        <v>515</v>
      </c>
      <c r="B35" s="50" t="n">
        <f aca="false">INT(($B$21)+0.5)</f>
        <v>35000</v>
      </c>
      <c r="C35" s="49" t="str">
        <f aca="false">$B$35&amp;""</f>
        <v>35000</v>
      </c>
      <c r="D35" s="42" t="s">
        <v>435</v>
      </c>
      <c r="E35" s="42"/>
      <c r="F35" s="42"/>
      <c r="G35" s="42"/>
      <c r="H35" s="42"/>
      <c r="I35" s="42"/>
    </row>
    <row r="36" customFormat="false" ht="15" hidden="false" customHeight="false" outlineLevel="0" collapsed="false">
      <c r="A36" s="4" t="s">
        <v>434</v>
      </c>
      <c r="B36" s="48" t="n">
        <f aca="false">MAX(1,(-INT(-($B$24/12))))</f>
        <v>3</v>
      </c>
      <c r="C36" s="49" t="str">
        <f aca="false">$B$36&amp;""</f>
        <v>3</v>
      </c>
      <c r="D36" s="42" t="s">
        <v>435</v>
      </c>
      <c r="E36" s="42"/>
      <c r="F36" s="42"/>
      <c r="G36" s="42"/>
      <c r="H36" s="42"/>
      <c r="I36" s="42"/>
    </row>
  </sheetData>
  <mergeCells count="16">
    <mergeCell ref="A3:I3"/>
    <mergeCell ref="A4:I4"/>
    <mergeCell ref="A5:I5"/>
    <mergeCell ref="D21:I21"/>
    <mergeCell ref="D22:I22"/>
    <mergeCell ref="D23:I23"/>
    <mergeCell ref="D24:I24"/>
    <mergeCell ref="D25:I25"/>
    <mergeCell ref="D29:I29"/>
    <mergeCell ref="D30:I30"/>
    <mergeCell ref="D31:I31"/>
    <mergeCell ref="D32:I32"/>
    <mergeCell ref="D33:I33"/>
    <mergeCell ref="D34:I34"/>
    <mergeCell ref="D35:I35"/>
    <mergeCell ref="D36:I36"/>
  </mergeCells>
  <dataValidations count="5">
    <dataValidation allowBlank="false" error="The prototype accepts 0 to 2000000 here." errorStyle="stop" errorTitle="Outside the prototype range" operator="between" showDropDown="false" showErrorMessage="true" showInputMessage="false" sqref="B12" type="decimal">
      <formula1>0</formula1>
      <formula2>2000000</formula2>
    </dataValidation>
    <dataValidation allowBlank="false" error="The prototype accepts 100000 to 10000000 here." errorStyle="stop" errorTitle="Outside the prototype range" operator="between" showDropDown="false" showErrorMessage="true" showInputMessage="false" sqref="B10" type="decimal">
      <formula1>100000</formula1>
      <formula2>10000000</formula2>
    </dataValidation>
    <dataValidation allowBlank="false" error="The prototype accepts 0.05 to 0.3 here." errorStyle="stop" errorTitle="Outside the prototype range" operator="between" showDropDown="false" showErrorMessage="true" showInputMessage="false" sqref="B11" type="decimal">
      <formula1>0.05</formula1>
      <formula2>0.3</formula2>
    </dataValidation>
    <dataValidation allowBlank="false" error="The prototype accepts 50 to 50000 here." errorStyle="stop" errorTitle="Outside the prototype range" operator="between" showDropDown="false" showErrorMessage="true" showInputMessage="false" sqref="B13" type="decimal">
      <formula1>50</formula1>
      <formula2>50000</formula2>
    </dataValidation>
    <dataValidation allowBlank="false" error="The prototype accepts 0 to 15000 here." errorStyle="stop" errorTitle="Outside the prototype range" operator="between" showDropDown="false" showErrorMessage="true" showInputMessage="false" sqref="B17" type="decimal">
      <formula1>0</formula1>
      <formula2>15000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7" min="11" style="0" width="14"/>
    <col collapsed="false" customWidth="true" hidden="false" outlineLevel="0" max="25" min="19" style="0" width="14"/>
  </cols>
  <sheetData>
    <row r="1" customFormat="false" ht="17.35" hidden="false" customHeight="false" outlineLevel="0" collapsed="false">
      <c r="A1" s="1" t="s">
        <v>516</v>
      </c>
    </row>
    <row r="2" customFormat="false" ht="15" hidden="false" customHeight="false" outlineLevel="0" collapsed="false">
      <c r="A2" s="30" t="s">
        <v>517</v>
      </c>
    </row>
    <row r="3" customFormat="false" ht="37.5" hidden="false" customHeight="true" outlineLevel="0" collapsed="false">
      <c r="A3" s="31" t="s">
        <v>518</v>
      </c>
      <c r="B3" s="31"/>
      <c r="C3" s="31"/>
      <c r="D3" s="31"/>
      <c r="E3" s="31"/>
      <c r="F3" s="31"/>
      <c r="G3" s="31"/>
      <c r="H3" s="31"/>
      <c r="I3" s="31"/>
    </row>
    <row r="4" customFormat="false" ht="63.75" hidden="false" customHeight="true" outlineLevel="0" collapsed="false">
      <c r="A4" s="31" t="s">
        <v>519</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440</v>
      </c>
      <c r="S5" s="54" t="s">
        <v>440</v>
      </c>
    </row>
    <row r="6" customFormat="false" ht="15" hidden="false" customHeight="false" outlineLevel="0" collapsed="false">
      <c r="K6" s="9" t="s">
        <v>520</v>
      </c>
      <c r="L6" s="16"/>
      <c r="M6" s="16"/>
      <c r="N6" s="16"/>
      <c r="O6" s="16"/>
      <c r="P6" s="16"/>
      <c r="Q6" s="16"/>
      <c r="S6" s="9" t="s">
        <v>521</v>
      </c>
      <c r="T6" s="16"/>
      <c r="U6" s="16"/>
      <c r="V6" s="16"/>
      <c r="W6" s="16"/>
      <c r="X6" s="16"/>
      <c r="Y6" s="16"/>
    </row>
    <row r="7" customFormat="false" ht="39.75" hidden="false" customHeight="true" outlineLevel="0" collapsed="false">
      <c r="K7" s="55" t="s">
        <v>442</v>
      </c>
      <c r="L7" s="55" t="s">
        <v>443</v>
      </c>
      <c r="M7" s="55" t="s">
        <v>444</v>
      </c>
      <c r="N7" s="55" t="s">
        <v>445</v>
      </c>
      <c r="O7" s="55" t="s">
        <v>446</v>
      </c>
      <c r="P7" s="55" t="s">
        <v>447</v>
      </c>
      <c r="Q7" s="55" t="s">
        <v>448</v>
      </c>
      <c r="S7" s="55" t="s">
        <v>442</v>
      </c>
      <c r="T7" s="55" t="s">
        <v>443</v>
      </c>
      <c r="U7" s="55" t="s">
        <v>444</v>
      </c>
      <c r="V7" s="55" t="s">
        <v>445</v>
      </c>
      <c r="W7" s="55" t="s">
        <v>446</v>
      </c>
      <c r="X7" s="55" t="s">
        <v>447</v>
      </c>
      <c r="Y7" s="55" t="s">
        <v>448</v>
      </c>
    </row>
    <row r="8" customFormat="false" ht="15" hidden="false" customHeight="false" outlineLevel="0" collapsed="false">
      <c r="A8" s="15" t="s">
        <v>370</v>
      </c>
      <c r="B8" s="16"/>
      <c r="C8" s="16"/>
      <c r="D8" s="16"/>
      <c r="E8" s="16"/>
      <c r="F8" s="16"/>
      <c r="G8" s="16"/>
      <c r="H8" s="16"/>
      <c r="I8" s="16"/>
      <c r="K8" s="56" t="n">
        <v>1</v>
      </c>
      <c r="L8" s="57" t="n">
        <f aca="false">IF(AND(K8&lt;=Assumptions!$C$42,$B$10&gt;Assumptions!$C$43),1,0)</f>
        <v>1</v>
      </c>
      <c r="M8" s="58" t="n">
        <f aca="false">$B$10</f>
        <v>250000</v>
      </c>
      <c r="N8" s="58" t="n">
        <f aca="false">IF(L8=1,M8*$B$22,0)</f>
        <v>833.333333333333</v>
      </c>
      <c r="O8" s="58" t="n">
        <f aca="false">IF(L8=1,M8+N8-$B$26,M8)</f>
        <v>249513.741232589</v>
      </c>
      <c r="P8" s="56" t="n">
        <f aca="false">IF(L8=1,IF($B$26&lt;=N8,1,0),0)</f>
        <v>0</v>
      </c>
      <c r="Q8" s="58" t="n">
        <f aca="false">N8</f>
        <v>833.333333333333</v>
      </c>
      <c r="S8" s="56" t="n">
        <v>1</v>
      </c>
      <c r="T8" s="57" t="n">
        <f aca="false">IF(AND(S8&lt;=Assumptions!$C$42,$B$10&gt;Assumptions!$C$43),1,0)</f>
        <v>1</v>
      </c>
      <c r="U8" s="58" t="n">
        <f aca="false">$B$10</f>
        <v>250000</v>
      </c>
      <c r="V8" s="58" t="n">
        <f aca="false">IF(T8=1,U8*$B$22,0)</f>
        <v>833.333333333333</v>
      </c>
      <c r="W8" s="58" t="n">
        <f aca="false">IF(T8=1,U8+V8-$B$27,U8)</f>
        <v>249313.741232589</v>
      </c>
      <c r="X8" s="56" t="n">
        <f aca="false">IF(T8=1,IF($B$27&lt;=V8,1,0),0)</f>
        <v>0</v>
      </c>
      <c r="Y8" s="58" t="n">
        <f aca="false">V8</f>
        <v>833.333333333333</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2</v>
      </c>
      <c r="L9" s="57" t="n">
        <f aca="false">IF(AND(K9&lt;=Assumptions!$C$42,L8=1,P8=0,O8&gt;Assumptions!$C$43),1,0)</f>
        <v>1</v>
      </c>
      <c r="M9" s="58" t="n">
        <f aca="false">O8</f>
        <v>249513.741232589</v>
      </c>
      <c r="N9" s="58" t="n">
        <f aca="false">IF(L9=1,M9*$B$22,0)</f>
        <v>831.712470775296</v>
      </c>
      <c r="O9" s="58" t="n">
        <f aca="false">IF(L9=1,M9+N9-$B$26,M9)</f>
        <v>249025.86160262</v>
      </c>
      <c r="P9" s="56" t="n">
        <f aca="false">IF(L9=1,IF($B$26&lt;=N9,1,0),0)</f>
        <v>0</v>
      </c>
      <c r="Q9" s="58" t="n">
        <f aca="false">Q8+N9</f>
        <v>1665.04580410863</v>
      </c>
      <c r="S9" s="56" t="n">
        <f aca="false">S8+1</f>
        <v>2</v>
      </c>
      <c r="T9" s="57" t="n">
        <f aca="false">IF(AND(S9&lt;=Assumptions!$C$42,T8=1,X8=0,W8&gt;Assumptions!$C$43),1,0)</f>
        <v>1</v>
      </c>
      <c r="U9" s="58" t="n">
        <f aca="false">W8</f>
        <v>249313.741232589</v>
      </c>
      <c r="V9" s="58" t="n">
        <f aca="false">IF(T9=1,U9*$B$22,0)</f>
        <v>831.04580410863</v>
      </c>
      <c r="W9" s="58" t="n">
        <f aca="false">IF(T9=1,U9+V9-$B$27,U9)</f>
        <v>248625.194935953</v>
      </c>
      <c r="X9" s="56" t="n">
        <f aca="false">IF(T9=1,IF($B$27&lt;=V9,1,0),0)</f>
        <v>0</v>
      </c>
      <c r="Y9" s="58" t="n">
        <f aca="false">Y8+V9</f>
        <v>1664.37913744196</v>
      </c>
    </row>
    <row r="10" customFormat="false" ht="15" hidden="false" customHeight="false" outlineLevel="0" collapsed="false">
      <c r="A10" s="7" t="s">
        <v>522</v>
      </c>
      <c r="B10" s="33" t="n">
        <v>250000</v>
      </c>
      <c r="C10" s="7" t="s">
        <v>257</v>
      </c>
      <c r="D10" s="34" t="n">
        <v>250000</v>
      </c>
      <c r="E10" s="34" t="n">
        <v>20000</v>
      </c>
      <c r="F10" s="34" t="n">
        <v>1000000</v>
      </c>
      <c r="G10" s="34" t="n">
        <v>10000000</v>
      </c>
      <c r="H10" s="34" t="n">
        <v>1000</v>
      </c>
      <c r="I10" s="35" t="s">
        <v>523</v>
      </c>
      <c r="K10" s="56" t="n">
        <f aca="false">K9+1</f>
        <v>3</v>
      </c>
      <c r="L10" s="57" t="n">
        <f aca="false">IF(AND(K10&lt;=Assumptions!$C$42,L9=1,P9=0,O9&gt;Assumptions!$C$43),1,0)</f>
        <v>1</v>
      </c>
      <c r="M10" s="58" t="n">
        <f aca="false">O9</f>
        <v>249025.86160262</v>
      </c>
      <c r="N10" s="58" t="n">
        <f aca="false">IF(L10=1,M10*$B$22,0)</f>
        <v>830.086205342066</v>
      </c>
      <c r="O10" s="58" t="n">
        <f aca="false">IF(L10=1,M10+N10-$B$26,M10)</f>
        <v>248536.355707217</v>
      </c>
      <c r="P10" s="56" t="n">
        <f aca="false">IF(L10=1,IF($B$26&lt;=N10,1,0),0)</f>
        <v>0</v>
      </c>
      <c r="Q10" s="58" t="n">
        <f aca="false">Q9+N10</f>
        <v>2495.1320094507</v>
      </c>
      <c r="S10" s="56" t="n">
        <f aca="false">S9+1</f>
        <v>3</v>
      </c>
      <c r="T10" s="57" t="n">
        <f aca="false">IF(AND(S10&lt;=Assumptions!$C$42,T9=1,X9=0,W9&gt;Assumptions!$C$43),1,0)</f>
        <v>1</v>
      </c>
      <c r="U10" s="58" t="n">
        <f aca="false">W9</f>
        <v>248625.194935953</v>
      </c>
      <c r="V10" s="58" t="n">
        <f aca="false">IF(T10=1,U10*$B$22,0)</f>
        <v>828.750649786511</v>
      </c>
      <c r="W10" s="58" t="n">
        <f aca="false">IF(T10=1,U10+V10-$B$27,U10)</f>
        <v>247934.353484995</v>
      </c>
      <c r="X10" s="56" t="n">
        <f aca="false">IF(T10=1,IF($B$27&lt;=V10,1,0),0)</f>
        <v>0</v>
      </c>
      <c r="Y10" s="58" t="n">
        <f aca="false">Y9+V10</f>
        <v>2493.12978722847</v>
      </c>
    </row>
    <row r="11" customFormat="false" ht="15" hidden="false" customHeight="false" outlineLevel="0" collapsed="false">
      <c r="A11" s="7" t="s">
        <v>385</v>
      </c>
      <c r="B11" s="38" t="n">
        <v>0.04</v>
      </c>
      <c r="C11" s="7" t="s">
        <v>386</v>
      </c>
      <c r="D11" s="39" t="n">
        <v>0.04</v>
      </c>
      <c r="E11" s="39" t="n">
        <v>0.01</v>
      </c>
      <c r="F11" s="39" t="n">
        <v>0.08</v>
      </c>
      <c r="G11" s="39" t="n">
        <v>0.08</v>
      </c>
      <c r="H11" s="39" t="n">
        <v>0.0005</v>
      </c>
      <c r="I11" s="35" t="s">
        <v>451</v>
      </c>
      <c r="K11" s="56" t="n">
        <f aca="false">K10+1</f>
        <v>4</v>
      </c>
      <c r="L11" s="57" t="n">
        <f aca="false">IF(AND(K11&lt;=Assumptions!$C$42,L10=1,P10=0,O10&gt;Assumptions!$C$43),1,0)</f>
        <v>1</v>
      </c>
      <c r="M11" s="58" t="n">
        <f aca="false">O10</f>
        <v>248536.355707217</v>
      </c>
      <c r="N11" s="58" t="n">
        <f aca="false">IF(L11=1,M11*$B$22,0)</f>
        <v>828.454519024058</v>
      </c>
      <c r="O11" s="58" t="n">
        <f aca="false">IF(L11=1,M11+N11-$B$26,M11)</f>
        <v>248045.218125497</v>
      </c>
      <c r="P11" s="56" t="n">
        <f aca="false">IF(L11=1,IF($B$26&lt;=N11,1,0),0)</f>
        <v>0</v>
      </c>
      <c r="Q11" s="58" t="n">
        <f aca="false">Q10+N11</f>
        <v>3323.58652847475</v>
      </c>
      <c r="S11" s="56" t="n">
        <f aca="false">S10+1</f>
        <v>4</v>
      </c>
      <c r="T11" s="57" t="n">
        <f aca="false">IF(AND(S11&lt;=Assumptions!$C$42,T10=1,X10=0,W10&gt;Assumptions!$C$43),1,0)</f>
        <v>1</v>
      </c>
      <c r="U11" s="58" t="n">
        <f aca="false">W10</f>
        <v>247934.353484995</v>
      </c>
      <c r="V11" s="58" t="n">
        <f aca="false">IF(T11=1,U11*$B$22,0)</f>
        <v>826.447844949984</v>
      </c>
      <c r="W11" s="58" t="n">
        <f aca="false">IF(T11=1,U11+V11-$B$27,U11)</f>
        <v>247241.209229201</v>
      </c>
      <c r="X11" s="56" t="n">
        <f aca="false">IF(T11=1,IF($B$27&lt;=V11,1,0),0)</f>
        <v>0</v>
      </c>
      <c r="Y11" s="58" t="n">
        <f aca="false">Y10+V11</f>
        <v>3319.57763217846</v>
      </c>
    </row>
    <row r="12" customFormat="false" ht="15" hidden="false" customHeight="false" outlineLevel="0" collapsed="false">
      <c r="A12" s="7" t="s">
        <v>524</v>
      </c>
      <c r="B12" s="36" t="n">
        <v>25</v>
      </c>
      <c r="C12" s="7" t="s">
        <v>388</v>
      </c>
      <c r="D12" s="37" t="n">
        <v>25</v>
      </c>
      <c r="E12" s="37" t="n">
        <v>3</v>
      </c>
      <c r="F12" s="37" t="n">
        <v>35</v>
      </c>
      <c r="G12" s="37" t="n">
        <v>35</v>
      </c>
      <c r="H12" s="37" t="n">
        <v>1</v>
      </c>
      <c r="I12" s="35" t="s">
        <v>452</v>
      </c>
      <c r="K12" s="56" t="n">
        <f aca="false">K11+1</f>
        <v>5</v>
      </c>
      <c r="L12" s="57" t="n">
        <f aca="false">IF(AND(K12&lt;=Assumptions!$C$42,L11=1,P11=0,O11&gt;Assumptions!$C$43),1,0)</f>
        <v>1</v>
      </c>
      <c r="M12" s="58" t="n">
        <f aca="false">O11</f>
        <v>248045.218125497</v>
      </c>
      <c r="N12" s="58" t="n">
        <f aca="false">IF(L12=1,M12*$B$22,0)</f>
        <v>826.817393751657</v>
      </c>
      <c r="O12" s="58" t="n">
        <f aca="false">IF(L12=1,M12+N12-$B$26,M12)</f>
        <v>247552.443418504</v>
      </c>
      <c r="P12" s="56" t="n">
        <f aca="false">IF(L12=1,IF($B$26&lt;=N12,1,0),0)</f>
        <v>0</v>
      </c>
      <c r="Q12" s="58" t="n">
        <f aca="false">Q11+N12</f>
        <v>4150.40392222641</v>
      </c>
      <c r="S12" s="56" t="n">
        <f aca="false">S11+1</f>
        <v>5</v>
      </c>
      <c r="T12" s="57" t="n">
        <f aca="false">IF(AND(S12&lt;=Assumptions!$C$42,T11=1,X11=0,W11&gt;Assumptions!$C$43),1,0)</f>
        <v>1</v>
      </c>
      <c r="U12" s="58" t="n">
        <f aca="false">W11</f>
        <v>247241.209229201</v>
      </c>
      <c r="V12" s="58" t="n">
        <f aca="false">IF(T12=1,U12*$B$22,0)</f>
        <v>824.137364097336</v>
      </c>
      <c r="W12" s="58" t="n">
        <f aca="false">IF(T12=1,U12+V12-$B$27,U12)</f>
        <v>246545.754492554</v>
      </c>
      <c r="X12" s="56" t="n">
        <f aca="false">IF(T12=1,IF($B$27&lt;=V12,1,0),0)</f>
        <v>0</v>
      </c>
      <c r="Y12" s="58" t="n">
        <f aca="false">Y11+V12</f>
        <v>4143.71499627579</v>
      </c>
    </row>
    <row r="13" customFormat="false" ht="15" hidden="false" customHeight="false" outlineLevel="0" collapsed="false">
      <c r="A13" s="7" t="s">
        <v>525</v>
      </c>
      <c r="B13" s="33" t="n">
        <v>200</v>
      </c>
      <c r="C13" s="7" t="s">
        <v>257</v>
      </c>
      <c r="D13" s="34" t="n">
        <v>200</v>
      </c>
      <c r="E13" s="34" t="n">
        <v>0</v>
      </c>
      <c r="F13" s="34" t="n">
        <v>2000</v>
      </c>
      <c r="G13" s="34" t="n">
        <v>20000</v>
      </c>
      <c r="H13" s="34" t="n">
        <v>25</v>
      </c>
      <c r="I13" s="35"/>
      <c r="K13" s="56" t="n">
        <f aca="false">K12+1</f>
        <v>6</v>
      </c>
      <c r="L13" s="57" t="n">
        <f aca="false">IF(AND(K13&lt;=Assumptions!$C$42,L12=1,P12=0,O12&gt;Assumptions!$C$43),1,0)</f>
        <v>1</v>
      </c>
      <c r="M13" s="58" t="n">
        <f aca="false">O12</f>
        <v>247552.443418504</v>
      </c>
      <c r="N13" s="58" t="n">
        <f aca="false">IF(L13=1,M13*$B$22,0)</f>
        <v>825.174811395014</v>
      </c>
      <c r="O13" s="58" t="n">
        <f aca="false">IF(L13=1,M13+N13-$B$26,M13)</f>
        <v>247058.026129155</v>
      </c>
      <c r="P13" s="56" t="n">
        <f aca="false">IF(L13=1,IF($B$26&lt;=N13,1,0),0)</f>
        <v>0</v>
      </c>
      <c r="Q13" s="58" t="n">
        <f aca="false">Q12+N13</f>
        <v>4975.57873362143</v>
      </c>
      <c r="S13" s="56" t="n">
        <f aca="false">S12+1</f>
        <v>6</v>
      </c>
      <c r="T13" s="57" t="n">
        <f aca="false">IF(AND(S13&lt;=Assumptions!$C$42,T12=1,X12=0,W12&gt;Assumptions!$C$43),1,0)</f>
        <v>1</v>
      </c>
      <c r="U13" s="58" t="n">
        <f aca="false">W12</f>
        <v>246545.754492554</v>
      </c>
      <c r="V13" s="58" t="n">
        <f aca="false">IF(T13=1,U13*$B$22,0)</f>
        <v>821.819181641846</v>
      </c>
      <c r="W13" s="58" t="n">
        <f aca="false">IF(T13=1,U13+V13-$B$27,U13)</f>
        <v>245847.981573451</v>
      </c>
      <c r="X13" s="56" t="n">
        <f aca="false">IF(T13=1,IF($B$27&lt;=V13,1,0),0)</f>
        <v>0</v>
      </c>
      <c r="Y13" s="58" t="n">
        <f aca="false">Y12+V13</f>
        <v>4965.53417791764</v>
      </c>
    </row>
    <row r="14" customFormat="false" ht="15" hidden="false" customHeight="false" outlineLevel="0" collapsed="false">
      <c r="K14" s="56" t="n">
        <f aca="false">K13+1</f>
        <v>7</v>
      </c>
      <c r="L14" s="57" t="n">
        <f aca="false">IF(AND(K14&lt;=Assumptions!$C$42,L13=1,P13=0,O13&gt;Assumptions!$C$43),1,0)</f>
        <v>1</v>
      </c>
      <c r="M14" s="58" t="n">
        <f aca="false">O13</f>
        <v>247058.026129155</v>
      </c>
      <c r="N14" s="58" t="n">
        <f aca="false">IF(L14=1,M14*$B$22,0)</f>
        <v>823.52675376385</v>
      </c>
      <c r="O14" s="58" t="n">
        <f aca="false">IF(L14=1,M14+N14-$B$26,M14)</f>
        <v>246561.960782174</v>
      </c>
      <c r="P14" s="56" t="n">
        <f aca="false">IF(L14=1,IF($B$26&lt;=N14,1,0),0)</f>
        <v>0</v>
      </c>
      <c r="Q14" s="58" t="n">
        <f aca="false">Q13+N14</f>
        <v>5799.10548738527</v>
      </c>
      <c r="S14" s="56" t="n">
        <f aca="false">S13+1</f>
        <v>7</v>
      </c>
      <c r="T14" s="57" t="n">
        <f aca="false">IF(AND(S14&lt;=Assumptions!$C$42,T13=1,X13=0,W13&gt;Assumptions!$C$43),1,0)</f>
        <v>1</v>
      </c>
      <c r="U14" s="58" t="n">
        <f aca="false">W13</f>
        <v>245847.981573451</v>
      </c>
      <c r="V14" s="58" t="n">
        <f aca="false">IF(T14=1,U14*$B$22,0)</f>
        <v>819.493271911504</v>
      </c>
      <c r="W14" s="58" t="n">
        <f aca="false">IF(T14=1,U14+V14-$B$27,U14)</f>
        <v>245147.882744618</v>
      </c>
      <c r="X14" s="56" t="n">
        <f aca="false">IF(T14=1,IF($B$27&lt;=V14,1,0),0)</f>
        <v>0</v>
      </c>
      <c r="Y14" s="58" t="n">
        <f aca="false">Y13+V14</f>
        <v>5785.02744982914</v>
      </c>
    </row>
    <row r="15" customFormat="false" ht="15" hidden="false" customHeight="false" outlineLevel="0" collapsed="false">
      <c r="A15" s="15" t="s">
        <v>454</v>
      </c>
      <c r="B15" s="16"/>
      <c r="C15" s="16"/>
      <c r="D15" s="16"/>
      <c r="E15" s="16"/>
      <c r="F15" s="16"/>
      <c r="G15" s="16"/>
      <c r="H15" s="16"/>
      <c r="I15" s="16"/>
      <c r="K15" s="56" t="n">
        <f aca="false">K14+1</f>
        <v>8</v>
      </c>
      <c r="L15" s="57" t="n">
        <f aca="false">IF(AND(K15&lt;=Assumptions!$C$42,L14=1,P14=0,O14&gt;Assumptions!$C$43),1,0)</f>
        <v>1</v>
      </c>
      <c r="M15" s="58" t="n">
        <f aca="false">O14</f>
        <v>246561.960782174</v>
      </c>
      <c r="N15" s="58" t="n">
        <f aca="false">IF(L15=1,M15*$B$22,0)</f>
        <v>821.873202607248</v>
      </c>
      <c r="O15" s="58" t="n">
        <f aca="false">IF(L15=1,M15+N15-$B$26,M15)</f>
        <v>246064.241884037</v>
      </c>
      <c r="P15" s="56" t="n">
        <f aca="false">IF(L15=1,IF($B$26&lt;=N15,1,0),0)</f>
        <v>0</v>
      </c>
      <c r="Q15" s="58" t="n">
        <f aca="false">Q14+N15</f>
        <v>6620.97868999252</v>
      </c>
      <c r="S15" s="56" t="n">
        <f aca="false">S14+1</f>
        <v>8</v>
      </c>
      <c r="T15" s="57" t="n">
        <f aca="false">IF(AND(S15&lt;=Assumptions!$C$42,T14=1,X14=0,W14&gt;Assumptions!$C$43),1,0)</f>
        <v>1</v>
      </c>
      <c r="U15" s="58" t="n">
        <f aca="false">W14</f>
        <v>245147.882744618</v>
      </c>
      <c r="V15" s="58" t="n">
        <f aca="false">IF(T15=1,U15*$B$22,0)</f>
        <v>817.159609148727</v>
      </c>
      <c r="W15" s="58" t="n">
        <f aca="false">IF(T15=1,U15+V15-$B$27,U15)</f>
        <v>244445.450253022</v>
      </c>
      <c r="X15" s="56" t="n">
        <f aca="false">IF(T15=1,IF($B$27&lt;=V15,1,0),0)</f>
        <v>0</v>
      </c>
      <c r="Y15" s="58" t="n">
        <f aca="false">Y14+V15</f>
        <v>6602.18705897787</v>
      </c>
    </row>
    <row r="16" customFormat="false" ht="15" hidden="false" customHeight="false" outlineLevel="0" collapsed="false">
      <c r="A16" s="17" t="s">
        <v>30</v>
      </c>
      <c r="B16" s="17" t="s">
        <v>192</v>
      </c>
      <c r="C16" s="17" t="s">
        <v>193</v>
      </c>
      <c r="D16" s="17" t="s">
        <v>371</v>
      </c>
      <c r="E16" s="17" t="s">
        <v>372</v>
      </c>
      <c r="F16" s="17" t="s">
        <v>373</v>
      </c>
      <c r="G16" s="17" t="s">
        <v>374</v>
      </c>
      <c r="H16" s="17" t="s">
        <v>375</v>
      </c>
      <c r="I16" s="17" t="s">
        <v>376</v>
      </c>
      <c r="K16" s="56" t="n">
        <f aca="false">K15+1</f>
        <v>9</v>
      </c>
      <c r="L16" s="57" t="n">
        <f aca="false">IF(AND(K16&lt;=Assumptions!$C$42,L15=1,P15=0,O15&gt;Assumptions!$C$43),1,0)</f>
        <v>1</v>
      </c>
      <c r="M16" s="58" t="n">
        <f aca="false">O15</f>
        <v>246064.241884037</v>
      </c>
      <c r="N16" s="58" t="n">
        <f aca="false">IF(L16=1,M16*$B$22,0)</f>
        <v>820.214139613457</v>
      </c>
      <c r="O16" s="58" t="n">
        <f aca="false">IF(L16=1,M16+N16-$B$26,M16)</f>
        <v>245564.863922906</v>
      </c>
      <c r="P16" s="56" t="n">
        <f aca="false">IF(L16=1,IF($B$26&lt;=N16,1,0),0)</f>
        <v>0</v>
      </c>
      <c r="Q16" s="58" t="n">
        <f aca="false">Q15+N16</f>
        <v>7441.19282960598</v>
      </c>
      <c r="S16" s="56" t="n">
        <f aca="false">S15+1</f>
        <v>9</v>
      </c>
      <c r="T16" s="57" t="n">
        <f aca="false">IF(AND(S16&lt;=Assumptions!$C$42,T15=1,X15=0,W15&gt;Assumptions!$C$43),1,0)</f>
        <v>1</v>
      </c>
      <c r="U16" s="58" t="n">
        <f aca="false">W15</f>
        <v>244445.450253022</v>
      </c>
      <c r="V16" s="58" t="n">
        <f aca="false">IF(T16=1,U16*$B$22,0)</f>
        <v>814.818167510075</v>
      </c>
      <c r="W16" s="58" t="n">
        <f aca="false">IF(T16=1,U16+V16-$B$27,U16)</f>
        <v>243740.676319788</v>
      </c>
      <c r="X16" s="56" t="n">
        <f aca="false">IF(T16=1,IF($B$27&lt;=V16,1,0),0)</f>
        <v>0</v>
      </c>
      <c r="Y16" s="58" t="n">
        <f aca="false">Y15+V16</f>
        <v>7417.00522648795</v>
      </c>
    </row>
    <row r="17" customFormat="false" ht="22.35" hidden="false" customHeight="false" outlineLevel="0" collapsed="false">
      <c r="A17" s="7" t="s">
        <v>455</v>
      </c>
      <c r="B17" s="33" t="n">
        <v>0</v>
      </c>
      <c r="C17" s="7" t="s">
        <v>257</v>
      </c>
      <c r="D17" s="34" t="n">
        <v>0</v>
      </c>
      <c r="E17" s="34" t="n">
        <v>0</v>
      </c>
      <c r="F17" s="34" t="n">
        <v>100000</v>
      </c>
      <c r="G17" s="34" t="n">
        <v>100000</v>
      </c>
      <c r="H17" s="34"/>
      <c r="I17" s="35" t="s">
        <v>456</v>
      </c>
      <c r="K17" s="56" t="n">
        <f aca="false">K16+1</f>
        <v>10</v>
      </c>
      <c r="L17" s="57" t="n">
        <f aca="false">IF(AND(K17&lt;=Assumptions!$C$42,L16=1,P16=0,O16&gt;Assumptions!$C$43),1,0)</f>
        <v>1</v>
      </c>
      <c r="M17" s="58" t="n">
        <f aca="false">O16</f>
        <v>245564.863922906</v>
      </c>
      <c r="N17" s="58" t="n">
        <f aca="false">IF(L17=1,M17*$B$22,0)</f>
        <v>818.549546409687</v>
      </c>
      <c r="O17" s="58" t="n">
        <f aca="false">IF(L17=1,M17+N17-$B$26,M17)</f>
        <v>245063.821368571</v>
      </c>
      <c r="P17" s="56" t="n">
        <f aca="false">IF(L17=1,IF($B$26&lt;=N17,1,0),0)</f>
        <v>0</v>
      </c>
      <c r="Q17" s="58" t="n">
        <f aca="false">Q16+N17</f>
        <v>8259.74237601567</v>
      </c>
      <c r="S17" s="56" t="n">
        <f aca="false">S16+1</f>
        <v>10</v>
      </c>
      <c r="T17" s="57" t="n">
        <f aca="false">IF(AND(S17&lt;=Assumptions!$C$42,T16=1,X16=0,W16&gt;Assumptions!$C$43),1,0)</f>
        <v>1</v>
      </c>
      <c r="U17" s="58" t="n">
        <f aca="false">W16</f>
        <v>243740.676319788</v>
      </c>
      <c r="V17" s="58" t="n">
        <f aca="false">IF(T17=1,U17*$B$22,0)</f>
        <v>812.46892106596</v>
      </c>
      <c r="W17" s="58" t="n">
        <f aca="false">IF(T17=1,U17+V17-$B$27,U17)</f>
        <v>243033.55314011</v>
      </c>
      <c r="X17" s="56" t="n">
        <f aca="false">IF(T17=1,IF($B$27&lt;=V17,1,0),0)</f>
        <v>0</v>
      </c>
      <c r="Y17" s="58" t="n">
        <f aca="false">Y16+V17</f>
        <v>8229.47414755391</v>
      </c>
    </row>
    <row r="18" customFormat="false" ht="22.35" hidden="false" customHeight="false" outlineLevel="0" collapsed="false">
      <c r="A18" s="7" t="s">
        <v>526</v>
      </c>
      <c r="B18" s="36" t="n">
        <v>1</v>
      </c>
      <c r="C18" s="7" t="s">
        <v>197</v>
      </c>
      <c r="D18" s="37" t="n">
        <v>1</v>
      </c>
      <c r="E18" s="37" t="n">
        <v>0</v>
      </c>
      <c r="F18" s="37" t="n">
        <v>1</v>
      </c>
      <c r="G18" s="37" t="n">
        <v>1</v>
      </c>
      <c r="H18" s="37" t="n">
        <v>1</v>
      </c>
      <c r="I18" s="35" t="s">
        <v>458</v>
      </c>
      <c r="K18" s="56" t="n">
        <f aca="false">K17+1</f>
        <v>11</v>
      </c>
      <c r="L18" s="57" t="n">
        <f aca="false">IF(AND(K18&lt;=Assumptions!$C$42,L17=1,P17=0,O17&gt;Assumptions!$C$43),1,0)</f>
        <v>1</v>
      </c>
      <c r="M18" s="58" t="n">
        <f aca="false">O17</f>
        <v>245063.821368571</v>
      </c>
      <c r="N18" s="58" t="n">
        <f aca="false">IF(L18=1,M18*$B$22,0)</f>
        <v>816.879404561905</v>
      </c>
      <c r="O18" s="58" t="n">
        <f aca="false">IF(L18=1,M18+N18-$B$26,M18)</f>
        <v>244561.108672389</v>
      </c>
      <c r="P18" s="56" t="n">
        <f aca="false">IF(L18=1,IF($B$26&lt;=N18,1,0),0)</f>
        <v>0</v>
      </c>
      <c r="Q18" s="58" t="n">
        <f aca="false">Q17+N18</f>
        <v>9076.62178057757</v>
      </c>
      <c r="S18" s="56" t="n">
        <f aca="false">S17+1</f>
        <v>11</v>
      </c>
      <c r="T18" s="57" t="n">
        <f aca="false">IF(AND(S18&lt;=Assumptions!$C$42,T17=1,X17=0,W17&gt;Assumptions!$C$43),1,0)</f>
        <v>1</v>
      </c>
      <c r="U18" s="58" t="n">
        <f aca="false">W17</f>
        <v>243033.55314011</v>
      </c>
      <c r="V18" s="58" t="n">
        <f aca="false">IF(T18=1,U18*$B$22,0)</f>
        <v>810.111843800366</v>
      </c>
      <c r="W18" s="58" t="n">
        <f aca="false">IF(T18=1,U18+V18-$B$27,U18)</f>
        <v>242324.072883166</v>
      </c>
      <c r="X18" s="56" t="n">
        <f aca="false">IF(T18=1,IF($B$27&lt;=V18,1,0),0)</f>
        <v>0</v>
      </c>
      <c r="Y18" s="58" t="n">
        <f aca="false">Y17+V18</f>
        <v>9039.58599135427</v>
      </c>
    </row>
    <row r="19" customFormat="false" ht="15" hidden="false" customHeight="false" outlineLevel="0" collapsed="false">
      <c r="K19" s="56" t="n">
        <f aca="false">K18+1</f>
        <v>12</v>
      </c>
      <c r="L19" s="57" t="n">
        <f aca="false">IF(AND(K19&lt;=Assumptions!$C$42,L18=1,P18=0,O18&gt;Assumptions!$C$43),1,0)</f>
        <v>1</v>
      </c>
      <c r="M19" s="58" t="n">
        <f aca="false">O18</f>
        <v>244561.108672389</v>
      </c>
      <c r="N19" s="58" t="n">
        <f aca="false">IF(L19=1,M19*$B$22,0)</f>
        <v>815.20369557463</v>
      </c>
      <c r="O19" s="58" t="n">
        <f aca="false">IF(L19=1,M19+N19-$B$26,M19)</f>
        <v>244056.720267219</v>
      </c>
      <c r="P19" s="56" t="n">
        <f aca="false">IF(L19=1,IF($B$26&lt;=N19,1,0),0)</f>
        <v>0</v>
      </c>
      <c r="Q19" s="58" t="n">
        <f aca="false">Q18+N19</f>
        <v>9891.8254761522</v>
      </c>
      <c r="S19" s="56" t="n">
        <f aca="false">S18+1</f>
        <v>12</v>
      </c>
      <c r="T19" s="57" t="n">
        <f aca="false">IF(AND(S19&lt;=Assumptions!$C$42,T18=1,X18=0,W18&gt;Assumptions!$C$43),1,0)</f>
        <v>1</v>
      </c>
      <c r="U19" s="58" t="n">
        <f aca="false">W18</f>
        <v>242324.072883166</v>
      </c>
      <c r="V19" s="58" t="n">
        <f aca="false">IF(T19=1,U19*$B$22,0)</f>
        <v>807.746909610552</v>
      </c>
      <c r="W19" s="58" t="n">
        <f aca="false">IF(T19=1,U19+V19-$B$27,U19)</f>
        <v>241612.227692032</v>
      </c>
      <c r="X19" s="56" t="n">
        <f aca="false">IF(T19=1,IF($B$27&lt;=V19,1,0),0)</f>
        <v>0</v>
      </c>
      <c r="Y19" s="58" t="n">
        <f aca="false">Y18+V19</f>
        <v>9847.33290096482</v>
      </c>
    </row>
    <row r="20" customFormat="false" ht="15" hidden="false" customHeight="false" outlineLevel="0" collapsed="false">
      <c r="A20" s="15" t="s">
        <v>391</v>
      </c>
      <c r="B20" s="16"/>
      <c r="C20" s="16"/>
      <c r="D20" s="16"/>
      <c r="E20" s="16"/>
      <c r="F20" s="16"/>
      <c r="G20" s="16"/>
      <c r="H20" s="16"/>
      <c r="I20" s="16"/>
      <c r="K20" s="56" t="n">
        <f aca="false">K19+1</f>
        <v>13</v>
      </c>
      <c r="L20" s="57" t="n">
        <f aca="false">IF(AND(K20&lt;=Assumptions!$C$42,L19=1,P19=0,O19&gt;Assumptions!$C$43),1,0)</f>
        <v>1</v>
      </c>
      <c r="M20" s="58" t="n">
        <f aca="false">O19</f>
        <v>244056.720267219</v>
      </c>
      <c r="N20" s="58" t="n">
        <f aca="false">IF(L20=1,M20*$B$22,0)</f>
        <v>813.52240089073</v>
      </c>
      <c r="O20" s="58" t="n">
        <f aca="false">IF(L20=1,M20+N20-$B$26,M20)</f>
        <v>243550.650567365</v>
      </c>
      <c r="P20" s="56" t="n">
        <f aca="false">IF(L20=1,IF($B$26&lt;=N20,1,0),0)</f>
        <v>0</v>
      </c>
      <c r="Q20" s="58" t="n">
        <f aca="false">Q19+N20</f>
        <v>10705.3478770429</v>
      </c>
      <c r="S20" s="56" t="n">
        <f aca="false">S19+1</f>
        <v>13</v>
      </c>
      <c r="T20" s="57" t="n">
        <f aca="false">IF(AND(S20&lt;=Assumptions!$C$42,T19=1,X19=0,W19&gt;Assumptions!$C$43),1,0)</f>
        <v>1</v>
      </c>
      <c r="U20" s="58" t="n">
        <f aca="false">W19</f>
        <v>241612.227692032</v>
      </c>
      <c r="V20" s="58" t="n">
        <f aca="false">IF(T20=1,U20*$B$22,0)</f>
        <v>805.374092306773</v>
      </c>
      <c r="W20" s="58" t="n">
        <f aca="false">IF(T20=1,U20+V20-$B$27,U20)</f>
        <v>240898.009683594</v>
      </c>
      <c r="X20" s="56" t="n">
        <f aca="false">IF(T20=1,IF($B$27&lt;=V20,1,0),0)</f>
        <v>0</v>
      </c>
      <c r="Y20" s="58" t="n">
        <f aca="false">Y19+V20</f>
        <v>10652.7069932716</v>
      </c>
    </row>
    <row r="21" customFormat="false" ht="15" hidden="false" customHeight="false" outlineLevel="0" collapsed="false">
      <c r="A21" s="17" t="s">
        <v>392</v>
      </c>
      <c r="B21" s="17" t="s">
        <v>192</v>
      </c>
      <c r="C21" s="17" t="s">
        <v>193</v>
      </c>
      <c r="D21" s="17" t="s">
        <v>393</v>
      </c>
      <c r="K21" s="56" t="n">
        <f aca="false">K20+1</f>
        <v>14</v>
      </c>
      <c r="L21" s="57" t="n">
        <f aca="false">IF(AND(K21&lt;=Assumptions!$C$42,L20=1,P20=0,O20&gt;Assumptions!$C$43),1,0)</f>
        <v>1</v>
      </c>
      <c r="M21" s="58" t="n">
        <f aca="false">O20</f>
        <v>243550.650567365</v>
      </c>
      <c r="N21" s="58" t="n">
        <f aca="false">IF(L21=1,M21*$B$22,0)</f>
        <v>811.835501891218</v>
      </c>
      <c r="O21" s="58" t="n">
        <f aca="false">IF(L21=1,M21+N21-$B$26,M21)</f>
        <v>243042.893968512</v>
      </c>
      <c r="P21" s="56" t="n">
        <f aca="false">IF(L21=1,IF($B$26&lt;=N21,1,0),0)</f>
        <v>0</v>
      </c>
      <c r="Q21" s="58" t="n">
        <f aca="false">Q20+N21</f>
        <v>11517.1833789342</v>
      </c>
      <c r="S21" s="56" t="n">
        <f aca="false">S20+1</f>
        <v>14</v>
      </c>
      <c r="T21" s="57" t="n">
        <f aca="false">IF(AND(S21&lt;=Assumptions!$C$42,T20=1,X20=0,W20&gt;Assumptions!$C$43),1,0)</f>
        <v>1</v>
      </c>
      <c r="U21" s="58" t="n">
        <f aca="false">W20</f>
        <v>240898.009683594</v>
      </c>
      <c r="V21" s="58" t="n">
        <f aca="false">IF(T21=1,U21*$B$22,0)</f>
        <v>802.99336561198</v>
      </c>
      <c r="W21" s="58" t="n">
        <f aca="false">IF(T21=1,U21+V21-$B$27,U21)</f>
        <v>240181.410948462</v>
      </c>
      <c r="X21" s="56" t="n">
        <f aca="false">IF(T21=1,IF($B$27&lt;=V21,1,0),0)</f>
        <v>0</v>
      </c>
      <c r="Y21" s="58" t="n">
        <f aca="false">Y20+V21</f>
        <v>11455.7003588836</v>
      </c>
    </row>
    <row r="22" customFormat="false" ht="15" hidden="false" customHeight="false" outlineLevel="0" collapsed="false">
      <c r="A22" s="7" t="s">
        <v>406</v>
      </c>
      <c r="B22" s="45" t="n">
        <f aca="false">$B$11/12</f>
        <v>0.00333333333333333</v>
      </c>
      <c r="C22" s="41" t="s">
        <v>407</v>
      </c>
      <c r="D22" s="42" t="s">
        <v>408</v>
      </c>
      <c r="E22" s="42"/>
      <c r="F22" s="42"/>
      <c r="G22" s="42"/>
      <c r="H22" s="42"/>
      <c r="I22" s="42"/>
      <c r="K22" s="56" t="n">
        <f aca="false">K21+1</f>
        <v>15</v>
      </c>
      <c r="L22" s="57" t="n">
        <f aca="false">IF(AND(K22&lt;=Assumptions!$C$42,L21=1,P21=0,O21&gt;Assumptions!$C$43),1,0)</f>
        <v>1</v>
      </c>
      <c r="M22" s="58" t="n">
        <f aca="false">O21</f>
        <v>243042.893968512</v>
      </c>
      <c r="N22" s="58" t="n">
        <f aca="false">IF(L22=1,M22*$B$22,0)</f>
        <v>810.142979895041</v>
      </c>
      <c r="O22" s="58" t="n">
        <f aca="false">IF(L22=1,M22+N22-$B$26,M22)</f>
        <v>242533.444847663</v>
      </c>
      <c r="P22" s="56" t="n">
        <f aca="false">IF(L22=1,IF($B$26&lt;=N22,1,0),0)</f>
        <v>0</v>
      </c>
      <c r="Q22" s="58" t="n">
        <f aca="false">Q21+N22</f>
        <v>12327.3263588292</v>
      </c>
      <c r="S22" s="56" t="n">
        <f aca="false">S21+1</f>
        <v>15</v>
      </c>
      <c r="T22" s="57" t="n">
        <f aca="false">IF(AND(S22&lt;=Assumptions!$C$42,T21=1,X21=0,W21&gt;Assumptions!$C$43),1,0)</f>
        <v>1</v>
      </c>
      <c r="U22" s="58" t="n">
        <f aca="false">W21</f>
        <v>240181.410948462</v>
      </c>
      <c r="V22" s="58" t="n">
        <f aca="false">IF(T22=1,U22*$B$22,0)</f>
        <v>800.604703161539</v>
      </c>
      <c r="W22" s="58" t="n">
        <f aca="false">IF(T22=1,U22+V22-$B$27,U22)</f>
        <v>239462.423550879</v>
      </c>
      <c r="X22" s="56" t="n">
        <f aca="false">IF(T22=1,IF($B$27&lt;=V22,1,0),0)</f>
        <v>0</v>
      </c>
      <c r="Y22" s="58" t="n">
        <f aca="false">Y21+V22</f>
        <v>12256.3050620451</v>
      </c>
    </row>
    <row r="23" customFormat="false" ht="15" hidden="false" customHeight="false" outlineLevel="0" collapsed="false">
      <c r="A23" s="7" t="s">
        <v>409</v>
      </c>
      <c r="B23" s="46" t="n">
        <f aca="false">$B$12*12</f>
        <v>300</v>
      </c>
      <c r="C23" s="41" t="s">
        <v>240</v>
      </c>
      <c r="D23" s="42" t="s">
        <v>410</v>
      </c>
      <c r="E23" s="42"/>
      <c r="F23" s="42"/>
      <c r="G23" s="42"/>
      <c r="H23" s="42"/>
      <c r="I23" s="42"/>
      <c r="K23" s="56" t="n">
        <f aca="false">K22+1</f>
        <v>16</v>
      </c>
      <c r="L23" s="57" t="n">
        <f aca="false">IF(AND(K23&lt;=Assumptions!$C$42,L22=1,P22=0,O22&gt;Assumptions!$C$43),1,0)</f>
        <v>1</v>
      </c>
      <c r="M23" s="58" t="n">
        <f aca="false">O22</f>
        <v>242533.444847663</v>
      </c>
      <c r="N23" s="58" t="n">
        <f aca="false">IF(L23=1,M23*$B$22,0)</f>
        <v>808.444816158876</v>
      </c>
      <c r="O23" s="58" t="n">
        <f aca="false">IF(L23=1,M23+N23-$B$26,M23)</f>
        <v>242022.297563077</v>
      </c>
      <c r="P23" s="56" t="n">
        <f aca="false">IF(L23=1,IF($B$26&lt;=N23,1,0),0)</f>
        <v>0</v>
      </c>
      <c r="Q23" s="58" t="n">
        <f aca="false">Q22+N23</f>
        <v>13135.7711749881</v>
      </c>
      <c r="S23" s="56" t="n">
        <f aca="false">S22+1</f>
        <v>16</v>
      </c>
      <c r="T23" s="57" t="n">
        <f aca="false">IF(AND(S23&lt;=Assumptions!$C$42,T22=1,X22=0,W22&gt;Assumptions!$C$43),1,0)</f>
        <v>1</v>
      </c>
      <c r="U23" s="58" t="n">
        <f aca="false">W22</f>
        <v>239462.423550879</v>
      </c>
      <c r="V23" s="58" t="n">
        <f aca="false">IF(T23=1,U23*$B$22,0)</f>
        <v>798.208078502929</v>
      </c>
      <c r="W23" s="58" t="n">
        <f aca="false">IF(T23=1,U23+V23-$B$27,U23)</f>
        <v>238741.039528637</v>
      </c>
      <c r="X23" s="56" t="n">
        <f aca="false">IF(T23=1,IF($B$27&lt;=V23,1,0),0)</f>
        <v>0</v>
      </c>
      <c r="Y23" s="58" t="n">
        <f aca="false">Y22+V23</f>
        <v>13054.513140548</v>
      </c>
    </row>
    <row r="24" customFormat="false" ht="15" hidden="false" customHeight="false" outlineLevel="0" collapsed="false">
      <c r="A24" s="7" t="s">
        <v>459</v>
      </c>
      <c r="B24" s="43" t="n">
        <f aca="false">IF(($B$23)=0,0,IF($B$22&lt;&gt;0,$B$10*$B$22/(1-POWER(1+$B$22,-($B$23))),$B$10/($B$23)))</f>
        <v>1319.59210074443</v>
      </c>
      <c r="C24" s="41" t="s">
        <v>257</v>
      </c>
      <c r="D24" s="42" t="s">
        <v>527</v>
      </c>
      <c r="E24" s="42"/>
      <c r="F24" s="42"/>
      <c r="G24" s="42"/>
      <c r="H24" s="42"/>
      <c r="I24" s="42"/>
      <c r="K24" s="56" t="n">
        <f aca="false">K23+1</f>
        <v>17</v>
      </c>
      <c r="L24" s="57" t="n">
        <f aca="false">IF(AND(K24&lt;=Assumptions!$C$42,L23=1,P23=0,O23&gt;Assumptions!$C$43),1,0)</f>
        <v>1</v>
      </c>
      <c r="M24" s="58" t="n">
        <f aca="false">O23</f>
        <v>242022.297563077</v>
      </c>
      <c r="N24" s="58" t="n">
        <f aca="false">IF(L24=1,M24*$B$22,0)</f>
        <v>806.740991876924</v>
      </c>
      <c r="O24" s="58" t="n">
        <f aca="false">IF(L24=1,M24+N24-$B$26,M24)</f>
        <v>241509.44645421</v>
      </c>
      <c r="P24" s="56" t="n">
        <f aca="false">IF(L24=1,IF($B$26&lt;=N24,1,0),0)</f>
        <v>0</v>
      </c>
      <c r="Q24" s="58" t="n">
        <f aca="false">Q23+N24</f>
        <v>13942.512166865</v>
      </c>
      <c r="S24" s="56" t="n">
        <f aca="false">S23+1</f>
        <v>17</v>
      </c>
      <c r="T24" s="57" t="n">
        <f aca="false">IF(AND(S24&lt;=Assumptions!$C$42,T23=1,X23=0,W23&gt;Assumptions!$C$43),1,0)</f>
        <v>1</v>
      </c>
      <c r="U24" s="58" t="n">
        <f aca="false">W23</f>
        <v>238741.039528637</v>
      </c>
      <c r="V24" s="58" t="n">
        <f aca="false">IF(T24=1,U24*$B$22,0)</f>
        <v>795.803465095458</v>
      </c>
      <c r="W24" s="58" t="n">
        <f aca="false">IF(T24=1,U24+V24-$B$27,U24)</f>
        <v>238017.250892988</v>
      </c>
      <c r="X24" s="56" t="n">
        <f aca="false">IF(T24=1,IF($B$27&lt;=V24,1,0),0)</f>
        <v>0</v>
      </c>
      <c r="Y24" s="58" t="n">
        <f aca="false">Y23+V24</f>
        <v>13850.3166056435</v>
      </c>
    </row>
    <row r="25" customFormat="false" ht="15" hidden="false" customHeight="false" outlineLevel="0" collapsed="false">
      <c r="A25" s="7" t="s">
        <v>461</v>
      </c>
      <c r="B25" s="43" t="n">
        <f aca="false">IF(AND($B$18=1,$B$17&gt;0),$B$17,0)</f>
        <v>0</v>
      </c>
      <c r="C25" s="41" t="s">
        <v>257</v>
      </c>
      <c r="D25" s="42" t="s">
        <v>462</v>
      </c>
      <c r="E25" s="42"/>
      <c r="F25" s="42"/>
      <c r="G25" s="42"/>
      <c r="H25" s="42"/>
      <c r="I25" s="42"/>
      <c r="K25" s="56" t="n">
        <f aca="false">K24+1</f>
        <v>18</v>
      </c>
      <c r="L25" s="57" t="n">
        <f aca="false">IF(AND(K25&lt;=Assumptions!$C$42,L24=1,P24=0,O24&gt;Assumptions!$C$43),1,0)</f>
        <v>1</v>
      </c>
      <c r="M25" s="58" t="n">
        <f aca="false">O24</f>
        <v>241509.44645421</v>
      </c>
      <c r="N25" s="58" t="n">
        <f aca="false">IF(L25=1,M25*$B$22,0)</f>
        <v>805.031488180699</v>
      </c>
      <c r="O25" s="58" t="n">
        <f aca="false">IF(L25=1,M25+N25-$B$26,M25)</f>
        <v>240994.885841646</v>
      </c>
      <c r="P25" s="56" t="n">
        <f aca="false">IF(L25=1,IF($B$26&lt;=N25,1,0),0)</f>
        <v>0</v>
      </c>
      <c r="Q25" s="58" t="n">
        <f aca="false">Q24+N25</f>
        <v>14747.5436550457</v>
      </c>
      <c r="S25" s="56" t="n">
        <f aca="false">S24+1</f>
        <v>18</v>
      </c>
      <c r="T25" s="57" t="n">
        <f aca="false">IF(AND(S25&lt;=Assumptions!$C$42,T24=1,X24=0,W24&gt;Assumptions!$C$43),1,0)</f>
        <v>1</v>
      </c>
      <c r="U25" s="58" t="n">
        <f aca="false">W24</f>
        <v>238017.250892988</v>
      </c>
      <c r="V25" s="58" t="n">
        <f aca="false">IF(T25=1,U25*$B$22,0)</f>
        <v>793.390836309961</v>
      </c>
      <c r="W25" s="58" t="n">
        <f aca="false">IF(T25=1,U25+V25-$B$27,U25)</f>
        <v>237291.049628554</v>
      </c>
      <c r="X25" s="56" t="n">
        <f aca="false">IF(T25=1,IF($B$27&lt;=V25,1,0),0)</f>
        <v>0</v>
      </c>
      <c r="Y25" s="58" t="n">
        <f aca="false">Y24+V25</f>
        <v>14643.7074419535</v>
      </c>
    </row>
    <row r="26" customFormat="false" ht="15" hidden="false" customHeight="false" outlineLevel="0" collapsed="false">
      <c r="A26" s="7" t="s">
        <v>463</v>
      </c>
      <c r="B26" s="43" t="n">
        <f aca="false">IF($B$25&gt;0,$B$25,$B$24)</f>
        <v>1319.59210074443</v>
      </c>
      <c r="C26" s="41" t="s">
        <v>257</v>
      </c>
      <c r="D26" s="42" t="s">
        <v>528</v>
      </c>
      <c r="E26" s="42"/>
      <c r="F26" s="42"/>
      <c r="G26" s="42"/>
      <c r="H26" s="42"/>
      <c r="I26" s="42"/>
      <c r="K26" s="56" t="n">
        <f aca="false">K25+1</f>
        <v>19</v>
      </c>
      <c r="L26" s="57" t="n">
        <f aca="false">IF(AND(K26&lt;=Assumptions!$C$42,L25=1,P25=0,O25&gt;Assumptions!$C$43),1,0)</f>
        <v>1</v>
      </c>
      <c r="M26" s="58" t="n">
        <f aca="false">O25</f>
        <v>240994.885841646</v>
      </c>
      <c r="N26" s="58" t="n">
        <f aca="false">IF(L26=1,M26*$B$22,0)</f>
        <v>803.31628613882</v>
      </c>
      <c r="O26" s="58" t="n">
        <f aca="false">IF(L26=1,M26+N26-$B$26,M26)</f>
        <v>240478.61002704</v>
      </c>
      <c r="P26" s="56" t="n">
        <f aca="false">IF(L26=1,IF($B$26&lt;=N26,1,0),0)</f>
        <v>0</v>
      </c>
      <c r="Q26" s="58" t="n">
        <f aca="false">Q25+N26</f>
        <v>15550.8599411845</v>
      </c>
      <c r="S26" s="56" t="n">
        <f aca="false">S25+1</f>
        <v>19</v>
      </c>
      <c r="T26" s="57" t="n">
        <f aca="false">IF(AND(S26&lt;=Assumptions!$C$42,T25=1,X25=0,W25&gt;Assumptions!$C$43),1,0)</f>
        <v>1</v>
      </c>
      <c r="U26" s="58" t="n">
        <f aca="false">W25</f>
        <v>237291.049628554</v>
      </c>
      <c r="V26" s="58" t="n">
        <f aca="false">IF(T26=1,U26*$B$22,0)</f>
        <v>790.970165428513</v>
      </c>
      <c r="W26" s="58" t="n">
        <f aca="false">IF(T26=1,U26+V26-$B$27,U26)</f>
        <v>236562.427693238</v>
      </c>
      <c r="X26" s="56" t="n">
        <f aca="false">IF(T26=1,IF($B$27&lt;=V26,1,0),0)</f>
        <v>0</v>
      </c>
      <c r="Y26" s="58" t="n">
        <f aca="false">Y25+V26</f>
        <v>15434.677607382</v>
      </c>
    </row>
    <row r="27" customFormat="false" ht="15" hidden="false" customHeight="false" outlineLevel="0" collapsed="false">
      <c r="A27" s="7" t="s">
        <v>529</v>
      </c>
      <c r="B27" s="43" t="n">
        <f aca="false">$B$26+$B$13</f>
        <v>1519.59210074443</v>
      </c>
      <c r="C27" s="41" t="s">
        <v>257</v>
      </c>
      <c r="D27" s="42" t="s">
        <v>530</v>
      </c>
      <c r="E27" s="42"/>
      <c r="F27" s="42"/>
      <c r="G27" s="42"/>
      <c r="H27" s="42"/>
      <c r="I27" s="42"/>
      <c r="K27" s="56" t="n">
        <f aca="false">K26+1</f>
        <v>20</v>
      </c>
      <c r="L27" s="57" t="n">
        <f aca="false">IF(AND(K27&lt;=Assumptions!$C$42,L26=1,P26=0,O26&gt;Assumptions!$C$43),1,0)</f>
        <v>1</v>
      </c>
      <c r="M27" s="58" t="n">
        <f aca="false">O26</f>
        <v>240478.61002704</v>
      </c>
      <c r="N27" s="58" t="n">
        <f aca="false">IF(L27=1,M27*$B$22,0)</f>
        <v>801.595366756802</v>
      </c>
      <c r="O27" s="58" t="n">
        <f aca="false">IF(L27=1,M27+N27-$B$26,M27)</f>
        <v>239960.613293053</v>
      </c>
      <c r="P27" s="56" t="n">
        <f aca="false">IF(L27=1,IF($B$26&lt;=N27,1,0),0)</f>
        <v>0</v>
      </c>
      <c r="Q27" s="58" t="n">
        <f aca="false">Q26+N27</f>
        <v>16352.4553079413</v>
      </c>
      <c r="S27" s="56" t="n">
        <f aca="false">S26+1</f>
        <v>20</v>
      </c>
      <c r="T27" s="57" t="n">
        <f aca="false">IF(AND(S27&lt;=Assumptions!$C$42,T26=1,X26=0,W26&gt;Assumptions!$C$43),1,0)</f>
        <v>1</v>
      </c>
      <c r="U27" s="58" t="n">
        <f aca="false">W26</f>
        <v>236562.427693238</v>
      </c>
      <c r="V27" s="58" t="n">
        <f aca="false">IF(T27=1,U27*$B$22,0)</f>
        <v>788.541425644126</v>
      </c>
      <c r="W27" s="58" t="n">
        <f aca="false">IF(T27=1,U27+V27-$B$27,U27)</f>
        <v>235831.377018138</v>
      </c>
      <c r="X27" s="56" t="n">
        <f aca="false">IF(T27=1,IF($B$27&lt;=V27,1,0),0)</f>
        <v>0</v>
      </c>
      <c r="Y27" s="58" t="n">
        <f aca="false">Y26+V27</f>
        <v>16223.2190330261</v>
      </c>
    </row>
    <row r="28" customFormat="false" ht="15" hidden="false" customHeight="false" outlineLevel="0" collapsed="false">
      <c r="A28" s="7" t="s">
        <v>531</v>
      </c>
      <c r="B28" s="46" t="n">
        <f aca="false">MAX($P$8:$P$1207)</f>
        <v>0</v>
      </c>
      <c r="C28" s="41" t="s">
        <v>197</v>
      </c>
      <c r="D28" s="42" t="s">
        <v>532</v>
      </c>
      <c r="E28" s="42"/>
      <c r="F28" s="42"/>
      <c r="G28" s="42"/>
      <c r="H28" s="42"/>
      <c r="I28" s="42"/>
      <c r="K28" s="56" t="n">
        <f aca="false">K27+1</f>
        <v>21</v>
      </c>
      <c r="L28" s="57" t="n">
        <f aca="false">IF(AND(K28&lt;=Assumptions!$C$42,L27=1,P27=0,O27&gt;Assumptions!$C$43),1,0)</f>
        <v>1</v>
      </c>
      <c r="M28" s="58" t="n">
        <f aca="false">O27</f>
        <v>239960.613293053</v>
      </c>
      <c r="N28" s="58" t="n">
        <f aca="false">IF(L28=1,M28*$B$22,0)</f>
        <v>799.868710976843</v>
      </c>
      <c r="O28" s="58" t="n">
        <f aca="false">IF(L28=1,M28+N28-$B$26,M28)</f>
        <v>239440.889903285</v>
      </c>
      <c r="P28" s="56" t="n">
        <f aca="false">IF(L28=1,IF($B$26&lt;=N28,1,0),0)</f>
        <v>0</v>
      </c>
      <c r="Q28" s="58" t="n">
        <f aca="false">Q27+N28</f>
        <v>17152.3240189182</v>
      </c>
      <c r="S28" s="56" t="n">
        <f aca="false">S27+1</f>
        <v>21</v>
      </c>
      <c r="T28" s="57" t="n">
        <f aca="false">IF(AND(S28&lt;=Assumptions!$C$42,T27=1,X27=0,W27&gt;Assumptions!$C$43),1,0)</f>
        <v>1</v>
      </c>
      <c r="U28" s="58" t="n">
        <f aca="false">W27</f>
        <v>235831.377018138</v>
      </c>
      <c r="V28" s="58" t="n">
        <f aca="false">IF(T28=1,U28*$B$22,0)</f>
        <v>786.104590060459</v>
      </c>
      <c r="W28" s="58" t="n">
        <f aca="false">IF(T28=1,U28+V28-$B$27,U28)</f>
        <v>235097.889507454</v>
      </c>
      <c r="X28" s="56" t="n">
        <f aca="false">IF(T28=1,IF($B$27&lt;=V28,1,0),0)</f>
        <v>0</v>
      </c>
      <c r="Y28" s="58" t="n">
        <f aca="false">Y27+V28</f>
        <v>17009.3236230866</v>
      </c>
    </row>
    <row r="29" customFormat="false" ht="15" hidden="false" customHeight="false" outlineLevel="0" collapsed="false">
      <c r="A29" s="7" t="s">
        <v>533</v>
      </c>
      <c r="B29" s="46" t="n">
        <f aca="false">SUM($L$8:$L$1207)</f>
        <v>300</v>
      </c>
      <c r="C29" s="41" t="s">
        <v>240</v>
      </c>
      <c r="D29" s="42" t="s">
        <v>534</v>
      </c>
      <c r="E29" s="42"/>
      <c r="F29" s="42"/>
      <c r="G29" s="42"/>
      <c r="H29" s="42"/>
      <c r="I29" s="42"/>
      <c r="K29" s="56" t="n">
        <f aca="false">K28+1</f>
        <v>22</v>
      </c>
      <c r="L29" s="57" t="n">
        <f aca="false">IF(AND(K29&lt;=Assumptions!$C$42,L28=1,P28=0,O28&gt;Assumptions!$C$43),1,0)</f>
        <v>1</v>
      </c>
      <c r="M29" s="58" t="n">
        <f aca="false">O28</f>
        <v>239440.889903285</v>
      </c>
      <c r="N29" s="58" t="n">
        <f aca="false">IF(L29=1,M29*$B$22,0)</f>
        <v>798.136299677617</v>
      </c>
      <c r="O29" s="58" t="n">
        <f aca="false">IF(L29=1,M29+N29-$B$26,M29)</f>
        <v>238919.434102218</v>
      </c>
      <c r="P29" s="56" t="n">
        <f aca="false">IF(L29=1,IF($B$26&lt;=N29,1,0),0)</f>
        <v>0</v>
      </c>
      <c r="Q29" s="58" t="n">
        <f aca="false">Q28+N29</f>
        <v>17950.4603185958</v>
      </c>
      <c r="S29" s="56" t="n">
        <f aca="false">S28+1</f>
        <v>22</v>
      </c>
      <c r="T29" s="57" t="n">
        <f aca="false">IF(AND(S29&lt;=Assumptions!$C$42,T28=1,X28=0,W28&gt;Assumptions!$C$43),1,0)</f>
        <v>1</v>
      </c>
      <c r="U29" s="58" t="n">
        <f aca="false">W28</f>
        <v>235097.889507454</v>
      </c>
      <c r="V29" s="58" t="n">
        <f aca="false">IF(T29=1,U29*$B$22,0)</f>
        <v>783.659631691512</v>
      </c>
      <c r="W29" s="58" t="n">
        <f aca="false">IF(T29=1,U29+V29-$B$27,U29)</f>
        <v>234361.957038401</v>
      </c>
      <c r="X29" s="56" t="n">
        <f aca="false">IF(T29=1,IF($B$27&lt;=V29,1,0),0)</f>
        <v>0</v>
      </c>
      <c r="Y29" s="58" t="n">
        <f aca="false">Y28+V29</f>
        <v>17792.9832547781</v>
      </c>
    </row>
    <row r="30" customFormat="false" ht="15" hidden="false" customHeight="false" outlineLevel="0" collapsed="false">
      <c r="A30" s="7" t="s">
        <v>535</v>
      </c>
      <c r="B30" s="43" t="n">
        <f aca="false">$Q$1207</f>
        <v>145877.630223336</v>
      </c>
      <c r="C30" s="41" t="s">
        <v>257</v>
      </c>
      <c r="D30" s="42" t="s">
        <v>536</v>
      </c>
      <c r="E30" s="42"/>
      <c r="F30" s="42"/>
      <c r="G30" s="42"/>
      <c r="H30" s="42"/>
      <c r="I30" s="42"/>
      <c r="K30" s="56" t="n">
        <f aca="false">K29+1</f>
        <v>23</v>
      </c>
      <c r="L30" s="57" t="n">
        <f aca="false">IF(AND(K30&lt;=Assumptions!$C$42,L29=1,P29=0,O29&gt;Assumptions!$C$43),1,0)</f>
        <v>1</v>
      </c>
      <c r="M30" s="58" t="n">
        <f aca="false">O29</f>
        <v>238919.434102218</v>
      </c>
      <c r="N30" s="58" t="n">
        <f aca="false">IF(L30=1,M30*$B$22,0)</f>
        <v>796.398113674062</v>
      </c>
      <c r="O30" s="58" t="n">
        <f aca="false">IF(L30=1,M30+N30-$B$26,M30)</f>
        <v>238396.240115148</v>
      </c>
      <c r="P30" s="56" t="n">
        <f aca="false">IF(L30=1,IF($B$26&lt;=N30,1,0),0)</f>
        <v>0</v>
      </c>
      <c r="Q30" s="58" t="n">
        <f aca="false">Q29+N30</f>
        <v>18746.8584322698</v>
      </c>
      <c r="S30" s="56" t="n">
        <f aca="false">S29+1</f>
        <v>23</v>
      </c>
      <c r="T30" s="57" t="n">
        <f aca="false">IF(AND(S30&lt;=Assumptions!$C$42,T29=1,X29=0,W29&gt;Assumptions!$C$43),1,0)</f>
        <v>1</v>
      </c>
      <c r="U30" s="58" t="n">
        <f aca="false">W29</f>
        <v>234361.957038401</v>
      </c>
      <c r="V30" s="58" t="n">
        <f aca="false">IF(T30=1,U30*$B$22,0)</f>
        <v>781.206523461336</v>
      </c>
      <c r="W30" s="58" t="n">
        <f aca="false">IF(T30=1,U30+V30-$B$27,U30)</f>
        <v>233623.571461118</v>
      </c>
      <c r="X30" s="56" t="n">
        <f aca="false">IF(T30=1,IF($B$27&lt;=V30,1,0),0)</f>
        <v>0</v>
      </c>
      <c r="Y30" s="58" t="n">
        <f aca="false">Y29+V30</f>
        <v>18574.1897782394</v>
      </c>
    </row>
    <row r="31" customFormat="false" ht="15" hidden="false" customHeight="false" outlineLevel="0" collapsed="false">
      <c r="A31" s="7" t="s">
        <v>537</v>
      </c>
      <c r="B31" s="46" t="n">
        <f aca="false">MAX($X$8:$X$1207)</f>
        <v>0</v>
      </c>
      <c r="C31" s="41" t="s">
        <v>197</v>
      </c>
      <c r="D31" s="42" t="s">
        <v>538</v>
      </c>
      <c r="E31" s="42"/>
      <c r="F31" s="42"/>
      <c r="G31" s="42"/>
      <c r="H31" s="42"/>
      <c r="I31" s="42"/>
      <c r="K31" s="56" t="n">
        <f aca="false">K30+1</f>
        <v>24</v>
      </c>
      <c r="L31" s="57" t="n">
        <f aca="false">IF(AND(K31&lt;=Assumptions!$C$42,L30=1,P30=0,O30&gt;Assumptions!$C$43),1,0)</f>
        <v>1</v>
      </c>
      <c r="M31" s="58" t="n">
        <f aca="false">O30</f>
        <v>238396.240115148</v>
      </c>
      <c r="N31" s="58" t="n">
        <f aca="false">IF(L31=1,M31*$B$22,0)</f>
        <v>794.65413371716</v>
      </c>
      <c r="O31" s="58" t="n">
        <f aca="false">IF(L31=1,M31+N31-$B$26,M31)</f>
        <v>237871.302148121</v>
      </c>
      <c r="P31" s="56" t="n">
        <f aca="false">IF(L31=1,IF($B$26&lt;=N31,1,0),0)</f>
        <v>0</v>
      </c>
      <c r="Q31" s="58" t="n">
        <f aca="false">Q30+N31</f>
        <v>19541.512565987</v>
      </c>
      <c r="S31" s="56" t="n">
        <f aca="false">S30+1</f>
        <v>24</v>
      </c>
      <c r="T31" s="57" t="n">
        <f aca="false">IF(AND(S31&lt;=Assumptions!$C$42,T30=1,X30=0,W30&gt;Assumptions!$C$43),1,0)</f>
        <v>1</v>
      </c>
      <c r="U31" s="58" t="n">
        <f aca="false">W30</f>
        <v>233623.571461118</v>
      </c>
      <c r="V31" s="58" t="n">
        <f aca="false">IF(T31=1,U31*$B$22,0)</f>
        <v>778.745238203725</v>
      </c>
      <c r="W31" s="58" t="n">
        <f aca="false">IF(T31=1,U31+V31-$B$27,U31)</f>
        <v>232882.724598577</v>
      </c>
      <c r="X31" s="56" t="n">
        <f aca="false">IF(T31=1,IF($B$27&lt;=V31,1,0),0)</f>
        <v>0</v>
      </c>
      <c r="Y31" s="58" t="n">
        <f aca="false">Y30+V31</f>
        <v>19352.9350164431</v>
      </c>
    </row>
    <row r="32" customFormat="false" ht="15" hidden="false" customHeight="false" outlineLevel="0" collapsed="false">
      <c r="A32" s="7" t="s">
        <v>539</v>
      </c>
      <c r="B32" s="46" t="n">
        <f aca="false">SUM($T$8:$T$1207)</f>
        <v>239</v>
      </c>
      <c r="C32" s="41" t="s">
        <v>240</v>
      </c>
      <c r="D32" s="42" t="s">
        <v>540</v>
      </c>
      <c r="E32" s="42"/>
      <c r="F32" s="42"/>
      <c r="G32" s="42"/>
      <c r="H32" s="42"/>
      <c r="I32" s="42"/>
      <c r="K32" s="56" t="n">
        <f aca="false">K31+1</f>
        <v>25</v>
      </c>
      <c r="L32" s="57" t="n">
        <f aca="false">IF(AND(K32&lt;=Assumptions!$C$42,L31=1,P31=0,O31&gt;Assumptions!$C$43),1,0)</f>
        <v>1</v>
      </c>
      <c r="M32" s="58" t="n">
        <f aca="false">O31</f>
        <v>237871.302148121</v>
      </c>
      <c r="N32" s="58" t="n">
        <f aca="false">IF(L32=1,M32*$B$22,0)</f>
        <v>792.904340493736</v>
      </c>
      <c r="O32" s="58" t="n">
        <f aca="false">IF(L32=1,M32+N32-$B$26,M32)</f>
        <v>237344.61438787</v>
      </c>
      <c r="P32" s="56" t="n">
        <f aca="false">IF(L32=1,IF($B$26&lt;=N32,1,0),0)</f>
        <v>0</v>
      </c>
      <c r="Q32" s="58" t="n">
        <f aca="false">Q31+N32</f>
        <v>20334.4169064807</v>
      </c>
      <c r="S32" s="56" t="n">
        <f aca="false">S31+1</f>
        <v>25</v>
      </c>
      <c r="T32" s="57" t="n">
        <f aca="false">IF(AND(S32&lt;=Assumptions!$C$42,T31=1,X31=0,W31&gt;Assumptions!$C$43),1,0)</f>
        <v>1</v>
      </c>
      <c r="U32" s="58" t="n">
        <f aca="false">W31</f>
        <v>232882.724598577</v>
      </c>
      <c r="V32" s="58" t="n">
        <f aca="false">IF(T32=1,U32*$B$22,0)</f>
        <v>776.275748661923</v>
      </c>
      <c r="W32" s="58" t="n">
        <f aca="false">IF(T32=1,U32+V32-$B$27,U32)</f>
        <v>232139.408246494</v>
      </c>
      <c r="X32" s="56" t="n">
        <f aca="false">IF(T32=1,IF($B$27&lt;=V32,1,0),0)</f>
        <v>0</v>
      </c>
      <c r="Y32" s="58" t="n">
        <f aca="false">Y31+V32</f>
        <v>20129.2107651051</v>
      </c>
    </row>
    <row r="33" customFormat="false" ht="15" hidden="false" customHeight="false" outlineLevel="0" collapsed="false">
      <c r="A33" s="7" t="s">
        <v>541</v>
      </c>
      <c r="B33" s="43" t="n">
        <f aca="false">$Y$1207</f>
        <v>113000.408372882</v>
      </c>
      <c r="C33" s="41" t="s">
        <v>257</v>
      </c>
      <c r="D33" s="42" t="s">
        <v>542</v>
      </c>
      <c r="E33" s="42"/>
      <c r="F33" s="42"/>
      <c r="G33" s="42"/>
      <c r="H33" s="42"/>
      <c r="I33" s="42"/>
      <c r="K33" s="56" t="n">
        <f aca="false">K32+1</f>
        <v>26</v>
      </c>
      <c r="L33" s="57" t="n">
        <f aca="false">IF(AND(K33&lt;=Assumptions!$C$42,L32=1,P32=0,O32&gt;Assumptions!$C$43),1,0)</f>
        <v>1</v>
      </c>
      <c r="M33" s="58" t="n">
        <f aca="false">O32</f>
        <v>237344.61438787</v>
      </c>
      <c r="N33" s="58" t="n">
        <f aca="false">IF(L33=1,M33*$B$22,0)</f>
        <v>791.148714626234</v>
      </c>
      <c r="O33" s="58" t="n">
        <f aca="false">IF(L33=1,M33+N33-$B$26,M33)</f>
        <v>236816.171001752</v>
      </c>
      <c r="P33" s="56" t="n">
        <f aca="false">IF(L33=1,IF($B$26&lt;=N33,1,0),0)</f>
        <v>0</v>
      </c>
      <c r="Q33" s="58" t="n">
        <f aca="false">Q32+N33</f>
        <v>21125.565621107</v>
      </c>
      <c r="S33" s="56" t="n">
        <f aca="false">S32+1</f>
        <v>26</v>
      </c>
      <c r="T33" s="57" t="n">
        <f aca="false">IF(AND(S33&lt;=Assumptions!$C$42,T32=1,X32=0,W32&gt;Assumptions!$C$43),1,0)</f>
        <v>1</v>
      </c>
      <c r="U33" s="58" t="n">
        <f aca="false">W32</f>
        <v>232139.408246494</v>
      </c>
      <c r="V33" s="58" t="n">
        <f aca="false">IF(T33=1,U33*$B$22,0)</f>
        <v>773.798027488315</v>
      </c>
      <c r="W33" s="58" t="n">
        <f aca="false">IF(T33=1,U33+V33-$B$27,U33)</f>
        <v>231393.614173238</v>
      </c>
      <c r="X33" s="56" t="n">
        <f aca="false">IF(T33=1,IF($B$27&lt;=V33,1,0),0)</f>
        <v>0</v>
      </c>
      <c r="Y33" s="58" t="n">
        <f aca="false">Y32+V33</f>
        <v>20903.0087925934</v>
      </c>
    </row>
    <row r="34" customFormat="false" ht="15" hidden="false" customHeight="false" outlineLevel="0" collapsed="false">
      <c r="A34" s="7" t="s">
        <v>543</v>
      </c>
      <c r="B34" s="46" t="n">
        <f aca="false">IF($B$31=1,0,MAX(0,$B$29-$B$32))</f>
        <v>61</v>
      </c>
      <c r="C34" s="41" t="s">
        <v>240</v>
      </c>
      <c r="D34" s="42" t="s">
        <v>544</v>
      </c>
      <c r="E34" s="42"/>
      <c r="F34" s="42"/>
      <c r="G34" s="42"/>
      <c r="H34" s="42"/>
      <c r="I34" s="42"/>
      <c r="K34" s="56" t="n">
        <f aca="false">K33+1</f>
        <v>27</v>
      </c>
      <c r="L34" s="57" t="n">
        <f aca="false">IF(AND(K34&lt;=Assumptions!$C$42,L33=1,P33=0,O33&gt;Assumptions!$C$43),1,0)</f>
        <v>1</v>
      </c>
      <c r="M34" s="58" t="n">
        <f aca="false">O33</f>
        <v>236816.171001752</v>
      </c>
      <c r="N34" s="58" t="n">
        <f aca="false">IF(L34=1,M34*$B$22,0)</f>
        <v>789.387236672506</v>
      </c>
      <c r="O34" s="58" t="n">
        <f aca="false">IF(L34=1,M34+N34-$B$26,M34)</f>
        <v>236285.96613768</v>
      </c>
      <c r="P34" s="56" t="n">
        <f aca="false">IF(L34=1,IF($B$26&lt;=N34,1,0),0)</f>
        <v>0</v>
      </c>
      <c r="Q34" s="58" t="n">
        <f aca="false">Q33+N34</f>
        <v>21914.9528577795</v>
      </c>
      <c r="S34" s="56" t="n">
        <f aca="false">S33+1</f>
        <v>27</v>
      </c>
      <c r="T34" s="57" t="n">
        <f aca="false">IF(AND(S34&lt;=Assumptions!$C$42,T33=1,X33=0,W33&gt;Assumptions!$C$43),1,0)</f>
        <v>1</v>
      </c>
      <c r="U34" s="58" t="n">
        <f aca="false">W33</f>
        <v>231393.614173238</v>
      </c>
      <c r="V34" s="58" t="n">
        <f aca="false">IF(T34=1,U34*$B$22,0)</f>
        <v>771.312047244128</v>
      </c>
      <c r="W34" s="58" t="n">
        <f aca="false">IF(T34=1,U34+V34-$B$27,U34)</f>
        <v>230645.334119738</v>
      </c>
      <c r="X34" s="56" t="n">
        <f aca="false">IF(T34=1,IF($B$27&lt;=V34,1,0),0)</f>
        <v>0</v>
      </c>
      <c r="Y34" s="58" t="n">
        <f aca="false">Y33+V34</f>
        <v>21674.3208398375</v>
      </c>
    </row>
    <row r="35" customFormat="false" ht="15" hidden="false" customHeight="false" outlineLevel="0" collapsed="false">
      <c r="A35" s="7" t="s">
        <v>545</v>
      </c>
      <c r="B35" s="43" t="n">
        <f aca="false">$B$30-$B$33</f>
        <v>32877.2218504546</v>
      </c>
      <c r="C35" s="41" t="s">
        <v>257</v>
      </c>
      <c r="D35" s="42" t="s">
        <v>546</v>
      </c>
      <c r="E35" s="42"/>
      <c r="F35" s="42"/>
      <c r="G35" s="42"/>
      <c r="H35" s="42"/>
      <c r="I35" s="42"/>
      <c r="K35" s="56" t="n">
        <f aca="false">K34+1</f>
        <v>28</v>
      </c>
      <c r="L35" s="57" t="n">
        <f aca="false">IF(AND(K35&lt;=Assumptions!$C$42,L34=1,P34=0,O34&gt;Assumptions!$C$43),1,0)</f>
        <v>1</v>
      </c>
      <c r="M35" s="58" t="n">
        <f aca="false">O34</f>
        <v>236285.96613768</v>
      </c>
      <c r="N35" s="58" t="n">
        <f aca="false">IF(L35=1,M35*$B$22,0)</f>
        <v>787.6198871256</v>
      </c>
      <c r="O35" s="58" t="n">
        <f aca="false">IF(L35=1,M35+N35-$B$26,M35)</f>
        <v>235753.993924061</v>
      </c>
      <c r="P35" s="56" t="n">
        <f aca="false">IF(L35=1,IF($B$26&lt;=N35,1,0),0)</f>
        <v>0</v>
      </c>
      <c r="Q35" s="58" t="n">
        <f aca="false">Q34+N35</f>
        <v>22702.5727449051</v>
      </c>
      <c r="S35" s="56" t="n">
        <f aca="false">S34+1</f>
        <v>28</v>
      </c>
      <c r="T35" s="57" t="n">
        <f aca="false">IF(AND(S35&lt;=Assumptions!$C$42,T34=1,X34=0,W34&gt;Assumptions!$C$43),1,0)</f>
        <v>1</v>
      </c>
      <c r="U35" s="58" t="n">
        <f aca="false">W34</f>
        <v>230645.334119738</v>
      </c>
      <c r="V35" s="58" t="n">
        <f aca="false">IF(T35=1,U35*$B$22,0)</f>
        <v>768.817780399127</v>
      </c>
      <c r="W35" s="58" t="n">
        <f aca="false">IF(T35=1,U35+V35-$B$27,U35)</f>
        <v>229894.559799393</v>
      </c>
      <c r="X35" s="56" t="n">
        <f aca="false">IF(T35=1,IF($B$27&lt;=V35,1,0),0)</f>
        <v>0</v>
      </c>
      <c r="Y35" s="58" t="n">
        <f aca="false">Y34+V35</f>
        <v>22443.1386202366</v>
      </c>
    </row>
    <row r="36" customFormat="false" ht="15" hidden="false" customHeight="false" outlineLevel="0" collapsed="false">
      <c r="K36" s="56" t="n">
        <f aca="false">K35+1</f>
        <v>29</v>
      </c>
      <c r="L36" s="57" t="n">
        <f aca="false">IF(AND(K36&lt;=Assumptions!$C$42,L35=1,P35=0,O35&gt;Assumptions!$C$43),1,0)</f>
        <v>1</v>
      </c>
      <c r="M36" s="58" t="n">
        <f aca="false">O35</f>
        <v>235753.993924061</v>
      </c>
      <c r="N36" s="58" t="n">
        <f aca="false">IF(L36=1,M36*$B$22,0)</f>
        <v>785.846646413537</v>
      </c>
      <c r="O36" s="58" t="n">
        <f aca="false">IF(L36=1,M36+N36-$B$26,M36)</f>
        <v>235220.24846973</v>
      </c>
      <c r="P36" s="56" t="n">
        <f aca="false">IF(L36=1,IF($B$26&lt;=N36,1,0),0)</f>
        <v>0</v>
      </c>
      <c r="Q36" s="58" t="n">
        <f aca="false">Q35+N36</f>
        <v>23488.4193913186</v>
      </c>
      <c r="S36" s="56" t="n">
        <f aca="false">S35+1</f>
        <v>29</v>
      </c>
      <c r="T36" s="57" t="n">
        <f aca="false">IF(AND(S36&lt;=Assumptions!$C$42,T35=1,X35=0,W35&gt;Assumptions!$C$43),1,0)</f>
        <v>1</v>
      </c>
      <c r="U36" s="58" t="n">
        <f aca="false">W35</f>
        <v>229894.559799393</v>
      </c>
      <c r="V36" s="58" t="n">
        <f aca="false">IF(T36=1,U36*$B$22,0)</f>
        <v>766.315199331309</v>
      </c>
      <c r="W36" s="58" t="n">
        <f aca="false">IF(T36=1,U36+V36-$B$27,U36)</f>
        <v>229141.28289798</v>
      </c>
      <c r="X36" s="56" t="n">
        <f aca="false">IF(T36=1,IF($B$27&lt;=V36,1,0),0)</f>
        <v>0</v>
      </c>
      <c r="Y36" s="58" t="n">
        <f aca="false">Y35+V36</f>
        <v>23209.4538195679</v>
      </c>
    </row>
    <row r="37" customFormat="false" ht="15" hidden="false" customHeight="false" outlineLevel="0" collapsed="false">
      <c r="A37" s="15" t="s">
        <v>415</v>
      </c>
      <c r="B37" s="16"/>
      <c r="C37" s="16"/>
      <c r="D37" s="16"/>
      <c r="E37" s="16"/>
      <c r="F37" s="16"/>
      <c r="G37" s="16"/>
      <c r="H37" s="16"/>
      <c r="I37" s="16"/>
      <c r="K37" s="56" t="n">
        <f aca="false">K36+1</f>
        <v>30</v>
      </c>
      <c r="L37" s="57" t="n">
        <f aca="false">IF(AND(K37&lt;=Assumptions!$C$42,L36=1,P36=0,O36&gt;Assumptions!$C$43),1,0)</f>
        <v>1</v>
      </c>
      <c r="M37" s="58" t="n">
        <f aca="false">O36</f>
        <v>235220.24846973</v>
      </c>
      <c r="N37" s="58" t="n">
        <f aca="false">IF(L37=1,M37*$B$22,0)</f>
        <v>784.067494899101</v>
      </c>
      <c r="O37" s="58" t="n">
        <f aca="false">IF(L37=1,M37+N37-$B$26,M37)</f>
        <v>234684.723863885</v>
      </c>
      <c r="P37" s="56" t="n">
        <f aca="false">IF(L37=1,IF($B$26&lt;=N37,1,0),0)</f>
        <v>0</v>
      </c>
      <c r="Q37" s="58" t="n">
        <f aca="false">Q36+N37</f>
        <v>24272.4868862177</v>
      </c>
      <c r="S37" s="56" t="n">
        <f aca="false">S36+1</f>
        <v>30</v>
      </c>
      <c r="T37" s="57" t="n">
        <f aca="false">IF(AND(S37&lt;=Assumptions!$C$42,T36=1,X36=0,W36&gt;Assumptions!$C$43),1,0)</f>
        <v>1</v>
      </c>
      <c r="U37" s="58" t="n">
        <f aca="false">W36</f>
        <v>229141.28289798</v>
      </c>
      <c r="V37" s="58" t="n">
        <f aca="false">IF(T37=1,U37*$B$22,0)</f>
        <v>763.804276326599</v>
      </c>
      <c r="W37" s="58" t="n">
        <f aca="false">IF(T37=1,U37+V37-$B$27,U37)</f>
        <v>228385.495073562</v>
      </c>
      <c r="X37" s="56" t="n">
        <f aca="false">IF(T37=1,IF($B$27&lt;=V37,1,0),0)</f>
        <v>0</v>
      </c>
      <c r="Y37" s="58" t="n">
        <f aca="false">Y36+V37</f>
        <v>23973.2580958945</v>
      </c>
    </row>
    <row r="38" customFormat="false" ht="15" hidden="false" customHeight="false" outlineLevel="0" collapsed="false">
      <c r="A38" s="17" t="s">
        <v>416</v>
      </c>
      <c r="B38" s="17" t="s">
        <v>192</v>
      </c>
      <c r="C38" s="17" t="s">
        <v>417</v>
      </c>
      <c r="D38" s="17" t="s">
        <v>418</v>
      </c>
      <c r="K38" s="56" t="n">
        <f aca="false">K37+1</f>
        <v>31</v>
      </c>
      <c r="L38" s="57" t="n">
        <f aca="false">IF(AND(K38&lt;=Assumptions!$C$42,L37=1,P37=0,O37&gt;Assumptions!$C$43),1,0)</f>
        <v>1</v>
      </c>
      <c r="M38" s="58" t="n">
        <f aca="false">O37</f>
        <v>234684.723863885</v>
      </c>
      <c r="N38" s="58" t="n">
        <f aca="false">IF(L38=1,M38*$B$22,0)</f>
        <v>782.282412879616</v>
      </c>
      <c r="O38" s="58" t="n">
        <f aca="false">IF(L38=1,M38+N38-$B$26,M38)</f>
        <v>234147.41417602</v>
      </c>
      <c r="P38" s="56" t="n">
        <f aca="false">IF(L38=1,IF($B$26&lt;=N38,1,0),0)</f>
        <v>0</v>
      </c>
      <c r="Q38" s="58" t="n">
        <f aca="false">Q37+N38</f>
        <v>25054.7692990973</v>
      </c>
      <c r="S38" s="56" t="n">
        <f aca="false">S37+1</f>
        <v>31</v>
      </c>
      <c r="T38" s="57" t="n">
        <f aca="false">IF(AND(S38&lt;=Assumptions!$C$42,T37=1,X37=0,W37&gt;Assumptions!$C$43),1,0)</f>
        <v>1</v>
      </c>
      <c r="U38" s="58" t="n">
        <f aca="false">W37</f>
        <v>228385.495073562</v>
      </c>
      <c r="V38" s="58" t="n">
        <f aca="false">IF(T38=1,U38*$B$22,0)</f>
        <v>761.284983578539</v>
      </c>
      <c r="W38" s="58" t="n">
        <f aca="false">IF(T38=1,U38+V38-$B$27,U38)</f>
        <v>227627.187956396</v>
      </c>
      <c r="X38" s="56" t="n">
        <f aca="false">IF(T38=1,IF($B$27&lt;=V38,1,0),0)</f>
        <v>0</v>
      </c>
      <c r="Y38" s="58" t="n">
        <f aca="false">Y37+V38</f>
        <v>24734.5430794731</v>
      </c>
    </row>
    <row r="39" customFormat="false" ht="15" hidden="false" customHeight="false" outlineLevel="0" collapsed="false">
      <c r="A39" s="4" t="s">
        <v>419</v>
      </c>
      <c r="B39" s="48"/>
      <c r="C39" s="49" t="str">
        <f aca="false">"Mortgage free sooner by"</f>
        <v>Mortgage free sooner by</v>
      </c>
      <c r="D39" s="42" t="s">
        <v>420</v>
      </c>
      <c r="E39" s="42"/>
      <c r="F39" s="42"/>
      <c r="G39" s="42"/>
      <c r="H39" s="42"/>
      <c r="I39" s="42"/>
      <c r="K39" s="56" t="n">
        <f aca="false">K38+1</f>
        <v>32</v>
      </c>
      <c r="L39" s="57" t="n">
        <f aca="false">IF(AND(K39&lt;=Assumptions!$C$42,L38=1,P38=0,O38&gt;Assumptions!$C$43),1,0)</f>
        <v>1</v>
      </c>
      <c r="M39" s="58" t="n">
        <f aca="false">O38</f>
        <v>234147.41417602</v>
      </c>
      <c r="N39" s="58" t="n">
        <f aca="false">IF(L39=1,M39*$B$22,0)</f>
        <v>780.491380586734</v>
      </c>
      <c r="O39" s="58" t="n">
        <f aca="false">IF(L39=1,M39+N39-$B$26,M39)</f>
        <v>233608.313455862</v>
      </c>
      <c r="P39" s="56" t="n">
        <f aca="false">IF(L39=1,IF($B$26&lt;=N39,1,0),0)</f>
        <v>0</v>
      </c>
      <c r="Q39" s="58" t="n">
        <f aca="false">Q38+N39</f>
        <v>25835.2606796841</v>
      </c>
      <c r="S39" s="56" t="n">
        <f aca="false">S38+1</f>
        <v>32</v>
      </c>
      <c r="T39" s="57" t="n">
        <f aca="false">IF(AND(S39&lt;=Assumptions!$C$42,T38=1,X38=0,W38&gt;Assumptions!$C$43),1,0)</f>
        <v>1</v>
      </c>
      <c r="U39" s="58" t="n">
        <f aca="false">W38</f>
        <v>227627.187956396</v>
      </c>
      <c r="V39" s="58" t="n">
        <f aca="false">IF(T39=1,U39*$B$22,0)</f>
        <v>758.757293187986</v>
      </c>
      <c r="W39" s="58" t="n">
        <f aca="false">IF(T39=1,U39+V39-$B$27,U39)</f>
        <v>226866.353148839</v>
      </c>
      <c r="X39" s="56" t="n">
        <f aca="false">IF(T39=1,IF($B$27&lt;=V39,1,0),0)</f>
        <v>0</v>
      </c>
      <c r="Y39" s="58" t="n">
        <f aca="false">Y38+V39</f>
        <v>25493.3003726611</v>
      </c>
    </row>
    <row r="40" customFormat="false" ht="15" hidden="false" customHeight="false" outlineLevel="0" collapsed="false">
      <c r="A40" s="4" t="s">
        <v>547</v>
      </c>
      <c r="B40" s="48" t="n">
        <f aca="false">IF($B$28=1,"",$B$34)</f>
        <v>61</v>
      </c>
      <c r="C40" s="49" t="str">
        <f aca="false">IF($B$28=1,"—",IF(INT($B$34/12)&gt;0,INT($B$34/12)&amp;" yr"&amp;IF(INT($B$34/12)&gt;1,"s","")&amp;IF(ROUND(MOD($B$34,12),0)&lt;&gt;0," "&amp;ROUND(MOD($B$34,12),0)&amp;" mo",""),ROUND(MOD($B$34,12),0)&amp;" months"))</f>
        <v>5 yrs 1 mo</v>
      </c>
      <c r="D40" s="42" t="s">
        <v>512</v>
      </c>
      <c r="E40" s="42"/>
      <c r="F40" s="42"/>
      <c r="G40" s="42"/>
      <c r="H40" s="42"/>
      <c r="I40" s="42"/>
      <c r="K40" s="56" t="n">
        <f aca="false">K39+1</f>
        <v>33</v>
      </c>
      <c r="L40" s="57" t="n">
        <f aca="false">IF(AND(K40&lt;=Assumptions!$C$42,L39=1,P39=0,O39&gt;Assumptions!$C$43),1,0)</f>
        <v>1</v>
      </c>
      <c r="M40" s="58" t="n">
        <f aca="false">O39</f>
        <v>233608.313455862</v>
      </c>
      <c r="N40" s="58" t="n">
        <f aca="false">IF(L40=1,M40*$B$22,0)</f>
        <v>778.694378186208</v>
      </c>
      <c r="O40" s="58" t="n">
        <f aca="false">IF(L40=1,M40+N40-$B$26,M40)</f>
        <v>233067.415733304</v>
      </c>
      <c r="P40" s="56" t="n">
        <f aca="false">IF(L40=1,IF($B$26&lt;=N40,1,0),0)</f>
        <v>0</v>
      </c>
      <c r="Q40" s="58" t="n">
        <f aca="false">Q39+N40</f>
        <v>26613.9550578703</v>
      </c>
      <c r="S40" s="56" t="n">
        <f aca="false">S39+1</f>
        <v>33</v>
      </c>
      <c r="T40" s="57" t="n">
        <f aca="false">IF(AND(S40&lt;=Assumptions!$C$42,T39=1,X39=0,W39&gt;Assumptions!$C$43),1,0)</f>
        <v>1</v>
      </c>
      <c r="U40" s="58" t="n">
        <f aca="false">W39</f>
        <v>226866.353148839</v>
      </c>
      <c r="V40" s="58" t="n">
        <f aca="false">IF(T40=1,U40*$B$22,0)</f>
        <v>756.221177162798</v>
      </c>
      <c r="W40" s="58" t="n">
        <f aca="false">IF(T40=1,U40+V40-$B$27,U40)</f>
        <v>226102.982225258</v>
      </c>
      <c r="X40" s="56" t="n">
        <f aca="false">IF(T40=1,IF($B$27&lt;=V40,1,0),0)</f>
        <v>0</v>
      </c>
      <c r="Y40" s="58" t="n">
        <f aca="false">Y39+V40</f>
        <v>26249.5215498239</v>
      </c>
    </row>
    <row r="41" customFormat="false" ht="15" hidden="false" customHeight="false" outlineLevel="0" collapsed="false">
      <c r="A41" s="4" t="s">
        <v>548</v>
      </c>
      <c r="B41" s="50" t="n">
        <f aca="false">$B$13</f>
        <v>200</v>
      </c>
      <c r="C41" s="49" t="str">
        <f aca="false">IF(($B$13)&lt;0,"−€","€")&amp;FIXED(ROUND(ABS($B$13),0),0)</f>
        <v>€200</v>
      </c>
      <c r="D41" s="42" t="s">
        <v>424</v>
      </c>
      <c r="E41" s="42"/>
      <c r="F41" s="42"/>
      <c r="G41" s="42"/>
      <c r="H41" s="42"/>
      <c r="I41" s="42"/>
      <c r="K41" s="56" t="n">
        <f aca="false">K40+1</f>
        <v>34</v>
      </c>
      <c r="L41" s="57" t="n">
        <f aca="false">IF(AND(K41&lt;=Assumptions!$C$42,L40=1,P40=0,O40&gt;Assumptions!$C$43),1,0)</f>
        <v>1</v>
      </c>
      <c r="M41" s="58" t="n">
        <f aca="false">O40</f>
        <v>233067.415733304</v>
      </c>
      <c r="N41" s="58" t="n">
        <f aca="false">IF(L41=1,M41*$B$22,0)</f>
        <v>776.891385777681</v>
      </c>
      <c r="O41" s="58" t="n">
        <f aca="false">IF(L41=1,M41+N41-$B$26,M41)</f>
        <v>232524.715018337</v>
      </c>
      <c r="P41" s="56" t="n">
        <f aca="false">IF(L41=1,IF($B$26&lt;=N41,1,0),0)</f>
        <v>0</v>
      </c>
      <c r="Q41" s="58" t="n">
        <f aca="false">Q40+N41</f>
        <v>27390.8464436479</v>
      </c>
      <c r="S41" s="56" t="n">
        <f aca="false">S40+1</f>
        <v>34</v>
      </c>
      <c r="T41" s="57" t="n">
        <f aca="false">IF(AND(S41&lt;=Assumptions!$C$42,T40=1,X40=0,W40&gt;Assumptions!$C$43),1,0)</f>
        <v>1</v>
      </c>
      <c r="U41" s="58" t="n">
        <f aca="false">W40</f>
        <v>226102.982225258</v>
      </c>
      <c r="V41" s="58" t="n">
        <f aca="false">IF(T41=1,U41*$B$22,0)</f>
        <v>753.676607417526</v>
      </c>
      <c r="W41" s="58" t="n">
        <f aca="false">IF(T41=1,U41+V41-$B$27,U41)</f>
        <v>225337.066731931</v>
      </c>
      <c r="X41" s="56" t="n">
        <f aca="false">IF(T41=1,IF($B$27&lt;=V41,1,0),0)</f>
        <v>0</v>
      </c>
      <c r="Y41" s="58" t="n">
        <f aca="false">Y40+V41</f>
        <v>27003.1981572414</v>
      </c>
    </row>
    <row r="42" customFormat="false" ht="15" hidden="false" customHeight="false" outlineLevel="0" collapsed="false">
      <c r="A42" s="4" t="s">
        <v>549</v>
      </c>
      <c r="B42" s="50" t="n">
        <f aca="false">$B$26</f>
        <v>1319.59210074443</v>
      </c>
      <c r="C42" s="49" t="str">
        <f aca="false">IF(($B$26)&lt;0,"−€","€")&amp;FIXED(ROUND(ABS($B$26),0),0)</f>
        <v>€1,320</v>
      </c>
      <c r="D42" s="42" t="s">
        <v>424</v>
      </c>
      <c r="E42" s="42"/>
      <c r="F42" s="42"/>
      <c r="G42" s="42"/>
      <c r="H42" s="42"/>
      <c r="I42" s="42"/>
      <c r="K42" s="56" t="n">
        <f aca="false">K41+1</f>
        <v>35</v>
      </c>
      <c r="L42" s="57" t="n">
        <f aca="false">IF(AND(K42&lt;=Assumptions!$C$42,L41=1,P41=0,O41&gt;Assumptions!$C$43),1,0)</f>
        <v>1</v>
      </c>
      <c r="M42" s="58" t="n">
        <f aca="false">O41</f>
        <v>232524.715018337</v>
      </c>
      <c r="N42" s="58" t="n">
        <f aca="false">IF(L42=1,M42*$B$22,0)</f>
        <v>775.082383394458</v>
      </c>
      <c r="O42" s="58" t="n">
        <f aca="false">IF(L42=1,M42+N42-$B$26,M42)</f>
        <v>231980.205300987</v>
      </c>
      <c r="P42" s="56" t="n">
        <f aca="false">IF(L42=1,IF($B$26&lt;=N42,1,0),0)</f>
        <v>0</v>
      </c>
      <c r="Q42" s="58" t="n">
        <f aca="false">Q41+N42</f>
        <v>28165.9288270424</v>
      </c>
      <c r="S42" s="56" t="n">
        <f aca="false">S41+1</f>
        <v>35</v>
      </c>
      <c r="T42" s="57" t="n">
        <f aca="false">IF(AND(S42&lt;=Assumptions!$C$42,T41=1,X41=0,W41&gt;Assumptions!$C$43),1,0)</f>
        <v>1</v>
      </c>
      <c r="U42" s="58" t="n">
        <f aca="false">W41</f>
        <v>225337.066731931</v>
      </c>
      <c r="V42" s="58" t="n">
        <f aca="false">IF(T42=1,U42*$B$22,0)</f>
        <v>751.123555773103</v>
      </c>
      <c r="W42" s="58" t="n">
        <f aca="false">IF(T42=1,U42+V42-$B$27,U42)</f>
        <v>224568.59818696</v>
      </c>
      <c r="X42" s="56" t="n">
        <f aca="false">IF(T42=1,IF($B$27&lt;=V42,1,0),0)</f>
        <v>0</v>
      </c>
      <c r="Y42" s="58" t="n">
        <f aca="false">Y41+V42</f>
        <v>27754.3217130145</v>
      </c>
    </row>
    <row r="43" customFormat="false" ht="15" hidden="false" customHeight="false" outlineLevel="0" collapsed="false">
      <c r="A43" s="4" t="s">
        <v>550</v>
      </c>
      <c r="B43" s="48" t="n">
        <f aca="false">IF($B$28=1,"",$B$29)</f>
        <v>300</v>
      </c>
      <c r="C43" s="49" t="str">
        <f aca="false">IF($B$28=1,"—",IF(INT($B$29/12)&gt;0,INT($B$29/12)&amp;" yr"&amp;IF(INT($B$29/12)&gt;1,"s","")&amp;IF(ROUND(MOD($B$29,12),0)&lt;&gt;0," "&amp;ROUND(MOD($B$29,12),0)&amp;" mo",""),ROUND(MOD($B$29,12),0)&amp;" months"))</f>
        <v>25 yrs</v>
      </c>
      <c r="D43" s="42" t="s">
        <v>427</v>
      </c>
      <c r="E43" s="42"/>
      <c r="F43" s="42"/>
      <c r="G43" s="42"/>
      <c r="H43" s="42"/>
      <c r="I43" s="42"/>
      <c r="K43" s="56" t="n">
        <f aca="false">K42+1</f>
        <v>36</v>
      </c>
      <c r="L43" s="57" t="n">
        <f aca="false">IF(AND(K43&lt;=Assumptions!$C$42,L42=1,P42=0,O42&gt;Assumptions!$C$43),1,0)</f>
        <v>1</v>
      </c>
      <c r="M43" s="58" t="n">
        <f aca="false">O42</f>
        <v>231980.205300987</v>
      </c>
      <c r="N43" s="58" t="n">
        <f aca="false">IF(L43=1,M43*$B$22,0)</f>
        <v>773.267351003292</v>
      </c>
      <c r="O43" s="58" t="n">
        <f aca="false">IF(L43=1,M43+N43-$B$26,M43)</f>
        <v>231433.880551246</v>
      </c>
      <c r="P43" s="56" t="n">
        <f aca="false">IF(L43=1,IF($B$26&lt;=N43,1,0),0)</f>
        <v>0</v>
      </c>
      <c r="Q43" s="58" t="n">
        <f aca="false">Q42+N43</f>
        <v>28939.1961780457</v>
      </c>
      <c r="S43" s="56" t="n">
        <f aca="false">S42+1</f>
        <v>36</v>
      </c>
      <c r="T43" s="57" t="n">
        <f aca="false">IF(AND(S43&lt;=Assumptions!$C$42,T42=1,X42=0,W42&gt;Assumptions!$C$43),1,0)</f>
        <v>1</v>
      </c>
      <c r="U43" s="58" t="n">
        <f aca="false">W42</f>
        <v>224568.59818696</v>
      </c>
      <c r="V43" s="58" t="n">
        <f aca="false">IF(T43=1,U43*$B$22,0)</f>
        <v>748.561993956532</v>
      </c>
      <c r="W43" s="58" t="n">
        <f aca="false">IF(T43=1,U43+V43-$B$27,U43)</f>
        <v>223797.568080172</v>
      </c>
      <c r="X43" s="56" t="n">
        <f aca="false">IF(T43=1,IF($B$27&lt;=V43,1,0),0)</f>
        <v>0</v>
      </c>
      <c r="Y43" s="58" t="n">
        <f aca="false">Y42+V43</f>
        <v>28502.883706971</v>
      </c>
    </row>
    <row r="44" customFormat="false" ht="15" hidden="false" customHeight="false" outlineLevel="0" collapsed="false">
      <c r="A44" s="4" t="s">
        <v>551</v>
      </c>
      <c r="B44" s="48" t="n">
        <f aca="false">IF($B$31=1,"Infinity",$B$32)</f>
        <v>239</v>
      </c>
      <c r="C44" s="49" t="str">
        <f aca="false">IF($B$31=1,"Infinity yrs",IF(INT($B$32/12)&gt;0,INT($B$32/12)&amp;" yr"&amp;IF(INT($B$32/12)&gt;1,"s","")&amp;IF(ROUND(MOD($B$32,12),0)&lt;&gt;0," "&amp;ROUND(MOD($B$32,12),0)&amp;" mo",""),ROUND(MOD($B$32,12),0)&amp;" months"))</f>
        <v>19 yrs 11 mo</v>
      </c>
      <c r="D44" s="42" t="s">
        <v>428</v>
      </c>
      <c r="E44" s="42"/>
      <c r="F44" s="42"/>
      <c r="G44" s="42"/>
      <c r="H44" s="42"/>
      <c r="I44" s="42"/>
      <c r="K44" s="56" t="n">
        <f aca="false">K43+1</f>
        <v>37</v>
      </c>
      <c r="L44" s="57" t="n">
        <f aca="false">IF(AND(K44&lt;=Assumptions!$C$42,L43=1,P43=0,O43&gt;Assumptions!$C$43),1,0)</f>
        <v>1</v>
      </c>
      <c r="M44" s="58" t="n">
        <f aca="false">O43</f>
        <v>231433.880551246</v>
      </c>
      <c r="N44" s="58" t="n">
        <f aca="false">IF(L44=1,M44*$B$22,0)</f>
        <v>771.446268504154</v>
      </c>
      <c r="O44" s="58" t="n">
        <f aca="false">IF(L44=1,M44+N44-$B$26,M44)</f>
        <v>230885.734719006</v>
      </c>
      <c r="P44" s="56" t="n">
        <f aca="false">IF(L44=1,IF($B$26&lt;=N44,1,0),0)</f>
        <v>0</v>
      </c>
      <c r="Q44" s="58" t="n">
        <f aca="false">Q43+N44</f>
        <v>29710.6424465498</v>
      </c>
      <c r="S44" s="56" t="n">
        <f aca="false">S43+1</f>
        <v>37</v>
      </c>
      <c r="T44" s="57" t="n">
        <f aca="false">IF(AND(S44&lt;=Assumptions!$C$42,T43=1,X43=0,W43&gt;Assumptions!$C$43),1,0)</f>
        <v>1</v>
      </c>
      <c r="U44" s="58" t="n">
        <f aca="false">W43</f>
        <v>223797.568080172</v>
      </c>
      <c r="V44" s="58" t="n">
        <f aca="false">IF(T44=1,U44*$B$22,0)</f>
        <v>745.991893600573</v>
      </c>
      <c r="W44" s="58" t="n">
        <f aca="false">IF(T44=1,U44+V44-$B$27,U44)</f>
        <v>223023.967873028</v>
      </c>
      <c r="X44" s="56" t="n">
        <f aca="false">IF(T44=1,IF($B$27&lt;=V44,1,0),0)</f>
        <v>0</v>
      </c>
      <c r="Y44" s="58" t="n">
        <f aca="false">Y43+V44</f>
        <v>29248.8756005716</v>
      </c>
    </row>
    <row r="45" customFormat="false" ht="15" hidden="false" customHeight="false" outlineLevel="0" collapsed="false">
      <c r="A45" s="4" t="s">
        <v>545</v>
      </c>
      <c r="B45" s="50" t="n">
        <f aca="false">$B$35</f>
        <v>32877.2218504546</v>
      </c>
      <c r="C45" s="49" t="str">
        <f aca="false">IF(($B$35)&lt;0,"−€","€")&amp;FIXED(ROUND(ABS($B$35),0),0)</f>
        <v>€32,877</v>
      </c>
      <c r="D45" s="42" t="s">
        <v>552</v>
      </c>
      <c r="E45" s="42"/>
      <c r="F45" s="42"/>
      <c r="G45" s="42"/>
      <c r="H45" s="42"/>
      <c r="I45" s="42"/>
      <c r="K45" s="56" t="n">
        <f aca="false">K44+1</f>
        <v>38</v>
      </c>
      <c r="L45" s="57" t="n">
        <f aca="false">IF(AND(K45&lt;=Assumptions!$C$42,L44=1,P44=0,O44&gt;Assumptions!$C$43),1,0)</f>
        <v>1</v>
      </c>
      <c r="M45" s="58" t="n">
        <f aca="false">O44</f>
        <v>230885.734719006</v>
      </c>
      <c r="N45" s="58" t="n">
        <f aca="false">IF(L45=1,M45*$B$22,0)</f>
        <v>769.61911573002</v>
      </c>
      <c r="O45" s="58" t="n">
        <f aca="false">IF(L45=1,M45+N45-$B$26,M45)</f>
        <v>230335.761733992</v>
      </c>
      <c r="P45" s="56" t="n">
        <f aca="false">IF(L45=1,IF($B$26&lt;=N45,1,0),0)</f>
        <v>0</v>
      </c>
      <c r="Q45" s="58" t="n">
        <f aca="false">Q44+N45</f>
        <v>30480.2615622799</v>
      </c>
      <c r="S45" s="56" t="n">
        <f aca="false">S44+1</f>
        <v>38</v>
      </c>
      <c r="T45" s="57" t="n">
        <f aca="false">IF(AND(S45&lt;=Assumptions!$C$42,T44=1,X44=0,W44&gt;Assumptions!$C$43),1,0)</f>
        <v>1</v>
      </c>
      <c r="U45" s="58" t="n">
        <f aca="false">W44</f>
        <v>223023.967873028</v>
      </c>
      <c r="V45" s="58" t="n">
        <f aca="false">IF(T45=1,U45*$B$22,0)</f>
        <v>743.413226243426</v>
      </c>
      <c r="W45" s="58" t="n">
        <f aca="false">IF(T45=1,U45+V45-$B$27,U45)</f>
        <v>222247.788998527</v>
      </c>
      <c r="X45" s="56" t="n">
        <f aca="false">IF(T45=1,IF($B$27&lt;=V45,1,0),0)</f>
        <v>0</v>
      </c>
      <c r="Y45" s="58" t="n">
        <f aca="false">Y44+V45</f>
        <v>29992.288826815</v>
      </c>
    </row>
    <row r="46" customFormat="false" ht="15" hidden="false" customHeight="false" outlineLevel="0" collapsed="false">
      <c r="A46" s="4" t="s">
        <v>553</v>
      </c>
      <c r="B46" s="50" t="n">
        <f aca="false">$B$10</f>
        <v>250000</v>
      </c>
      <c r="C46" s="49" t="str">
        <f aca="false">$B$46&amp;""</f>
        <v>250000</v>
      </c>
      <c r="D46" s="42" t="s">
        <v>435</v>
      </c>
      <c r="E46" s="42"/>
      <c r="F46" s="42"/>
      <c r="G46" s="42"/>
      <c r="H46" s="42"/>
      <c r="I46" s="42"/>
      <c r="K46" s="56" t="n">
        <f aca="false">K45+1</f>
        <v>39</v>
      </c>
      <c r="L46" s="57" t="n">
        <f aca="false">IF(AND(K46&lt;=Assumptions!$C$42,L45=1,P45=0,O45&gt;Assumptions!$C$43),1,0)</f>
        <v>1</v>
      </c>
      <c r="M46" s="58" t="n">
        <f aca="false">O45</f>
        <v>230335.761733992</v>
      </c>
      <c r="N46" s="58" t="n">
        <f aca="false">IF(L46=1,M46*$B$22,0)</f>
        <v>767.785872446639</v>
      </c>
      <c r="O46" s="58" t="n">
        <f aca="false">IF(L46=1,M46+N46-$B$26,M46)</f>
        <v>229783.955505694</v>
      </c>
      <c r="P46" s="56" t="n">
        <f aca="false">IF(L46=1,IF($B$26&lt;=N46,1,0),0)</f>
        <v>0</v>
      </c>
      <c r="Q46" s="58" t="n">
        <f aca="false">Q45+N46</f>
        <v>31248.0474347265</v>
      </c>
      <c r="S46" s="56" t="n">
        <f aca="false">S45+1</f>
        <v>39</v>
      </c>
      <c r="T46" s="57" t="n">
        <f aca="false">IF(AND(S46&lt;=Assumptions!$C$42,T45=1,X45=0,W45&gt;Assumptions!$C$43),1,0)</f>
        <v>1</v>
      </c>
      <c r="U46" s="58" t="n">
        <f aca="false">W45</f>
        <v>222247.788998527</v>
      </c>
      <c r="V46" s="58" t="n">
        <f aca="false">IF(T46=1,U46*$B$22,0)</f>
        <v>740.825963328423</v>
      </c>
      <c r="W46" s="58" t="n">
        <f aca="false">IF(T46=1,U46+V46-$B$27,U46)</f>
        <v>221469.022861111</v>
      </c>
      <c r="X46" s="56" t="n">
        <f aca="false">IF(T46=1,IF($B$27&lt;=V46,1,0),0)</f>
        <v>0</v>
      </c>
      <c r="Y46" s="58" t="n">
        <f aca="false">Y45+V46</f>
        <v>30733.1147901434</v>
      </c>
    </row>
    <row r="47" customFormat="false" ht="15" hidden="false" customHeight="false" outlineLevel="0" collapsed="false">
      <c r="A47" s="4" t="s">
        <v>434</v>
      </c>
      <c r="B47" s="48" t="n">
        <f aca="false">IF($B$31=1,"Infinity",(-INT(-($B$32/12))))</f>
        <v>20</v>
      </c>
      <c r="C47" s="49" t="str">
        <f aca="false">$B$47&amp;""</f>
        <v>20</v>
      </c>
      <c r="D47" s="42" t="s">
        <v>554</v>
      </c>
      <c r="E47" s="42"/>
      <c r="F47" s="42"/>
      <c r="G47" s="42"/>
      <c r="H47" s="42"/>
      <c r="I47" s="42"/>
      <c r="K47" s="56" t="n">
        <f aca="false">K46+1</f>
        <v>40</v>
      </c>
      <c r="L47" s="57" t="n">
        <f aca="false">IF(AND(K47&lt;=Assumptions!$C$42,L46=1,P46=0,O46&gt;Assumptions!$C$43),1,0)</f>
        <v>1</v>
      </c>
      <c r="M47" s="58" t="n">
        <f aca="false">O46</f>
        <v>229783.955505694</v>
      </c>
      <c r="N47" s="58" t="n">
        <f aca="false">IF(L47=1,M47*$B$22,0)</f>
        <v>765.946518352313</v>
      </c>
      <c r="O47" s="58" t="n">
        <f aca="false">IF(L47=1,M47+N47-$B$26,M47)</f>
        <v>229230.309923302</v>
      </c>
      <c r="P47" s="56" t="n">
        <f aca="false">IF(L47=1,IF($B$26&lt;=N47,1,0),0)</f>
        <v>0</v>
      </c>
      <c r="Q47" s="58" t="n">
        <f aca="false">Q46+N47</f>
        <v>32013.9939530788</v>
      </c>
      <c r="S47" s="56" t="n">
        <f aca="false">S46+1</f>
        <v>40</v>
      </c>
      <c r="T47" s="57" t="n">
        <f aca="false">IF(AND(S47&lt;=Assumptions!$C$42,T46=1,X46=0,W46&gt;Assumptions!$C$43),1,0)</f>
        <v>1</v>
      </c>
      <c r="U47" s="58" t="n">
        <f aca="false">W46</f>
        <v>221469.022861111</v>
      </c>
      <c r="V47" s="58" t="n">
        <f aca="false">IF(T47=1,U47*$B$22,0)</f>
        <v>738.230076203703</v>
      </c>
      <c r="W47" s="58" t="n">
        <f aca="false">IF(T47=1,U47+V47-$B$27,U47)</f>
        <v>220687.66083657</v>
      </c>
      <c r="X47" s="56" t="n">
        <f aca="false">IF(T47=1,IF($B$27&lt;=V47,1,0),0)</f>
        <v>0</v>
      </c>
      <c r="Y47" s="58" t="n">
        <f aca="false">Y46+V47</f>
        <v>31471.3448663471</v>
      </c>
    </row>
    <row r="48" customFormat="false" ht="15" hidden="false" customHeight="false" outlineLevel="0" collapsed="false">
      <c r="K48" s="56" t="n">
        <f aca="false">K47+1</f>
        <v>41</v>
      </c>
      <c r="L48" s="57" t="n">
        <f aca="false">IF(AND(K48&lt;=Assumptions!$C$42,L47=1,P47=0,O47&gt;Assumptions!$C$43),1,0)</f>
        <v>1</v>
      </c>
      <c r="M48" s="58" t="n">
        <f aca="false">O47</f>
        <v>229230.309923302</v>
      </c>
      <c r="N48" s="58" t="n">
        <f aca="false">IF(L48=1,M48*$B$22,0)</f>
        <v>764.101033077673</v>
      </c>
      <c r="O48" s="58" t="n">
        <f aca="false">IF(L48=1,M48+N48-$B$26,M48)</f>
        <v>228674.818855635</v>
      </c>
      <c r="P48" s="56" t="n">
        <f aca="false">IF(L48=1,IF($B$26&lt;=N48,1,0),0)</f>
        <v>0</v>
      </c>
      <c r="Q48" s="58" t="n">
        <f aca="false">Q47+N48</f>
        <v>32778.0949861565</v>
      </c>
      <c r="S48" s="56" t="n">
        <f aca="false">S47+1</f>
        <v>41</v>
      </c>
      <c r="T48" s="57" t="n">
        <f aca="false">IF(AND(S48&lt;=Assumptions!$C$42,T47=1,X47=0,W47&gt;Assumptions!$C$43),1,0)</f>
        <v>1</v>
      </c>
      <c r="U48" s="58" t="n">
        <f aca="false">W47</f>
        <v>220687.66083657</v>
      </c>
      <c r="V48" s="58" t="n">
        <f aca="false">IF(T48=1,U48*$B$22,0)</f>
        <v>735.625536121901</v>
      </c>
      <c r="W48" s="58" t="n">
        <f aca="false">IF(T48=1,U48+V48-$B$27,U48)</f>
        <v>219903.694271948</v>
      </c>
      <c r="X48" s="56" t="n">
        <f aca="false">IF(T48=1,IF($B$27&lt;=V48,1,0),0)</f>
        <v>0</v>
      </c>
      <c r="Y48" s="58" t="n">
        <f aca="false">Y47+V48</f>
        <v>32206.970402469</v>
      </c>
    </row>
    <row r="49" customFormat="false" ht="15" hidden="false" customHeight="false" outlineLevel="0" collapsed="false">
      <c r="K49" s="56" t="n">
        <f aca="false">K48+1</f>
        <v>42</v>
      </c>
      <c r="L49" s="57" t="n">
        <f aca="false">IF(AND(K49&lt;=Assumptions!$C$42,L48=1,P48=0,O48&gt;Assumptions!$C$43),1,0)</f>
        <v>1</v>
      </c>
      <c r="M49" s="58" t="n">
        <f aca="false">O48</f>
        <v>228674.818855635</v>
      </c>
      <c r="N49" s="58" t="n">
        <f aca="false">IF(L49=1,M49*$B$22,0)</f>
        <v>762.24939618545</v>
      </c>
      <c r="O49" s="58" t="n">
        <f aca="false">IF(L49=1,M49+N49-$B$26,M49)</f>
        <v>228117.476151076</v>
      </c>
      <c r="P49" s="56" t="n">
        <f aca="false">IF(L49=1,IF($B$26&lt;=N49,1,0),0)</f>
        <v>0</v>
      </c>
      <c r="Q49" s="58" t="n">
        <f aca="false">Q48+N49</f>
        <v>33540.3443823419</v>
      </c>
      <c r="S49" s="56" t="n">
        <f aca="false">S48+1</f>
        <v>42</v>
      </c>
      <c r="T49" s="57" t="n">
        <f aca="false">IF(AND(S49&lt;=Assumptions!$C$42,T48=1,X48=0,W48&gt;Assumptions!$C$43),1,0)</f>
        <v>1</v>
      </c>
      <c r="U49" s="58" t="n">
        <f aca="false">W48</f>
        <v>219903.694271948</v>
      </c>
      <c r="V49" s="58" t="n">
        <f aca="false">IF(T49=1,U49*$B$22,0)</f>
        <v>733.012314239826</v>
      </c>
      <c r="W49" s="58" t="n">
        <f aca="false">IF(T49=1,U49+V49-$B$27,U49)</f>
        <v>219117.114485443</v>
      </c>
      <c r="X49" s="56" t="n">
        <f aca="false">IF(T49=1,IF($B$27&lt;=V49,1,0),0)</f>
        <v>0</v>
      </c>
      <c r="Y49" s="58" t="n">
        <f aca="false">Y48+V49</f>
        <v>32939.9827167089</v>
      </c>
    </row>
    <row r="50" customFormat="false" ht="15" hidden="false" customHeight="false" outlineLevel="0" collapsed="false">
      <c r="K50" s="56" t="n">
        <f aca="false">K49+1</f>
        <v>43</v>
      </c>
      <c r="L50" s="57" t="n">
        <f aca="false">IF(AND(K50&lt;=Assumptions!$C$42,L49=1,P49=0,O49&gt;Assumptions!$C$43),1,0)</f>
        <v>1</v>
      </c>
      <c r="M50" s="58" t="n">
        <f aca="false">O49</f>
        <v>228117.476151076</v>
      </c>
      <c r="N50" s="58" t="n">
        <f aca="false">IF(L50=1,M50*$B$22,0)</f>
        <v>760.391587170253</v>
      </c>
      <c r="O50" s="58" t="n">
        <f aca="false">IF(L50=1,M50+N50-$B$26,M50)</f>
        <v>227558.275637502</v>
      </c>
      <c r="P50" s="56" t="n">
        <f aca="false">IF(L50=1,IF($B$26&lt;=N50,1,0),0)</f>
        <v>0</v>
      </c>
      <c r="Q50" s="58" t="n">
        <f aca="false">Q49+N50</f>
        <v>34300.7359695122</v>
      </c>
      <c r="S50" s="56" t="n">
        <f aca="false">S49+1</f>
        <v>43</v>
      </c>
      <c r="T50" s="57" t="n">
        <f aca="false">IF(AND(S50&lt;=Assumptions!$C$42,T49=1,X49=0,W49&gt;Assumptions!$C$43),1,0)</f>
        <v>1</v>
      </c>
      <c r="U50" s="58" t="n">
        <f aca="false">W49</f>
        <v>219117.114485443</v>
      </c>
      <c r="V50" s="58" t="n">
        <f aca="false">IF(T50=1,U50*$B$22,0)</f>
        <v>730.390381618144</v>
      </c>
      <c r="W50" s="58" t="n">
        <f aca="false">IF(T50=1,U50+V50-$B$27,U50)</f>
        <v>218327.912766317</v>
      </c>
      <c r="X50" s="56" t="n">
        <f aca="false">IF(T50=1,IF($B$27&lt;=V50,1,0),0)</f>
        <v>0</v>
      </c>
      <c r="Y50" s="58" t="n">
        <f aca="false">Y49+V50</f>
        <v>33670.373098327</v>
      </c>
    </row>
    <row r="51" customFormat="false" ht="15" hidden="false" customHeight="false" outlineLevel="0" collapsed="false">
      <c r="K51" s="56" t="n">
        <f aca="false">K50+1</f>
        <v>44</v>
      </c>
      <c r="L51" s="57" t="n">
        <f aca="false">IF(AND(K51&lt;=Assumptions!$C$42,L50=1,P50=0,O50&gt;Assumptions!$C$43),1,0)</f>
        <v>1</v>
      </c>
      <c r="M51" s="58" t="n">
        <f aca="false">O50</f>
        <v>227558.275637502</v>
      </c>
      <c r="N51" s="58" t="n">
        <f aca="false">IF(L51=1,M51*$B$22,0)</f>
        <v>758.527585458339</v>
      </c>
      <c r="O51" s="58" t="n">
        <f aca="false">IF(L51=1,M51+N51-$B$26,M51)</f>
        <v>226997.211122216</v>
      </c>
      <c r="P51" s="56" t="n">
        <f aca="false">IF(L51=1,IF($B$26&lt;=N51,1,0),0)</f>
        <v>0</v>
      </c>
      <c r="Q51" s="58" t="n">
        <f aca="false">Q50+N51</f>
        <v>35059.2635549705</v>
      </c>
      <c r="S51" s="56" t="n">
        <f aca="false">S50+1</f>
        <v>44</v>
      </c>
      <c r="T51" s="57" t="n">
        <f aca="false">IF(AND(S51&lt;=Assumptions!$C$42,T50=1,X50=0,W50&gt;Assumptions!$C$43),1,0)</f>
        <v>1</v>
      </c>
      <c r="U51" s="58" t="n">
        <f aca="false">W50</f>
        <v>218327.912766317</v>
      </c>
      <c r="V51" s="58" t="n">
        <f aca="false">IF(T51=1,U51*$B$22,0)</f>
        <v>727.759709221056</v>
      </c>
      <c r="W51" s="58" t="n">
        <f aca="false">IF(T51=1,U51+V51-$B$27,U51)</f>
        <v>217536.080374793</v>
      </c>
      <c r="X51" s="56" t="n">
        <f aca="false">IF(T51=1,IF($B$27&lt;=V51,1,0),0)</f>
        <v>0</v>
      </c>
      <c r="Y51" s="58" t="n">
        <f aca="false">Y50+V51</f>
        <v>34398.1328075481</v>
      </c>
    </row>
    <row r="52" customFormat="false" ht="15" hidden="false" customHeight="false" outlineLevel="0" collapsed="false">
      <c r="K52" s="56" t="n">
        <f aca="false">K51+1</f>
        <v>45</v>
      </c>
      <c r="L52" s="57" t="n">
        <f aca="false">IF(AND(K52&lt;=Assumptions!$C$42,L51=1,P51=0,O51&gt;Assumptions!$C$43),1,0)</f>
        <v>1</v>
      </c>
      <c r="M52" s="58" t="n">
        <f aca="false">O51</f>
        <v>226997.211122216</v>
      </c>
      <c r="N52" s="58" t="n">
        <f aca="false">IF(L52=1,M52*$B$22,0)</f>
        <v>756.657370407386</v>
      </c>
      <c r="O52" s="58" t="n">
        <f aca="false">IF(L52=1,M52+N52-$B$26,M52)</f>
        <v>226434.276391879</v>
      </c>
      <c r="P52" s="56" t="n">
        <f aca="false">IF(L52=1,IF($B$26&lt;=N52,1,0),0)</f>
        <v>0</v>
      </c>
      <c r="Q52" s="58" t="n">
        <f aca="false">Q51+N52</f>
        <v>35815.9209253779</v>
      </c>
      <c r="S52" s="56" t="n">
        <f aca="false">S51+1</f>
        <v>45</v>
      </c>
      <c r="T52" s="57" t="n">
        <f aca="false">IF(AND(S52&lt;=Assumptions!$C$42,T51=1,X51=0,W51&gt;Assumptions!$C$43),1,0)</f>
        <v>1</v>
      </c>
      <c r="U52" s="58" t="n">
        <f aca="false">W51</f>
        <v>217536.080374793</v>
      </c>
      <c r="V52" s="58" t="n">
        <f aca="false">IF(T52=1,U52*$B$22,0)</f>
        <v>725.120267915978</v>
      </c>
      <c r="W52" s="58" t="n">
        <f aca="false">IF(T52=1,U52+V52-$B$27,U52)</f>
        <v>216741.608541965</v>
      </c>
      <c r="X52" s="56" t="n">
        <f aca="false">IF(T52=1,IF($B$27&lt;=V52,1,0),0)</f>
        <v>0</v>
      </c>
      <c r="Y52" s="58" t="n">
        <f aca="false">Y51+V52</f>
        <v>35123.253075464</v>
      </c>
    </row>
    <row r="53" customFormat="false" ht="15" hidden="false" customHeight="false" outlineLevel="0" collapsed="false">
      <c r="K53" s="56" t="n">
        <f aca="false">K52+1</f>
        <v>46</v>
      </c>
      <c r="L53" s="57" t="n">
        <f aca="false">IF(AND(K53&lt;=Assumptions!$C$42,L52=1,P52=0,O52&gt;Assumptions!$C$43),1,0)</f>
        <v>1</v>
      </c>
      <c r="M53" s="58" t="n">
        <f aca="false">O52</f>
        <v>226434.276391879</v>
      </c>
      <c r="N53" s="58" t="n">
        <f aca="false">IF(L53=1,M53*$B$22,0)</f>
        <v>754.780921306262</v>
      </c>
      <c r="O53" s="58" t="n">
        <f aca="false">IF(L53=1,M53+N53-$B$26,M53)</f>
        <v>225869.465212441</v>
      </c>
      <c r="P53" s="56" t="n">
        <f aca="false">IF(L53=1,IF($B$26&lt;=N53,1,0),0)</f>
        <v>0</v>
      </c>
      <c r="Q53" s="58" t="n">
        <f aca="false">Q52+N53</f>
        <v>36570.7018466842</v>
      </c>
      <c r="S53" s="56" t="n">
        <f aca="false">S52+1</f>
        <v>46</v>
      </c>
      <c r="T53" s="57" t="n">
        <f aca="false">IF(AND(S53&lt;=Assumptions!$C$42,T52=1,X52=0,W52&gt;Assumptions!$C$43),1,0)</f>
        <v>1</v>
      </c>
      <c r="U53" s="58" t="n">
        <f aca="false">W52</f>
        <v>216741.608541965</v>
      </c>
      <c r="V53" s="58" t="n">
        <f aca="false">IF(T53=1,U53*$B$22,0)</f>
        <v>722.472028473217</v>
      </c>
      <c r="W53" s="58" t="n">
        <f aca="false">IF(T53=1,U53+V53-$B$27,U53)</f>
        <v>215944.488469694</v>
      </c>
      <c r="X53" s="56" t="n">
        <f aca="false">IF(T53=1,IF($B$27&lt;=V53,1,0),0)</f>
        <v>0</v>
      </c>
      <c r="Y53" s="58" t="n">
        <f aca="false">Y52+V53</f>
        <v>35845.7251039373</v>
      </c>
    </row>
    <row r="54" customFormat="false" ht="15" hidden="false" customHeight="false" outlineLevel="0" collapsed="false">
      <c r="K54" s="56" t="n">
        <f aca="false">K53+1</f>
        <v>47</v>
      </c>
      <c r="L54" s="57" t="n">
        <f aca="false">IF(AND(K54&lt;=Assumptions!$C$42,L53=1,P53=0,O53&gt;Assumptions!$C$43),1,0)</f>
        <v>1</v>
      </c>
      <c r="M54" s="58" t="n">
        <f aca="false">O53</f>
        <v>225869.465212441</v>
      </c>
      <c r="N54" s="58" t="n">
        <f aca="false">IF(L54=1,M54*$B$22,0)</f>
        <v>752.898217374802</v>
      </c>
      <c r="O54" s="58" t="n">
        <f aca="false">IF(L54=1,M54+N54-$B$26,M54)</f>
        <v>225302.771329071</v>
      </c>
      <c r="P54" s="56" t="n">
        <f aca="false">IF(L54=1,IF($B$26&lt;=N54,1,0),0)</f>
        <v>0</v>
      </c>
      <c r="Q54" s="58" t="n">
        <f aca="false">Q53+N54</f>
        <v>37323.600064059</v>
      </c>
      <c r="S54" s="56" t="n">
        <f aca="false">S53+1</f>
        <v>47</v>
      </c>
      <c r="T54" s="57" t="n">
        <f aca="false">IF(AND(S54&lt;=Assumptions!$C$42,T53=1,X53=0,W53&gt;Assumptions!$C$43),1,0)</f>
        <v>1</v>
      </c>
      <c r="U54" s="58" t="n">
        <f aca="false">W53</f>
        <v>215944.488469694</v>
      </c>
      <c r="V54" s="58" t="n">
        <f aca="false">IF(T54=1,U54*$B$22,0)</f>
        <v>719.814961565646</v>
      </c>
      <c r="W54" s="58" t="n">
        <f aca="false">IF(T54=1,U54+V54-$B$27,U54)</f>
        <v>215144.711330515</v>
      </c>
      <c r="X54" s="56" t="n">
        <f aca="false">IF(T54=1,IF($B$27&lt;=V54,1,0),0)</f>
        <v>0</v>
      </c>
      <c r="Y54" s="58" t="n">
        <f aca="false">Y53+V54</f>
        <v>36565.5400655029</v>
      </c>
    </row>
    <row r="55" customFormat="false" ht="15" hidden="false" customHeight="false" outlineLevel="0" collapsed="false">
      <c r="K55" s="56" t="n">
        <f aca="false">K54+1</f>
        <v>48</v>
      </c>
      <c r="L55" s="57" t="n">
        <f aca="false">IF(AND(K55&lt;=Assumptions!$C$42,L54=1,P54=0,O54&gt;Assumptions!$C$43),1,0)</f>
        <v>1</v>
      </c>
      <c r="M55" s="58" t="n">
        <f aca="false">O54</f>
        <v>225302.771329071</v>
      </c>
      <c r="N55" s="58" t="n">
        <f aca="false">IF(L55=1,M55*$B$22,0)</f>
        <v>751.00923776357</v>
      </c>
      <c r="O55" s="58" t="n">
        <f aca="false">IF(L55=1,M55+N55-$B$26,M55)</f>
        <v>224734.18846609</v>
      </c>
      <c r="P55" s="56" t="n">
        <f aca="false">IF(L55=1,IF($B$26&lt;=N55,1,0),0)</f>
        <v>0</v>
      </c>
      <c r="Q55" s="58" t="n">
        <f aca="false">Q54+N55</f>
        <v>38074.6093018226</v>
      </c>
      <c r="S55" s="56" t="n">
        <f aca="false">S54+1</f>
        <v>48</v>
      </c>
      <c r="T55" s="57" t="n">
        <f aca="false">IF(AND(S55&lt;=Assumptions!$C$42,T54=1,X54=0,W54&gt;Assumptions!$C$43),1,0)</f>
        <v>1</v>
      </c>
      <c r="U55" s="58" t="n">
        <f aca="false">W54</f>
        <v>215144.711330515</v>
      </c>
      <c r="V55" s="58" t="n">
        <f aca="false">IF(T55=1,U55*$B$22,0)</f>
        <v>717.149037768383</v>
      </c>
      <c r="W55" s="58" t="n">
        <f aca="false">IF(T55=1,U55+V55-$B$27,U55)</f>
        <v>214342.268267539</v>
      </c>
      <c r="X55" s="56" t="n">
        <f aca="false">IF(T55=1,IF($B$27&lt;=V55,1,0),0)</f>
        <v>0</v>
      </c>
      <c r="Y55" s="58" t="n">
        <f aca="false">Y54+V55</f>
        <v>37282.6891032713</v>
      </c>
    </row>
    <row r="56" customFormat="false" ht="15" hidden="false" customHeight="false" outlineLevel="0" collapsed="false">
      <c r="K56" s="56" t="n">
        <f aca="false">K55+1</f>
        <v>49</v>
      </c>
      <c r="L56" s="57" t="n">
        <f aca="false">IF(AND(K56&lt;=Assumptions!$C$42,L55=1,P55=0,O55&gt;Assumptions!$C$43),1,0)</f>
        <v>1</v>
      </c>
      <c r="M56" s="58" t="n">
        <f aca="false">O55</f>
        <v>224734.18846609</v>
      </c>
      <c r="N56" s="58" t="n">
        <f aca="false">IF(L56=1,M56*$B$22,0)</f>
        <v>749.113961553634</v>
      </c>
      <c r="O56" s="58" t="n">
        <f aca="false">IF(L56=1,M56+N56-$B$26,M56)</f>
        <v>224163.710326899</v>
      </c>
      <c r="P56" s="56" t="n">
        <f aca="false">IF(L56=1,IF($B$26&lt;=N56,1,0),0)</f>
        <v>0</v>
      </c>
      <c r="Q56" s="58" t="n">
        <f aca="false">Q55+N56</f>
        <v>38823.7232633762</v>
      </c>
      <c r="S56" s="56" t="n">
        <f aca="false">S55+1</f>
        <v>49</v>
      </c>
      <c r="T56" s="57" t="n">
        <f aca="false">IF(AND(S56&lt;=Assumptions!$C$42,T55=1,X55=0,W55&gt;Assumptions!$C$43),1,0)</f>
        <v>1</v>
      </c>
      <c r="U56" s="58" t="n">
        <f aca="false">W55</f>
        <v>214342.268267539</v>
      </c>
      <c r="V56" s="58" t="n">
        <f aca="false">IF(T56=1,U56*$B$22,0)</f>
        <v>714.474227558463</v>
      </c>
      <c r="W56" s="58" t="n">
        <f aca="false">IF(T56=1,U56+V56-$B$27,U56)</f>
        <v>213537.150394353</v>
      </c>
      <c r="X56" s="56" t="n">
        <f aca="false">IF(T56=1,IF($B$27&lt;=V56,1,0),0)</f>
        <v>0</v>
      </c>
      <c r="Y56" s="58" t="n">
        <f aca="false">Y55+V56</f>
        <v>37997.1633308297</v>
      </c>
    </row>
    <row r="57" customFormat="false" ht="15" hidden="false" customHeight="false" outlineLevel="0" collapsed="false">
      <c r="K57" s="56" t="n">
        <f aca="false">K56+1</f>
        <v>50</v>
      </c>
      <c r="L57" s="57" t="n">
        <f aca="false">IF(AND(K57&lt;=Assumptions!$C$42,L56=1,P56=0,O56&gt;Assumptions!$C$43),1,0)</f>
        <v>1</v>
      </c>
      <c r="M57" s="58" t="n">
        <f aca="false">O56</f>
        <v>224163.710326899</v>
      </c>
      <c r="N57" s="58" t="n">
        <f aca="false">IF(L57=1,M57*$B$22,0)</f>
        <v>747.212367756331</v>
      </c>
      <c r="O57" s="58" t="n">
        <f aca="false">IF(L57=1,M57+N57-$B$26,M57)</f>
        <v>223591.330593911</v>
      </c>
      <c r="P57" s="56" t="n">
        <f aca="false">IF(L57=1,IF($B$26&lt;=N57,1,0),0)</f>
        <v>0</v>
      </c>
      <c r="Q57" s="58" t="n">
        <f aca="false">Q56+N57</f>
        <v>39570.9356311325</v>
      </c>
      <c r="S57" s="56" t="n">
        <f aca="false">S56+1</f>
        <v>50</v>
      </c>
      <c r="T57" s="57" t="n">
        <f aca="false">IF(AND(S57&lt;=Assumptions!$C$42,T56=1,X56=0,W56&gt;Assumptions!$C$43),1,0)</f>
        <v>1</v>
      </c>
      <c r="U57" s="58" t="n">
        <f aca="false">W56</f>
        <v>213537.150394353</v>
      </c>
      <c r="V57" s="58" t="n">
        <f aca="false">IF(T57=1,U57*$B$22,0)</f>
        <v>711.79050131451</v>
      </c>
      <c r="W57" s="58" t="n">
        <f aca="false">IF(T57=1,U57+V57-$B$27,U57)</f>
        <v>212729.348794923</v>
      </c>
      <c r="X57" s="56" t="n">
        <f aca="false">IF(T57=1,IF($B$27&lt;=V57,1,0),0)</f>
        <v>0</v>
      </c>
      <c r="Y57" s="58" t="n">
        <f aca="false">Y56+V57</f>
        <v>38708.9538321443</v>
      </c>
    </row>
    <row r="58" customFormat="false" ht="15" hidden="false" customHeight="false" outlineLevel="0" collapsed="false">
      <c r="K58" s="56" t="n">
        <f aca="false">K57+1</f>
        <v>51</v>
      </c>
      <c r="L58" s="57" t="n">
        <f aca="false">IF(AND(K58&lt;=Assumptions!$C$42,L57=1,P57=0,O57&gt;Assumptions!$C$43),1,0)</f>
        <v>1</v>
      </c>
      <c r="M58" s="58" t="n">
        <f aca="false">O57</f>
        <v>223591.330593911</v>
      </c>
      <c r="N58" s="58" t="n">
        <f aca="false">IF(L58=1,M58*$B$22,0)</f>
        <v>745.304435313037</v>
      </c>
      <c r="O58" s="58" t="n">
        <f aca="false">IF(L58=1,M58+N58-$B$26,M58)</f>
        <v>223017.04292848</v>
      </c>
      <c r="P58" s="56" t="n">
        <f aca="false">IF(L58=1,IF($B$26&lt;=N58,1,0),0)</f>
        <v>0</v>
      </c>
      <c r="Q58" s="58" t="n">
        <f aca="false">Q57+N58</f>
        <v>40316.2400664456</v>
      </c>
      <c r="S58" s="56" t="n">
        <f aca="false">S57+1</f>
        <v>51</v>
      </c>
      <c r="T58" s="57" t="n">
        <f aca="false">IF(AND(S58&lt;=Assumptions!$C$42,T57=1,X57=0,W57&gt;Assumptions!$C$43),1,0)</f>
        <v>1</v>
      </c>
      <c r="U58" s="58" t="n">
        <f aca="false">W57</f>
        <v>212729.348794923</v>
      </c>
      <c r="V58" s="58" t="n">
        <f aca="false">IF(T58=1,U58*$B$22,0)</f>
        <v>709.09782931641</v>
      </c>
      <c r="W58" s="58" t="n">
        <f aca="false">IF(T58=1,U58+V58-$B$27,U58)</f>
        <v>211918.854523495</v>
      </c>
      <c r="X58" s="56" t="n">
        <f aca="false">IF(T58=1,IF($B$27&lt;=V58,1,0),0)</f>
        <v>0</v>
      </c>
      <c r="Y58" s="58" t="n">
        <f aca="false">Y57+V58</f>
        <v>39418.0516614607</v>
      </c>
    </row>
    <row r="59" customFormat="false" ht="15" hidden="false" customHeight="false" outlineLevel="0" collapsed="false">
      <c r="K59" s="56" t="n">
        <f aca="false">K58+1</f>
        <v>52</v>
      </c>
      <c r="L59" s="57" t="n">
        <f aca="false">IF(AND(K59&lt;=Assumptions!$C$42,L58=1,P58=0,O58&gt;Assumptions!$C$43),1,0)</f>
        <v>1</v>
      </c>
      <c r="M59" s="58" t="n">
        <f aca="false">O58</f>
        <v>223017.04292848</v>
      </c>
      <c r="N59" s="58" t="n">
        <f aca="false">IF(L59=1,M59*$B$22,0)</f>
        <v>743.390143094933</v>
      </c>
      <c r="O59" s="58" t="n">
        <f aca="false">IF(L59=1,M59+N59-$B$26,M59)</f>
        <v>222440.84097083</v>
      </c>
      <c r="P59" s="56" t="n">
        <f aca="false">IF(L59=1,IF($B$26&lt;=N59,1,0),0)</f>
        <v>0</v>
      </c>
      <c r="Q59" s="58" t="n">
        <f aca="false">Q58+N59</f>
        <v>41059.6302095405</v>
      </c>
      <c r="S59" s="56" t="n">
        <f aca="false">S58+1</f>
        <v>52</v>
      </c>
      <c r="T59" s="57" t="n">
        <f aca="false">IF(AND(S59&lt;=Assumptions!$C$42,T58=1,X58=0,W58&gt;Assumptions!$C$43),1,0)</f>
        <v>1</v>
      </c>
      <c r="U59" s="58" t="n">
        <f aca="false">W58</f>
        <v>211918.854523495</v>
      </c>
      <c r="V59" s="58" t="n">
        <f aca="false">IF(T59=1,U59*$B$22,0)</f>
        <v>706.396181744984</v>
      </c>
      <c r="W59" s="58" t="n">
        <f aca="false">IF(T59=1,U59+V59-$B$27,U59)</f>
        <v>211105.658604496</v>
      </c>
      <c r="X59" s="56" t="n">
        <f aca="false">IF(T59=1,IF($B$27&lt;=V59,1,0),0)</f>
        <v>0</v>
      </c>
      <c r="Y59" s="58" t="n">
        <f aca="false">Y58+V59</f>
        <v>40124.4478432056</v>
      </c>
    </row>
    <row r="60" customFormat="false" ht="15" hidden="false" customHeight="false" outlineLevel="0" collapsed="false">
      <c r="K60" s="56" t="n">
        <f aca="false">K59+1</f>
        <v>53</v>
      </c>
      <c r="L60" s="57" t="n">
        <f aca="false">IF(AND(K60&lt;=Assumptions!$C$42,L59=1,P59=0,O59&gt;Assumptions!$C$43),1,0)</f>
        <v>1</v>
      </c>
      <c r="M60" s="58" t="n">
        <f aca="false">O59</f>
        <v>222440.84097083</v>
      </c>
      <c r="N60" s="58" t="n">
        <f aca="false">IF(L60=1,M60*$B$22,0)</f>
        <v>741.469469902768</v>
      </c>
      <c r="O60" s="58" t="n">
        <f aca="false">IF(L60=1,M60+N60-$B$26,M60)</f>
        <v>221862.718339989</v>
      </c>
      <c r="P60" s="56" t="n">
        <f aca="false">IF(L60=1,IF($B$26&lt;=N60,1,0),0)</f>
        <v>0</v>
      </c>
      <c r="Q60" s="58" t="n">
        <f aca="false">Q59+N60</f>
        <v>41801.0996794433</v>
      </c>
      <c r="S60" s="56" t="n">
        <f aca="false">S59+1</f>
        <v>53</v>
      </c>
      <c r="T60" s="57" t="n">
        <f aca="false">IF(AND(S60&lt;=Assumptions!$C$42,T59=1,X59=0,W59&gt;Assumptions!$C$43),1,0)</f>
        <v>1</v>
      </c>
      <c r="U60" s="58" t="n">
        <f aca="false">W59</f>
        <v>211105.658604496</v>
      </c>
      <c r="V60" s="58" t="n">
        <f aca="false">IF(T60=1,U60*$B$22,0)</f>
        <v>703.685528681652</v>
      </c>
      <c r="W60" s="58" t="n">
        <f aca="false">IF(T60=1,U60+V60-$B$27,U60)</f>
        <v>210289.752032433</v>
      </c>
      <c r="X60" s="56" t="n">
        <f aca="false">IF(T60=1,IF($B$27&lt;=V60,1,0),0)</f>
        <v>0</v>
      </c>
      <c r="Y60" s="58" t="n">
        <f aca="false">Y59+V60</f>
        <v>40828.1333718873</v>
      </c>
    </row>
    <row r="61" customFormat="false" ht="15" hidden="false" customHeight="false" outlineLevel="0" collapsed="false">
      <c r="K61" s="56" t="n">
        <f aca="false">K60+1</f>
        <v>54</v>
      </c>
      <c r="L61" s="57" t="n">
        <f aca="false">IF(AND(K61&lt;=Assumptions!$C$42,L60=1,P60=0,O60&gt;Assumptions!$C$43),1,0)</f>
        <v>1</v>
      </c>
      <c r="M61" s="58" t="n">
        <f aca="false">O60</f>
        <v>221862.718339989</v>
      </c>
      <c r="N61" s="58" t="n">
        <f aca="false">IF(L61=1,M61*$B$22,0)</f>
        <v>739.542394466629</v>
      </c>
      <c r="O61" s="58" t="n">
        <f aca="false">IF(L61=1,M61+N61-$B$26,M61)</f>
        <v>221282.668633711</v>
      </c>
      <c r="P61" s="56" t="n">
        <f aca="false">IF(L61=1,IF($B$26&lt;=N61,1,0),0)</f>
        <v>0</v>
      </c>
      <c r="Q61" s="58" t="n">
        <f aca="false">Q60+N61</f>
        <v>42540.6420739099</v>
      </c>
      <c r="S61" s="56" t="n">
        <f aca="false">S60+1</f>
        <v>54</v>
      </c>
      <c r="T61" s="57" t="n">
        <f aca="false">IF(AND(S61&lt;=Assumptions!$C$42,T60=1,X60=0,W60&gt;Assumptions!$C$43),1,0)</f>
        <v>1</v>
      </c>
      <c r="U61" s="58" t="n">
        <f aca="false">W60</f>
        <v>210289.752032433</v>
      </c>
      <c r="V61" s="58" t="n">
        <f aca="false">IF(T61=1,U61*$B$22,0)</f>
        <v>700.965840108109</v>
      </c>
      <c r="W61" s="58" t="n">
        <f aca="false">IF(T61=1,U61+V61-$B$27,U61)</f>
        <v>209471.125771797</v>
      </c>
      <c r="X61" s="56" t="n">
        <f aca="false">IF(T61=1,IF($B$27&lt;=V61,1,0),0)</f>
        <v>0</v>
      </c>
      <c r="Y61" s="58" t="n">
        <f aca="false">Y60+V61</f>
        <v>41529.0992119954</v>
      </c>
    </row>
    <row r="62" customFormat="false" ht="15" hidden="false" customHeight="false" outlineLevel="0" collapsed="false">
      <c r="K62" s="56" t="n">
        <f aca="false">K61+1</f>
        <v>55</v>
      </c>
      <c r="L62" s="57" t="n">
        <f aca="false">IF(AND(K62&lt;=Assumptions!$C$42,L61=1,P61=0,O61&gt;Assumptions!$C$43),1,0)</f>
        <v>1</v>
      </c>
      <c r="M62" s="58" t="n">
        <f aca="false">O61</f>
        <v>221282.668633711</v>
      </c>
      <c r="N62" s="58" t="n">
        <f aca="false">IF(L62=1,M62*$B$22,0)</f>
        <v>737.608895445703</v>
      </c>
      <c r="O62" s="58" t="n">
        <f aca="false">IF(L62=1,M62+N62-$B$26,M62)</f>
        <v>220700.685428412</v>
      </c>
      <c r="P62" s="56" t="n">
        <f aca="false">IF(L62=1,IF($B$26&lt;=N62,1,0),0)</f>
        <v>0</v>
      </c>
      <c r="Q62" s="58" t="n">
        <f aca="false">Q61+N62</f>
        <v>43278.2509693556</v>
      </c>
      <c r="S62" s="56" t="n">
        <f aca="false">S61+1</f>
        <v>55</v>
      </c>
      <c r="T62" s="57" t="n">
        <f aca="false">IF(AND(S62&lt;=Assumptions!$C$42,T61=1,X61=0,W61&gt;Assumptions!$C$43),1,0)</f>
        <v>1</v>
      </c>
      <c r="U62" s="58" t="n">
        <f aca="false">W61</f>
        <v>209471.125771797</v>
      </c>
      <c r="V62" s="58" t="n">
        <f aca="false">IF(T62=1,U62*$B$22,0)</f>
        <v>698.237085905988</v>
      </c>
      <c r="W62" s="58" t="n">
        <f aca="false">IF(T62=1,U62+V62-$B$27,U62)</f>
        <v>208649.770756958</v>
      </c>
      <c r="X62" s="56" t="n">
        <f aca="false">IF(T62=1,IF($B$27&lt;=V62,1,0),0)</f>
        <v>0</v>
      </c>
      <c r="Y62" s="58" t="n">
        <f aca="false">Y61+V62</f>
        <v>42227.3362979014</v>
      </c>
    </row>
    <row r="63" customFormat="false" ht="15" hidden="false" customHeight="false" outlineLevel="0" collapsed="false">
      <c r="K63" s="56" t="n">
        <f aca="false">K62+1</f>
        <v>56</v>
      </c>
      <c r="L63" s="57" t="n">
        <f aca="false">IF(AND(K63&lt;=Assumptions!$C$42,L62=1,P62=0,O62&gt;Assumptions!$C$43),1,0)</f>
        <v>1</v>
      </c>
      <c r="M63" s="58" t="n">
        <f aca="false">O62</f>
        <v>220700.685428412</v>
      </c>
      <c r="N63" s="58" t="n">
        <f aca="false">IF(L63=1,M63*$B$22,0)</f>
        <v>735.66895142804</v>
      </c>
      <c r="O63" s="58" t="n">
        <f aca="false">IF(L63=1,M63+N63-$B$26,M63)</f>
        <v>220116.762279096</v>
      </c>
      <c r="P63" s="56" t="n">
        <f aca="false">IF(L63=1,IF($B$26&lt;=N63,1,0),0)</f>
        <v>0</v>
      </c>
      <c r="Q63" s="58" t="n">
        <f aca="false">Q62+N63</f>
        <v>44013.9199207836</v>
      </c>
      <c r="S63" s="56" t="n">
        <f aca="false">S62+1</f>
        <v>56</v>
      </c>
      <c r="T63" s="57" t="n">
        <f aca="false">IF(AND(S63&lt;=Assumptions!$C$42,T62=1,X62=0,W62&gt;Assumptions!$C$43),1,0)</f>
        <v>1</v>
      </c>
      <c r="U63" s="58" t="n">
        <f aca="false">W62</f>
        <v>208649.770756958</v>
      </c>
      <c r="V63" s="58" t="n">
        <f aca="false">IF(T63=1,U63*$B$22,0)</f>
        <v>695.499235856527</v>
      </c>
      <c r="W63" s="58" t="n">
        <f aca="false">IF(T63=1,U63+V63-$B$27,U63)</f>
        <v>207825.67789207</v>
      </c>
      <c r="X63" s="56" t="n">
        <f aca="false">IF(T63=1,IF($B$27&lt;=V63,1,0),0)</f>
        <v>0</v>
      </c>
      <c r="Y63" s="58" t="n">
        <f aca="false">Y62+V63</f>
        <v>42922.8355337579</v>
      </c>
    </row>
    <row r="64" customFormat="false" ht="15" hidden="false" customHeight="false" outlineLevel="0" collapsed="false">
      <c r="K64" s="56" t="n">
        <f aca="false">K63+1</f>
        <v>57</v>
      </c>
      <c r="L64" s="57" t="n">
        <f aca="false">IF(AND(K64&lt;=Assumptions!$C$42,L63=1,P63=0,O63&gt;Assumptions!$C$43),1,0)</f>
        <v>1</v>
      </c>
      <c r="M64" s="58" t="n">
        <f aca="false">O63</f>
        <v>220116.762279096</v>
      </c>
      <c r="N64" s="58" t="n">
        <f aca="false">IF(L64=1,M64*$B$22,0)</f>
        <v>733.722540930319</v>
      </c>
      <c r="O64" s="58" t="n">
        <f aca="false">IF(L64=1,M64+N64-$B$26,M64)</f>
        <v>219530.892719282</v>
      </c>
      <c r="P64" s="56" t="n">
        <f aca="false">IF(L64=1,IF($B$26&lt;=N64,1,0),0)</f>
        <v>0</v>
      </c>
      <c r="Q64" s="58" t="n">
        <f aca="false">Q63+N64</f>
        <v>44747.6424617139</v>
      </c>
      <c r="S64" s="56" t="n">
        <f aca="false">S63+1</f>
        <v>57</v>
      </c>
      <c r="T64" s="57" t="n">
        <f aca="false">IF(AND(S64&lt;=Assumptions!$C$42,T63=1,X63=0,W63&gt;Assumptions!$C$43),1,0)</f>
        <v>1</v>
      </c>
      <c r="U64" s="58" t="n">
        <f aca="false">W63</f>
        <v>207825.67789207</v>
      </c>
      <c r="V64" s="58" t="n">
        <f aca="false">IF(T64=1,U64*$B$22,0)</f>
        <v>692.752259640234</v>
      </c>
      <c r="W64" s="58" t="n">
        <f aca="false">IF(T64=1,U64+V64-$B$27,U64)</f>
        <v>206998.838050966</v>
      </c>
      <c r="X64" s="56" t="n">
        <f aca="false">IF(T64=1,IF($B$27&lt;=V64,1,0),0)</f>
        <v>0</v>
      </c>
      <c r="Y64" s="58" t="n">
        <f aca="false">Y63+V64</f>
        <v>43615.5877933982</v>
      </c>
    </row>
    <row r="65" customFormat="false" ht="15" hidden="false" customHeight="false" outlineLevel="0" collapsed="false">
      <c r="K65" s="56" t="n">
        <f aca="false">K64+1</f>
        <v>58</v>
      </c>
      <c r="L65" s="57" t="n">
        <f aca="false">IF(AND(K65&lt;=Assumptions!$C$42,L64=1,P64=0,O64&gt;Assumptions!$C$43),1,0)</f>
        <v>1</v>
      </c>
      <c r="M65" s="58" t="n">
        <f aca="false">O64</f>
        <v>219530.892719282</v>
      </c>
      <c r="N65" s="58" t="n">
        <f aca="false">IF(L65=1,M65*$B$22,0)</f>
        <v>731.769642397605</v>
      </c>
      <c r="O65" s="58" t="n">
        <f aca="false">IF(L65=1,M65+N65-$B$26,M65)</f>
        <v>218943.070260935</v>
      </c>
      <c r="P65" s="56" t="n">
        <f aca="false">IF(L65=1,IF($B$26&lt;=N65,1,0),0)</f>
        <v>0</v>
      </c>
      <c r="Q65" s="58" t="n">
        <f aca="false">Q64+N65</f>
        <v>45479.4121041115</v>
      </c>
      <c r="S65" s="56" t="n">
        <f aca="false">S64+1</f>
        <v>58</v>
      </c>
      <c r="T65" s="57" t="n">
        <f aca="false">IF(AND(S65&lt;=Assumptions!$C$42,T64=1,X64=0,W64&gt;Assumptions!$C$43),1,0)</f>
        <v>1</v>
      </c>
      <c r="U65" s="58" t="n">
        <f aca="false">W64</f>
        <v>206998.838050966</v>
      </c>
      <c r="V65" s="58" t="n">
        <f aca="false">IF(T65=1,U65*$B$22,0)</f>
        <v>689.996126836553</v>
      </c>
      <c r="W65" s="58" t="n">
        <f aca="false">IF(T65=1,U65+V65-$B$27,U65)</f>
        <v>206169.242077058</v>
      </c>
      <c r="X65" s="56" t="n">
        <f aca="false">IF(T65=1,IF($B$27&lt;=V65,1,0),0)</f>
        <v>0</v>
      </c>
      <c r="Y65" s="58" t="n">
        <f aca="false">Y64+V65</f>
        <v>44305.5839202347</v>
      </c>
    </row>
    <row r="66" customFormat="false" ht="15" hidden="false" customHeight="false" outlineLevel="0" collapsed="false">
      <c r="K66" s="56" t="n">
        <f aca="false">K65+1</f>
        <v>59</v>
      </c>
      <c r="L66" s="57" t="n">
        <f aca="false">IF(AND(K66&lt;=Assumptions!$C$42,L65=1,P65=0,O65&gt;Assumptions!$C$43),1,0)</f>
        <v>1</v>
      </c>
      <c r="M66" s="58" t="n">
        <f aca="false">O65</f>
        <v>218943.070260935</v>
      </c>
      <c r="N66" s="58" t="n">
        <f aca="false">IF(L66=1,M66*$B$22,0)</f>
        <v>729.810234203116</v>
      </c>
      <c r="O66" s="58" t="n">
        <f aca="false">IF(L66=1,M66+N66-$B$26,M66)</f>
        <v>218353.288394394</v>
      </c>
      <c r="P66" s="56" t="n">
        <f aca="false">IF(L66=1,IF($B$26&lt;=N66,1,0),0)</f>
        <v>0</v>
      </c>
      <c r="Q66" s="58" t="n">
        <f aca="false">Q65+N66</f>
        <v>46209.2223383147</v>
      </c>
      <c r="S66" s="56" t="n">
        <f aca="false">S65+1</f>
        <v>59</v>
      </c>
      <c r="T66" s="57" t="n">
        <f aca="false">IF(AND(S66&lt;=Assumptions!$C$42,T65=1,X65=0,W65&gt;Assumptions!$C$43),1,0)</f>
        <v>1</v>
      </c>
      <c r="U66" s="58" t="n">
        <f aca="false">W65</f>
        <v>206169.242077058</v>
      </c>
      <c r="V66" s="58" t="n">
        <f aca="false">IF(T66=1,U66*$B$22,0)</f>
        <v>687.230806923527</v>
      </c>
      <c r="W66" s="58" t="n">
        <f aca="false">IF(T66=1,U66+V66-$B$27,U66)</f>
        <v>205336.880783237</v>
      </c>
      <c r="X66" s="56" t="n">
        <f aca="false">IF(T66=1,IF($B$27&lt;=V66,1,0),0)</f>
        <v>0</v>
      </c>
      <c r="Y66" s="58" t="n">
        <f aca="false">Y65+V66</f>
        <v>44992.8147271582</v>
      </c>
    </row>
    <row r="67" customFormat="false" ht="15" hidden="false" customHeight="false" outlineLevel="0" collapsed="false">
      <c r="K67" s="56" t="n">
        <f aca="false">K66+1</f>
        <v>60</v>
      </c>
      <c r="L67" s="57" t="n">
        <f aca="false">IF(AND(K67&lt;=Assumptions!$C$42,L66=1,P66=0,O66&gt;Assumptions!$C$43),1,0)</f>
        <v>1</v>
      </c>
      <c r="M67" s="58" t="n">
        <f aca="false">O66</f>
        <v>218353.288394394</v>
      </c>
      <c r="N67" s="58" t="n">
        <f aca="false">IF(L67=1,M67*$B$22,0)</f>
        <v>727.844294647978</v>
      </c>
      <c r="O67" s="58" t="n">
        <f aca="false">IF(L67=1,M67+N67-$B$26,M67)</f>
        <v>217761.540588297</v>
      </c>
      <c r="P67" s="56" t="n">
        <f aca="false">IF(L67=1,IF($B$26&lt;=N67,1,0),0)</f>
        <v>0</v>
      </c>
      <c r="Q67" s="58" t="n">
        <f aca="false">Q66+N67</f>
        <v>46937.0666329626</v>
      </c>
      <c r="S67" s="56" t="n">
        <f aca="false">S66+1</f>
        <v>60</v>
      </c>
      <c r="T67" s="57" t="n">
        <f aca="false">IF(AND(S67&lt;=Assumptions!$C$42,T66=1,X66=0,W66&gt;Assumptions!$C$43),1,0)</f>
        <v>1</v>
      </c>
      <c r="U67" s="58" t="n">
        <f aca="false">W66</f>
        <v>205336.880783237</v>
      </c>
      <c r="V67" s="58" t="n">
        <f aca="false">IF(T67=1,U67*$B$22,0)</f>
        <v>684.456269277457</v>
      </c>
      <c r="W67" s="58" t="n">
        <f aca="false">IF(T67=1,U67+V67-$B$27,U67)</f>
        <v>204501.74495177</v>
      </c>
      <c r="X67" s="56" t="n">
        <f aca="false">IF(T67=1,IF($B$27&lt;=V67,1,0),0)</f>
        <v>0</v>
      </c>
      <c r="Y67" s="58" t="n">
        <f aca="false">Y66+V67</f>
        <v>45677.2709964357</v>
      </c>
    </row>
    <row r="68" customFormat="false" ht="15" hidden="false" customHeight="false" outlineLevel="0" collapsed="false">
      <c r="K68" s="56" t="n">
        <f aca="false">K67+1</f>
        <v>61</v>
      </c>
      <c r="L68" s="57" t="n">
        <f aca="false">IF(AND(K68&lt;=Assumptions!$C$42,L67=1,P67=0,O67&gt;Assumptions!$C$43),1,0)</f>
        <v>1</v>
      </c>
      <c r="M68" s="58" t="n">
        <f aca="false">O67</f>
        <v>217761.540588297</v>
      </c>
      <c r="N68" s="58" t="n">
        <f aca="false">IF(L68=1,M68*$B$22,0)</f>
        <v>725.87180196099</v>
      </c>
      <c r="O68" s="58" t="n">
        <f aca="false">IF(L68=1,M68+N68-$B$26,M68)</f>
        <v>217167.820289514</v>
      </c>
      <c r="P68" s="56" t="n">
        <f aca="false">IF(L68=1,IF($B$26&lt;=N68,1,0),0)</f>
        <v>0</v>
      </c>
      <c r="Q68" s="58" t="n">
        <f aca="false">Q67+N68</f>
        <v>47662.9384349236</v>
      </c>
      <c r="S68" s="56" t="n">
        <f aca="false">S67+1</f>
        <v>61</v>
      </c>
      <c r="T68" s="57" t="n">
        <f aca="false">IF(AND(S68&lt;=Assumptions!$C$42,T67=1,X67=0,W67&gt;Assumptions!$C$43),1,0)</f>
        <v>1</v>
      </c>
      <c r="U68" s="58" t="n">
        <f aca="false">W67</f>
        <v>204501.74495177</v>
      </c>
      <c r="V68" s="58" t="n">
        <f aca="false">IF(T68=1,U68*$B$22,0)</f>
        <v>681.672483172567</v>
      </c>
      <c r="W68" s="58" t="n">
        <f aca="false">IF(T68=1,U68+V68-$B$27,U68)</f>
        <v>203663.825334198</v>
      </c>
      <c r="X68" s="56" t="n">
        <f aca="false">IF(T68=1,IF($B$27&lt;=V68,1,0),0)</f>
        <v>0</v>
      </c>
      <c r="Y68" s="58" t="n">
        <f aca="false">Y67+V68</f>
        <v>46358.9434796083</v>
      </c>
    </row>
    <row r="69" customFormat="false" ht="15" hidden="false" customHeight="false" outlineLevel="0" collapsed="false">
      <c r="K69" s="56" t="n">
        <f aca="false">K68+1</f>
        <v>62</v>
      </c>
      <c r="L69" s="57" t="n">
        <f aca="false">IF(AND(K69&lt;=Assumptions!$C$42,L68=1,P68=0,O68&gt;Assumptions!$C$43),1,0)</f>
        <v>1</v>
      </c>
      <c r="M69" s="58" t="n">
        <f aca="false">O68</f>
        <v>217167.820289514</v>
      </c>
      <c r="N69" s="58" t="n">
        <f aca="false">IF(L69=1,M69*$B$22,0)</f>
        <v>723.892734298379</v>
      </c>
      <c r="O69" s="58" t="n">
        <f aca="false">IF(L69=1,M69+N69-$B$26,M69)</f>
        <v>216572.120923068</v>
      </c>
      <c r="P69" s="56" t="n">
        <f aca="false">IF(L69=1,IF($B$26&lt;=N69,1,0),0)</f>
        <v>0</v>
      </c>
      <c r="Q69" s="58" t="n">
        <f aca="false">Q68+N69</f>
        <v>48386.831169222</v>
      </c>
      <c r="S69" s="56" t="n">
        <f aca="false">S68+1</f>
        <v>62</v>
      </c>
      <c r="T69" s="57" t="n">
        <f aca="false">IF(AND(S69&lt;=Assumptions!$C$42,T68=1,X68=0,W68&gt;Assumptions!$C$43),1,0)</f>
        <v>1</v>
      </c>
      <c r="U69" s="58" t="n">
        <f aca="false">W68</f>
        <v>203663.825334198</v>
      </c>
      <c r="V69" s="58" t="n">
        <f aca="false">IF(T69=1,U69*$B$22,0)</f>
        <v>678.879417780661</v>
      </c>
      <c r="W69" s="58" t="n">
        <f aca="false">IF(T69=1,U69+V69-$B$27,U69)</f>
        <v>202823.112651235</v>
      </c>
      <c r="X69" s="56" t="n">
        <f aca="false">IF(T69=1,IF($B$27&lt;=V69,1,0),0)</f>
        <v>0</v>
      </c>
      <c r="Y69" s="58" t="n">
        <f aca="false">Y68+V69</f>
        <v>47037.8228973889</v>
      </c>
    </row>
    <row r="70" customFormat="false" ht="15" hidden="false" customHeight="false" outlineLevel="0" collapsed="false">
      <c r="K70" s="56" t="n">
        <f aca="false">K69+1</f>
        <v>63</v>
      </c>
      <c r="L70" s="57" t="n">
        <f aca="false">IF(AND(K70&lt;=Assumptions!$C$42,L69=1,P69=0,O69&gt;Assumptions!$C$43),1,0)</f>
        <v>1</v>
      </c>
      <c r="M70" s="58" t="n">
        <f aca="false">O69</f>
        <v>216572.120923068</v>
      </c>
      <c r="N70" s="58" t="n">
        <f aca="false">IF(L70=1,M70*$B$22,0)</f>
        <v>721.907069743559</v>
      </c>
      <c r="O70" s="58" t="n">
        <f aca="false">IF(L70=1,M70+N70-$B$26,M70)</f>
        <v>215974.435892067</v>
      </c>
      <c r="P70" s="56" t="n">
        <f aca="false">IF(L70=1,IF($B$26&lt;=N70,1,0),0)</f>
        <v>0</v>
      </c>
      <c r="Q70" s="58" t="n">
        <f aca="false">Q69+N70</f>
        <v>49108.7382389656</v>
      </c>
      <c r="S70" s="56" t="n">
        <f aca="false">S69+1</f>
        <v>63</v>
      </c>
      <c r="T70" s="57" t="n">
        <f aca="false">IF(AND(S70&lt;=Assumptions!$C$42,T69=1,X69=0,W69&gt;Assumptions!$C$43),1,0)</f>
        <v>1</v>
      </c>
      <c r="U70" s="58" t="n">
        <f aca="false">W69</f>
        <v>202823.112651235</v>
      </c>
      <c r="V70" s="58" t="n">
        <f aca="false">IF(T70=1,U70*$B$22,0)</f>
        <v>676.077042170782</v>
      </c>
      <c r="W70" s="58" t="n">
        <f aca="false">IF(T70=1,U70+V70-$B$27,U70)</f>
        <v>201979.597592661</v>
      </c>
      <c r="X70" s="56" t="n">
        <f aca="false">IF(T70=1,IF($B$27&lt;=V70,1,0),0)</f>
        <v>0</v>
      </c>
      <c r="Y70" s="58" t="n">
        <f aca="false">Y69+V70</f>
        <v>47713.8999395597</v>
      </c>
    </row>
    <row r="71" customFormat="false" ht="15" hidden="false" customHeight="false" outlineLevel="0" collapsed="false">
      <c r="K71" s="56" t="n">
        <f aca="false">K70+1</f>
        <v>64</v>
      </c>
      <c r="L71" s="57" t="n">
        <f aca="false">IF(AND(K71&lt;=Assumptions!$C$42,L70=1,P70=0,O70&gt;Assumptions!$C$43),1,0)</f>
        <v>1</v>
      </c>
      <c r="M71" s="58" t="n">
        <f aca="false">O70</f>
        <v>215974.435892067</v>
      </c>
      <c r="N71" s="58" t="n">
        <f aca="false">IF(L71=1,M71*$B$22,0)</f>
        <v>719.914786306889</v>
      </c>
      <c r="O71" s="58" t="n">
        <f aca="false">IF(L71=1,M71+N71-$B$26,M71)</f>
        <v>215374.758577629</v>
      </c>
      <c r="P71" s="56" t="n">
        <f aca="false">IF(L71=1,IF($B$26&lt;=N71,1,0),0)</f>
        <v>0</v>
      </c>
      <c r="Q71" s="58" t="n">
        <f aca="false">Q70+N71</f>
        <v>49828.6530252725</v>
      </c>
      <c r="S71" s="56" t="n">
        <f aca="false">S70+1</f>
        <v>64</v>
      </c>
      <c r="T71" s="57" t="n">
        <f aca="false">IF(AND(S71&lt;=Assumptions!$C$42,T70=1,X70=0,W70&gt;Assumptions!$C$43),1,0)</f>
        <v>1</v>
      </c>
      <c r="U71" s="58" t="n">
        <f aca="false">W70</f>
        <v>201979.597592661</v>
      </c>
      <c r="V71" s="58" t="n">
        <f aca="false">IF(T71=1,U71*$B$22,0)</f>
        <v>673.26532530887</v>
      </c>
      <c r="W71" s="58" t="n">
        <f aca="false">IF(T71=1,U71+V71-$B$27,U71)</f>
        <v>201133.270817225</v>
      </c>
      <c r="X71" s="56" t="n">
        <f aca="false">IF(T71=1,IF($B$27&lt;=V71,1,0),0)</f>
        <v>0</v>
      </c>
      <c r="Y71" s="58" t="n">
        <f aca="false">Y70+V71</f>
        <v>48387.1652648686</v>
      </c>
    </row>
    <row r="72" customFormat="false" ht="15" hidden="false" customHeight="false" outlineLevel="0" collapsed="false">
      <c r="K72" s="56" t="n">
        <f aca="false">K71+1</f>
        <v>65</v>
      </c>
      <c r="L72" s="57" t="n">
        <f aca="false">IF(AND(K72&lt;=Assumptions!$C$42,L71=1,P71=0,O71&gt;Assumptions!$C$43),1,0)</f>
        <v>1</v>
      </c>
      <c r="M72" s="58" t="n">
        <f aca="false">O71</f>
        <v>215374.758577629</v>
      </c>
      <c r="N72" s="58" t="n">
        <f aca="false">IF(L72=1,M72*$B$22,0)</f>
        <v>717.91586192543</v>
      </c>
      <c r="O72" s="58" t="n">
        <f aca="false">IF(L72=1,M72+N72-$B$26,M72)</f>
        <v>214773.08233881</v>
      </c>
      <c r="P72" s="56" t="n">
        <f aca="false">IF(L72=1,IF($B$26&lt;=N72,1,0),0)</f>
        <v>0</v>
      </c>
      <c r="Q72" s="58" t="n">
        <f aca="false">Q71+N72</f>
        <v>50546.5688871979</v>
      </c>
      <c r="S72" s="56" t="n">
        <f aca="false">S71+1</f>
        <v>65</v>
      </c>
      <c r="T72" s="57" t="n">
        <f aca="false">IF(AND(S72&lt;=Assumptions!$C$42,T71=1,X71=0,W71&gt;Assumptions!$C$43),1,0)</f>
        <v>1</v>
      </c>
      <c r="U72" s="58" t="n">
        <f aca="false">W71</f>
        <v>201133.270817225</v>
      </c>
      <c r="V72" s="58" t="n">
        <f aca="false">IF(T72=1,U72*$B$22,0)</f>
        <v>670.444236057418</v>
      </c>
      <c r="W72" s="58" t="n">
        <f aca="false">IF(T72=1,U72+V72-$B$27,U72)</f>
        <v>200284.122952538</v>
      </c>
      <c r="X72" s="56" t="n">
        <f aca="false">IF(T72=1,IF($B$27&lt;=V72,1,0),0)</f>
        <v>0</v>
      </c>
      <c r="Y72" s="58" t="n">
        <f aca="false">Y71+V72</f>
        <v>49057.609500926</v>
      </c>
    </row>
    <row r="73" customFormat="false" ht="15" hidden="false" customHeight="false" outlineLevel="0" collapsed="false">
      <c r="K73" s="56" t="n">
        <f aca="false">K72+1</f>
        <v>66</v>
      </c>
      <c r="L73" s="57" t="n">
        <f aca="false">IF(AND(K73&lt;=Assumptions!$C$42,L72=1,P72=0,O72&gt;Assumptions!$C$43),1,0)</f>
        <v>1</v>
      </c>
      <c r="M73" s="58" t="n">
        <f aca="false">O72</f>
        <v>214773.08233881</v>
      </c>
      <c r="N73" s="58" t="n">
        <f aca="false">IF(L73=1,M73*$B$22,0)</f>
        <v>715.9102744627</v>
      </c>
      <c r="O73" s="58" t="n">
        <f aca="false">IF(L73=1,M73+N73-$B$26,M73)</f>
        <v>214169.400512528</v>
      </c>
      <c r="P73" s="56" t="n">
        <f aca="false">IF(L73=1,IF($B$26&lt;=N73,1,0),0)</f>
        <v>0</v>
      </c>
      <c r="Q73" s="58" t="n">
        <f aca="false">Q72+N73</f>
        <v>51262.4791616606</v>
      </c>
      <c r="S73" s="56" t="n">
        <f aca="false">S72+1</f>
        <v>66</v>
      </c>
      <c r="T73" s="57" t="n">
        <f aca="false">IF(AND(S73&lt;=Assumptions!$C$42,T72=1,X72=0,W72&gt;Assumptions!$C$43),1,0)</f>
        <v>1</v>
      </c>
      <c r="U73" s="58" t="n">
        <f aca="false">W72</f>
        <v>200284.122952538</v>
      </c>
      <c r="V73" s="58" t="n">
        <f aca="false">IF(T73=1,U73*$B$22,0)</f>
        <v>667.613743175128</v>
      </c>
      <c r="W73" s="58" t="n">
        <f aca="false">IF(T73=1,U73+V73-$B$27,U73)</f>
        <v>199432.144594969</v>
      </c>
      <c r="X73" s="56" t="n">
        <f aca="false">IF(T73=1,IF($B$27&lt;=V73,1,0),0)</f>
        <v>0</v>
      </c>
      <c r="Y73" s="58" t="n">
        <f aca="false">Y72+V73</f>
        <v>49725.2232441011</v>
      </c>
    </row>
    <row r="74" customFormat="false" ht="15" hidden="false" customHeight="false" outlineLevel="0" collapsed="false">
      <c r="K74" s="56" t="n">
        <f aca="false">K73+1</f>
        <v>67</v>
      </c>
      <c r="L74" s="57" t="n">
        <f aca="false">IF(AND(K74&lt;=Assumptions!$C$42,L73=1,P73=0,O73&gt;Assumptions!$C$43),1,0)</f>
        <v>1</v>
      </c>
      <c r="M74" s="58" t="n">
        <f aca="false">O73</f>
        <v>214169.400512528</v>
      </c>
      <c r="N74" s="58" t="n">
        <f aca="false">IF(L74=1,M74*$B$22,0)</f>
        <v>713.898001708428</v>
      </c>
      <c r="O74" s="58" t="n">
        <f aca="false">IF(L74=1,M74+N74-$B$26,M74)</f>
        <v>213563.706413492</v>
      </c>
      <c r="P74" s="56" t="n">
        <f aca="false">IF(L74=1,IF($B$26&lt;=N74,1,0),0)</f>
        <v>0</v>
      </c>
      <c r="Q74" s="58" t="n">
        <f aca="false">Q73+N74</f>
        <v>51976.377163369</v>
      </c>
      <c r="S74" s="56" t="n">
        <f aca="false">S73+1</f>
        <v>67</v>
      </c>
      <c r="T74" s="57" t="n">
        <f aca="false">IF(AND(S74&lt;=Assumptions!$C$42,T73=1,X73=0,W73&gt;Assumptions!$C$43),1,0)</f>
        <v>1</v>
      </c>
      <c r="U74" s="58" t="n">
        <f aca="false">W73</f>
        <v>199432.144594969</v>
      </c>
      <c r="V74" s="58" t="n">
        <f aca="false">IF(T74=1,U74*$B$22,0)</f>
        <v>664.773815316564</v>
      </c>
      <c r="W74" s="58" t="n">
        <f aca="false">IF(T74=1,U74+V74-$B$27,U74)</f>
        <v>198577.326309541</v>
      </c>
      <c r="X74" s="56" t="n">
        <f aca="false">IF(T74=1,IF($B$27&lt;=V74,1,0),0)</f>
        <v>0</v>
      </c>
      <c r="Y74" s="58" t="n">
        <f aca="false">Y73+V74</f>
        <v>50389.9970594177</v>
      </c>
    </row>
    <row r="75" customFormat="false" ht="15" hidden="false" customHeight="false" outlineLevel="0" collapsed="false">
      <c r="K75" s="56" t="n">
        <f aca="false">K74+1</f>
        <v>68</v>
      </c>
      <c r="L75" s="57" t="n">
        <f aca="false">IF(AND(K75&lt;=Assumptions!$C$42,L74=1,P74=0,O74&gt;Assumptions!$C$43),1,0)</f>
        <v>1</v>
      </c>
      <c r="M75" s="58" t="n">
        <f aca="false">O74</f>
        <v>213563.706413492</v>
      </c>
      <c r="N75" s="58" t="n">
        <f aca="false">IF(L75=1,M75*$B$22,0)</f>
        <v>711.879021378308</v>
      </c>
      <c r="O75" s="58" t="n">
        <f aca="false">IF(L75=1,M75+N75-$B$26,M75)</f>
        <v>212955.993334126</v>
      </c>
      <c r="P75" s="56" t="n">
        <f aca="false">IF(L75=1,IF($B$26&lt;=N75,1,0),0)</f>
        <v>0</v>
      </c>
      <c r="Q75" s="58" t="n">
        <f aca="false">Q74+N75</f>
        <v>52688.2561847473</v>
      </c>
      <c r="S75" s="56" t="n">
        <f aca="false">S74+1</f>
        <v>68</v>
      </c>
      <c r="T75" s="57" t="n">
        <f aca="false">IF(AND(S75&lt;=Assumptions!$C$42,T74=1,X74=0,W74&gt;Assumptions!$C$43),1,0)</f>
        <v>1</v>
      </c>
      <c r="U75" s="58" t="n">
        <f aca="false">W74</f>
        <v>198577.326309541</v>
      </c>
      <c r="V75" s="58" t="n">
        <f aca="false">IF(T75=1,U75*$B$22,0)</f>
        <v>661.924421031804</v>
      </c>
      <c r="W75" s="58" t="n">
        <f aca="false">IF(T75=1,U75+V75-$B$27,U75)</f>
        <v>197719.658629829</v>
      </c>
      <c r="X75" s="56" t="n">
        <f aca="false">IF(T75=1,IF($B$27&lt;=V75,1,0),0)</f>
        <v>0</v>
      </c>
      <c r="Y75" s="58" t="n">
        <f aca="false">Y74+V75</f>
        <v>51051.9214804495</v>
      </c>
    </row>
    <row r="76" customFormat="false" ht="15" hidden="false" customHeight="false" outlineLevel="0" collapsed="false">
      <c r="K76" s="56" t="n">
        <f aca="false">K75+1</f>
        <v>69</v>
      </c>
      <c r="L76" s="57" t="n">
        <f aca="false">IF(AND(K76&lt;=Assumptions!$C$42,L75=1,P75=0,O75&gt;Assumptions!$C$43),1,0)</f>
        <v>1</v>
      </c>
      <c r="M76" s="58" t="n">
        <f aca="false">O75</f>
        <v>212955.993334126</v>
      </c>
      <c r="N76" s="58" t="n">
        <f aca="false">IF(L76=1,M76*$B$22,0)</f>
        <v>709.853311113754</v>
      </c>
      <c r="O76" s="58" t="n">
        <f aca="false">IF(L76=1,M76+N76-$B$26,M76)</f>
        <v>212346.254544496</v>
      </c>
      <c r="P76" s="56" t="n">
        <f aca="false">IF(L76=1,IF($B$26&lt;=N76,1,0),0)</f>
        <v>0</v>
      </c>
      <c r="Q76" s="58" t="n">
        <f aca="false">Q75+N76</f>
        <v>53398.1094958611</v>
      </c>
      <c r="S76" s="56" t="n">
        <f aca="false">S75+1</f>
        <v>69</v>
      </c>
      <c r="T76" s="57" t="n">
        <f aca="false">IF(AND(S76&lt;=Assumptions!$C$42,T75=1,X75=0,W75&gt;Assumptions!$C$43),1,0)</f>
        <v>1</v>
      </c>
      <c r="U76" s="58" t="n">
        <f aca="false">W75</f>
        <v>197719.658629829</v>
      </c>
      <c r="V76" s="58" t="n">
        <f aca="false">IF(T76=1,U76*$B$22,0)</f>
        <v>659.065528766095</v>
      </c>
      <c r="W76" s="58" t="n">
        <f aca="false">IF(T76=1,U76+V76-$B$27,U76)</f>
        <v>196859.13205785</v>
      </c>
      <c r="X76" s="56" t="n">
        <f aca="false">IF(T76=1,IF($B$27&lt;=V76,1,0),0)</f>
        <v>0</v>
      </c>
      <c r="Y76" s="58" t="n">
        <f aca="false">Y75+V76</f>
        <v>51710.9870092156</v>
      </c>
    </row>
    <row r="77" customFormat="false" ht="15" hidden="false" customHeight="false" outlineLevel="0" collapsed="false">
      <c r="K77" s="56" t="n">
        <f aca="false">K76+1</f>
        <v>70</v>
      </c>
      <c r="L77" s="57" t="n">
        <f aca="false">IF(AND(K77&lt;=Assumptions!$C$42,L76=1,P76=0,O76&gt;Assumptions!$C$43),1,0)</f>
        <v>1</v>
      </c>
      <c r="M77" s="58" t="n">
        <f aca="false">O76</f>
        <v>212346.254544496</v>
      </c>
      <c r="N77" s="58" t="n">
        <f aca="false">IF(L77=1,M77*$B$22,0)</f>
        <v>707.820848481652</v>
      </c>
      <c r="O77" s="58" t="n">
        <f aca="false">IF(L77=1,M77+N77-$B$26,M77)</f>
        <v>211734.483292233</v>
      </c>
      <c r="P77" s="56" t="n">
        <f aca="false">IF(L77=1,IF($B$26&lt;=N77,1,0),0)</f>
        <v>0</v>
      </c>
      <c r="Q77" s="58" t="n">
        <f aca="false">Q76+N77</f>
        <v>54105.9303443427</v>
      </c>
      <c r="S77" s="56" t="n">
        <f aca="false">S76+1</f>
        <v>70</v>
      </c>
      <c r="T77" s="57" t="n">
        <f aca="false">IF(AND(S77&lt;=Assumptions!$C$42,T76=1,X76=0,W76&gt;Assumptions!$C$43),1,0)</f>
        <v>1</v>
      </c>
      <c r="U77" s="58" t="n">
        <f aca="false">W76</f>
        <v>196859.13205785</v>
      </c>
      <c r="V77" s="58" t="n">
        <f aca="false">IF(T77=1,U77*$B$22,0)</f>
        <v>656.197106859501</v>
      </c>
      <c r="W77" s="58" t="n">
        <f aca="false">IF(T77=1,U77+V77-$B$27,U77)</f>
        <v>195995.737063965</v>
      </c>
      <c r="X77" s="56" t="n">
        <f aca="false">IF(T77=1,IF($B$27&lt;=V77,1,0),0)</f>
        <v>0</v>
      </c>
      <c r="Y77" s="58" t="n">
        <f aca="false">Y76+V77</f>
        <v>52367.1841160751</v>
      </c>
    </row>
    <row r="78" customFormat="false" ht="15" hidden="false" customHeight="false" outlineLevel="0" collapsed="false">
      <c r="K78" s="56" t="n">
        <f aca="false">K77+1</f>
        <v>71</v>
      </c>
      <c r="L78" s="57" t="n">
        <f aca="false">IF(AND(K78&lt;=Assumptions!$C$42,L77=1,P77=0,O77&gt;Assumptions!$C$43),1,0)</f>
        <v>1</v>
      </c>
      <c r="M78" s="58" t="n">
        <f aca="false">O77</f>
        <v>211734.483292233</v>
      </c>
      <c r="N78" s="58" t="n">
        <f aca="false">IF(L78=1,M78*$B$22,0)</f>
        <v>705.781610974109</v>
      </c>
      <c r="O78" s="58" t="n">
        <f aca="false">IF(L78=1,M78+N78-$B$26,M78)</f>
        <v>211120.672802463</v>
      </c>
      <c r="P78" s="56" t="n">
        <f aca="false">IF(L78=1,IF($B$26&lt;=N78,1,0),0)</f>
        <v>0</v>
      </c>
      <c r="Q78" s="58" t="n">
        <f aca="false">Q77+N78</f>
        <v>54811.7119553168</v>
      </c>
      <c r="S78" s="56" t="n">
        <f aca="false">S77+1</f>
        <v>71</v>
      </c>
      <c r="T78" s="57" t="n">
        <f aca="false">IF(AND(S78&lt;=Assumptions!$C$42,T77=1,X77=0,W77&gt;Assumptions!$C$43),1,0)</f>
        <v>1</v>
      </c>
      <c r="U78" s="58" t="n">
        <f aca="false">W77</f>
        <v>195995.737063965</v>
      </c>
      <c r="V78" s="58" t="n">
        <f aca="false">IF(T78=1,U78*$B$22,0)</f>
        <v>653.319123546551</v>
      </c>
      <c r="W78" s="58" t="n">
        <f aca="false">IF(T78=1,U78+V78-$B$27,U78)</f>
        <v>195129.464086768</v>
      </c>
      <c r="X78" s="56" t="n">
        <f aca="false">IF(T78=1,IF($B$27&lt;=V78,1,0),0)</f>
        <v>0</v>
      </c>
      <c r="Y78" s="58" t="n">
        <f aca="false">Y77+V78</f>
        <v>53020.5032396216</v>
      </c>
    </row>
    <row r="79" customFormat="false" ht="15" hidden="false" customHeight="false" outlineLevel="0" collapsed="false">
      <c r="K79" s="56" t="n">
        <f aca="false">K78+1</f>
        <v>72</v>
      </c>
      <c r="L79" s="57" t="n">
        <f aca="false">IF(AND(K79&lt;=Assumptions!$C$42,L78=1,P78=0,O78&gt;Assumptions!$C$43),1,0)</f>
        <v>1</v>
      </c>
      <c r="M79" s="58" t="n">
        <f aca="false">O78</f>
        <v>211120.672802463</v>
      </c>
      <c r="N79" s="58" t="n">
        <f aca="false">IF(L79=1,M79*$B$22,0)</f>
        <v>703.735576008208</v>
      </c>
      <c r="O79" s="58" t="n">
        <f aca="false">IF(L79=1,M79+N79-$B$26,M79)</f>
        <v>210504.816277726</v>
      </c>
      <c r="P79" s="56" t="n">
        <f aca="false">IF(L79=1,IF($B$26&lt;=N79,1,0),0)</f>
        <v>0</v>
      </c>
      <c r="Q79" s="58" t="n">
        <f aca="false">Q78+N79</f>
        <v>55515.447531325</v>
      </c>
      <c r="S79" s="56" t="n">
        <f aca="false">S78+1</f>
        <v>72</v>
      </c>
      <c r="T79" s="57" t="n">
        <f aca="false">IF(AND(S79&lt;=Assumptions!$C$42,T78=1,X78=0,W78&gt;Assumptions!$C$43),1,0)</f>
        <v>1</v>
      </c>
      <c r="U79" s="58" t="n">
        <f aca="false">W78</f>
        <v>195129.464086768</v>
      </c>
      <c r="V79" s="58" t="n">
        <f aca="false">IF(T79=1,U79*$B$22,0)</f>
        <v>650.431546955892</v>
      </c>
      <c r="W79" s="58" t="n">
        <f aca="false">IF(T79=1,U79+V79-$B$27,U79)</f>
        <v>194260.303532979</v>
      </c>
      <c r="X79" s="56" t="n">
        <f aca="false">IF(T79=1,IF($B$27&lt;=V79,1,0),0)</f>
        <v>0</v>
      </c>
      <c r="Y79" s="58" t="n">
        <f aca="false">Y78+V79</f>
        <v>53670.9347865775</v>
      </c>
    </row>
    <row r="80" customFormat="false" ht="15" hidden="false" customHeight="false" outlineLevel="0" collapsed="false">
      <c r="K80" s="56" t="n">
        <f aca="false">K79+1</f>
        <v>73</v>
      </c>
      <c r="L80" s="57" t="n">
        <f aca="false">IF(AND(K80&lt;=Assumptions!$C$42,L79=1,P79=0,O79&gt;Assumptions!$C$43),1,0)</f>
        <v>1</v>
      </c>
      <c r="M80" s="58" t="n">
        <f aca="false">O79</f>
        <v>210504.816277726</v>
      </c>
      <c r="N80" s="58" t="n">
        <f aca="false">IF(L80=1,M80*$B$22,0)</f>
        <v>701.682720925754</v>
      </c>
      <c r="O80" s="58" t="n">
        <f aca="false">IF(L80=1,M80+N80-$B$26,M80)</f>
        <v>209886.906897908</v>
      </c>
      <c r="P80" s="56" t="n">
        <f aca="false">IF(L80=1,IF($B$26&lt;=N80,1,0),0)</f>
        <v>0</v>
      </c>
      <c r="Q80" s="58" t="n">
        <f aca="false">Q79+N80</f>
        <v>56217.1302522508</v>
      </c>
      <c r="S80" s="56" t="n">
        <f aca="false">S79+1</f>
        <v>73</v>
      </c>
      <c r="T80" s="57" t="n">
        <f aca="false">IF(AND(S80&lt;=Assumptions!$C$42,T79=1,X79=0,W79&gt;Assumptions!$C$43),1,0)</f>
        <v>1</v>
      </c>
      <c r="U80" s="58" t="n">
        <f aca="false">W79</f>
        <v>194260.303532979</v>
      </c>
      <c r="V80" s="58" t="n">
        <f aca="false">IF(T80=1,U80*$B$22,0)</f>
        <v>647.53434510993</v>
      </c>
      <c r="W80" s="58" t="n">
        <f aca="false">IF(T80=1,U80+V80-$B$27,U80)</f>
        <v>193388.245777344</v>
      </c>
      <c r="X80" s="56" t="n">
        <f aca="false">IF(T80=1,IF($B$27&lt;=V80,1,0),0)</f>
        <v>0</v>
      </c>
      <c r="Y80" s="58" t="n">
        <f aca="false">Y79+V80</f>
        <v>54318.4691316875</v>
      </c>
    </row>
    <row r="81" customFormat="false" ht="15" hidden="false" customHeight="false" outlineLevel="0" collapsed="false">
      <c r="K81" s="56" t="n">
        <f aca="false">K80+1</f>
        <v>74</v>
      </c>
      <c r="L81" s="57" t="n">
        <f aca="false">IF(AND(K81&lt;=Assumptions!$C$42,L80=1,P80=0,O80&gt;Assumptions!$C$43),1,0)</f>
        <v>1</v>
      </c>
      <c r="M81" s="58" t="n">
        <f aca="false">O80</f>
        <v>209886.906897908</v>
      </c>
      <c r="N81" s="58" t="n">
        <f aca="false">IF(L81=1,M81*$B$22,0)</f>
        <v>699.623022993025</v>
      </c>
      <c r="O81" s="58" t="n">
        <f aca="false">IF(L81=1,M81+N81-$B$26,M81)</f>
        <v>209266.937820156</v>
      </c>
      <c r="P81" s="56" t="n">
        <f aca="false">IF(L81=1,IF($B$26&lt;=N81,1,0),0)</f>
        <v>0</v>
      </c>
      <c r="Q81" s="58" t="n">
        <f aca="false">Q80+N81</f>
        <v>56916.7532752438</v>
      </c>
      <c r="S81" s="56" t="n">
        <f aca="false">S80+1</f>
        <v>74</v>
      </c>
      <c r="T81" s="57" t="n">
        <f aca="false">IF(AND(S81&lt;=Assumptions!$C$42,T80=1,X80=0,W80&gt;Assumptions!$C$43),1,0)</f>
        <v>1</v>
      </c>
      <c r="U81" s="58" t="n">
        <f aca="false">W80</f>
        <v>193388.245777344</v>
      </c>
      <c r="V81" s="58" t="n">
        <f aca="false">IF(T81=1,U81*$B$22,0)</f>
        <v>644.627485924482</v>
      </c>
      <c r="W81" s="58" t="n">
        <f aca="false">IF(T81=1,U81+V81-$B$27,U81)</f>
        <v>192513.281162525</v>
      </c>
      <c r="X81" s="56" t="n">
        <f aca="false">IF(T81=1,IF($B$27&lt;=V81,1,0),0)</f>
        <v>0</v>
      </c>
      <c r="Y81" s="58" t="n">
        <f aca="false">Y80+V81</f>
        <v>54963.0966176119</v>
      </c>
    </row>
    <row r="82" customFormat="false" ht="15" hidden="false" customHeight="false" outlineLevel="0" collapsed="false">
      <c r="K82" s="56" t="n">
        <f aca="false">K81+1</f>
        <v>75</v>
      </c>
      <c r="L82" s="57" t="n">
        <f aca="false">IF(AND(K82&lt;=Assumptions!$C$42,L81=1,P81=0,O81&gt;Assumptions!$C$43),1,0)</f>
        <v>1</v>
      </c>
      <c r="M82" s="58" t="n">
        <f aca="false">O81</f>
        <v>209266.937820156</v>
      </c>
      <c r="N82" s="58" t="n">
        <f aca="false">IF(L82=1,M82*$B$22,0)</f>
        <v>697.556459400521</v>
      </c>
      <c r="O82" s="58" t="n">
        <f aca="false">IF(L82=1,M82+N82-$B$26,M82)</f>
        <v>208644.902178812</v>
      </c>
      <c r="P82" s="56" t="n">
        <f aca="false">IF(L82=1,IF($B$26&lt;=N82,1,0),0)</f>
        <v>0</v>
      </c>
      <c r="Q82" s="58" t="n">
        <f aca="false">Q81+N82</f>
        <v>57614.3097346443</v>
      </c>
      <c r="S82" s="56" t="n">
        <f aca="false">S81+1</f>
        <v>75</v>
      </c>
      <c r="T82" s="57" t="n">
        <f aca="false">IF(AND(S82&lt;=Assumptions!$C$42,T81=1,X81=0,W81&gt;Assumptions!$C$43),1,0)</f>
        <v>1</v>
      </c>
      <c r="U82" s="58" t="n">
        <f aca="false">W81</f>
        <v>192513.281162525</v>
      </c>
      <c r="V82" s="58" t="n">
        <f aca="false">IF(T82=1,U82*$B$22,0)</f>
        <v>641.710937208415</v>
      </c>
      <c r="W82" s="58" t="n">
        <f aca="false">IF(T82=1,U82+V82-$B$27,U82)</f>
        <v>191635.399998989</v>
      </c>
      <c r="X82" s="56" t="n">
        <f aca="false">IF(T82=1,IF($B$27&lt;=V82,1,0),0)</f>
        <v>0</v>
      </c>
      <c r="Y82" s="58" t="n">
        <f aca="false">Y81+V82</f>
        <v>55604.8075548204</v>
      </c>
    </row>
    <row r="83" customFormat="false" ht="15" hidden="false" customHeight="false" outlineLevel="0" collapsed="false">
      <c r="K83" s="56" t="n">
        <f aca="false">K82+1</f>
        <v>76</v>
      </c>
      <c r="L83" s="57" t="n">
        <f aca="false">IF(AND(K83&lt;=Assumptions!$C$42,L82=1,P82=0,O82&gt;Assumptions!$C$43),1,0)</f>
        <v>1</v>
      </c>
      <c r="M83" s="58" t="n">
        <f aca="false">O82</f>
        <v>208644.902178812</v>
      </c>
      <c r="N83" s="58" t="n">
        <f aca="false">IF(L83=1,M83*$B$22,0)</f>
        <v>695.483007262708</v>
      </c>
      <c r="O83" s="58" t="n">
        <f aca="false">IF(L83=1,M83+N83-$B$26,M83)</f>
        <v>208020.793085331</v>
      </c>
      <c r="P83" s="56" t="n">
        <f aca="false">IF(L83=1,IF($B$26&lt;=N83,1,0),0)</f>
        <v>0</v>
      </c>
      <c r="Q83" s="58" t="n">
        <f aca="false">Q82+N83</f>
        <v>58309.792741907</v>
      </c>
      <c r="S83" s="56" t="n">
        <f aca="false">S82+1</f>
        <v>76</v>
      </c>
      <c r="T83" s="57" t="n">
        <f aca="false">IF(AND(S83&lt;=Assumptions!$C$42,T82=1,X82=0,W82&gt;Assumptions!$C$43),1,0)</f>
        <v>1</v>
      </c>
      <c r="U83" s="58" t="n">
        <f aca="false">W82</f>
        <v>191635.399998989</v>
      </c>
      <c r="V83" s="58" t="n">
        <f aca="false">IF(T83=1,U83*$B$22,0)</f>
        <v>638.784666663295</v>
      </c>
      <c r="W83" s="58" t="n">
        <f aca="false">IF(T83=1,U83+V83-$B$27,U83)</f>
        <v>190754.592564907</v>
      </c>
      <c r="X83" s="56" t="n">
        <f aca="false">IF(T83=1,IF($B$27&lt;=V83,1,0),0)</f>
        <v>0</v>
      </c>
      <c r="Y83" s="58" t="n">
        <f aca="false">Y82+V83</f>
        <v>56243.5922214837</v>
      </c>
    </row>
    <row r="84" customFormat="false" ht="15" hidden="false" customHeight="false" outlineLevel="0" collapsed="false">
      <c r="K84" s="56" t="n">
        <f aca="false">K83+1</f>
        <v>77</v>
      </c>
      <c r="L84" s="57" t="n">
        <f aca="false">IF(AND(K84&lt;=Assumptions!$C$42,L83=1,P83=0,O83&gt;Assumptions!$C$43),1,0)</f>
        <v>1</v>
      </c>
      <c r="M84" s="58" t="n">
        <f aca="false">O83</f>
        <v>208020.793085331</v>
      </c>
      <c r="N84" s="58" t="n">
        <f aca="false">IF(L84=1,M84*$B$22,0)</f>
        <v>693.402643617769</v>
      </c>
      <c r="O84" s="58" t="n">
        <f aca="false">IF(L84=1,M84+N84-$B$26,M84)</f>
        <v>207394.603628204</v>
      </c>
      <c r="P84" s="56" t="n">
        <f aca="false">IF(L84=1,IF($B$26&lt;=N84,1,0),0)</f>
        <v>0</v>
      </c>
      <c r="Q84" s="58" t="n">
        <f aca="false">Q83+N84</f>
        <v>59003.1953855248</v>
      </c>
      <c r="S84" s="56" t="n">
        <f aca="false">S83+1</f>
        <v>77</v>
      </c>
      <c r="T84" s="57" t="n">
        <f aca="false">IF(AND(S84&lt;=Assumptions!$C$42,T83=1,X83=0,W83&gt;Assumptions!$C$43),1,0)</f>
        <v>1</v>
      </c>
      <c r="U84" s="58" t="n">
        <f aca="false">W83</f>
        <v>190754.592564907</v>
      </c>
      <c r="V84" s="58" t="n">
        <f aca="false">IF(T84=1,U84*$B$22,0)</f>
        <v>635.848641883025</v>
      </c>
      <c r="W84" s="58" t="n">
        <f aca="false">IF(T84=1,U84+V84-$B$27,U84)</f>
        <v>189870.849106046</v>
      </c>
      <c r="X84" s="56" t="n">
        <f aca="false">IF(T84=1,IF($B$27&lt;=V84,1,0),0)</f>
        <v>0</v>
      </c>
      <c r="Y84" s="58" t="n">
        <f aca="false">Y83+V84</f>
        <v>56879.4408633667</v>
      </c>
    </row>
    <row r="85" customFormat="false" ht="15" hidden="false" customHeight="false" outlineLevel="0" collapsed="false">
      <c r="K85" s="56" t="n">
        <f aca="false">K84+1</f>
        <v>78</v>
      </c>
      <c r="L85" s="57" t="n">
        <f aca="false">IF(AND(K85&lt;=Assumptions!$C$42,L84=1,P84=0,O84&gt;Assumptions!$C$43),1,0)</f>
        <v>1</v>
      </c>
      <c r="M85" s="58" t="n">
        <f aca="false">O84</f>
        <v>207394.603628204</v>
      </c>
      <c r="N85" s="58" t="n">
        <f aca="false">IF(L85=1,M85*$B$22,0)</f>
        <v>691.315345427346</v>
      </c>
      <c r="O85" s="58" t="n">
        <f aca="false">IF(L85=1,M85+N85-$B$26,M85)</f>
        <v>206766.326872887</v>
      </c>
      <c r="P85" s="56" t="n">
        <f aca="false">IF(L85=1,IF($B$26&lt;=N85,1,0),0)</f>
        <v>0</v>
      </c>
      <c r="Q85" s="58" t="n">
        <f aca="false">Q84+N85</f>
        <v>59694.5107309522</v>
      </c>
      <c r="S85" s="56" t="n">
        <f aca="false">S84+1</f>
        <v>78</v>
      </c>
      <c r="T85" s="57" t="n">
        <f aca="false">IF(AND(S85&lt;=Assumptions!$C$42,T84=1,X84=0,W84&gt;Assumptions!$C$43),1,0)</f>
        <v>1</v>
      </c>
      <c r="U85" s="58" t="n">
        <f aca="false">W84</f>
        <v>189870.849106046</v>
      </c>
      <c r="V85" s="58" t="n">
        <f aca="false">IF(T85=1,U85*$B$22,0)</f>
        <v>632.902830353487</v>
      </c>
      <c r="W85" s="58" t="n">
        <f aca="false">IF(T85=1,U85+V85-$B$27,U85)</f>
        <v>188984.159835655</v>
      </c>
      <c r="X85" s="56" t="n">
        <f aca="false">IF(T85=1,IF($B$27&lt;=V85,1,0),0)</f>
        <v>0</v>
      </c>
      <c r="Y85" s="58" t="n">
        <f aca="false">Y84+V85</f>
        <v>57512.3436937202</v>
      </c>
    </row>
    <row r="86" customFormat="false" ht="15" hidden="false" customHeight="false" outlineLevel="0" collapsed="false">
      <c r="K86" s="56" t="n">
        <f aca="false">K85+1</f>
        <v>79</v>
      </c>
      <c r="L86" s="57" t="n">
        <f aca="false">IF(AND(K86&lt;=Assumptions!$C$42,L85=1,P85=0,O85&gt;Assumptions!$C$43),1,0)</f>
        <v>1</v>
      </c>
      <c r="M86" s="58" t="n">
        <f aca="false">O85</f>
        <v>206766.326872887</v>
      </c>
      <c r="N86" s="58" t="n">
        <f aca="false">IF(L86=1,M86*$B$22,0)</f>
        <v>689.22108957629</v>
      </c>
      <c r="O86" s="58" t="n">
        <f aca="false">IF(L86=1,M86+N86-$B$26,M86)</f>
        <v>206135.955861719</v>
      </c>
      <c r="P86" s="56" t="n">
        <f aca="false">IF(L86=1,IF($B$26&lt;=N86,1,0),0)</f>
        <v>0</v>
      </c>
      <c r="Q86" s="58" t="n">
        <f aca="false">Q85+N86</f>
        <v>60383.7318205284</v>
      </c>
      <c r="S86" s="56" t="n">
        <f aca="false">S85+1</f>
        <v>79</v>
      </c>
      <c r="T86" s="57" t="n">
        <f aca="false">IF(AND(S86&lt;=Assumptions!$C$42,T85=1,X85=0,W85&gt;Assumptions!$C$43),1,0)</f>
        <v>1</v>
      </c>
      <c r="U86" s="58" t="n">
        <f aca="false">W85</f>
        <v>188984.159835655</v>
      </c>
      <c r="V86" s="58" t="n">
        <f aca="false">IF(T86=1,U86*$B$22,0)</f>
        <v>629.947199452183</v>
      </c>
      <c r="W86" s="58" t="n">
        <f aca="false">IF(T86=1,U86+V86-$B$27,U86)</f>
        <v>188094.514934363</v>
      </c>
      <c r="X86" s="56" t="n">
        <f aca="false">IF(T86=1,IF($B$27&lt;=V86,1,0),0)</f>
        <v>0</v>
      </c>
      <c r="Y86" s="58" t="n">
        <f aca="false">Y85+V86</f>
        <v>58142.2908931723</v>
      </c>
    </row>
    <row r="87" customFormat="false" ht="15" hidden="false" customHeight="false" outlineLevel="0" collapsed="false">
      <c r="K87" s="56" t="n">
        <f aca="false">K86+1</f>
        <v>80</v>
      </c>
      <c r="L87" s="57" t="n">
        <f aca="false">IF(AND(K87&lt;=Assumptions!$C$42,L86=1,P86=0,O86&gt;Assumptions!$C$43),1,0)</f>
        <v>1</v>
      </c>
      <c r="M87" s="58" t="n">
        <f aca="false">O86</f>
        <v>206135.955861719</v>
      </c>
      <c r="N87" s="58" t="n">
        <f aca="false">IF(L87=1,M87*$B$22,0)</f>
        <v>687.119852872396</v>
      </c>
      <c r="O87" s="58" t="n">
        <f aca="false">IF(L87=1,M87+N87-$B$26,M87)</f>
        <v>205503.483613847</v>
      </c>
      <c r="P87" s="56" t="n">
        <f aca="false">IF(L87=1,IF($B$26&lt;=N87,1,0),0)</f>
        <v>0</v>
      </c>
      <c r="Q87" s="58" t="n">
        <f aca="false">Q86+N87</f>
        <v>61070.8516734008</v>
      </c>
      <c r="S87" s="56" t="n">
        <f aca="false">S86+1</f>
        <v>80</v>
      </c>
      <c r="T87" s="57" t="n">
        <f aca="false">IF(AND(S87&lt;=Assumptions!$C$42,T86=1,X86=0,W86&gt;Assumptions!$C$43),1,0)</f>
        <v>1</v>
      </c>
      <c r="U87" s="58" t="n">
        <f aca="false">W86</f>
        <v>188094.514934363</v>
      </c>
      <c r="V87" s="58" t="n">
        <f aca="false">IF(T87=1,U87*$B$22,0)</f>
        <v>626.981716447876</v>
      </c>
      <c r="W87" s="58" t="n">
        <f aca="false">IF(T87=1,U87+V87-$B$27,U87)</f>
        <v>187201.904550066</v>
      </c>
      <c r="X87" s="56" t="n">
        <f aca="false">IF(T87=1,IF($B$27&lt;=V87,1,0),0)</f>
        <v>0</v>
      </c>
      <c r="Y87" s="58" t="n">
        <f aca="false">Y86+V87</f>
        <v>58769.2726096202</v>
      </c>
    </row>
    <row r="88" customFormat="false" ht="15" hidden="false" customHeight="false" outlineLevel="0" collapsed="false">
      <c r="K88" s="56" t="n">
        <f aca="false">K87+1</f>
        <v>81</v>
      </c>
      <c r="L88" s="57" t="n">
        <f aca="false">IF(AND(K88&lt;=Assumptions!$C$42,L87=1,P87=0,O87&gt;Assumptions!$C$43),1,0)</f>
        <v>1</v>
      </c>
      <c r="M88" s="58" t="n">
        <f aca="false">O87</f>
        <v>205503.483613847</v>
      </c>
      <c r="N88" s="58" t="n">
        <f aca="false">IF(L88=1,M88*$B$22,0)</f>
        <v>685.011612046156</v>
      </c>
      <c r="O88" s="58" t="n">
        <f aca="false">IF(L88=1,M88+N88-$B$26,M88)</f>
        <v>204868.903125148</v>
      </c>
      <c r="P88" s="56" t="n">
        <f aca="false">IF(L88=1,IF($B$26&lt;=N88,1,0),0)</f>
        <v>0</v>
      </c>
      <c r="Q88" s="58" t="n">
        <f aca="false">Q87+N88</f>
        <v>61755.863285447</v>
      </c>
      <c r="S88" s="56" t="n">
        <f aca="false">S87+1</f>
        <v>81</v>
      </c>
      <c r="T88" s="57" t="n">
        <f aca="false">IF(AND(S88&lt;=Assumptions!$C$42,T87=1,X87=0,W87&gt;Assumptions!$C$43),1,0)</f>
        <v>1</v>
      </c>
      <c r="U88" s="58" t="n">
        <f aca="false">W87</f>
        <v>187201.904550066</v>
      </c>
      <c r="V88" s="58" t="n">
        <f aca="false">IF(T88=1,U88*$B$22,0)</f>
        <v>624.006348500221</v>
      </c>
      <c r="W88" s="58" t="n">
        <f aca="false">IF(T88=1,U88+V88-$B$27,U88)</f>
        <v>186306.318797822</v>
      </c>
      <c r="X88" s="56" t="n">
        <f aca="false">IF(T88=1,IF($B$27&lt;=V88,1,0),0)</f>
        <v>0</v>
      </c>
      <c r="Y88" s="58" t="n">
        <f aca="false">Y87+V88</f>
        <v>59393.2789581204</v>
      </c>
    </row>
    <row r="89" customFormat="false" ht="15" hidden="false" customHeight="false" outlineLevel="0" collapsed="false">
      <c r="K89" s="56" t="n">
        <f aca="false">K88+1</f>
        <v>82</v>
      </c>
      <c r="L89" s="57" t="n">
        <f aca="false">IF(AND(K89&lt;=Assumptions!$C$42,L88=1,P88=0,O88&gt;Assumptions!$C$43),1,0)</f>
        <v>1</v>
      </c>
      <c r="M89" s="58" t="n">
        <f aca="false">O88</f>
        <v>204868.903125148</v>
      </c>
      <c r="N89" s="58" t="n">
        <f aca="false">IF(L89=1,M89*$B$22,0)</f>
        <v>682.896343750495</v>
      </c>
      <c r="O89" s="58" t="n">
        <f aca="false">IF(L89=1,M89+N89-$B$26,M89)</f>
        <v>204232.207368154</v>
      </c>
      <c r="P89" s="56" t="n">
        <f aca="false">IF(L89=1,IF($B$26&lt;=N89,1,0),0)</f>
        <v>0</v>
      </c>
      <c r="Q89" s="58" t="n">
        <f aca="false">Q88+N89</f>
        <v>62438.7596291975</v>
      </c>
      <c r="S89" s="56" t="n">
        <f aca="false">S88+1</f>
        <v>82</v>
      </c>
      <c r="T89" s="57" t="n">
        <f aca="false">IF(AND(S89&lt;=Assumptions!$C$42,T88=1,X88=0,W88&gt;Assumptions!$C$43),1,0)</f>
        <v>1</v>
      </c>
      <c r="U89" s="58" t="n">
        <f aca="false">W88</f>
        <v>186306.318797822</v>
      </c>
      <c r="V89" s="58" t="n">
        <f aca="false">IF(T89=1,U89*$B$22,0)</f>
        <v>621.021062659407</v>
      </c>
      <c r="W89" s="58" t="n">
        <f aca="false">IF(T89=1,U89+V89-$B$27,U89)</f>
        <v>185407.747759737</v>
      </c>
      <c r="X89" s="56" t="n">
        <f aca="false">IF(T89=1,IF($B$27&lt;=V89,1,0),0)</f>
        <v>0</v>
      </c>
      <c r="Y89" s="58" t="n">
        <f aca="false">Y88+V89</f>
        <v>60014.3000207798</v>
      </c>
    </row>
    <row r="90" customFormat="false" ht="15" hidden="false" customHeight="false" outlineLevel="0" collapsed="false">
      <c r="K90" s="56" t="n">
        <f aca="false">K89+1</f>
        <v>83</v>
      </c>
      <c r="L90" s="57" t="n">
        <f aca="false">IF(AND(K90&lt;=Assumptions!$C$42,L89=1,P89=0,O89&gt;Assumptions!$C$43),1,0)</f>
        <v>1</v>
      </c>
      <c r="M90" s="58" t="n">
        <f aca="false">O89</f>
        <v>204232.207368154</v>
      </c>
      <c r="N90" s="58" t="n">
        <f aca="false">IF(L90=1,M90*$B$22,0)</f>
        <v>680.774024560515</v>
      </c>
      <c r="O90" s="58" t="n">
        <f aca="false">IF(L90=1,M90+N90-$B$26,M90)</f>
        <v>203593.389291971</v>
      </c>
      <c r="P90" s="56" t="n">
        <f aca="false">IF(L90=1,IF($B$26&lt;=N90,1,0),0)</f>
        <v>0</v>
      </c>
      <c r="Q90" s="58" t="n">
        <f aca="false">Q89+N90</f>
        <v>63119.533653758</v>
      </c>
      <c r="S90" s="56" t="n">
        <f aca="false">S89+1</f>
        <v>83</v>
      </c>
      <c r="T90" s="57" t="n">
        <f aca="false">IF(AND(S90&lt;=Assumptions!$C$42,T89=1,X89=0,W89&gt;Assumptions!$C$43),1,0)</f>
        <v>1</v>
      </c>
      <c r="U90" s="58" t="n">
        <f aca="false">W89</f>
        <v>185407.747759737</v>
      </c>
      <c r="V90" s="58" t="n">
        <f aca="false">IF(T90=1,U90*$B$22,0)</f>
        <v>618.02582586579</v>
      </c>
      <c r="W90" s="58" t="n">
        <f aca="false">IF(T90=1,U90+V90-$B$27,U90)</f>
        <v>184506.181484858</v>
      </c>
      <c r="X90" s="56" t="n">
        <f aca="false">IF(T90=1,IF($B$27&lt;=V90,1,0),0)</f>
        <v>0</v>
      </c>
      <c r="Y90" s="58" t="n">
        <f aca="false">Y89+V90</f>
        <v>60632.3258466456</v>
      </c>
    </row>
    <row r="91" customFormat="false" ht="15" hidden="false" customHeight="false" outlineLevel="0" collapsed="false">
      <c r="K91" s="56" t="n">
        <f aca="false">K90+1</f>
        <v>84</v>
      </c>
      <c r="L91" s="57" t="n">
        <f aca="false">IF(AND(K91&lt;=Assumptions!$C$42,L90=1,P90=0,O90&gt;Assumptions!$C$43),1,0)</f>
        <v>1</v>
      </c>
      <c r="M91" s="58" t="n">
        <f aca="false">O90</f>
        <v>203593.389291971</v>
      </c>
      <c r="N91" s="58" t="n">
        <f aca="false">IF(L91=1,M91*$B$22,0)</f>
        <v>678.644630973235</v>
      </c>
      <c r="O91" s="58" t="n">
        <f aca="false">IF(L91=1,M91+N91-$B$26,M91)</f>
        <v>202952.441822199</v>
      </c>
      <c r="P91" s="56" t="n">
        <f aca="false">IF(L91=1,IF($B$26&lt;=N91,1,0),0)</f>
        <v>0</v>
      </c>
      <c r="Q91" s="58" t="n">
        <f aca="false">Q90+N91</f>
        <v>63798.1782847312</v>
      </c>
      <c r="S91" s="56" t="n">
        <f aca="false">S90+1</f>
        <v>84</v>
      </c>
      <c r="T91" s="57" t="n">
        <f aca="false">IF(AND(S91&lt;=Assumptions!$C$42,T90=1,X90=0,W90&gt;Assumptions!$C$43),1,0)</f>
        <v>1</v>
      </c>
      <c r="U91" s="58" t="n">
        <f aca="false">W90</f>
        <v>184506.181484858</v>
      </c>
      <c r="V91" s="58" t="n">
        <f aca="false">IF(T91=1,U91*$B$22,0)</f>
        <v>615.020604949528</v>
      </c>
      <c r="W91" s="58" t="n">
        <f aca="false">IF(T91=1,U91+V91-$B$27,U91)</f>
        <v>183601.609989064</v>
      </c>
      <c r="X91" s="56" t="n">
        <f aca="false">IF(T91=1,IF($B$27&lt;=V91,1,0),0)</f>
        <v>0</v>
      </c>
      <c r="Y91" s="58" t="n">
        <f aca="false">Y90+V91</f>
        <v>61247.3464515952</v>
      </c>
    </row>
    <row r="92" customFormat="false" ht="15" hidden="false" customHeight="false" outlineLevel="0" collapsed="false">
      <c r="K92" s="56" t="n">
        <f aca="false">K91+1</f>
        <v>85</v>
      </c>
      <c r="L92" s="57" t="n">
        <f aca="false">IF(AND(K92&lt;=Assumptions!$C$42,L91=1,P91=0,O91&gt;Assumptions!$C$43),1,0)</f>
        <v>1</v>
      </c>
      <c r="M92" s="58" t="n">
        <f aca="false">O91</f>
        <v>202952.441822199</v>
      </c>
      <c r="N92" s="58" t="n">
        <f aca="false">IF(L92=1,M92*$B$22,0)</f>
        <v>676.508139407331</v>
      </c>
      <c r="O92" s="58" t="n">
        <f aca="false">IF(L92=1,M92+N92-$B$26,M92)</f>
        <v>202309.357860862</v>
      </c>
      <c r="P92" s="56" t="n">
        <f aca="false">IF(L92=1,IF($B$26&lt;=N92,1,0),0)</f>
        <v>0</v>
      </c>
      <c r="Q92" s="58" t="n">
        <f aca="false">Q91+N92</f>
        <v>64474.6864241386</v>
      </c>
      <c r="S92" s="56" t="n">
        <f aca="false">S91+1</f>
        <v>85</v>
      </c>
      <c r="T92" s="57" t="n">
        <f aca="false">IF(AND(S92&lt;=Assumptions!$C$42,T91=1,X91=0,W91&gt;Assumptions!$C$43),1,0)</f>
        <v>1</v>
      </c>
      <c r="U92" s="58" t="n">
        <f aca="false">W91</f>
        <v>183601.609989064</v>
      </c>
      <c r="V92" s="58" t="n">
        <f aca="false">IF(T92=1,U92*$B$22,0)</f>
        <v>612.005366630212</v>
      </c>
      <c r="W92" s="58" t="n">
        <f aca="false">IF(T92=1,U92+V92-$B$27,U92)</f>
        <v>182694.023254949</v>
      </c>
      <c r="X92" s="56" t="n">
        <f aca="false">IF(T92=1,IF($B$27&lt;=V92,1,0),0)</f>
        <v>0</v>
      </c>
      <c r="Y92" s="58" t="n">
        <f aca="false">Y91+V92</f>
        <v>61859.3518182254</v>
      </c>
    </row>
    <row r="93" customFormat="false" ht="15" hidden="false" customHeight="false" outlineLevel="0" collapsed="false">
      <c r="K93" s="56" t="n">
        <f aca="false">K92+1</f>
        <v>86</v>
      </c>
      <c r="L93" s="57" t="n">
        <f aca="false">IF(AND(K93&lt;=Assumptions!$C$42,L92=1,P92=0,O92&gt;Assumptions!$C$43),1,0)</f>
        <v>1</v>
      </c>
      <c r="M93" s="58" t="n">
        <f aca="false">O92</f>
        <v>202309.357860862</v>
      </c>
      <c r="N93" s="58" t="n">
        <f aca="false">IF(L93=1,M93*$B$22,0)</f>
        <v>674.364526202874</v>
      </c>
      <c r="O93" s="58" t="n">
        <f aca="false">IF(L93=1,M93+N93-$B$26,M93)</f>
        <v>201664.130286321</v>
      </c>
      <c r="P93" s="56" t="n">
        <f aca="false">IF(L93=1,IF($B$26&lt;=N93,1,0),0)</f>
        <v>0</v>
      </c>
      <c r="Q93" s="58" t="n">
        <f aca="false">Q92+N93</f>
        <v>65149.0509503414</v>
      </c>
      <c r="S93" s="56" t="n">
        <f aca="false">S92+1</f>
        <v>86</v>
      </c>
      <c r="T93" s="57" t="n">
        <f aca="false">IF(AND(S93&lt;=Assumptions!$C$42,T92=1,X92=0,W92&gt;Assumptions!$C$43),1,0)</f>
        <v>1</v>
      </c>
      <c r="U93" s="58" t="n">
        <f aca="false">W92</f>
        <v>182694.023254949</v>
      </c>
      <c r="V93" s="58" t="n">
        <f aca="false">IF(T93=1,U93*$B$22,0)</f>
        <v>608.980077516498</v>
      </c>
      <c r="W93" s="58" t="n">
        <f aca="false">IF(T93=1,U93+V93-$B$27,U93)</f>
        <v>181783.411231721</v>
      </c>
      <c r="X93" s="56" t="n">
        <f aca="false">IF(T93=1,IF($B$27&lt;=V93,1,0),0)</f>
        <v>0</v>
      </c>
      <c r="Y93" s="58" t="n">
        <f aca="false">Y92+V93</f>
        <v>62468.3318957419</v>
      </c>
    </row>
    <row r="94" customFormat="false" ht="15" hidden="false" customHeight="false" outlineLevel="0" collapsed="false">
      <c r="K94" s="56" t="n">
        <f aca="false">K93+1</f>
        <v>87</v>
      </c>
      <c r="L94" s="57" t="n">
        <f aca="false">IF(AND(K94&lt;=Assumptions!$C$42,L93=1,P93=0,O93&gt;Assumptions!$C$43),1,0)</f>
        <v>1</v>
      </c>
      <c r="M94" s="58" t="n">
        <f aca="false">O93</f>
        <v>201664.130286321</v>
      </c>
      <c r="N94" s="58" t="n">
        <f aca="false">IF(L94=1,M94*$B$22,0)</f>
        <v>672.213767621069</v>
      </c>
      <c r="O94" s="58" t="n">
        <f aca="false">IF(L94=1,M94+N94-$B$26,M94)</f>
        <v>201016.751953197</v>
      </c>
      <c r="P94" s="56" t="n">
        <f aca="false">IF(L94=1,IF($B$26&lt;=N94,1,0),0)</f>
        <v>0</v>
      </c>
      <c r="Q94" s="58" t="n">
        <f aca="false">Q93+N94</f>
        <v>65821.2647179625</v>
      </c>
      <c r="S94" s="56" t="n">
        <f aca="false">S93+1</f>
        <v>87</v>
      </c>
      <c r="T94" s="57" t="n">
        <f aca="false">IF(AND(S94&lt;=Assumptions!$C$42,T93=1,X93=0,W93&gt;Assumptions!$C$43),1,0)</f>
        <v>1</v>
      </c>
      <c r="U94" s="58" t="n">
        <f aca="false">W93</f>
        <v>181783.411231721</v>
      </c>
      <c r="V94" s="58" t="n">
        <f aca="false">IF(T94=1,U94*$B$22,0)</f>
        <v>605.944704105738</v>
      </c>
      <c r="W94" s="58" t="n">
        <f aca="false">IF(T94=1,U94+V94-$B$27,U94)</f>
        <v>180869.763835083</v>
      </c>
      <c r="X94" s="56" t="n">
        <f aca="false">IF(T94=1,IF($B$27&lt;=V94,1,0),0)</f>
        <v>0</v>
      </c>
      <c r="Y94" s="58" t="n">
        <f aca="false">Y93+V94</f>
        <v>63074.2765998476</v>
      </c>
    </row>
    <row r="95" customFormat="false" ht="15" hidden="false" customHeight="false" outlineLevel="0" collapsed="false">
      <c r="K95" s="56" t="n">
        <f aca="false">K94+1</f>
        <v>88</v>
      </c>
      <c r="L95" s="57" t="n">
        <f aca="false">IF(AND(K95&lt;=Assumptions!$C$42,L94=1,P94=0,O94&gt;Assumptions!$C$43),1,0)</f>
        <v>1</v>
      </c>
      <c r="M95" s="58" t="n">
        <f aca="false">O94</f>
        <v>201016.751953197</v>
      </c>
      <c r="N95" s="58" t="n">
        <f aca="false">IF(L95=1,M95*$B$22,0)</f>
        <v>670.055839843991</v>
      </c>
      <c r="O95" s="58" t="n">
        <f aca="false">IF(L95=1,M95+N95-$B$26,M95)</f>
        <v>200367.215692297</v>
      </c>
      <c r="P95" s="56" t="n">
        <f aca="false">IF(L95=1,IF($B$26&lt;=N95,1,0),0)</f>
        <v>0</v>
      </c>
      <c r="Q95" s="58" t="n">
        <f aca="false">Q94+N95</f>
        <v>66491.3205578065</v>
      </c>
      <c r="S95" s="56" t="n">
        <f aca="false">S94+1</f>
        <v>88</v>
      </c>
      <c r="T95" s="57" t="n">
        <f aca="false">IF(AND(S95&lt;=Assumptions!$C$42,T94=1,X94=0,W94&gt;Assumptions!$C$43),1,0)</f>
        <v>1</v>
      </c>
      <c r="U95" s="58" t="n">
        <f aca="false">W94</f>
        <v>180869.763835083</v>
      </c>
      <c r="V95" s="58" t="n">
        <f aca="false">IF(T95=1,U95*$B$22,0)</f>
        <v>602.899212783609</v>
      </c>
      <c r="W95" s="58" t="n">
        <f aca="false">IF(T95=1,U95+V95-$B$27,U95)</f>
        <v>179953.070947122</v>
      </c>
      <c r="X95" s="56" t="n">
        <f aca="false">IF(T95=1,IF($B$27&lt;=V95,1,0),0)</f>
        <v>0</v>
      </c>
      <c r="Y95" s="58" t="n">
        <f aca="false">Y94+V95</f>
        <v>63677.1758126312</v>
      </c>
    </row>
    <row r="96" customFormat="false" ht="15" hidden="false" customHeight="false" outlineLevel="0" collapsed="false">
      <c r="K96" s="56" t="n">
        <f aca="false">K95+1</f>
        <v>89</v>
      </c>
      <c r="L96" s="57" t="n">
        <f aca="false">IF(AND(K96&lt;=Assumptions!$C$42,L95=1,P95=0,O95&gt;Assumptions!$C$43),1,0)</f>
        <v>1</v>
      </c>
      <c r="M96" s="58" t="n">
        <f aca="false">O95</f>
        <v>200367.215692297</v>
      </c>
      <c r="N96" s="58" t="n">
        <f aca="false">IF(L96=1,M96*$B$22,0)</f>
        <v>667.890718974323</v>
      </c>
      <c r="O96" s="58" t="n">
        <f aca="false">IF(L96=1,M96+N96-$B$26,M96)</f>
        <v>199715.514310527</v>
      </c>
      <c r="P96" s="56" t="n">
        <f aca="false">IF(L96=1,IF($B$26&lt;=N96,1,0),0)</f>
        <v>0</v>
      </c>
      <c r="Q96" s="58" t="n">
        <f aca="false">Q95+N96</f>
        <v>67159.2112767808</v>
      </c>
      <c r="S96" s="56" t="n">
        <f aca="false">S95+1</f>
        <v>89</v>
      </c>
      <c r="T96" s="57" t="n">
        <f aca="false">IF(AND(S96&lt;=Assumptions!$C$42,T95=1,X95=0,W95&gt;Assumptions!$C$43),1,0)</f>
        <v>1</v>
      </c>
      <c r="U96" s="58" t="n">
        <f aca="false">W95</f>
        <v>179953.070947122</v>
      </c>
      <c r="V96" s="58" t="n">
        <f aca="false">IF(T96=1,U96*$B$22,0)</f>
        <v>599.84356982374</v>
      </c>
      <c r="W96" s="58" t="n">
        <f aca="false">IF(T96=1,U96+V96-$B$27,U96)</f>
        <v>179033.322416201</v>
      </c>
      <c r="X96" s="56" t="n">
        <f aca="false">IF(T96=1,IF($B$27&lt;=V96,1,0),0)</f>
        <v>0</v>
      </c>
      <c r="Y96" s="58" t="n">
        <f aca="false">Y95+V96</f>
        <v>64277.0193824549</v>
      </c>
    </row>
    <row r="97" customFormat="false" ht="15" hidden="false" customHeight="false" outlineLevel="0" collapsed="false">
      <c r="K97" s="56" t="n">
        <f aca="false">K96+1</f>
        <v>90</v>
      </c>
      <c r="L97" s="57" t="n">
        <f aca="false">IF(AND(K97&lt;=Assumptions!$C$42,L96=1,P96=0,O96&gt;Assumptions!$C$43),1,0)</f>
        <v>1</v>
      </c>
      <c r="M97" s="58" t="n">
        <f aca="false">O96</f>
        <v>199715.514310527</v>
      </c>
      <c r="N97" s="58" t="n">
        <f aca="false">IF(L97=1,M97*$B$22,0)</f>
        <v>665.718381035089</v>
      </c>
      <c r="O97" s="58" t="n">
        <f aca="false">IF(L97=1,M97+N97-$B$26,M97)</f>
        <v>199061.640590817</v>
      </c>
      <c r="P97" s="56" t="n">
        <f aca="false">IF(L97=1,IF($B$26&lt;=N97,1,0),0)</f>
        <v>0</v>
      </c>
      <c r="Q97" s="58" t="n">
        <f aca="false">Q96+N97</f>
        <v>67824.9296578159</v>
      </c>
      <c r="S97" s="56" t="n">
        <f aca="false">S96+1</f>
        <v>90</v>
      </c>
      <c r="T97" s="57" t="n">
        <f aca="false">IF(AND(S97&lt;=Assumptions!$C$42,T96=1,X96=0,W96&gt;Assumptions!$C$43),1,0)</f>
        <v>1</v>
      </c>
      <c r="U97" s="58" t="n">
        <f aca="false">W96</f>
        <v>179033.322416201</v>
      </c>
      <c r="V97" s="58" t="n">
        <f aca="false">IF(T97=1,U97*$B$22,0)</f>
        <v>596.777741387337</v>
      </c>
      <c r="W97" s="58" t="n">
        <f aca="false">IF(T97=1,U97+V97-$B$27,U97)</f>
        <v>178110.508056844</v>
      </c>
      <c r="X97" s="56" t="n">
        <f aca="false">IF(T97=1,IF($B$27&lt;=V97,1,0),0)</f>
        <v>0</v>
      </c>
      <c r="Y97" s="58" t="n">
        <f aca="false">Y96+V97</f>
        <v>64873.7971238423</v>
      </c>
    </row>
    <row r="98" customFormat="false" ht="15" hidden="false" customHeight="false" outlineLevel="0" collapsed="false">
      <c r="K98" s="56" t="n">
        <f aca="false">K97+1</f>
        <v>91</v>
      </c>
      <c r="L98" s="57" t="n">
        <f aca="false">IF(AND(K98&lt;=Assumptions!$C$42,L97=1,P97=0,O97&gt;Assumptions!$C$43),1,0)</f>
        <v>1</v>
      </c>
      <c r="M98" s="58" t="n">
        <f aca="false">O97</f>
        <v>199061.640590817</v>
      </c>
      <c r="N98" s="58" t="n">
        <f aca="false">IF(L98=1,M98*$B$22,0)</f>
        <v>663.538801969391</v>
      </c>
      <c r="O98" s="58" t="n">
        <f aca="false">IF(L98=1,M98+N98-$B$26,M98)</f>
        <v>198405.587292042</v>
      </c>
      <c r="P98" s="56" t="n">
        <f aca="false">IF(L98=1,IF($B$26&lt;=N98,1,0),0)</f>
        <v>0</v>
      </c>
      <c r="Q98" s="58" t="n">
        <f aca="false">Q97+N98</f>
        <v>68488.4684597853</v>
      </c>
      <c r="S98" s="56" t="n">
        <f aca="false">S97+1</f>
        <v>91</v>
      </c>
      <c r="T98" s="57" t="n">
        <f aca="false">IF(AND(S98&lt;=Assumptions!$C$42,T97=1,X97=0,W97&gt;Assumptions!$C$43),1,0)</f>
        <v>1</v>
      </c>
      <c r="U98" s="58" t="n">
        <f aca="false">W97</f>
        <v>178110.508056844</v>
      </c>
      <c r="V98" s="58" t="n">
        <f aca="false">IF(T98=1,U98*$B$22,0)</f>
        <v>593.701693522814</v>
      </c>
      <c r="W98" s="58" t="n">
        <f aca="false">IF(T98=1,U98+V98-$B$27,U98)</f>
        <v>177184.617649622</v>
      </c>
      <c r="X98" s="56" t="n">
        <f aca="false">IF(T98=1,IF($B$27&lt;=V98,1,0),0)</f>
        <v>0</v>
      </c>
      <c r="Y98" s="58" t="n">
        <f aca="false">Y97+V98</f>
        <v>65467.4988173651</v>
      </c>
    </row>
    <row r="99" customFormat="false" ht="15" hidden="false" customHeight="false" outlineLevel="0" collapsed="false">
      <c r="K99" s="56" t="n">
        <f aca="false">K98+1</f>
        <v>92</v>
      </c>
      <c r="L99" s="57" t="n">
        <f aca="false">IF(AND(K99&lt;=Assumptions!$C$42,L98=1,P98=0,O98&gt;Assumptions!$C$43),1,0)</f>
        <v>1</v>
      </c>
      <c r="M99" s="58" t="n">
        <f aca="false">O98</f>
        <v>198405.587292042</v>
      </c>
      <c r="N99" s="58" t="n">
        <f aca="false">IF(L99=1,M99*$B$22,0)</f>
        <v>661.351957640141</v>
      </c>
      <c r="O99" s="58" t="n">
        <f aca="false">IF(L99=1,M99+N99-$B$26,M99)</f>
        <v>197747.347148938</v>
      </c>
      <c r="P99" s="56" t="n">
        <f aca="false">IF(L99=1,IF($B$26&lt;=N99,1,0),0)</f>
        <v>0</v>
      </c>
      <c r="Q99" s="58" t="n">
        <f aca="false">Q98+N99</f>
        <v>69149.8204174254</v>
      </c>
      <c r="S99" s="56" t="n">
        <f aca="false">S98+1</f>
        <v>92</v>
      </c>
      <c r="T99" s="57" t="n">
        <f aca="false">IF(AND(S99&lt;=Assumptions!$C$42,T98=1,X98=0,W98&gt;Assumptions!$C$43),1,0)</f>
        <v>1</v>
      </c>
      <c r="U99" s="58" t="n">
        <f aca="false">W98</f>
        <v>177184.617649622</v>
      </c>
      <c r="V99" s="58" t="n">
        <f aca="false">IF(T99=1,U99*$B$22,0)</f>
        <v>590.615392165408</v>
      </c>
      <c r="W99" s="58" t="n">
        <f aca="false">IF(T99=1,U99+V99-$B$27,U99)</f>
        <v>176255.640941043</v>
      </c>
      <c r="X99" s="56" t="n">
        <f aca="false">IF(T99=1,IF($B$27&lt;=V99,1,0),0)</f>
        <v>0</v>
      </c>
      <c r="Y99" s="58" t="n">
        <f aca="false">Y98+V99</f>
        <v>66058.1142095305</v>
      </c>
    </row>
    <row r="100" customFormat="false" ht="15" hidden="false" customHeight="false" outlineLevel="0" collapsed="false">
      <c r="K100" s="56" t="n">
        <f aca="false">K99+1</f>
        <v>93</v>
      </c>
      <c r="L100" s="57" t="n">
        <f aca="false">IF(AND(K100&lt;=Assumptions!$C$42,L99=1,P99=0,O99&gt;Assumptions!$C$43),1,0)</f>
        <v>1</v>
      </c>
      <c r="M100" s="58" t="n">
        <f aca="false">O99</f>
        <v>197747.347148938</v>
      </c>
      <c r="N100" s="58" t="n">
        <f aca="false">IF(L100=1,M100*$B$22,0)</f>
        <v>659.157823829794</v>
      </c>
      <c r="O100" s="58" t="n">
        <f aca="false">IF(L100=1,M100+N100-$B$26,M100)</f>
        <v>197086.912872023</v>
      </c>
      <c r="P100" s="56" t="n">
        <f aca="false">IF(L100=1,IF($B$26&lt;=N100,1,0),0)</f>
        <v>0</v>
      </c>
      <c r="Q100" s="58" t="n">
        <f aca="false">Q99+N100</f>
        <v>69808.9782412552</v>
      </c>
      <c r="S100" s="56" t="n">
        <f aca="false">S99+1</f>
        <v>93</v>
      </c>
      <c r="T100" s="57" t="n">
        <f aca="false">IF(AND(S100&lt;=Assumptions!$C$42,T99=1,X99=0,W99&gt;Assumptions!$C$43),1,0)</f>
        <v>1</v>
      </c>
      <c r="U100" s="58" t="n">
        <f aca="false">W99</f>
        <v>176255.640941043</v>
      </c>
      <c r="V100" s="58" t="n">
        <f aca="false">IF(T100=1,U100*$B$22,0)</f>
        <v>587.518803136812</v>
      </c>
      <c r="W100" s="58" t="n">
        <f aca="false">IF(T100=1,U100+V100-$B$27,U100)</f>
        <v>175323.567643436</v>
      </c>
      <c r="X100" s="56" t="n">
        <f aca="false">IF(T100=1,IF($B$27&lt;=V100,1,0),0)</f>
        <v>0</v>
      </c>
      <c r="Y100" s="58" t="n">
        <f aca="false">Y99+V100</f>
        <v>66645.6330126673</v>
      </c>
    </row>
    <row r="101" customFormat="false" ht="15" hidden="false" customHeight="false" outlineLevel="0" collapsed="false">
      <c r="K101" s="56" t="n">
        <f aca="false">K100+1</f>
        <v>94</v>
      </c>
      <c r="L101" s="57" t="n">
        <f aca="false">IF(AND(K101&lt;=Assumptions!$C$42,L100=1,P100=0,O100&gt;Assumptions!$C$43),1,0)</f>
        <v>1</v>
      </c>
      <c r="M101" s="58" t="n">
        <f aca="false">O100</f>
        <v>197086.912872023</v>
      </c>
      <c r="N101" s="58" t="n">
        <f aca="false">IF(L101=1,M101*$B$22,0)</f>
        <v>656.956376240078</v>
      </c>
      <c r="O101" s="58" t="n">
        <f aca="false">IF(L101=1,M101+N101-$B$26,M101)</f>
        <v>196424.277147519</v>
      </c>
      <c r="P101" s="56" t="n">
        <f aca="false">IF(L101=1,IF($B$26&lt;=N101,1,0),0)</f>
        <v>0</v>
      </c>
      <c r="Q101" s="58" t="n">
        <f aca="false">Q100+N101</f>
        <v>70465.9346174953</v>
      </c>
      <c r="S101" s="56" t="n">
        <f aca="false">S100+1</f>
        <v>94</v>
      </c>
      <c r="T101" s="57" t="n">
        <f aca="false">IF(AND(S101&lt;=Assumptions!$C$42,T100=1,X100=0,W100&gt;Assumptions!$C$43),1,0)</f>
        <v>1</v>
      </c>
      <c r="U101" s="58" t="n">
        <f aca="false">W100</f>
        <v>175323.567643436</v>
      </c>
      <c r="V101" s="58" t="n">
        <f aca="false">IF(T101=1,U101*$B$22,0)</f>
        <v>584.411892144786</v>
      </c>
      <c r="W101" s="58" t="n">
        <f aca="false">IF(T101=1,U101+V101-$B$27,U101)</f>
        <v>174388.387434836</v>
      </c>
      <c r="X101" s="56" t="n">
        <f aca="false">IF(T101=1,IF($B$27&lt;=V101,1,0),0)</f>
        <v>0</v>
      </c>
      <c r="Y101" s="58" t="n">
        <f aca="false">Y100+V101</f>
        <v>67230.0449048121</v>
      </c>
    </row>
    <row r="102" customFormat="false" ht="15" hidden="false" customHeight="false" outlineLevel="0" collapsed="false">
      <c r="K102" s="56" t="n">
        <f aca="false">K101+1</f>
        <v>95</v>
      </c>
      <c r="L102" s="57" t="n">
        <f aca="false">IF(AND(K102&lt;=Assumptions!$C$42,L101=1,P101=0,O101&gt;Assumptions!$C$43),1,0)</f>
        <v>1</v>
      </c>
      <c r="M102" s="58" t="n">
        <f aca="false">O101</f>
        <v>196424.277147519</v>
      </c>
      <c r="N102" s="58" t="n">
        <f aca="false">IF(L102=1,M102*$B$22,0)</f>
        <v>654.74759049173</v>
      </c>
      <c r="O102" s="58" t="n">
        <f aca="false">IF(L102=1,M102+N102-$B$26,M102)</f>
        <v>195759.432637266</v>
      </c>
      <c r="P102" s="56" t="n">
        <f aca="false">IF(L102=1,IF($B$26&lt;=N102,1,0),0)</f>
        <v>0</v>
      </c>
      <c r="Q102" s="58" t="n">
        <f aca="false">Q101+N102</f>
        <v>71120.6822079871</v>
      </c>
      <c r="S102" s="56" t="n">
        <f aca="false">S101+1</f>
        <v>95</v>
      </c>
      <c r="T102" s="57" t="n">
        <f aca="false">IF(AND(S102&lt;=Assumptions!$C$42,T101=1,X101=0,W101&gt;Assumptions!$C$43),1,0)</f>
        <v>1</v>
      </c>
      <c r="U102" s="58" t="n">
        <f aca="false">W101</f>
        <v>174388.387434836</v>
      </c>
      <c r="V102" s="58" t="n">
        <f aca="false">IF(T102=1,U102*$B$22,0)</f>
        <v>581.294624782787</v>
      </c>
      <c r="W102" s="58" t="n">
        <f aca="false">IF(T102=1,U102+V102-$B$27,U102)</f>
        <v>173450.089958875</v>
      </c>
      <c r="X102" s="56" t="n">
        <f aca="false">IF(T102=1,IF($B$27&lt;=V102,1,0),0)</f>
        <v>0</v>
      </c>
      <c r="Y102" s="58" t="n">
        <f aca="false">Y101+V102</f>
        <v>67811.3395295949</v>
      </c>
    </row>
    <row r="103" customFormat="false" ht="15" hidden="false" customHeight="false" outlineLevel="0" collapsed="false">
      <c r="K103" s="56" t="n">
        <f aca="false">K102+1</f>
        <v>96</v>
      </c>
      <c r="L103" s="57" t="n">
        <f aca="false">IF(AND(K103&lt;=Assumptions!$C$42,L102=1,P102=0,O102&gt;Assumptions!$C$43),1,0)</f>
        <v>1</v>
      </c>
      <c r="M103" s="58" t="n">
        <f aca="false">O102</f>
        <v>195759.432637266</v>
      </c>
      <c r="N103" s="58" t="n">
        <f aca="false">IF(L103=1,M103*$B$22,0)</f>
        <v>652.531442124221</v>
      </c>
      <c r="O103" s="58" t="n">
        <f aca="false">IF(L103=1,M103+N103-$B$26,M103)</f>
        <v>195092.371978646</v>
      </c>
      <c r="P103" s="56" t="n">
        <f aca="false">IF(L103=1,IF($B$26&lt;=N103,1,0),0)</f>
        <v>0</v>
      </c>
      <c r="Q103" s="58" t="n">
        <f aca="false">Q102+N103</f>
        <v>71773.2136501113</v>
      </c>
      <c r="S103" s="56" t="n">
        <f aca="false">S102+1</f>
        <v>96</v>
      </c>
      <c r="T103" s="57" t="n">
        <f aca="false">IF(AND(S103&lt;=Assumptions!$C$42,T102=1,X102=0,W102&gt;Assumptions!$C$43),1,0)</f>
        <v>1</v>
      </c>
      <c r="U103" s="58" t="n">
        <f aca="false">W102</f>
        <v>173450.089958875</v>
      </c>
      <c r="V103" s="58" t="n">
        <f aca="false">IF(T103=1,U103*$B$22,0)</f>
        <v>578.166966529582</v>
      </c>
      <c r="W103" s="58" t="n">
        <f aca="false">IF(T103=1,U103+V103-$B$27,U103)</f>
        <v>172508.66482466</v>
      </c>
      <c r="X103" s="56" t="n">
        <f aca="false">IF(T103=1,IF($B$27&lt;=V103,1,0),0)</f>
        <v>0</v>
      </c>
      <c r="Y103" s="58" t="n">
        <f aca="false">Y102+V103</f>
        <v>68389.5064961245</v>
      </c>
    </row>
    <row r="104" customFormat="false" ht="15" hidden="false" customHeight="false" outlineLevel="0" collapsed="false">
      <c r="K104" s="56" t="n">
        <f aca="false">K103+1</f>
        <v>97</v>
      </c>
      <c r="L104" s="57" t="n">
        <f aca="false">IF(AND(K104&lt;=Assumptions!$C$42,L103=1,P103=0,O103&gt;Assumptions!$C$43),1,0)</f>
        <v>1</v>
      </c>
      <c r="M104" s="58" t="n">
        <f aca="false">O103</f>
        <v>195092.371978646</v>
      </c>
      <c r="N104" s="58" t="n">
        <f aca="false">IF(L104=1,M104*$B$22,0)</f>
        <v>650.307906595487</v>
      </c>
      <c r="O104" s="58" t="n">
        <f aca="false">IF(L104=1,M104+N104-$B$26,M104)</f>
        <v>194423.087784497</v>
      </c>
      <c r="P104" s="56" t="n">
        <f aca="false">IF(L104=1,IF($B$26&lt;=N104,1,0),0)</f>
        <v>0</v>
      </c>
      <c r="Q104" s="58" t="n">
        <f aca="false">Q103+N104</f>
        <v>72423.5215567068</v>
      </c>
      <c r="S104" s="56" t="n">
        <f aca="false">S103+1</f>
        <v>97</v>
      </c>
      <c r="T104" s="57" t="n">
        <f aca="false">IF(AND(S104&lt;=Assumptions!$C$42,T103=1,X103=0,W103&gt;Assumptions!$C$43),1,0)</f>
        <v>1</v>
      </c>
      <c r="U104" s="58" t="n">
        <f aca="false">W103</f>
        <v>172508.66482466</v>
      </c>
      <c r="V104" s="58" t="n">
        <f aca="false">IF(T104=1,U104*$B$22,0)</f>
        <v>575.028882748866</v>
      </c>
      <c r="W104" s="58" t="n">
        <f aca="false">IF(T104=1,U104+V104-$B$27,U104)</f>
        <v>171564.101606664</v>
      </c>
      <c r="X104" s="56" t="n">
        <f aca="false">IF(T104=1,IF($B$27&lt;=V104,1,0),0)</f>
        <v>0</v>
      </c>
      <c r="Y104" s="58" t="n">
        <f aca="false">Y103+V104</f>
        <v>68964.5353788733</v>
      </c>
    </row>
    <row r="105" customFormat="false" ht="15" hidden="false" customHeight="false" outlineLevel="0" collapsed="false">
      <c r="K105" s="56" t="n">
        <f aca="false">K104+1</f>
        <v>98</v>
      </c>
      <c r="L105" s="57" t="n">
        <f aca="false">IF(AND(K105&lt;=Assumptions!$C$42,L104=1,P104=0,O104&gt;Assumptions!$C$43),1,0)</f>
        <v>1</v>
      </c>
      <c r="M105" s="58" t="n">
        <f aca="false">O104</f>
        <v>194423.087784497</v>
      </c>
      <c r="N105" s="58" t="n">
        <f aca="false">IF(L105=1,M105*$B$22,0)</f>
        <v>648.076959281658</v>
      </c>
      <c r="O105" s="58" t="n">
        <f aca="false">IF(L105=1,M105+N105-$B$26,M105)</f>
        <v>193751.572643035</v>
      </c>
      <c r="P105" s="56" t="n">
        <f aca="false">IF(L105=1,IF($B$26&lt;=N105,1,0),0)</f>
        <v>0</v>
      </c>
      <c r="Q105" s="58" t="n">
        <f aca="false">Q104+N105</f>
        <v>73071.5985159884</v>
      </c>
      <c r="S105" s="56" t="n">
        <f aca="false">S104+1</f>
        <v>98</v>
      </c>
      <c r="T105" s="57" t="n">
        <f aca="false">IF(AND(S105&lt;=Assumptions!$C$42,T104=1,X104=0,W104&gt;Assumptions!$C$43),1,0)</f>
        <v>1</v>
      </c>
      <c r="U105" s="58" t="n">
        <f aca="false">W104</f>
        <v>171564.101606664</v>
      </c>
      <c r="V105" s="58" t="n">
        <f aca="false">IF(T105=1,U105*$B$22,0)</f>
        <v>571.88033868888</v>
      </c>
      <c r="W105" s="58" t="n">
        <f aca="false">IF(T105=1,U105+V105-$B$27,U105)</f>
        <v>170616.389844609</v>
      </c>
      <c r="X105" s="56" t="n">
        <f aca="false">IF(T105=1,IF($B$27&lt;=V105,1,0),0)</f>
        <v>0</v>
      </c>
      <c r="Y105" s="58" t="n">
        <f aca="false">Y104+V105</f>
        <v>69536.4157175622</v>
      </c>
    </row>
    <row r="106" customFormat="false" ht="15" hidden="false" customHeight="false" outlineLevel="0" collapsed="false">
      <c r="K106" s="56" t="n">
        <f aca="false">K105+1</f>
        <v>99</v>
      </c>
      <c r="L106" s="57" t="n">
        <f aca="false">IF(AND(K106&lt;=Assumptions!$C$42,L105=1,P105=0,O105&gt;Assumptions!$C$43),1,0)</f>
        <v>1</v>
      </c>
      <c r="M106" s="58" t="n">
        <f aca="false">O105</f>
        <v>193751.572643035</v>
      </c>
      <c r="N106" s="58" t="n">
        <f aca="false">IF(L106=1,M106*$B$22,0)</f>
        <v>645.838575476782</v>
      </c>
      <c r="O106" s="58" t="n">
        <f aca="false">IF(L106=1,M106+N106-$B$26,M106)</f>
        <v>193077.819117767</v>
      </c>
      <c r="P106" s="56" t="n">
        <f aca="false">IF(L106=1,IF($B$26&lt;=N106,1,0),0)</f>
        <v>0</v>
      </c>
      <c r="Q106" s="58" t="n">
        <f aca="false">Q105+N106</f>
        <v>73717.4370914652</v>
      </c>
      <c r="S106" s="56" t="n">
        <f aca="false">S105+1</f>
        <v>99</v>
      </c>
      <c r="T106" s="57" t="n">
        <f aca="false">IF(AND(S106&lt;=Assumptions!$C$42,T105=1,X105=0,W105&gt;Assumptions!$C$43),1,0)</f>
        <v>1</v>
      </c>
      <c r="U106" s="58" t="n">
        <f aca="false">W105</f>
        <v>170616.389844609</v>
      </c>
      <c r="V106" s="58" t="n">
        <f aca="false">IF(T106=1,U106*$B$22,0)</f>
        <v>568.721299482029</v>
      </c>
      <c r="W106" s="58" t="n">
        <f aca="false">IF(T106=1,U106+V106-$B$27,U106)</f>
        <v>169665.519043346</v>
      </c>
      <c r="X106" s="56" t="n">
        <f aca="false">IF(T106=1,IF($B$27&lt;=V106,1,0),0)</f>
        <v>0</v>
      </c>
      <c r="Y106" s="58" t="n">
        <f aca="false">Y105+V106</f>
        <v>70105.1370170442</v>
      </c>
    </row>
    <row r="107" customFormat="false" ht="15" hidden="false" customHeight="false" outlineLevel="0" collapsed="false">
      <c r="K107" s="56" t="n">
        <f aca="false">K106+1</f>
        <v>100</v>
      </c>
      <c r="L107" s="57" t="n">
        <f aca="false">IF(AND(K107&lt;=Assumptions!$C$42,L106=1,P106=0,O106&gt;Assumptions!$C$43),1,0)</f>
        <v>1</v>
      </c>
      <c r="M107" s="58" t="n">
        <f aca="false">O106</f>
        <v>193077.819117767</v>
      </c>
      <c r="N107" s="58" t="n">
        <f aca="false">IF(L107=1,M107*$B$22,0)</f>
        <v>643.592730392556</v>
      </c>
      <c r="O107" s="58" t="n">
        <f aca="false">IF(L107=1,M107+N107-$B$26,M107)</f>
        <v>192401.819747415</v>
      </c>
      <c r="P107" s="56" t="n">
        <f aca="false">IF(L107=1,IF($B$26&lt;=N107,1,0),0)</f>
        <v>0</v>
      </c>
      <c r="Q107" s="58" t="n">
        <f aca="false">Q106+N107</f>
        <v>74361.0298218577</v>
      </c>
      <c r="S107" s="56" t="n">
        <f aca="false">S106+1</f>
        <v>100</v>
      </c>
      <c r="T107" s="57" t="n">
        <f aca="false">IF(AND(S107&lt;=Assumptions!$C$42,T106=1,X106=0,W106&gt;Assumptions!$C$43),1,0)</f>
        <v>1</v>
      </c>
      <c r="U107" s="58" t="n">
        <f aca="false">W106</f>
        <v>169665.519043346</v>
      </c>
      <c r="V107" s="58" t="n">
        <f aca="false">IF(T107=1,U107*$B$22,0)</f>
        <v>565.551730144487</v>
      </c>
      <c r="W107" s="58" t="n">
        <f aca="false">IF(T107=1,U107+V107-$B$27,U107)</f>
        <v>168711.478672746</v>
      </c>
      <c r="X107" s="56" t="n">
        <f aca="false">IF(T107=1,IF($B$27&lt;=V107,1,0),0)</f>
        <v>0</v>
      </c>
      <c r="Y107" s="58" t="n">
        <f aca="false">Y106+V107</f>
        <v>70670.6887471887</v>
      </c>
    </row>
    <row r="108" customFormat="false" ht="15" hidden="false" customHeight="false" outlineLevel="0" collapsed="false">
      <c r="K108" s="56" t="n">
        <f aca="false">K107+1</f>
        <v>101</v>
      </c>
      <c r="L108" s="57" t="n">
        <f aca="false">IF(AND(K108&lt;=Assumptions!$C$42,L107=1,P107=0,O107&gt;Assumptions!$C$43),1,0)</f>
        <v>1</v>
      </c>
      <c r="M108" s="58" t="n">
        <f aca="false">O107</f>
        <v>192401.819747415</v>
      </c>
      <c r="N108" s="58" t="n">
        <f aca="false">IF(L108=1,M108*$B$22,0)</f>
        <v>641.33939915805</v>
      </c>
      <c r="O108" s="58" t="n">
        <f aca="false">IF(L108=1,M108+N108-$B$26,M108)</f>
        <v>191723.567045829</v>
      </c>
      <c r="P108" s="56" t="n">
        <f aca="false">IF(L108=1,IF($B$26&lt;=N108,1,0),0)</f>
        <v>0</v>
      </c>
      <c r="Q108" s="58" t="n">
        <f aca="false">Q107+N108</f>
        <v>75002.3692210158</v>
      </c>
      <c r="S108" s="56" t="n">
        <f aca="false">S107+1</f>
        <v>101</v>
      </c>
      <c r="T108" s="57" t="n">
        <f aca="false">IF(AND(S108&lt;=Assumptions!$C$42,T107=1,X107=0,W107&gt;Assumptions!$C$43),1,0)</f>
        <v>1</v>
      </c>
      <c r="U108" s="58" t="n">
        <f aca="false">W107</f>
        <v>168711.478672746</v>
      </c>
      <c r="V108" s="58" t="n">
        <f aca="false">IF(T108=1,U108*$B$22,0)</f>
        <v>562.371595575821</v>
      </c>
      <c r="W108" s="58" t="n">
        <f aca="false">IF(T108=1,U108+V108-$B$27,U108)</f>
        <v>167754.258167578</v>
      </c>
      <c r="X108" s="56" t="n">
        <f aca="false">IF(T108=1,IF($B$27&lt;=V108,1,0),0)</f>
        <v>0</v>
      </c>
      <c r="Y108" s="58" t="n">
        <f aca="false">Y107+V108</f>
        <v>71233.0603427646</v>
      </c>
    </row>
    <row r="109" customFormat="false" ht="15" hidden="false" customHeight="false" outlineLevel="0" collapsed="false">
      <c r="K109" s="56" t="n">
        <f aca="false">K108+1</f>
        <v>102</v>
      </c>
      <c r="L109" s="57" t="n">
        <f aca="false">IF(AND(K109&lt;=Assumptions!$C$42,L108=1,P108=0,O108&gt;Assumptions!$C$43),1,0)</f>
        <v>1</v>
      </c>
      <c r="M109" s="58" t="n">
        <f aca="false">O108</f>
        <v>191723.567045829</v>
      </c>
      <c r="N109" s="58" t="n">
        <f aca="false">IF(L109=1,M109*$B$22,0)</f>
        <v>639.078556819429</v>
      </c>
      <c r="O109" s="58" t="n">
        <f aca="false">IF(L109=1,M109+N109-$B$26,M109)</f>
        <v>191043.053501904</v>
      </c>
      <c r="P109" s="56" t="n">
        <f aca="false">IF(L109=1,IF($B$26&lt;=N109,1,0),0)</f>
        <v>0</v>
      </c>
      <c r="Q109" s="58" t="n">
        <f aca="false">Q108+N109</f>
        <v>75641.4477778352</v>
      </c>
      <c r="S109" s="56" t="n">
        <f aca="false">S108+1</f>
        <v>102</v>
      </c>
      <c r="T109" s="57" t="n">
        <f aca="false">IF(AND(S109&lt;=Assumptions!$C$42,T108=1,X108=0,W108&gt;Assumptions!$C$43),1,0)</f>
        <v>1</v>
      </c>
      <c r="U109" s="58" t="n">
        <f aca="false">W108</f>
        <v>167754.258167578</v>
      </c>
      <c r="V109" s="58" t="n">
        <f aca="false">IF(T109=1,U109*$B$22,0)</f>
        <v>559.180860558592</v>
      </c>
      <c r="W109" s="58" t="n">
        <f aca="false">IF(T109=1,U109+V109-$B$27,U109)</f>
        <v>166793.846927392</v>
      </c>
      <c r="X109" s="56" t="n">
        <f aca="false">IF(T109=1,IF($B$27&lt;=V109,1,0),0)</f>
        <v>0</v>
      </c>
      <c r="Y109" s="58" t="n">
        <f aca="false">Y108+V109</f>
        <v>71792.2412033232</v>
      </c>
    </row>
    <row r="110" customFormat="false" ht="15" hidden="false" customHeight="false" outlineLevel="0" collapsed="false">
      <c r="K110" s="56" t="n">
        <f aca="false">K109+1</f>
        <v>103</v>
      </c>
      <c r="L110" s="57" t="n">
        <f aca="false">IF(AND(K110&lt;=Assumptions!$C$42,L109=1,P109=0,O109&gt;Assumptions!$C$43),1,0)</f>
        <v>1</v>
      </c>
      <c r="M110" s="58" t="n">
        <f aca="false">O109</f>
        <v>191043.053501904</v>
      </c>
      <c r="N110" s="58" t="n">
        <f aca="false">IF(L110=1,M110*$B$22,0)</f>
        <v>636.810178339679</v>
      </c>
      <c r="O110" s="58" t="n">
        <f aca="false">IF(L110=1,M110+N110-$B$26,M110)</f>
        <v>190360.271579499</v>
      </c>
      <c r="P110" s="56" t="n">
        <f aca="false">IF(L110=1,IF($B$26&lt;=N110,1,0),0)</f>
        <v>0</v>
      </c>
      <c r="Q110" s="58" t="n">
        <f aca="false">Q109+N110</f>
        <v>76278.2579561749</v>
      </c>
      <c r="S110" s="56" t="n">
        <f aca="false">S109+1</f>
        <v>103</v>
      </c>
      <c r="T110" s="57" t="n">
        <f aca="false">IF(AND(S110&lt;=Assumptions!$C$42,T109=1,X109=0,W109&gt;Assumptions!$C$43),1,0)</f>
        <v>1</v>
      </c>
      <c r="U110" s="58" t="n">
        <f aca="false">W109</f>
        <v>166793.846927392</v>
      </c>
      <c r="V110" s="58" t="n">
        <f aca="false">IF(T110=1,U110*$B$22,0)</f>
        <v>555.979489757973</v>
      </c>
      <c r="W110" s="58" t="n">
        <f aca="false">IF(T110=1,U110+V110-$B$27,U110)</f>
        <v>165830.234316405</v>
      </c>
      <c r="X110" s="56" t="n">
        <f aca="false">IF(T110=1,IF($B$27&lt;=V110,1,0),0)</f>
        <v>0</v>
      </c>
      <c r="Y110" s="58" t="n">
        <f aca="false">Y109+V110</f>
        <v>72348.2206930811</v>
      </c>
    </row>
    <row r="111" customFormat="false" ht="15" hidden="false" customHeight="false" outlineLevel="0" collapsed="false">
      <c r="K111" s="56" t="n">
        <f aca="false">K110+1</f>
        <v>104</v>
      </c>
      <c r="L111" s="57" t="n">
        <f aca="false">IF(AND(K111&lt;=Assumptions!$C$42,L110=1,P110=0,O110&gt;Assumptions!$C$43),1,0)</f>
        <v>1</v>
      </c>
      <c r="M111" s="58" t="n">
        <f aca="false">O110</f>
        <v>190360.271579499</v>
      </c>
      <c r="N111" s="58" t="n">
        <f aca="false">IF(L111=1,M111*$B$22,0)</f>
        <v>634.53423859833</v>
      </c>
      <c r="O111" s="58" t="n">
        <f aca="false">IF(L111=1,M111+N111-$B$26,M111)</f>
        <v>189675.213717353</v>
      </c>
      <c r="P111" s="56" t="n">
        <f aca="false">IF(L111=1,IF($B$26&lt;=N111,1,0),0)</f>
        <v>0</v>
      </c>
      <c r="Q111" s="58" t="n">
        <f aca="false">Q110+N111</f>
        <v>76912.7921947732</v>
      </c>
      <c r="S111" s="56" t="n">
        <f aca="false">S110+1</f>
        <v>104</v>
      </c>
      <c r="T111" s="57" t="n">
        <f aca="false">IF(AND(S111&lt;=Assumptions!$C$42,T110=1,X110=0,W110&gt;Assumptions!$C$43),1,0)</f>
        <v>1</v>
      </c>
      <c r="U111" s="58" t="n">
        <f aca="false">W110</f>
        <v>165830.234316405</v>
      </c>
      <c r="V111" s="58" t="n">
        <f aca="false">IF(T111=1,U111*$B$22,0)</f>
        <v>552.767447721351</v>
      </c>
      <c r="W111" s="58" t="n">
        <f aca="false">IF(T111=1,U111+V111-$B$27,U111)</f>
        <v>164863.409663382</v>
      </c>
      <c r="X111" s="56" t="n">
        <f aca="false">IF(T111=1,IF($B$27&lt;=V111,1,0),0)</f>
        <v>0</v>
      </c>
      <c r="Y111" s="58" t="n">
        <f aca="false">Y110+V111</f>
        <v>72900.9881408025</v>
      </c>
    </row>
    <row r="112" customFormat="false" ht="15" hidden="false" customHeight="false" outlineLevel="0" collapsed="false">
      <c r="K112" s="56" t="n">
        <f aca="false">K111+1</f>
        <v>105</v>
      </c>
      <c r="L112" s="57" t="n">
        <f aca="false">IF(AND(K112&lt;=Assumptions!$C$42,L111=1,P111=0,O111&gt;Assumptions!$C$43),1,0)</f>
        <v>1</v>
      </c>
      <c r="M112" s="58" t="n">
        <f aca="false">O111</f>
        <v>189675.213717353</v>
      </c>
      <c r="N112" s="58" t="n">
        <f aca="false">IF(L112=1,M112*$B$22,0)</f>
        <v>632.250712391176</v>
      </c>
      <c r="O112" s="58" t="n">
        <f aca="false">IF(L112=1,M112+N112-$B$26,M112)</f>
        <v>188987.872329</v>
      </c>
      <c r="P112" s="56" t="n">
        <f aca="false">IF(L112=1,IF($B$26&lt;=N112,1,0),0)</f>
        <v>0</v>
      </c>
      <c r="Q112" s="58" t="n">
        <f aca="false">Q111+N112</f>
        <v>77545.0429071644</v>
      </c>
      <c r="S112" s="56" t="n">
        <f aca="false">S111+1</f>
        <v>105</v>
      </c>
      <c r="T112" s="57" t="n">
        <f aca="false">IF(AND(S112&lt;=Assumptions!$C$42,T111=1,X111=0,W111&gt;Assumptions!$C$43),1,0)</f>
        <v>1</v>
      </c>
      <c r="U112" s="58" t="n">
        <f aca="false">W111</f>
        <v>164863.409663382</v>
      </c>
      <c r="V112" s="58" t="n">
        <f aca="false">IF(T112=1,U112*$B$22,0)</f>
        <v>549.544698877941</v>
      </c>
      <c r="W112" s="58" t="n">
        <f aca="false">IF(T112=1,U112+V112-$B$27,U112)</f>
        <v>163893.362261516</v>
      </c>
      <c r="X112" s="56" t="n">
        <f aca="false">IF(T112=1,IF($B$27&lt;=V112,1,0),0)</f>
        <v>0</v>
      </c>
      <c r="Y112" s="58" t="n">
        <f aca="false">Y111+V112</f>
        <v>73450.5328396804</v>
      </c>
    </row>
    <row r="113" customFormat="false" ht="15" hidden="false" customHeight="false" outlineLevel="0" collapsed="false">
      <c r="K113" s="56" t="n">
        <f aca="false">K112+1</f>
        <v>106</v>
      </c>
      <c r="L113" s="57" t="n">
        <f aca="false">IF(AND(K113&lt;=Assumptions!$C$42,L112=1,P112=0,O112&gt;Assumptions!$C$43),1,0)</f>
        <v>1</v>
      </c>
      <c r="M113" s="58" t="n">
        <f aca="false">O112</f>
        <v>188987.872329</v>
      </c>
      <c r="N113" s="58" t="n">
        <f aca="false">IF(L113=1,M113*$B$22,0)</f>
        <v>629.959574429999</v>
      </c>
      <c r="O113" s="58" t="n">
        <f aca="false">IF(L113=1,M113+N113-$B$26,M113)</f>
        <v>188298.239802685</v>
      </c>
      <c r="P113" s="56" t="n">
        <f aca="false">IF(L113=1,IF($B$26&lt;=N113,1,0),0)</f>
        <v>0</v>
      </c>
      <c r="Q113" s="58" t="n">
        <f aca="false">Q112+N113</f>
        <v>78175.0024815944</v>
      </c>
      <c r="S113" s="56" t="n">
        <f aca="false">S112+1</f>
        <v>106</v>
      </c>
      <c r="T113" s="57" t="n">
        <f aca="false">IF(AND(S113&lt;=Assumptions!$C$42,T112=1,X112=0,W112&gt;Assumptions!$C$43),1,0)</f>
        <v>1</v>
      </c>
      <c r="U113" s="58" t="n">
        <f aca="false">W112</f>
        <v>163893.362261516</v>
      </c>
      <c r="V113" s="58" t="n">
        <f aca="false">IF(T113=1,U113*$B$22,0)</f>
        <v>546.311207538386</v>
      </c>
      <c r="W113" s="58" t="n">
        <f aca="false">IF(T113=1,U113+V113-$B$27,U113)</f>
        <v>162920.08136831</v>
      </c>
      <c r="X113" s="56" t="n">
        <f aca="false">IF(T113=1,IF($B$27&lt;=V113,1,0),0)</f>
        <v>0</v>
      </c>
      <c r="Y113" s="58" t="n">
        <f aca="false">Y112+V113</f>
        <v>73996.8440472188</v>
      </c>
    </row>
    <row r="114" customFormat="false" ht="15" hidden="false" customHeight="false" outlineLevel="0" collapsed="false">
      <c r="K114" s="56" t="n">
        <f aca="false">K113+1</f>
        <v>107</v>
      </c>
      <c r="L114" s="57" t="n">
        <f aca="false">IF(AND(K114&lt;=Assumptions!$C$42,L113=1,P113=0,O113&gt;Assumptions!$C$43),1,0)</f>
        <v>1</v>
      </c>
      <c r="M114" s="58" t="n">
        <f aca="false">O113</f>
        <v>188298.239802685</v>
      </c>
      <c r="N114" s="58" t="n">
        <f aca="false">IF(L114=1,M114*$B$22,0)</f>
        <v>627.660799342284</v>
      </c>
      <c r="O114" s="58" t="n">
        <f aca="false">IF(L114=1,M114+N114-$B$26,M114)</f>
        <v>187606.308501283</v>
      </c>
      <c r="P114" s="56" t="n">
        <f aca="false">IF(L114=1,IF($B$26&lt;=N114,1,0),0)</f>
        <v>0</v>
      </c>
      <c r="Q114" s="58" t="n">
        <f aca="false">Q113+N114</f>
        <v>78802.6632809367</v>
      </c>
      <c r="S114" s="56" t="n">
        <f aca="false">S113+1</f>
        <v>107</v>
      </c>
      <c r="T114" s="57" t="n">
        <f aca="false">IF(AND(S114&lt;=Assumptions!$C$42,T113=1,X113=0,W113&gt;Assumptions!$C$43),1,0)</f>
        <v>1</v>
      </c>
      <c r="U114" s="58" t="n">
        <f aca="false">W113</f>
        <v>162920.08136831</v>
      </c>
      <c r="V114" s="58" t="n">
        <f aca="false">IF(T114=1,U114*$B$22,0)</f>
        <v>543.066937894366</v>
      </c>
      <c r="W114" s="58" t="n">
        <f aca="false">IF(T114=1,U114+V114-$B$27,U114)</f>
        <v>161943.55620546</v>
      </c>
      <c r="X114" s="56" t="n">
        <f aca="false">IF(T114=1,IF($B$27&lt;=V114,1,0),0)</f>
        <v>0</v>
      </c>
      <c r="Y114" s="58" t="n">
        <f aca="false">Y113+V114</f>
        <v>74539.9109851132</v>
      </c>
    </row>
    <row r="115" customFormat="false" ht="15" hidden="false" customHeight="false" outlineLevel="0" collapsed="false">
      <c r="K115" s="56" t="n">
        <f aca="false">K114+1</f>
        <v>108</v>
      </c>
      <c r="L115" s="57" t="n">
        <f aca="false">IF(AND(K115&lt;=Assumptions!$C$42,L114=1,P114=0,O114&gt;Assumptions!$C$43),1,0)</f>
        <v>1</v>
      </c>
      <c r="M115" s="58" t="n">
        <f aca="false">O114</f>
        <v>187606.308501283</v>
      </c>
      <c r="N115" s="58" t="n">
        <f aca="false">IF(L115=1,M115*$B$22,0)</f>
        <v>625.354361670943</v>
      </c>
      <c r="O115" s="58" t="n">
        <f aca="false">IF(L115=1,M115+N115-$B$26,M115)</f>
        <v>186912.070762209</v>
      </c>
      <c r="P115" s="56" t="n">
        <f aca="false">IF(L115=1,IF($B$26&lt;=N115,1,0),0)</f>
        <v>0</v>
      </c>
      <c r="Q115" s="58" t="n">
        <f aca="false">Q114+N115</f>
        <v>79428.0176426076</v>
      </c>
      <c r="S115" s="56" t="n">
        <f aca="false">S114+1</f>
        <v>108</v>
      </c>
      <c r="T115" s="57" t="n">
        <f aca="false">IF(AND(S115&lt;=Assumptions!$C$42,T114=1,X114=0,W114&gt;Assumptions!$C$43),1,0)</f>
        <v>1</v>
      </c>
      <c r="U115" s="58" t="n">
        <f aca="false">W114</f>
        <v>161943.55620546</v>
      </c>
      <c r="V115" s="58" t="n">
        <f aca="false">IF(T115=1,U115*$B$22,0)</f>
        <v>539.811854018199</v>
      </c>
      <c r="W115" s="58" t="n">
        <f aca="false">IF(T115=1,U115+V115-$B$27,U115)</f>
        <v>160963.775958733</v>
      </c>
      <c r="X115" s="56" t="n">
        <f aca="false">IF(T115=1,IF($B$27&lt;=V115,1,0),0)</f>
        <v>0</v>
      </c>
      <c r="Y115" s="58" t="n">
        <f aca="false">Y114+V115</f>
        <v>75079.7228391314</v>
      </c>
    </row>
    <row r="116" customFormat="false" ht="15" hidden="false" customHeight="false" outlineLevel="0" collapsed="false">
      <c r="K116" s="56" t="n">
        <f aca="false">K115+1</f>
        <v>109</v>
      </c>
      <c r="L116" s="57" t="n">
        <f aca="false">IF(AND(K116&lt;=Assumptions!$C$42,L115=1,P115=0,O115&gt;Assumptions!$C$43),1,0)</f>
        <v>1</v>
      </c>
      <c r="M116" s="58" t="n">
        <f aca="false">O115</f>
        <v>186912.070762209</v>
      </c>
      <c r="N116" s="58" t="n">
        <f aca="false">IF(L116=1,M116*$B$22,0)</f>
        <v>623.040235874032</v>
      </c>
      <c r="O116" s="58" t="n">
        <f aca="false">IF(L116=1,M116+N116-$B$26,M116)</f>
        <v>186215.518897339</v>
      </c>
      <c r="P116" s="56" t="n">
        <f aca="false">IF(L116=1,IF($B$26&lt;=N116,1,0),0)</f>
        <v>0</v>
      </c>
      <c r="Q116" s="58" t="n">
        <f aca="false">Q115+N116</f>
        <v>80051.0578784817</v>
      </c>
      <c r="S116" s="56" t="n">
        <f aca="false">S115+1</f>
        <v>109</v>
      </c>
      <c r="T116" s="57" t="n">
        <f aca="false">IF(AND(S116&lt;=Assumptions!$C$42,T115=1,X115=0,W115&gt;Assumptions!$C$43),1,0)</f>
        <v>1</v>
      </c>
      <c r="U116" s="58" t="n">
        <f aca="false">W115</f>
        <v>160963.775958733</v>
      </c>
      <c r="V116" s="58" t="n">
        <f aca="false">IF(T116=1,U116*$B$22,0)</f>
        <v>536.545919862445</v>
      </c>
      <c r="W116" s="58" t="n">
        <f aca="false">IF(T116=1,U116+V116-$B$27,U116)</f>
        <v>159980.729777851</v>
      </c>
      <c r="X116" s="56" t="n">
        <f aca="false">IF(T116=1,IF($B$27&lt;=V116,1,0),0)</f>
        <v>0</v>
      </c>
      <c r="Y116" s="58" t="n">
        <f aca="false">Y115+V116</f>
        <v>75616.2687589938</v>
      </c>
    </row>
    <row r="117" customFormat="false" ht="15" hidden="false" customHeight="false" outlineLevel="0" collapsed="false">
      <c r="K117" s="56" t="n">
        <f aca="false">K116+1</f>
        <v>110</v>
      </c>
      <c r="L117" s="57" t="n">
        <f aca="false">IF(AND(K117&lt;=Assumptions!$C$42,L116=1,P116=0,O116&gt;Assumptions!$C$43),1,0)</f>
        <v>1</v>
      </c>
      <c r="M117" s="58" t="n">
        <f aca="false">O116</f>
        <v>186215.518897339</v>
      </c>
      <c r="N117" s="58" t="n">
        <f aca="false">IF(L117=1,M117*$B$22,0)</f>
        <v>620.718396324464</v>
      </c>
      <c r="O117" s="58" t="n">
        <f aca="false">IF(L117=1,M117+N117-$B$26,M117)</f>
        <v>185516.645192919</v>
      </c>
      <c r="P117" s="56" t="n">
        <f aca="false">IF(L117=1,IF($B$26&lt;=N117,1,0),0)</f>
        <v>0</v>
      </c>
      <c r="Q117" s="58" t="n">
        <f aca="false">Q116+N117</f>
        <v>80671.7762748061</v>
      </c>
      <c r="S117" s="56" t="n">
        <f aca="false">S116+1</f>
        <v>110</v>
      </c>
      <c r="T117" s="57" t="n">
        <f aca="false">IF(AND(S117&lt;=Assumptions!$C$42,T116=1,X116=0,W116&gt;Assumptions!$C$43),1,0)</f>
        <v>1</v>
      </c>
      <c r="U117" s="58" t="n">
        <f aca="false">W116</f>
        <v>159980.729777851</v>
      </c>
      <c r="V117" s="58" t="n">
        <f aca="false">IF(T117=1,U117*$B$22,0)</f>
        <v>533.269099259505</v>
      </c>
      <c r="W117" s="58" t="n">
        <f aca="false">IF(T117=1,U117+V117-$B$27,U117)</f>
        <v>158994.406776366</v>
      </c>
      <c r="X117" s="56" t="n">
        <f aca="false">IF(T117=1,IF($B$27&lt;=V117,1,0),0)</f>
        <v>0</v>
      </c>
      <c r="Y117" s="58" t="n">
        <f aca="false">Y116+V117</f>
        <v>76149.5378582533</v>
      </c>
    </row>
    <row r="118" customFormat="false" ht="15" hidden="false" customHeight="false" outlineLevel="0" collapsed="false">
      <c r="K118" s="56" t="n">
        <f aca="false">K117+1</f>
        <v>111</v>
      </c>
      <c r="L118" s="57" t="n">
        <f aca="false">IF(AND(K118&lt;=Assumptions!$C$42,L117=1,P117=0,O117&gt;Assumptions!$C$43),1,0)</f>
        <v>1</v>
      </c>
      <c r="M118" s="58" t="n">
        <f aca="false">O117</f>
        <v>185516.645192919</v>
      </c>
      <c r="N118" s="58" t="n">
        <f aca="false">IF(L118=1,M118*$B$22,0)</f>
        <v>618.388817309731</v>
      </c>
      <c r="O118" s="58" t="n">
        <f aca="false">IF(L118=1,M118+N118-$B$26,M118)</f>
        <v>184815.441909484</v>
      </c>
      <c r="P118" s="56" t="n">
        <f aca="false">IF(L118=1,IF($B$26&lt;=N118,1,0),0)</f>
        <v>0</v>
      </c>
      <c r="Q118" s="58" t="n">
        <f aca="false">Q117+N118</f>
        <v>81290.1650921159</v>
      </c>
      <c r="S118" s="56" t="n">
        <f aca="false">S117+1</f>
        <v>111</v>
      </c>
      <c r="T118" s="57" t="n">
        <f aca="false">IF(AND(S118&lt;=Assumptions!$C$42,T117=1,X117=0,W117&gt;Assumptions!$C$43),1,0)</f>
        <v>1</v>
      </c>
      <c r="U118" s="58" t="n">
        <f aca="false">W117</f>
        <v>158994.406776366</v>
      </c>
      <c r="V118" s="58" t="n">
        <f aca="false">IF(T118=1,U118*$B$22,0)</f>
        <v>529.981355921222</v>
      </c>
      <c r="W118" s="58" t="n">
        <f aca="false">IF(T118=1,U118+V118-$B$27,U118)</f>
        <v>158004.796031543</v>
      </c>
      <c r="X118" s="56" t="n">
        <f aca="false">IF(T118=1,IF($B$27&lt;=V118,1,0),0)</f>
        <v>0</v>
      </c>
      <c r="Y118" s="58" t="n">
        <f aca="false">Y117+V118</f>
        <v>76679.5192141745</v>
      </c>
    </row>
    <row r="119" customFormat="false" ht="15" hidden="false" customHeight="false" outlineLevel="0" collapsed="false">
      <c r="K119" s="56" t="n">
        <f aca="false">K118+1</f>
        <v>112</v>
      </c>
      <c r="L119" s="57" t="n">
        <f aca="false">IF(AND(K119&lt;=Assumptions!$C$42,L118=1,P118=0,O118&gt;Assumptions!$C$43),1,0)</f>
        <v>1</v>
      </c>
      <c r="M119" s="58" t="n">
        <f aca="false">O118</f>
        <v>184815.441909484</v>
      </c>
      <c r="N119" s="58" t="n">
        <f aca="false">IF(L119=1,M119*$B$22,0)</f>
        <v>616.051473031615</v>
      </c>
      <c r="O119" s="58" t="n">
        <f aca="false">IF(L119=1,M119+N119-$B$26,M119)</f>
        <v>184111.901281772</v>
      </c>
      <c r="P119" s="56" t="n">
        <f aca="false">IF(L119=1,IF($B$26&lt;=N119,1,0),0)</f>
        <v>0</v>
      </c>
      <c r="Q119" s="58" t="n">
        <f aca="false">Q118+N119</f>
        <v>81906.2165651475</v>
      </c>
      <c r="S119" s="56" t="n">
        <f aca="false">S118+1</f>
        <v>112</v>
      </c>
      <c r="T119" s="57" t="n">
        <f aca="false">IF(AND(S119&lt;=Assumptions!$C$42,T118=1,X118=0,W118&gt;Assumptions!$C$43),1,0)</f>
        <v>1</v>
      </c>
      <c r="U119" s="58" t="n">
        <f aca="false">W118</f>
        <v>158004.796031543</v>
      </c>
      <c r="V119" s="58" t="n">
        <f aca="false">IF(T119=1,U119*$B$22,0)</f>
        <v>526.682653438478</v>
      </c>
      <c r="W119" s="58" t="n">
        <f aca="false">IF(T119=1,U119+V119-$B$27,U119)</f>
        <v>157011.886584237</v>
      </c>
      <c r="X119" s="56" t="n">
        <f aca="false">IF(T119=1,IF($B$27&lt;=V119,1,0),0)</f>
        <v>0</v>
      </c>
      <c r="Y119" s="58" t="n">
        <f aca="false">Y118+V119</f>
        <v>77206.201867613</v>
      </c>
    </row>
    <row r="120" customFormat="false" ht="15" hidden="false" customHeight="false" outlineLevel="0" collapsed="false">
      <c r="K120" s="56" t="n">
        <f aca="false">K119+1</f>
        <v>113</v>
      </c>
      <c r="L120" s="57" t="n">
        <f aca="false">IF(AND(K120&lt;=Assumptions!$C$42,L119=1,P119=0,O119&gt;Assumptions!$C$43),1,0)</f>
        <v>1</v>
      </c>
      <c r="M120" s="58" t="n">
        <f aca="false">O119</f>
        <v>184111.901281772</v>
      </c>
      <c r="N120" s="58" t="n">
        <f aca="false">IF(L120=1,M120*$B$22,0)</f>
        <v>613.706337605905</v>
      </c>
      <c r="O120" s="58" t="n">
        <f aca="false">IF(L120=1,M120+N120-$B$26,M120)</f>
        <v>183406.015518633</v>
      </c>
      <c r="P120" s="56" t="n">
        <f aca="false">IF(L120=1,IF($B$26&lt;=N120,1,0),0)</f>
        <v>0</v>
      </c>
      <c r="Q120" s="58" t="n">
        <f aca="false">Q119+N120</f>
        <v>82519.9229027534</v>
      </c>
      <c r="S120" s="56" t="n">
        <f aca="false">S119+1</f>
        <v>113</v>
      </c>
      <c r="T120" s="57" t="n">
        <f aca="false">IF(AND(S120&lt;=Assumptions!$C$42,T119=1,X119=0,W119&gt;Assumptions!$C$43),1,0)</f>
        <v>1</v>
      </c>
      <c r="U120" s="58" t="n">
        <f aca="false">W119</f>
        <v>157011.886584237</v>
      </c>
      <c r="V120" s="58" t="n">
        <f aca="false">IF(T120=1,U120*$B$22,0)</f>
        <v>523.372955280791</v>
      </c>
      <c r="W120" s="58" t="n">
        <f aca="false">IF(T120=1,U120+V120-$B$27,U120)</f>
        <v>156015.667438774</v>
      </c>
      <c r="X120" s="56" t="n">
        <f aca="false">IF(T120=1,IF($B$27&lt;=V120,1,0),0)</f>
        <v>0</v>
      </c>
      <c r="Y120" s="58" t="n">
        <f aca="false">Y119+V120</f>
        <v>77729.5748228938</v>
      </c>
    </row>
    <row r="121" customFormat="false" ht="15" hidden="false" customHeight="false" outlineLevel="0" collapsed="false">
      <c r="K121" s="56" t="n">
        <f aca="false">K120+1</f>
        <v>114</v>
      </c>
      <c r="L121" s="57" t="n">
        <f aca="false">IF(AND(K121&lt;=Assumptions!$C$42,L120=1,P120=0,O120&gt;Assumptions!$C$43),1,0)</f>
        <v>1</v>
      </c>
      <c r="M121" s="58" t="n">
        <f aca="false">O120</f>
        <v>183406.015518633</v>
      </c>
      <c r="N121" s="58" t="n">
        <f aca="false">IF(L121=1,M121*$B$22,0)</f>
        <v>611.35338506211</v>
      </c>
      <c r="O121" s="58" t="n">
        <f aca="false">IF(L121=1,M121+N121-$B$26,M121)</f>
        <v>182697.776802951</v>
      </c>
      <c r="P121" s="56" t="n">
        <f aca="false">IF(L121=1,IF($B$26&lt;=N121,1,0),0)</f>
        <v>0</v>
      </c>
      <c r="Q121" s="58" t="n">
        <f aca="false">Q120+N121</f>
        <v>83131.2762878155</v>
      </c>
      <c r="S121" s="56" t="n">
        <f aca="false">S120+1</f>
        <v>114</v>
      </c>
      <c r="T121" s="57" t="n">
        <f aca="false">IF(AND(S121&lt;=Assumptions!$C$42,T120=1,X120=0,W120&gt;Assumptions!$C$43),1,0)</f>
        <v>1</v>
      </c>
      <c r="U121" s="58" t="n">
        <f aca="false">W120</f>
        <v>156015.667438774</v>
      </c>
      <c r="V121" s="58" t="n">
        <f aca="false">IF(T121=1,U121*$B$22,0)</f>
        <v>520.052224795912</v>
      </c>
      <c r="W121" s="58" t="n">
        <f aca="false">IF(T121=1,U121+V121-$B$27,U121)</f>
        <v>155016.127562825</v>
      </c>
      <c r="X121" s="56" t="n">
        <f aca="false">IF(T121=1,IF($B$27&lt;=V121,1,0),0)</f>
        <v>0</v>
      </c>
      <c r="Y121" s="58" t="n">
        <f aca="false">Y120+V121</f>
        <v>78249.6270476897</v>
      </c>
    </row>
    <row r="122" customFormat="false" ht="15" hidden="false" customHeight="false" outlineLevel="0" collapsed="false">
      <c r="K122" s="56" t="n">
        <f aca="false">K121+1</f>
        <v>115</v>
      </c>
      <c r="L122" s="57" t="n">
        <f aca="false">IF(AND(K122&lt;=Assumptions!$C$42,L121=1,P121=0,O121&gt;Assumptions!$C$43),1,0)</f>
        <v>1</v>
      </c>
      <c r="M122" s="58" t="n">
        <f aca="false">O121</f>
        <v>182697.776802951</v>
      </c>
      <c r="N122" s="58" t="n">
        <f aca="false">IF(L122=1,M122*$B$22,0)</f>
        <v>608.992589343169</v>
      </c>
      <c r="O122" s="58" t="n">
        <f aca="false">IF(L122=1,M122+N122-$B$26,M122)</f>
        <v>181987.177291549</v>
      </c>
      <c r="P122" s="56" t="n">
        <f aca="false">IF(L122=1,IF($B$26&lt;=N122,1,0),0)</f>
        <v>0</v>
      </c>
      <c r="Q122" s="58" t="n">
        <f aca="false">Q121+N122</f>
        <v>83740.2688771587</v>
      </c>
      <c r="S122" s="56" t="n">
        <f aca="false">S121+1</f>
        <v>115</v>
      </c>
      <c r="T122" s="57" t="n">
        <f aca="false">IF(AND(S122&lt;=Assumptions!$C$42,T121=1,X121=0,W121&gt;Assumptions!$C$43),1,0)</f>
        <v>1</v>
      </c>
      <c r="U122" s="58" t="n">
        <f aca="false">W121</f>
        <v>155016.127562825</v>
      </c>
      <c r="V122" s="58" t="n">
        <f aca="false">IF(T122=1,U122*$B$22,0)</f>
        <v>516.720425209417</v>
      </c>
      <c r="W122" s="58" t="n">
        <f aca="false">IF(T122=1,U122+V122-$B$27,U122)</f>
        <v>154013.25588729</v>
      </c>
      <c r="X122" s="56" t="n">
        <f aca="false">IF(T122=1,IF($B$27&lt;=V122,1,0),0)</f>
        <v>0</v>
      </c>
      <c r="Y122" s="58" t="n">
        <f aca="false">Y121+V122</f>
        <v>78766.3474728991</v>
      </c>
    </row>
    <row r="123" customFormat="false" ht="15" hidden="false" customHeight="false" outlineLevel="0" collapsed="false">
      <c r="K123" s="56" t="n">
        <f aca="false">K122+1</f>
        <v>116</v>
      </c>
      <c r="L123" s="57" t="n">
        <f aca="false">IF(AND(K123&lt;=Assumptions!$C$42,L122=1,P122=0,O122&gt;Assumptions!$C$43),1,0)</f>
        <v>1</v>
      </c>
      <c r="M123" s="58" t="n">
        <f aca="false">O122</f>
        <v>181987.177291549</v>
      </c>
      <c r="N123" s="58" t="n">
        <f aca="false">IF(L123=1,M123*$B$22,0)</f>
        <v>606.623924305165</v>
      </c>
      <c r="O123" s="58" t="n">
        <f aca="false">IF(L123=1,M123+N123-$B$26,M123)</f>
        <v>181274.20911511</v>
      </c>
      <c r="P123" s="56" t="n">
        <f aca="false">IF(L123=1,IF($B$26&lt;=N123,1,0),0)</f>
        <v>0</v>
      </c>
      <c r="Q123" s="58" t="n">
        <f aca="false">Q122+N123</f>
        <v>84346.8928014638</v>
      </c>
      <c r="S123" s="56" t="n">
        <f aca="false">S122+1</f>
        <v>116</v>
      </c>
      <c r="T123" s="57" t="n">
        <f aca="false">IF(AND(S123&lt;=Assumptions!$C$42,T122=1,X122=0,W122&gt;Assumptions!$C$43),1,0)</f>
        <v>1</v>
      </c>
      <c r="U123" s="58" t="n">
        <f aca="false">W122</f>
        <v>154013.25588729</v>
      </c>
      <c r="V123" s="58" t="n">
        <f aca="false">IF(T123=1,U123*$B$22,0)</f>
        <v>513.377519624301</v>
      </c>
      <c r="W123" s="58" t="n">
        <f aca="false">IF(T123=1,U123+V123-$B$27,U123)</f>
        <v>153007.04130617</v>
      </c>
      <c r="X123" s="56" t="n">
        <f aca="false">IF(T123=1,IF($B$27&lt;=V123,1,0),0)</f>
        <v>0</v>
      </c>
      <c r="Y123" s="58" t="n">
        <f aca="false">Y122+V123</f>
        <v>79279.7249925234</v>
      </c>
    </row>
    <row r="124" customFormat="false" ht="15" hidden="false" customHeight="false" outlineLevel="0" collapsed="false">
      <c r="K124" s="56" t="n">
        <f aca="false">K123+1</f>
        <v>117</v>
      </c>
      <c r="L124" s="57" t="n">
        <f aca="false">IF(AND(K124&lt;=Assumptions!$C$42,L123=1,P123=0,O123&gt;Assumptions!$C$43),1,0)</f>
        <v>1</v>
      </c>
      <c r="M124" s="58" t="n">
        <f aca="false">O123</f>
        <v>181274.20911511</v>
      </c>
      <c r="N124" s="58" t="n">
        <f aca="false">IF(L124=1,M124*$B$22,0)</f>
        <v>604.247363717034</v>
      </c>
      <c r="O124" s="58" t="n">
        <f aca="false">IF(L124=1,M124+N124-$B$26,M124)</f>
        <v>180558.864378083</v>
      </c>
      <c r="P124" s="56" t="n">
        <f aca="false">IF(L124=1,IF($B$26&lt;=N124,1,0),0)</f>
        <v>0</v>
      </c>
      <c r="Q124" s="58" t="n">
        <f aca="false">Q123+N124</f>
        <v>84951.1401651809</v>
      </c>
      <c r="S124" s="56" t="n">
        <f aca="false">S123+1</f>
        <v>117</v>
      </c>
      <c r="T124" s="57" t="n">
        <f aca="false">IF(AND(S124&lt;=Assumptions!$C$42,T123=1,X123=0,W123&gt;Assumptions!$C$43),1,0)</f>
        <v>1</v>
      </c>
      <c r="U124" s="58" t="n">
        <f aca="false">W123</f>
        <v>153007.04130617</v>
      </c>
      <c r="V124" s="58" t="n">
        <f aca="false">IF(T124=1,U124*$B$22,0)</f>
        <v>510.023471020567</v>
      </c>
      <c r="W124" s="58" t="n">
        <f aca="false">IF(T124=1,U124+V124-$B$27,U124)</f>
        <v>151997.472676446</v>
      </c>
      <c r="X124" s="56" t="n">
        <f aca="false">IF(T124=1,IF($B$27&lt;=V124,1,0),0)</f>
        <v>0</v>
      </c>
      <c r="Y124" s="58" t="n">
        <f aca="false">Y123+V124</f>
        <v>79789.748463544</v>
      </c>
    </row>
    <row r="125" customFormat="false" ht="15" hidden="false" customHeight="false" outlineLevel="0" collapsed="false">
      <c r="K125" s="56" t="n">
        <f aca="false">K124+1</f>
        <v>118</v>
      </c>
      <c r="L125" s="57" t="n">
        <f aca="false">IF(AND(K125&lt;=Assumptions!$C$42,L124=1,P124=0,O124&gt;Assumptions!$C$43),1,0)</f>
        <v>1</v>
      </c>
      <c r="M125" s="58" t="n">
        <f aca="false">O124</f>
        <v>180558.864378083</v>
      </c>
      <c r="N125" s="58" t="n">
        <f aca="false">IF(L125=1,M125*$B$22,0)</f>
        <v>601.862881260276</v>
      </c>
      <c r="O125" s="58" t="n">
        <f aca="false">IF(L125=1,M125+N125-$B$26,M125)</f>
        <v>179841.135158599</v>
      </c>
      <c r="P125" s="56" t="n">
        <f aca="false">IF(L125=1,IF($B$26&lt;=N125,1,0),0)</f>
        <v>0</v>
      </c>
      <c r="Q125" s="58" t="n">
        <f aca="false">Q124+N125</f>
        <v>85553.0030464411</v>
      </c>
      <c r="S125" s="56" t="n">
        <f aca="false">S124+1</f>
        <v>118</v>
      </c>
      <c r="T125" s="57" t="n">
        <f aca="false">IF(AND(S125&lt;=Assumptions!$C$42,T124=1,X124=0,W124&gt;Assumptions!$C$43),1,0)</f>
        <v>1</v>
      </c>
      <c r="U125" s="58" t="n">
        <f aca="false">W124</f>
        <v>151997.472676446</v>
      </c>
      <c r="V125" s="58" t="n">
        <f aca="false">IF(T125=1,U125*$B$22,0)</f>
        <v>506.658242254821</v>
      </c>
      <c r="W125" s="58" t="n">
        <f aca="false">IF(T125=1,U125+V125-$B$27,U125)</f>
        <v>150984.538817957</v>
      </c>
      <c r="X125" s="56" t="n">
        <f aca="false">IF(T125=1,IF($B$27&lt;=V125,1,0),0)</f>
        <v>0</v>
      </c>
      <c r="Y125" s="58" t="n">
        <f aca="false">Y124+V125</f>
        <v>80296.4067057988</v>
      </c>
    </row>
    <row r="126" customFormat="false" ht="15" hidden="false" customHeight="false" outlineLevel="0" collapsed="false">
      <c r="K126" s="56" t="n">
        <f aca="false">K125+1</f>
        <v>119</v>
      </c>
      <c r="L126" s="57" t="n">
        <f aca="false">IF(AND(K126&lt;=Assumptions!$C$42,L125=1,P125=0,O125&gt;Assumptions!$C$43),1,0)</f>
        <v>1</v>
      </c>
      <c r="M126" s="58" t="n">
        <f aca="false">O125</f>
        <v>179841.135158599</v>
      </c>
      <c r="N126" s="58" t="n">
        <f aca="false">IF(L126=1,M126*$B$22,0)</f>
        <v>599.470450528662</v>
      </c>
      <c r="O126" s="58" t="n">
        <f aca="false">IF(L126=1,M126+N126-$B$26,M126)</f>
        <v>179121.013508383</v>
      </c>
      <c r="P126" s="56" t="n">
        <f aca="false">IF(L126=1,IF($B$26&lt;=N126,1,0),0)</f>
        <v>0</v>
      </c>
      <c r="Q126" s="58" t="n">
        <f aca="false">Q125+N126</f>
        <v>86152.4734969698</v>
      </c>
      <c r="S126" s="56" t="n">
        <f aca="false">S125+1</f>
        <v>119</v>
      </c>
      <c r="T126" s="57" t="n">
        <f aca="false">IF(AND(S126&lt;=Assumptions!$C$42,T125=1,X125=0,W125&gt;Assumptions!$C$43),1,0)</f>
        <v>1</v>
      </c>
      <c r="U126" s="58" t="n">
        <f aca="false">W125</f>
        <v>150984.538817957</v>
      </c>
      <c r="V126" s="58" t="n">
        <f aca="false">IF(T126=1,U126*$B$22,0)</f>
        <v>503.281796059855</v>
      </c>
      <c r="W126" s="58" t="n">
        <f aca="false">IF(T126=1,U126+V126-$B$27,U126)</f>
        <v>149968.228513272</v>
      </c>
      <c r="X126" s="56" t="n">
        <f aca="false">IF(T126=1,IF($B$27&lt;=V126,1,0),0)</f>
        <v>0</v>
      </c>
      <c r="Y126" s="58" t="n">
        <f aca="false">Y125+V126</f>
        <v>80799.6885018587</v>
      </c>
    </row>
    <row r="127" customFormat="false" ht="15" hidden="false" customHeight="false" outlineLevel="0" collapsed="false">
      <c r="K127" s="56" t="n">
        <f aca="false">K126+1</f>
        <v>120</v>
      </c>
      <c r="L127" s="57" t="n">
        <f aca="false">IF(AND(K127&lt;=Assumptions!$C$42,L126=1,P126=0,O126&gt;Assumptions!$C$43),1,0)</f>
        <v>1</v>
      </c>
      <c r="M127" s="58" t="n">
        <f aca="false">O126</f>
        <v>179121.013508383</v>
      </c>
      <c r="N127" s="58" t="n">
        <f aca="false">IF(L127=1,M127*$B$22,0)</f>
        <v>597.070045027943</v>
      </c>
      <c r="O127" s="58" t="n">
        <f aca="false">IF(L127=1,M127+N127-$B$26,M127)</f>
        <v>178398.491452666</v>
      </c>
      <c r="P127" s="56" t="n">
        <f aca="false">IF(L127=1,IF($B$26&lt;=N127,1,0),0)</f>
        <v>0</v>
      </c>
      <c r="Q127" s="58" t="n">
        <f aca="false">Q126+N127</f>
        <v>86749.5435419977</v>
      </c>
      <c r="S127" s="56" t="n">
        <f aca="false">S126+1</f>
        <v>120</v>
      </c>
      <c r="T127" s="57" t="n">
        <f aca="false">IF(AND(S127&lt;=Assumptions!$C$42,T126=1,X126=0,W126&gt;Assumptions!$C$43),1,0)</f>
        <v>1</v>
      </c>
      <c r="U127" s="58" t="n">
        <f aca="false">W126</f>
        <v>149968.228513272</v>
      </c>
      <c r="V127" s="58" t="n">
        <f aca="false">IF(T127=1,U127*$B$22,0)</f>
        <v>499.89409504424</v>
      </c>
      <c r="W127" s="58" t="n">
        <f aca="false">IF(T127=1,U127+V127-$B$27,U127)</f>
        <v>148948.530507572</v>
      </c>
      <c r="X127" s="56" t="n">
        <f aca="false">IF(T127=1,IF($B$27&lt;=V127,1,0),0)</f>
        <v>0</v>
      </c>
      <c r="Y127" s="58" t="n">
        <f aca="false">Y126+V127</f>
        <v>81299.5825969029</v>
      </c>
    </row>
    <row r="128" customFormat="false" ht="15" hidden="false" customHeight="false" outlineLevel="0" collapsed="false">
      <c r="K128" s="56" t="n">
        <f aca="false">K127+1</f>
        <v>121</v>
      </c>
      <c r="L128" s="57" t="n">
        <f aca="false">IF(AND(K128&lt;=Assumptions!$C$42,L127=1,P127=0,O127&gt;Assumptions!$C$43),1,0)</f>
        <v>1</v>
      </c>
      <c r="M128" s="58" t="n">
        <f aca="false">O127</f>
        <v>178398.491452666</v>
      </c>
      <c r="N128" s="58" t="n">
        <f aca="false">IF(L128=1,M128*$B$22,0)</f>
        <v>594.661638175555</v>
      </c>
      <c r="O128" s="58" t="n">
        <f aca="false">IF(L128=1,M128+N128-$B$26,M128)</f>
        <v>177673.560990098</v>
      </c>
      <c r="P128" s="56" t="n">
        <f aca="false">IF(L128=1,IF($B$26&lt;=N128,1,0),0)</f>
        <v>0</v>
      </c>
      <c r="Q128" s="58" t="n">
        <f aca="false">Q127+N128</f>
        <v>87344.2051801733</v>
      </c>
      <c r="S128" s="56" t="n">
        <f aca="false">S127+1</f>
        <v>121</v>
      </c>
      <c r="T128" s="57" t="n">
        <f aca="false">IF(AND(S128&lt;=Assumptions!$C$42,T127=1,X127=0,W127&gt;Assumptions!$C$43),1,0)</f>
        <v>1</v>
      </c>
      <c r="U128" s="58" t="n">
        <f aca="false">W127</f>
        <v>148948.530507572</v>
      </c>
      <c r="V128" s="58" t="n">
        <f aca="false">IF(T128=1,U128*$B$22,0)</f>
        <v>496.495101691906</v>
      </c>
      <c r="W128" s="58" t="n">
        <f aca="false">IF(T128=1,U128+V128-$B$27,U128)</f>
        <v>147925.433508519</v>
      </c>
      <c r="X128" s="56" t="n">
        <f aca="false">IF(T128=1,IF($B$27&lt;=V128,1,0),0)</f>
        <v>0</v>
      </c>
      <c r="Y128" s="58" t="n">
        <f aca="false">Y127+V128</f>
        <v>81796.0776985948</v>
      </c>
    </row>
    <row r="129" customFormat="false" ht="15" hidden="false" customHeight="false" outlineLevel="0" collapsed="false">
      <c r="K129" s="56" t="n">
        <f aca="false">K128+1</f>
        <v>122</v>
      </c>
      <c r="L129" s="57" t="n">
        <f aca="false">IF(AND(K129&lt;=Assumptions!$C$42,L128=1,P128=0,O128&gt;Assumptions!$C$43),1,0)</f>
        <v>1</v>
      </c>
      <c r="M129" s="58" t="n">
        <f aca="false">O128</f>
        <v>177673.560990098</v>
      </c>
      <c r="N129" s="58" t="n">
        <f aca="false">IF(L129=1,M129*$B$22,0)</f>
        <v>592.245203300325</v>
      </c>
      <c r="O129" s="58" t="n">
        <f aca="false">IF(L129=1,M129+N129-$B$26,M129)</f>
        <v>176946.214092653</v>
      </c>
      <c r="P129" s="56" t="n">
        <f aca="false">IF(L129=1,IF($B$26&lt;=N129,1,0),0)</f>
        <v>0</v>
      </c>
      <c r="Q129" s="58" t="n">
        <f aca="false">Q128+N129</f>
        <v>87936.4503834736</v>
      </c>
      <c r="S129" s="56" t="n">
        <f aca="false">S128+1</f>
        <v>122</v>
      </c>
      <c r="T129" s="57" t="n">
        <f aca="false">IF(AND(S129&lt;=Assumptions!$C$42,T128=1,X128=0,W128&gt;Assumptions!$C$43),1,0)</f>
        <v>1</v>
      </c>
      <c r="U129" s="58" t="n">
        <f aca="false">W128</f>
        <v>147925.433508519</v>
      </c>
      <c r="V129" s="58" t="n">
        <f aca="false">IF(T129=1,U129*$B$22,0)</f>
        <v>493.084778361731</v>
      </c>
      <c r="W129" s="58" t="n">
        <f aca="false">IF(T129=1,U129+V129-$B$27,U129)</f>
        <v>146898.926186137</v>
      </c>
      <c r="X129" s="56" t="n">
        <f aca="false">IF(T129=1,IF($B$27&lt;=V129,1,0),0)</f>
        <v>0</v>
      </c>
      <c r="Y129" s="58" t="n">
        <f aca="false">Y128+V129</f>
        <v>82289.1624769566</v>
      </c>
    </row>
    <row r="130" customFormat="false" ht="15" hidden="false" customHeight="false" outlineLevel="0" collapsed="false">
      <c r="K130" s="56" t="n">
        <f aca="false">K129+1</f>
        <v>123</v>
      </c>
      <c r="L130" s="57" t="n">
        <f aca="false">IF(AND(K130&lt;=Assumptions!$C$42,L129=1,P129=0,O129&gt;Assumptions!$C$43),1,0)</f>
        <v>1</v>
      </c>
      <c r="M130" s="58" t="n">
        <f aca="false">O129</f>
        <v>176946.214092653</v>
      </c>
      <c r="N130" s="58" t="n">
        <f aca="false">IF(L130=1,M130*$B$22,0)</f>
        <v>589.820713642178</v>
      </c>
      <c r="O130" s="58" t="n">
        <f aca="false">IF(L130=1,M130+N130-$B$26,M130)</f>
        <v>176216.442705551</v>
      </c>
      <c r="P130" s="56" t="n">
        <f aca="false">IF(L130=1,IF($B$26&lt;=N130,1,0),0)</f>
        <v>0</v>
      </c>
      <c r="Q130" s="58" t="n">
        <f aca="false">Q129+N130</f>
        <v>88526.2710971158</v>
      </c>
      <c r="S130" s="56" t="n">
        <f aca="false">S129+1</f>
        <v>123</v>
      </c>
      <c r="T130" s="57" t="n">
        <f aca="false">IF(AND(S130&lt;=Assumptions!$C$42,T129=1,X129=0,W129&gt;Assumptions!$C$43),1,0)</f>
        <v>1</v>
      </c>
      <c r="U130" s="58" t="n">
        <f aca="false">W129</f>
        <v>146898.926186137</v>
      </c>
      <c r="V130" s="58" t="n">
        <f aca="false">IF(T130=1,U130*$B$22,0)</f>
        <v>489.663087287122</v>
      </c>
      <c r="W130" s="58" t="n">
        <f aca="false">IF(T130=1,U130+V130-$B$27,U130)</f>
        <v>145868.997172679</v>
      </c>
      <c r="X130" s="56" t="n">
        <f aca="false">IF(T130=1,IF($B$27&lt;=V130,1,0),0)</f>
        <v>0</v>
      </c>
      <c r="Y130" s="58" t="n">
        <f aca="false">Y129+V130</f>
        <v>82778.8255642437</v>
      </c>
    </row>
    <row r="131" customFormat="false" ht="15" hidden="false" customHeight="false" outlineLevel="0" collapsed="false">
      <c r="K131" s="56" t="n">
        <f aca="false">K130+1</f>
        <v>124</v>
      </c>
      <c r="L131" s="57" t="n">
        <f aca="false">IF(AND(K131&lt;=Assumptions!$C$42,L130=1,P130=0,O130&gt;Assumptions!$C$43),1,0)</f>
        <v>1</v>
      </c>
      <c r="M131" s="58" t="n">
        <f aca="false">O130</f>
        <v>176216.442705551</v>
      </c>
      <c r="N131" s="58" t="n">
        <f aca="false">IF(L131=1,M131*$B$22,0)</f>
        <v>587.388142351837</v>
      </c>
      <c r="O131" s="58" t="n">
        <f aca="false">IF(L131=1,M131+N131-$B$26,M131)</f>
        <v>175484.238747159</v>
      </c>
      <c r="P131" s="56" t="n">
        <f aca="false">IF(L131=1,IF($B$26&lt;=N131,1,0),0)</f>
        <v>0</v>
      </c>
      <c r="Q131" s="58" t="n">
        <f aca="false">Q130+N131</f>
        <v>89113.6592394676</v>
      </c>
      <c r="S131" s="56" t="n">
        <f aca="false">S130+1</f>
        <v>124</v>
      </c>
      <c r="T131" s="57" t="n">
        <f aca="false">IF(AND(S131&lt;=Assumptions!$C$42,T130=1,X130=0,W130&gt;Assumptions!$C$43),1,0)</f>
        <v>1</v>
      </c>
      <c r="U131" s="58" t="n">
        <f aca="false">W130</f>
        <v>145868.997172679</v>
      </c>
      <c r="V131" s="58" t="n">
        <f aca="false">IF(T131=1,U131*$B$22,0)</f>
        <v>486.229990575598</v>
      </c>
      <c r="W131" s="58" t="n">
        <f aca="false">IF(T131=1,U131+V131-$B$27,U131)</f>
        <v>144835.63506251</v>
      </c>
      <c r="X131" s="56" t="n">
        <f aca="false">IF(T131=1,IF($B$27&lt;=V131,1,0),0)</f>
        <v>0</v>
      </c>
      <c r="Y131" s="58" t="n">
        <f aca="false">Y130+V131</f>
        <v>83265.0555548193</v>
      </c>
    </row>
    <row r="132" customFormat="false" ht="15" hidden="false" customHeight="false" outlineLevel="0" collapsed="false">
      <c r="K132" s="56" t="n">
        <f aca="false">K131+1</f>
        <v>125</v>
      </c>
      <c r="L132" s="57" t="n">
        <f aca="false">IF(AND(K132&lt;=Assumptions!$C$42,L131=1,P131=0,O131&gt;Assumptions!$C$43),1,0)</f>
        <v>1</v>
      </c>
      <c r="M132" s="58" t="n">
        <f aca="false">O131</f>
        <v>175484.238747159</v>
      </c>
      <c r="N132" s="58" t="n">
        <f aca="false">IF(L132=1,M132*$B$22,0)</f>
        <v>584.947462490529</v>
      </c>
      <c r="O132" s="58" t="n">
        <f aca="false">IF(L132=1,M132+N132-$B$26,M132)</f>
        <v>174749.594108905</v>
      </c>
      <c r="P132" s="56" t="n">
        <f aca="false">IF(L132=1,IF($B$26&lt;=N132,1,0),0)</f>
        <v>0</v>
      </c>
      <c r="Q132" s="58" t="n">
        <f aca="false">Q131+N132</f>
        <v>89698.6067019582</v>
      </c>
      <c r="S132" s="56" t="n">
        <f aca="false">S131+1</f>
        <v>125</v>
      </c>
      <c r="T132" s="57" t="n">
        <f aca="false">IF(AND(S132&lt;=Assumptions!$C$42,T131=1,X131=0,W131&gt;Assumptions!$C$43),1,0)</f>
        <v>1</v>
      </c>
      <c r="U132" s="58" t="n">
        <f aca="false">W131</f>
        <v>144835.63506251</v>
      </c>
      <c r="V132" s="58" t="n">
        <f aca="false">IF(T132=1,U132*$B$22,0)</f>
        <v>482.785450208368</v>
      </c>
      <c r="W132" s="58" t="n">
        <f aca="false">IF(T132=1,U132+V132-$B$27,U132)</f>
        <v>143798.828411974</v>
      </c>
      <c r="X132" s="56" t="n">
        <f aca="false">IF(T132=1,IF($B$27&lt;=V132,1,0),0)</f>
        <v>0</v>
      </c>
      <c r="Y132" s="58" t="n">
        <f aca="false">Y131+V132</f>
        <v>83747.8410050276</v>
      </c>
    </row>
    <row r="133" customFormat="false" ht="15" hidden="false" customHeight="false" outlineLevel="0" collapsed="false">
      <c r="K133" s="56" t="n">
        <f aca="false">K132+1</f>
        <v>126</v>
      </c>
      <c r="L133" s="57" t="n">
        <f aca="false">IF(AND(K133&lt;=Assumptions!$C$42,L132=1,P132=0,O132&gt;Assumptions!$C$43),1,0)</f>
        <v>1</v>
      </c>
      <c r="M133" s="58" t="n">
        <f aca="false">O132</f>
        <v>174749.594108905</v>
      </c>
      <c r="N133" s="58" t="n">
        <f aca="false">IF(L133=1,M133*$B$22,0)</f>
        <v>582.498647029682</v>
      </c>
      <c r="O133" s="58" t="n">
        <f aca="false">IF(L133=1,M133+N133-$B$26,M133)</f>
        <v>174012.50065519</v>
      </c>
      <c r="P133" s="56" t="n">
        <f aca="false">IF(L133=1,IF($B$26&lt;=N133,1,0),0)</f>
        <v>0</v>
      </c>
      <c r="Q133" s="58" t="n">
        <f aca="false">Q132+N133</f>
        <v>90281.1053489879</v>
      </c>
      <c r="S133" s="56" t="n">
        <f aca="false">S132+1</f>
        <v>126</v>
      </c>
      <c r="T133" s="57" t="n">
        <f aca="false">IF(AND(S133&lt;=Assumptions!$C$42,T132=1,X132=0,W132&gt;Assumptions!$C$43),1,0)</f>
        <v>1</v>
      </c>
      <c r="U133" s="58" t="n">
        <f aca="false">W132</f>
        <v>143798.828411974</v>
      </c>
      <c r="V133" s="58" t="n">
        <f aca="false">IF(T133=1,U133*$B$22,0)</f>
        <v>479.329428039915</v>
      </c>
      <c r="W133" s="58" t="n">
        <f aca="false">IF(T133=1,U133+V133-$B$27,U133)</f>
        <v>142758.56573927</v>
      </c>
      <c r="X133" s="56" t="n">
        <f aca="false">IF(T133=1,IF($B$27&lt;=V133,1,0),0)</f>
        <v>0</v>
      </c>
      <c r="Y133" s="58" t="n">
        <f aca="false">Y132+V133</f>
        <v>84227.1704330676</v>
      </c>
    </row>
    <row r="134" customFormat="false" ht="15" hidden="false" customHeight="false" outlineLevel="0" collapsed="false">
      <c r="K134" s="56" t="n">
        <f aca="false">K133+1</f>
        <v>127</v>
      </c>
      <c r="L134" s="57" t="n">
        <f aca="false">IF(AND(K134&lt;=Assumptions!$C$42,L133=1,P133=0,O133&gt;Assumptions!$C$43),1,0)</f>
        <v>1</v>
      </c>
      <c r="M134" s="58" t="n">
        <f aca="false">O133</f>
        <v>174012.50065519</v>
      </c>
      <c r="N134" s="58" t="n">
        <f aca="false">IF(L134=1,M134*$B$22,0)</f>
        <v>580.041668850633</v>
      </c>
      <c r="O134" s="58" t="n">
        <f aca="false">IF(L134=1,M134+N134-$B$26,M134)</f>
        <v>173272.950223296</v>
      </c>
      <c r="P134" s="56" t="n">
        <f aca="false">IF(L134=1,IF($B$26&lt;=N134,1,0),0)</f>
        <v>0</v>
      </c>
      <c r="Q134" s="58" t="n">
        <f aca="false">Q133+N134</f>
        <v>90861.1470178385</v>
      </c>
      <c r="S134" s="56" t="n">
        <f aca="false">S133+1</f>
        <v>127</v>
      </c>
      <c r="T134" s="57" t="n">
        <f aca="false">IF(AND(S134&lt;=Assumptions!$C$42,T133=1,X133=0,W133&gt;Assumptions!$C$43),1,0)</f>
        <v>1</v>
      </c>
      <c r="U134" s="58" t="n">
        <f aca="false">W133</f>
        <v>142758.56573927</v>
      </c>
      <c r="V134" s="58" t="n">
        <f aca="false">IF(T134=1,U134*$B$22,0)</f>
        <v>475.861885797566</v>
      </c>
      <c r="W134" s="58" t="n">
        <f aca="false">IF(T134=1,U134+V134-$B$27,U134)</f>
        <v>141714.835524323</v>
      </c>
      <c r="X134" s="56" t="n">
        <f aca="false">IF(T134=1,IF($B$27&lt;=V134,1,0),0)</f>
        <v>0</v>
      </c>
      <c r="Y134" s="58" t="n">
        <f aca="false">Y133+V134</f>
        <v>84703.0323188651</v>
      </c>
    </row>
    <row r="135" customFormat="false" ht="15" hidden="false" customHeight="false" outlineLevel="0" collapsed="false">
      <c r="K135" s="56" t="n">
        <f aca="false">K134+1</f>
        <v>128</v>
      </c>
      <c r="L135" s="57" t="n">
        <f aca="false">IF(AND(K135&lt;=Assumptions!$C$42,L134=1,P134=0,O134&gt;Assumptions!$C$43),1,0)</f>
        <v>1</v>
      </c>
      <c r="M135" s="58" t="n">
        <f aca="false">O134</f>
        <v>173272.950223296</v>
      </c>
      <c r="N135" s="58" t="n">
        <f aca="false">IF(L135=1,M135*$B$22,0)</f>
        <v>577.576500744321</v>
      </c>
      <c r="O135" s="58" t="n">
        <f aca="false">IF(L135=1,M135+N135-$B$26,M135)</f>
        <v>172530.934623296</v>
      </c>
      <c r="P135" s="56" t="n">
        <f aca="false">IF(L135=1,IF($B$26&lt;=N135,1,0),0)</f>
        <v>0</v>
      </c>
      <c r="Q135" s="58" t="n">
        <f aca="false">Q134+N135</f>
        <v>91438.7235185828</v>
      </c>
      <c r="S135" s="56" t="n">
        <f aca="false">S134+1</f>
        <v>128</v>
      </c>
      <c r="T135" s="57" t="n">
        <f aca="false">IF(AND(S135&lt;=Assumptions!$C$42,T134=1,X134=0,W134&gt;Assumptions!$C$43),1,0)</f>
        <v>1</v>
      </c>
      <c r="U135" s="58" t="n">
        <f aca="false">W134</f>
        <v>141714.835524323</v>
      </c>
      <c r="V135" s="58" t="n">
        <f aca="false">IF(T135=1,U135*$B$22,0)</f>
        <v>472.382785081077</v>
      </c>
      <c r="W135" s="58" t="n">
        <f aca="false">IF(T135=1,U135+V135-$B$27,U135)</f>
        <v>140667.62620866</v>
      </c>
      <c r="X135" s="56" t="n">
        <f aca="false">IF(T135=1,IF($B$27&lt;=V135,1,0),0)</f>
        <v>0</v>
      </c>
      <c r="Y135" s="58" t="n">
        <f aca="false">Y134+V135</f>
        <v>85175.4151039462</v>
      </c>
    </row>
    <row r="136" customFormat="false" ht="15" hidden="false" customHeight="false" outlineLevel="0" collapsed="false">
      <c r="K136" s="56" t="n">
        <f aca="false">K135+1</f>
        <v>129</v>
      </c>
      <c r="L136" s="57" t="n">
        <f aca="false">IF(AND(K136&lt;=Assumptions!$C$42,L135=1,P135=0,O135&gt;Assumptions!$C$43),1,0)</f>
        <v>1</v>
      </c>
      <c r="M136" s="58" t="n">
        <f aca="false">O135</f>
        <v>172530.934623296</v>
      </c>
      <c r="N136" s="58" t="n">
        <f aca="false">IF(L136=1,M136*$B$22,0)</f>
        <v>575.103115410987</v>
      </c>
      <c r="O136" s="58" t="n">
        <f aca="false">IF(L136=1,M136+N136-$B$26,M136)</f>
        <v>171786.445637963</v>
      </c>
      <c r="P136" s="56" t="n">
        <f aca="false">IF(L136=1,IF($B$26&lt;=N136,1,0),0)</f>
        <v>0</v>
      </c>
      <c r="Q136" s="58" t="n">
        <f aca="false">Q135+N136</f>
        <v>92013.8266339938</v>
      </c>
      <c r="S136" s="56" t="n">
        <f aca="false">S135+1</f>
        <v>129</v>
      </c>
      <c r="T136" s="57" t="n">
        <f aca="false">IF(AND(S136&lt;=Assumptions!$C$42,T135=1,X135=0,W135&gt;Assumptions!$C$43),1,0)</f>
        <v>1</v>
      </c>
      <c r="U136" s="58" t="n">
        <f aca="false">W135</f>
        <v>140667.62620866</v>
      </c>
      <c r="V136" s="58" t="n">
        <f aca="false">IF(T136=1,U136*$B$22,0)</f>
        <v>468.892087362199</v>
      </c>
      <c r="W136" s="58" t="n">
        <f aca="false">IF(T136=1,U136+V136-$B$27,U136)</f>
        <v>139616.926195277</v>
      </c>
      <c r="X136" s="56" t="n">
        <f aca="false">IF(T136=1,IF($B$27&lt;=V136,1,0),0)</f>
        <v>0</v>
      </c>
      <c r="Y136" s="58" t="n">
        <f aca="false">Y135+V136</f>
        <v>85644.3071913084</v>
      </c>
    </row>
    <row r="137" customFormat="false" ht="15" hidden="false" customHeight="false" outlineLevel="0" collapsed="false">
      <c r="K137" s="56" t="n">
        <f aca="false">K136+1</f>
        <v>130</v>
      </c>
      <c r="L137" s="57" t="n">
        <f aca="false">IF(AND(K137&lt;=Assumptions!$C$42,L136=1,P136=0,O136&gt;Assumptions!$C$43),1,0)</f>
        <v>1</v>
      </c>
      <c r="M137" s="58" t="n">
        <f aca="false">O136</f>
        <v>171786.445637963</v>
      </c>
      <c r="N137" s="58" t="n">
        <f aca="false">IF(L137=1,M137*$B$22,0)</f>
        <v>572.621485459876</v>
      </c>
      <c r="O137" s="58" t="n">
        <f aca="false">IF(L137=1,M137+N137-$B$26,M137)</f>
        <v>171039.475022678</v>
      </c>
      <c r="P137" s="56" t="n">
        <f aca="false">IF(L137=1,IF($B$26&lt;=N137,1,0),0)</f>
        <v>0</v>
      </c>
      <c r="Q137" s="58" t="n">
        <f aca="false">Q136+N137</f>
        <v>92586.4481194537</v>
      </c>
      <c r="S137" s="56" t="n">
        <f aca="false">S136+1</f>
        <v>130</v>
      </c>
      <c r="T137" s="57" t="n">
        <f aca="false">IF(AND(S137&lt;=Assumptions!$C$42,T136=1,X136=0,W136&gt;Assumptions!$C$43),1,0)</f>
        <v>1</v>
      </c>
      <c r="U137" s="58" t="n">
        <f aca="false">W136</f>
        <v>139616.926195277</v>
      </c>
      <c r="V137" s="58" t="n">
        <f aca="false">IF(T137=1,U137*$B$22,0)</f>
        <v>465.389753984258</v>
      </c>
      <c r="W137" s="58" t="n">
        <f aca="false">IF(T137=1,U137+V137-$B$27,U137)</f>
        <v>138562.723848517</v>
      </c>
      <c r="X137" s="56" t="n">
        <f aca="false">IF(T137=1,IF($B$27&lt;=V137,1,0),0)</f>
        <v>0</v>
      </c>
      <c r="Y137" s="58" t="n">
        <f aca="false">Y136+V137</f>
        <v>86109.6969452927</v>
      </c>
    </row>
    <row r="138" customFormat="false" ht="15" hidden="false" customHeight="false" outlineLevel="0" collapsed="false">
      <c r="K138" s="56" t="n">
        <f aca="false">K137+1</f>
        <v>131</v>
      </c>
      <c r="L138" s="57" t="n">
        <f aca="false">IF(AND(K138&lt;=Assumptions!$C$42,L137=1,P137=0,O137&gt;Assumptions!$C$43),1,0)</f>
        <v>1</v>
      </c>
      <c r="M138" s="58" t="n">
        <f aca="false">O137</f>
        <v>171039.475022678</v>
      </c>
      <c r="N138" s="58" t="n">
        <f aca="false">IF(L138=1,M138*$B$22,0)</f>
        <v>570.131583408927</v>
      </c>
      <c r="O138" s="58" t="n">
        <f aca="false">IF(L138=1,M138+N138-$B$26,M138)</f>
        <v>170290.014505343</v>
      </c>
      <c r="P138" s="56" t="n">
        <f aca="false">IF(L138=1,IF($B$26&lt;=N138,1,0),0)</f>
        <v>0</v>
      </c>
      <c r="Q138" s="58" t="n">
        <f aca="false">Q137+N138</f>
        <v>93156.5797028626</v>
      </c>
      <c r="S138" s="56" t="n">
        <f aca="false">S137+1</f>
        <v>131</v>
      </c>
      <c r="T138" s="57" t="n">
        <f aca="false">IF(AND(S138&lt;=Assumptions!$C$42,T137=1,X137=0,W137&gt;Assumptions!$C$43),1,0)</f>
        <v>1</v>
      </c>
      <c r="U138" s="58" t="n">
        <f aca="false">W137</f>
        <v>138562.723848517</v>
      </c>
      <c r="V138" s="58" t="n">
        <f aca="false">IF(T138=1,U138*$B$22,0)</f>
        <v>461.875746161724</v>
      </c>
      <c r="W138" s="58" t="n">
        <f aca="false">IF(T138=1,U138+V138-$B$27,U138)</f>
        <v>137505.007493935</v>
      </c>
      <c r="X138" s="56" t="n">
        <f aca="false">IF(T138=1,IF($B$27&lt;=V138,1,0),0)</f>
        <v>0</v>
      </c>
      <c r="Y138" s="58" t="n">
        <f aca="false">Y137+V138</f>
        <v>86571.5726914544</v>
      </c>
    </row>
    <row r="139" customFormat="false" ht="15" hidden="false" customHeight="false" outlineLevel="0" collapsed="false">
      <c r="K139" s="56" t="n">
        <f aca="false">K138+1</f>
        <v>132</v>
      </c>
      <c r="L139" s="57" t="n">
        <f aca="false">IF(AND(K139&lt;=Assumptions!$C$42,L138=1,P138=0,O138&gt;Assumptions!$C$43),1,0)</f>
        <v>1</v>
      </c>
      <c r="M139" s="58" t="n">
        <f aca="false">O138</f>
        <v>170290.014505343</v>
      </c>
      <c r="N139" s="58" t="n">
        <f aca="false">IF(L139=1,M139*$B$22,0)</f>
        <v>567.633381684475</v>
      </c>
      <c r="O139" s="58" t="n">
        <f aca="false">IF(L139=1,M139+N139-$B$26,M139)</f>
        <v>169538.055786283</v>
      </c>
      <c r="P139" s="56" t="n">
        <f aca="false">IF(L139=1,IF($B$26&lt;=N139,1,0),0)</f>
        <v>0</v>
      </c>
      <c r="Q139" s="58" t="n">
        <f aca="false">Q138+N139</f>
        <v>93724.2130845471</v>
      </c>
      <c r="S139" s="56" t="n">
        <f aca="false">S138+1</f>
        <v>132</v>
      </c>
      <c r="T139" s="57" t="n">
        <f aca="false">IF(AND(S139&lt;=Assumptions!$C$42,T138=1,X138=0,W138&gt;Assumptions!$C$43),1,0)</f>
        <v>1</v>
      </c>
      <c r="U139" s="58" t="n">
        <f aca="false">W138</f>
        <v>137505.007493935</v>
      </c>
      <c r="V139" s="58" t="n">
        <f aca="false">IF(T139=1,U139*$B$22,0)</f>
        <v>458.350024979782</v>
      </c>
      <c r="W139" s="58" t="n">
        <f aca="false">IF(T139=1,U139+V139-$B$27,U139)</f>
        <v>136443.76541817</v>
      </c>
      <c r="X139" s="56" t="n">
        <f aca="false">IF(T139=1,IF($B$27&lt;=V139,1,0),0)</f>
        <v>0</v>
      </c>
      <c r="Y139" s="58" t="n">
        <f aca="false">Y138+V139</f>
        <v>87029.9227164342</v>
      </c>
    </row>
    <row r="140" customFormat="false" ht="15" hidden="false" customHeight="false" outlineLevel="0" collapsed="false">
      <c r="K140" s="56" t="n">
        <f aca="false">K139+1</f>
        <v>133</v>
      </c>
      <c r="L140" s="57" t="n">
        <f aca="false">IF(AND(K140&lt;=Assumptions!$C$42,L139=1,P139=0,O139&gt;Assumptions!$C$43),1,0)</f>
        <v>1</v>
      </c>
      <c r="M140" s="58" t="n">
        <f aca="false">O139</f>
        <v>169538.055786283</v>
      </c>
      <c r="N140" s="58" t="n">
        <f aca="false">IF(L140=1,M140*$B$22,0)</f>
        <v>565.126852620942</v>
      </c>
      <c r="O140" s="58" t="n">
        <f aca="false">IF(L140=1,M140+N140-$B$26,M140)</f>
        <v>168783.590538159</v>
      </c>
      <c r="P140" s="56" t="n">
        <f aca="false">IF(L140=1,IF($B$26&lt;=N140,1,0),0)</f>
        <v>0</v>
      </c>
      <c r="Q140" s="58" t="n">
        <f aca="false">Q139+N140</f>
        <v>94289.339937168</v>
      </c>
      <c r="S140" s="56" t="n">
        <f aca="false">S139+1</f>
        <v>133</v>
      </c>
      <c r="T140" s="57" t="n">
        <f aca="false">IF(AND(S140&lt;=Assumptions!$C$42,T139=1,X139=0,W139&gt;Assumptions!$C$43),1,0)</f>
        <v>1</v>
      </c>
      <c r="U140" s="58" t="n">
        <f aca="false">W139</f>
        <v>136443.76541817</v>
      </c>
      <c r="V140" s="58" t="n">
        <f aca="false">IF(T140=1,U140*$B$22,0)</f>
        <v>454.8125513939</v>
      </c>
      <c r="W140" s="58" t="n">
        <f aca="false">IF(T140=1,U140+V140-$B$27,U140)</f>
        <v>135378.985868819</v>
      </c>
      <c r="X140" s="56" t="n">
        <f aca="false">IF(T140=1,IF($B$27&lt;=V140,1,0),0)</f>
        <v>0</v>
      </c>
      <c r="Y140" s="58" t="n">
        <f aca="false">Y139+V140</f>
        <v>87484.7352678281</v>
      </c>
    </row>
    <row r="141" customFormat="false" ht="15" hidden="false" customHeight="false" outlineLevel="0" collapsed="false">
      <c r="K141" s="56" t="n">
        <f aca="false">K140+1</f>
        <v>134</v>
      </c>
      <c r="L141" s="57" t="n">
        <f aca="false">IF(AND(K141&lt;=Assumptions!$C$42,L140=1,P140=0,O140&gt;Assumptions!$C$43),1,0)</f>
        <v>1</v>
      </c>
      <c r="M141" s="58" t="n">
        <f aca="false">O140</f>
        <v>168783.590538159</v>
      </c>
      <c r="N141" s="58" t="n">
        <f aca="false">IF(L141=1,M141*$B$22,0)</f>
        <v>562.611968460531</v>
      </c>
      <c r="O141" s="58" t="n">
        <f aca="false">IF(L141=1,M141+N141-$B$26,M141)</f>
        <v>168026.610405875</v>
      </c>
      <c r="P141" s="56" t="n">
        <f aca="false">IF(L141=1,IF($B$26&lt;=N141,1,0),0)</f>
        <v>0</v>
      </c>
      <c r="Q141" s="58" t="n">
        <f aca="false">Q140+N141</f>
        <v>94851.9519056286</v>
      </c>
      <c r="S141" s="56" t="n">
        <f aca="false">S140+1</f>
        <v>134</v>
      </c>
      <c r="T141" s="57" t="n">
        <f aca="false">IF(AND(S141&lt;=Assumptions!$C$42,T140=1,X140=0,W140&gt;Assumptions!$C$43),1,0)</f>
        <v>1</v>
      </c>
      <c r="U141" s="58" t="n">
        <f aca="false">W140</f>
        <v>135378.985868819</v>
      </c>
      <c r="V141" s="58" t="n">
        <f aca="false">IF(T141=1,U141*$B$22,0)</f>
        <v>451.263286229398</v>
      </c>
      <c r="W141" s="58" t="n">
        <f aca="false">IF(T141=1,U141+V141-$B$27,U141)</f>
        <v>134310.657054304</v>
      </c>
      <c r="X141" s="56" t="n">
        <f aca="false">IF(T141=1,IF($B$27&lt;=V141,1,0),0)</f>
        <v>0</v>
      </c>
      <c r="Y141" s="58" t="n">
        <f aca="false">Y140+V141</f>
        <v>87935.9985540575</v>
      </c>
    </row>
    <row r="142" customFormat="false" ht="15" hidden="false" customHeight="false" outlineLevel="0" collapsed="false">
      <c r="K142" s="56" t="n">
        <f aca="false">K141+1</f>
        <v>135</v>
      </c>
      <c r="L142" s="57" t="n">
        <f aca="false">IF(AND(K142&lt;=Assumptions!$C$42,L141=1,P141=0,O141&gt;Assumptions!$C$43),1,0)</f>
        <v>1</v>
      </c>
      <c r="M142" s="58" t="n">
        <f aca="false">O141</f>
        <v>168026.610405875</v>
      </c>
      <c r="N142" s="58" t="n">
        <f aca="false">IF(L142=1,M142*$B$22,0)</f>
        <v>560.088701352918</v>
      </c>
      <c r="O142" s="58" t="n">
        <f aca="false">IF(L142=1,M142+N142-$B$26,M142)</f>
        <v>167267.107006484</v>
      </c>
      <c r="P142" s="56" t="n">
        <f aca="false">IF(L142=1,IF($B$26&lt;=N142,1,0),0)</f>
        <v>0</v>
      </c>
      <c r="Q142" s="58" t="n">
        <f aca="false">Q141+N142</f>
        <v>95412.0406069815</v>
      </c>
      <c r="S142" s="56" t="n">
        <f aca="false">S141+1</f>
        <v>135</v>
      </c>
      <c r="T142" s="57" t="n">
        <f aca="false">IF(AND(S142&lt;=Assumptions!$C$42,T141=1,X141=0,W141&gt;Assumptions!$C$43),1,0)</f>
        <v>1</v>
      </c>
      <c r="U142" s="58" t="n">
        <f aca="false">W141</f>
        <v>134310.657054304</v>
      </c>
      <c r="V142" s="58" t="n">
        <f aca="false">IF(T142=1,U142*$B$22,0)</f>
        <v>447.702190181015</v>
      </c>
      <c r="W142" s="58" t="n">
        <f aca="false">IF(T142=1,U142+V142-$B$27,U142)</f>
        <v>133238.767143741</v>
      </c>
      <c r="X142" s="56" t="n">
        <f aca="false">IF(T142=1,IF($B$27&lt;=V142,1,0),0)</f>
        <v>0</v>
      </c>
      <c r="Y142" s="58" t="n">
        <f aca="false">Y141+V142</f>
        <v>88383.7007442385</v>
      </c>
    </row>
    <row r="143" customFormat="false" ht="15" hidden="false" customHeight="false" outlineLevel="0" collapsed="false">
      <c r="K143" s="56" t="n">
        <f aca="false">K142+1</f>
        <v>136</v>
      </c>
      <c r="L143" s="57" t="n">
        <f aca="false">IF(AND(K143&lt;=Assumptions!$C$42,L142=1,P142=0,O142&gt;Assumptions!$C$43),1,0)</f>
        <v>1</v>
      </c>
      <c r="M143" s="58" t="n">
        <f aca="false">O142</f>
        <v>167267.107006484</v>
      </c>
      <c r="N143" s="58" t="n">
        <f aca="false">IF(L143=1,M143*$B$22,0)</f>
        <v>557.557023354946</v>
      </c>
      <c r="O143" s="58" t="n">
        <f aca="false">IF(L143=1,M143+N143-$B$26,M143)</f>
        <v>166505.071929094</v>
      </c>
      <c r="P143" s="56" t="n">
        <f aca="false">IF(L143=1,IF($B$26&lt;=N143,1,0),0)</f>
        <v>0</v>
      </c>
      <c r="Q143" s="58" t="n">
        <f aca="false">Q142+N143</f>
        <v>95969.5976303364</v>
      </c>
      <c r="S143" s="56" t="n">
        <f aca="false">S142+1</f>
        <v>136</v>
      </c>
      <c r="T143" s="57" t="n">
        <f aca="false">IF(AND(S143&lt;=Assumptions!$C$42,T142=1,X142=0,W142&gt;Assumptions!$C$43),1,0)</f>
        <v>1</v>
      </c>
      <c r="U143" s="58" t="n">
        <f aca="false">W142</f>
        <v>133238.767143741</v>
      </c>
      <c r="V143" s="58" t="n">
        <f aca="false">IF(T143=1,U143*$B$22,0)</f>
        <v>444.12922381247</v>
      </c>
      <c r="W143" s="58" t="n">
        <f aca="false">IF(T143=1,U143+V143-$B$27,U143)</f>
        <v>132163.304266809</v>
      </c>
      <c r="X143" s="56" t="n">
        <f aca="false">IF(T143=1,IF($B$27&lt;=V143,1,0),0)</f>
        <v>0</v>
      </c>
      <c r="Y143" s="58" t="n">
        <f aca="false">Y142+V143</f>
        <v>88827.8299680509</v>
      </c>
    </row>
    <row r="144" customFormat="false" ht="15" hidden="false" customHeight="false" outlineLevel="0" collapsed="false">
      <c r="K144" s="56" t="n">
        <f aca="false">K143+1</f>
        <v>137</v>
      </c>
      <c r="L144" s="57" t="n">
        <f aca="false">IF(AND(K144&lt;=Assumptions!$C$42,L143=1,P143=0,O143&gt;Assumptions!$C$43),1,0)</f>
        <v>1</v>
      </c>
      <c r="M144" s="58" t="n">
        <f aca="false">O143</f>
        <v>166505.071929094</v>
      </c>
      <c r="N144" s="58" t="n">
        <f aca="false">IF(L144=1,M144*$B$22,0)</f>
        <v>555.016906430314</v>
      </c>
      <c r="O144" s="58" t="n">
        <f aca="false">IF(L144=1,M144+N144-$B$26,M144)</f>
        <v>165740.49673478</v>
      </c>
      <c r="P144" s="56" t="n">
        <f aca="false">IF(L144=1,IF($B$26&lt;=N144,1,0),0)</f>
        <v>0</v>
      </c>
      <c r="Q144" s="58" t="n">
        <f aca="false">Q143+N144</f>
        <v>96524.6145367668</v>
      </c>
      <c r="S144" s="56" t="n">
        <f aca="false">S143+1</f>
        <v>137</v>
      </c>
      <c r="T144" s="57" t="n">
        <f aca="false">IF(AND(S144&lt;=Assumptions!$C$42,T143=1,X143=0,W143&gt;Assumptions!$C$43),1,0)</f>
        <v>1</v>
      </c>
      <c r="U144" s="58" t="n">
        <f aca="false">W143</f>
        <v>132163.304266809</v>
      </c>
      <c r="V144" s="58" t="n">
        <f aca="false">IF(T144=1,U144*$B$22,0)</f>
        <v>440.54434755603</v>
      </c>
      <c r="W144" s="58" t="n">
        <f aca="false">IF(T144=1,U144+V144-$B$27,U144)</f>
        <v>131084.256513621</v>
      </c>
      <c r="X144" s="56" t="n">
        <f aca="false">IF(T144=1,IF($B$27&lt;=V144,1,0),0)</f>
        <v>0</v>
      </c>
      <c r="Y144" s="58" t="n">
        <f aca="false">Y143+V144</f>
        <v>89268.374315607</v>
      </c>
    </row>
    <row r="145" customFormat="false" ht="15" hidden="false" customHeight="false" outlineLevel="0" collapsed="false">
      <c r="K145" s="56" t="n">
        <f aca="false">K144+1</f>
        <v>138</v>
      </c>
      <c r="L145" s="57" t="n">
        <f aca="false">IF(AND(K145&lt;=Assumptions!$C$42,L144=1,P144=0,O144&gt;Assumptions!$C$43),1,0)</f>
        <v>1</v>
      </c>
      <c r="M145" s="58" t="n">
        <f aca="false">O144</f>
        <v>165740.49673478</v>
      </c>
      <c r="N145" s="58" t="n">
        <f aca="false">IF(L145=1,M145*$B$22,0)</f>
        <v>552.468322449267</v>
      </c>
      <c r="O145" s="58" t="n">
        <f aca="false">IF(L145=1,M145+N145-$B$26,M145)</f>
        <v>164973.372956485</v>
      </c>
      <c r="P145" s="56" t="n">
        <f aca="false">IF(L145=1,IF($B$26&lt;=N145,1,0),0)</f>
        <v>0</v>
      </c>
      <c r="Q145" s="58" t="n">
        <f aca="false">Q144+N145</f>
        <v>97077.082859216</v>
      </c>
      <c r="S145" s="56" t="n">
        <f aca="false">S144+1</f>
        <v>138</v>
      </c>
      <c r="T145" s="57" t="n">
        <f aca="false">IF(AND(S145&lt;=Assumptions!$C$42,T144=1,X144=0,W144&gt;Assumptions!$C$43),1,0)</f>
        <v>1</v>
      </c>
      <c r="U145" s="58" t="n">
        <f aca="false">W144</f>
        <v>131084.256513621</v>
      </c>
      <c r="V145" s="58" t="n">
        <f aca="false">IF(T145=1,U145*$B$22,0)</f>
        <v>436.947521712069</v>
      </c>
      <c r="W145" s="58" t="n">
        <f aca="false">IF(T145=1,U145+V145-$B$27,U145)</f>
        <v>130001.611934588</v>
      </c>
      <c r="X145" s="56" t="n">
        <f aca="false">IF(T145=1,IF($B$27&lt;=V145,1,0),0)</f>
        <v>0</v>
      </c>
      <c r="Y145" s="58" t="n">
        <f aca="false">Y144+V145</f>
        <v>89705.321837319</v>
      </c>
    </row>
    <row r="146" customFormat="false" ht="15" hidden="false" customHeight="false" outlineLevel="0" collapsed="false">
      <c r="K146" s="56" t="n">
        <f aca="false">K145+1</f>
        <v>139</v>
      </c>
      <c r="L146" s="57" t="n">
        <f aca="false">IF(AND(K146&lt;=Assumptions!$C$42,L145=1,P145=0,O145&gt;Assumptions!$C$43),1,0)</f>
        <v>1</v>
      </c>
      <c r="M146" s="58" t="n">
        <f aca="false">O145</f>
        <v>164973.372956485</v>
      </c>
      <c r="N146" s="58" t="n">
        <f aca="false">IF(L146=1,M146*$B$22,0)</f>
        <v>549.911243188283</v>
      </c>
      <c r="O146" s="58" t="n">
        <f aca="false">IF(L146=1,M146+N146-$B$26,M146)</f>
        <v>164203.692098929</v>
      </c>
      <c r="P146" s="56" t="n">
        <f aca="false">IF(L146=1,IF($B$26&lt;=N146,1,0),0)</f>
        <v>0</v>
      </c>
      <c r="Q146" s="58" t="n">
        <f aca="false">Q145+N146</f>
        <v>97626.9941024043</v>
      </c>
      <c r="S146" s="56" t="n">
        <f aca="false">S145+1</f>
        <v>139</v>
      </c>
      <c r="T146" s="57" t="n">
        <f aca="false">IF(AND(S146&lt;=Assumptions!$C$42,T145=1,X145=0,W145&gt;Assumptions!$C$43),1,0)</f>
        <v>1</v>
      </c>
      <c r="U146" s="58" t="n">
        <f aca="false">W145</f>
        <v>130001.611934588</v>
      </c>
      <c r="V146" s="58" t="n">
        <f aca="false">IF(T146=1,U146*$B$22,0)</f>
        <v>433.338706448628</v>
      </c>
      <c r="W146" s="58" t="n">
        <f aca="false">IF(T146=1,U146+V146-$B$27,U146)</f>
        <v>128915.358540292</v>
      </c>
      <c r="X146" s="56" t="n">
        <f aca="false">IF(T146=1,IF($B$27&lt;=V146,1,0),0)</f>
        <v>0</v>
      </c>
      <c r="Y146" s="58" t="n">
        <f aca="false">Y145+V146</f>
        <v>90138.6605437677</v>
      </c>
    </row>
    <row r="147" customFormat="false" ht="15" hidden="false" customHeight="false" outlineLevel="0" collapsed="false">
      <c r="K147" s="56" t="n">
        <f aca="false">K146+1</f>
        <v>140</v>
      </c>
      <c r="L147" s="57" t="n">
        <f aca="false">IF(AND(K147&lt;=Assumptions!$C$42,L146=1,P146=0,O146&gt;Assumptions!$C$43),1,0)</f>
        <v>1</v>
      </c>
      <c r="M147" s="58" t="n">
        <f aca="false">O146</f>
        <v>164203.692098929</v>
      </c>
      <c r="N147" s="58" t="n">
        <f aca="false">IF(L147=1,M147*$B$22,0)</f>
        <v>547.345640329763</v>
      </c>
      <c r="O147" s="58" t="n">
        <f aca="false">IF(L147=1,M147+N147-$B$26,M147)</f>
        <v>163431.445638514</v>
      </c>
      <c r="P147" s="56" t="n">
        <f aca="false">IF(L147=1,IF($B$26&lt;=N147,1,0),0)</f>
        <v>0</v>
      </c>
      <c r="Q147" s="58" t="n">
        <f aca="false">Q146+N147</f>
        <v>98174.3397427341</v>
      </c>
      <c r="S147" s="56" t="n">
        <f aca="false">S146+1</f>
        <v>140</v>
      </c>
      <c r="T147" s="57" t="n">
        <f aca="false">IF(AND(S147&lt;=Assumptions!$C$42,T146=1,X146=0,W146&gt;Assumptions!$C$43),1,0)</f>
        <v>1</v>
      </c>
      <c r="U147" s="58" t="n">
        <f aca="false">W146</f>
        <v>128915.358540292</v>
      </c>
      <c r="V147" s="58" t="n">
        <f aca="false">IF(T147=1,U147*$B$22,0)</f>
        <v>429.717861800975</v>
      </c>
      <c r="W147" s="58" t="n">
        <f aca="false">IF(T147=1,U147+V147-$B$27,U147)</f>
        <v>127825.484301349</v>
      </c>
      <c r="X147" s="56" t="n">
        <f aca="false">IF(T147=1,IF($B$27&lt;=V147,1,0),0)</f>
        <v>0</v>
      </c>
      <c r="Y147" s="58" t="n">
        <f aca="false">Y146+V147</f>
        <v>90568.3784055686</v>
      </c>
    </row>
    <row r="148" customFormat="false" ht="15" hidden="false" customHeight="false" outlineLevel="0" collapsed="false">
      <c r="K148" s="56" t="n">
        <f aca="false">K147+1</f>
        <v>141</v>
      </c>
      <c r="L148" s="57" t="n">
        <f aca="false">IF(AND(K148&lt;=Assumptions!$C$42,L147=1,P147=0,O147&gt;Assumptions!$C$43),1,0)</f>
        <v>1</v>
      </c>
      <c r="M148" s="58" t="n">
        <f aca="false">O147</f>
        <v>163431.445638514</v>
      </c>
      <c r="N148" s="58" t="n">
        <f aca="false">IF(L148=1,M148*$B$22,0)</f>
        <v>544.771485461714</v>
      </c>
      <c r="O148" s="58" t="n">
        <f aca="false">IF(L148=1,M148+N148-$B$26,M148)</f>
        <v>162656.625023231</v>
      </c>
      <c r="P148" s="56" t="n">
        <f aca="false">IF(L148=1,IF($B$26&lt;=N148,1,0),0)</f>
        <v>0</v>
      </c>
      <c r="Q148" s="58" t="n">
        <f aca="false">Q147+N148</f>
        <v>98719.1112281958</v>
      </c>
      <c r="S148" s="56" t="n">
        <f aca="false">S147+1</f>
        <v>141</v>
      </c>
      <c r="T148" s="57" t="n">
        <f aca="false">IF(AND(S148&lt;=Assumptions!$C$42,T147=1,X147=0,W147&gt;Assumptions!$C$43),1,0)</f>
        <v>1</v>
      </c>
      <c r="U148" s="58" t="n">
        <f aca="false">W147</f>
        <v>127825.484301349</v>
      </c>
      <c r="V148" s="58" t="n">
        <f aca="false">IF(T148=1,U148*$B$22,0)</f>
        <v>426.084947671163</v>
      </c>
      <c r="W148" s="58" t="n">
        <f aca="false">IF(T148=1,U148+V148-$B$27,U148)</f>
        <v>126731.977148276</v>
      </c>
      <c r="X148" s="56" t="n">
        <f aca="false">IF(T148=1,IF($B$27&lt;=V148,1,0),0)</f>
        <v>0</v>
      </c>
      <c r="Y148" s="58" t="n">
        <f aca="false">Y147+V148</f>
        <v>90994.4633532398</v>
      </c>
    </row>
    <row r="149" customFormat="false" ht="15" hidden="false" customHeight="false" outlineLevel="0" collapsed="false">
      <c r="K149" s="56" t="n">
        <f aca="false">K148+1</f>
        <v>142</v>
      </c>
      <c r="L149" s="57" t="n">
        <f aca="false">IF(AND(K149&lt;=Assumptions!$C$42,L148=1,P148=0,O148&gt;Assumptions!$C$43),1,0)</f>
        <v>1</v>
      </c>
      <c r="M149" s="58" t="n">
        <f aca="false">O148</f>
        <v>162656.625023231</v>
      </c>
      <c r="N149" s="58" t="n">
        <f aca="false">IF(L149=1,M149*$B$22,0)</f>
        <v>542.188750077438</v>
      </c>
      <c r="O149" s="58" t="n">
        <f aca="false">IF(L149=1,M149+N149-$B$26,M149)</f>
        <v>161879.221672564</v>
      </c>
      <c r="P149" s="56" t="n">
        <f aca="false">IF(L149=1,IF($B$26&lt;=N149,1,0),0)</f>
        <v>0</v>
      </c>
      <c r="Q149" s="58" t="n">
        <f aca="false">Q148+N149</f>
        <v>99261.2999782732</v>
      </c>
      <c r="S149" s="56" t="n">
        <f aca="false">S148+1</f>
        <v>142</v>
      </c>
      <c r="T149" s="57" t="n">
        <f aca="false">IF(AND(S149&lt;=Assumptions!$C$42,T148=1,X148=0,W148&gt;Assumptions!$C$43),1,0)</f>
        <v>1</v>
      </c>
      <c r="U149" s="58" t="n">
        <f aca="false">W148</f>
        <v>126731.977148276</v>
      </c>
      <c r="V149" s="58" t="n">
        <f aca="false">IF(T149=1,U149*$B$22,0)</f>
        <v>422.439923827586</v>
      </c>
      <c r="W149" s="58" t="n">
        <f aca="false">IF(T149=1,U149+V149-$B$27,U149)</f>
        <v>125634.824971359</v>
      </c>
      <c r="X149" s="56" t="n">
        <f aca="false">IF(T149=1,IF($B$27&lt;=V149,1,0),0)</f>
        <v>0</v>
      </c>
      <c r="Y149" s="58" t="n">
        <f aca="false">Y148+V149</f>
        <v>91416.9032770674</v>
      </c>
    </row>
    <row r="150" customFormat="false" ht="15" hidden="false" customHeight="false" outlineLevel="0" collapsed="false">
      <c r="K150" s="56" t="n">
        <f aca="false">K149+1</f>
        <v>143</v>
      </c>
      <c r="L150" s="57" t="n">
        <f aca="false">IF(AND(K150&lt;=Assumptions!$C$42,L149=1,P149=0,O149&gt;Assumptions!$C$43),1,0)</f>
        <v>1</v>
      </c>
      <c r="M150" s="58" t="n">
        <f aca="false">O149</f>
        <v>161879.221672564</v>
      </c>
      <c r="N150" s="58" t="n">
        <f aca="false">IF(L150=1,M150*$B$22,0)</f>
        <v>539.597405575215</v>
      </c>
      <c r="O150" s="58" t="n">
        <f aca="false">IF(L150=1,M150+N150-$B$26,M150)</f>
        <v>161099.226977395</v>
      </c>
      <c r="P150" s="56" t="n">
        <f aca="false">IF(L150=1,IF($B$26&lt;=N150,1,0),0)</f>
        <v>0</v>
      </c>
      <c r="Q150" s="58" t="n">
        <f aca="false">Q149+N150</f>
        <v>99800.8973838484</v>
      </c>
      <c r="S150" s="56" t="n">
        <f aca="false">S149+1</f>
        <v>143</v>
      </c>
      <c r="T150" s="57" t="n">
        <f aca="false">IF(AND(S150&lt;=Assumptions!$C$42,T149=1,X149=0,W149&gt;Assumptions!$C$43),1,0)</f>
        <v>1</v>
      </c>
      <c r="U150" s="58" t="n">
        <f aca="false">W149</f>
        <v>125634.824971359</v>
      </c>
      <c r="V150" s="58" t="n">
        <f aca="false">IF(T150=1,U150*$B$22,0)</f>
        <v>418.78274990453</v>
      </c>
      <c r="W150" s="58" t="n">
        <f aca="false">IF(T150=1,U150+V150-$B$27,U150)</f>
        <v>124534.015620519</v>
      </c>
      <c r="X150" s="56" t="n">
        <f aca="false">IF(T150=1,IF($B$27&lt;=V150,1,0),0)</f>
        <v>0</v>
      </c>
      <c r="Y150" s="58" t="n">
        <f aca="false">Y149+V150</f>
        <v>91835.6860269719</v>
      </c>
    </row>
    <row r="151" customFormat="false" ht="15" hidden="false" customHeight="false" outlineLevel="0" collapsed="false">
      <c r="K151" s="56" t="n">
        <f aca="false">K150+1</f>
        <v>144</v>
      </c>
      <c r="L151" s="57" t="n">
        <f aca="false">IF(AND(K151&lt;=Assumptions!$C$42,L150=1,P150=0,O150&gt;Assumptions!$C$43),1,0)</f>
        <v>1</v>
      </c>
      <c r="M151" s="58" t="n">
        <f aca="false">O150</f>
        <v>161099.226977395</v>
      </c>
      <c r="N151" s="58" t="n">
        <f aca="false">IF(L151=1,M151*$B$22,0)</f>
        <v>536.997423257984</v>
      </c>
      <c r="O151" s="58" t="n">
        <f aca="false">IF(L151=1,M151+N151-$B$26,M151)</f>
        <v>160316.632299909</v>
      </c>
      <c r="P151" s="56" t="n">
        <f aca="false">IF(L151=1,IF($B$26&lt;=N151,1,0),0)</f>
        <v>0</v>
      </c>
      <c r="Q151" s="58" t="n">
        <f aca="false">Q150+N151</f>
        <v>100337.894807106</v>
      </c>
      <c r="S151" s="56" t="n">
        <f aca="false">S150+1</f>
        <v>144</v>
      </c>
      <c r="T151" s="57" t="n">
        <f aca="false">IF(AND(S151&lt;=Assumptions!$C$42,T150=1,X150=0,W150&gt;Assumptions!$C$43),1,0)</f>
        <v>1</v>
      </c>
      <c r="U151" s="58" t="n">
        <f aca="false">W150</f>
        <v>124534.015620519</v>
      </c>
      <c r="V151" s="58" t="n">
        <f aca="false">IF(T151=1,U151*$B$22,0)</f>
        <v>415.11338540173</v>
      </c>
      <c r="W151" s="58" t="n">
        <f aca="false">IF(T151=1,U151+V151-$B$27,U151)</f>
        <v>123429.536905176</v>
      </c>
      <c r="X151" s="56" t="n">
        <f aca="false">IF(T151=1,IF($B$27&lt;=V151,1,0),0)</f>
        <v>0</v>
      </c>
      <c r="Y151" s="58" t="n">
        <f aca="false">Y150+V151</f>
        <v>92250.7994123736</v>
      </c>
    </row>
    <row r="152" customFormat="false" ht="15" hidden="false" customHeight="false" outlineLevel="0" collapsed="false">
      <c r="K152" s="56" t="n">
        <f aca="false">K151+1</f>
        <v>145</v>
      </c>
      <c r="L152" s="57" t="n">
        <f aca="false">IF(AND(K152&lt;=Assumptions!$C$42,L151=1,P151=0,O151&gt;Assumptions!$C$43),1,0)</f>
        <v>1</v>
      </c>
      <c r="M152" s="58" t="n">
        <f aca="false">O151</f>
        <v>160316.632299909</v>
      </c>
      <c r="N152" s="58" t="n">
        <f aca="false">IF(L152=1,M152*$B$22,0)</f>
        <v>534.38877433303</v>
      </c>
      <c r="O152" s="58" t="n">
        <f aca="false">IF(L152=1,M152+N152-$B$26,M152)</f>
        <v>159531.428973497</v>
      </c>
      <c r="P152" s="56" t="n">
        <f aca="false">IF(L152=1,IF($B$26&lt;=N152,1,0),0)</f>
        <v>0</v>
      </c>
      <c r="Q152" s="58" t="n">
        <f aca="false">Q151+N152</f>
        <v>100872.283581439</v>
      </c>
      <c r="S152" s="56" t="n">
        <f aca="false">S151+1</f>
        <v>145</v>
      </c>
      <c r="T152" s="57" t="n">
        <f aca="false">IF(AND(S152&lt;=Assumptions!$C$42,T151=1,X151=0,W151&gt;Assumptions!$C$43),1,0)</f>
        <v>1</v>
      </c>
      <c r="U152" s="58" t="n">
        <f aca="false">W151</f>
        <v>123429.536905176</v>
      </c>
      <c r="V152" s="58" t="n">
        <f aca="false">IF(T152=1,U152*$B$22,0)</f>
        <v>411.431789683921</v>
      </c>
      <c r="W152" s="58" t="n">
        <f aca="false">IF(T152=1,U152+V152-$B$27,U152)</f>
        <v>122321.376594116</v>
      </c>
      <c r="X152" s="56" t="n">
        <f aca="false">IF(T152=1,IF($B$27&lt;=V152,1,0),0)</f>
        <v>0</v>
      </c>
      <c r="Y152" s="58" t="n">
        <f aca="false">Y151+V152</f>
        <v>92662.2312020576</v>
      </c>
    </row>
    <row r="153" customFormat="false" ht="15" hidden="false" customHeight="false" outlineLevel="0" collapsed="false">
      <c r="K153" s="56" t="n">
        <f aca="false">K152+1</f>
        <v>146</v>
      </c>
      <c r="L153" s="57" t="n">
        <f aca="false">IF(AND(K153&lt;=Assumptions!$C$42,L152=1,P152=0,O152&gt;Assumptions!$C$43),1,0)</f>
        <v>1</v>
      </c>
      <c r="M153" s="58" t="n">
        <f aca="false">O152</f>
        <v>159531.428973497</v>
      </c>
      <c r="N153" s="58" t="n">
        <f aca="false">IF(L153=1,M153*$B$22,0)</f>
        <v>531.771429911658</v>
      </c>
      <c r="O153" s="58" t="n">
        <f aca="false">IF(L153=1,M153+N153-$B$26,M153)</f>
        <v>158743.608302665</v>
      </c>
      <c r="P153" s="56" t="n">
        <f aca="false">IF(L153=1,IF($B$26&lt;=N153,1,0),0)</f>
        <v>0</v>
      </c>
      <c r="Q153" s="58" t="n">
        <f aca="false">Q152+N153</f>
        <v>101404.055011351</v>
      </c>
      <c r="S153" s="56" t="n">
        <f aca="false">S152+1</f>
        <v>146</v>
      </c>
      <c r="T153" s="57" t="n">
        <f aca="false">IF(AND(S153&lt;=Assumptions!$C$42,T152=1,X152=0,W152&gt;Assumptions!$C$43),1,0)</f>
        <v>1</v>
      </c>
      <c r="U153" s="58" t="n">
        <f aca="false">W152</f>
        <v>122321.376594116</v>
      </c>
      <c r="V153" s="58" t="n">
        <f aca="false">IF(T153=1,U153*$B$22,0)</f>
        <v>407.737921980386</v>
      </c>
      <c r="W153" s="58" t="n">
        <f aca="false">IF(T153=1,U153+V153-$B$27,U153)</f>
        <v>121209.522415352</v>
      </c>
      <c r="X153" s="56" t="n">
        <f aca="false">IF(T153=1,IF($B$27&lt;=V153,1,0),0)</f>
        <v>0</v>
      </c>
      <c r="Y153" s="58" t="n">
        <f aca="false">Y152+V153</f>
        <v>93069.9691240379</v>
      </c>
    </row>
    <row r="154" customFormat="false" ht="15" hidden="false" customHeight="false" outlineLevel="0" collapsed="false">
      <c r="K154" s="56" t="n">
        <f aca="false">K153+1</f>
        <v>147</v>
      </c>
      <c r="L154" s="57" t="n">
        <f aca="false">IF(AND(K154&lt;=Assumptions!$C$42,L153=1,P153=0,O153&gt;Assumptions!$C$43),1,0)</f>
        <v>1</v>
      </c>
      <c r="M154" s="58" t="n">
        <f aca="false">O153</f>
        <v>158743.608302665</v>
      </c>
      <c r="N154" s="58" t="n">
        <f aca="false">IF(L154=1,M154*$B$22,0)</f>
        <v>529.145361008882</v>
      </c>
      <c r="O154" s="58" t="n">
        <f aca="false">IF(L154=1,M154+N154-$B$26,M154)</f>
        <v>157953.161562929</v>
      </c>
      <c r="P154" s="56" t="n">
        <f aca="false">IF(L154=1,IF($B$26&lt;=N154,1,0),0)</f>
        <v>0</v>
      </c>
      <c r="Q154" s="58" t="n">
        <f aca="false">Q153+N154</f>
        <v>101933.20037236</v>
      </c>
      <c r="S154" s="56" t="n">
        <f aca="false">S153+1</f>
        <v>147</v>
      </c>
      <c r="T154" s="57" t="n">
        <f aca="false">IF(AND(S154&lt;=Assumptions!$C$42,T153=1,X153=0,W153&gt;Assumptions!$C$43),1,0)</f>
        <v>1</v>
      </c>
      <c r="U154" s="58" t="n">
        <f aca="false">W153</f>
        <v>121209.522415352</v>
      </c>
      <c r="V154" s="58" t="n">
        <f aca="false">IF(T154=1,U154*$B$22,0)</f>
        <v>404.031741384506</v>
      </c>
      <c r="W154" s="58" t="n">
        <f aca="false">IF(T154=1,U154+V154-$B$27,U154)</f>
        <v>120093.962055992</v>
      </c>
      <c r="X154" s="56" t="n">
        <f aca="false">IF(T154=1,IF($B$27&lt;=V154,1,0),0)</f>
        <v>0</v>
      </c>
      <c r="Y154" s="58" t="n">
        <f aca="false">Y153+V154</f>
        <v>93474.0008654224</v>
      </c>
    </row>
    <row r="155" customFormat="false" ht="15" hidden="false" customHeight="false" outlineLevel="0" collapsed="false">
      <c r="K155" s="56" t="n">
        <f aca="false">K154+1</f>
        <v>148</v>
      </c>
      <c r="L155" s="57" t="n">
        <f aca="false">IF(AND(K155&lt;=Assumptions!$C$42,L154=1,P154=0,O154&gt;Assumptions!$C$43),1,0)</f>
        <v>1</v>
      </c>
      <c r="M155" s="58" t="n">
        <f aca="false">O154</f>
        <v>157953.161562929</v>
      </c>
      <c r="N155" s="58" t="n">
        <f aca="false">IF(L155=1,M155*$B$22,0)</f>
        <v>526.510538543097</v>
      </c>
      <c r="O155" s="58" t="n">
        <f aca="false">IF(L155=1,M155+N155-$B$26,M155)</f>
        <v>157160.080000728</v>
      </c>
      <c r="P155" s="56" t="n">
        <f aca="false">IF(L155=1,IF($B$26&lt;=N155,1,0),0)</f>
        <v>0</v>
      </c>
      <c r="Q155" s="58" t="n">
        <f aca="false">Q154+N155</f>
        <v>102459.710910903</v>
      </c>
      <c r="S155" s="56" t="n">
        <f aca="false">S154+1</f>
        <v>148</v>
      </c>
      <c r="T155" s="57" t="n">
        <f aca="false">IF(AND(S155&lt;=Assumptions!$C$42,T154=1,X154=0,W154&gt;Assumptions!$C$43),1,0)</f>
        <v>1</v>
      </c>
      <c r="U155" s="58" t="n">
        <f aca="false">W154</f>
        <v>120093.962055992</v>
      </c>
      <c r="V155" s="58" t="n">
        <f aca="false">IF(T155=1,U155*$B$22,0)</f>
        <v>400.313206853306</v>
      </c>
      <c r="W155" s="58" t="n">
        <f aca="false">IF(T155=1,U155+V155-$B$27,U155)</f>
        <v>118974.683162101</v>
      </c>
      <c r="X155" s="56" t="n">
        <f aca="false">IF(T155=1,IF($B$27&lt;=V155,1,0),0)</f>
        <v>0</v>
      </c>
      <c r="Y155" s="58" t="n">
        <f aca="false">Y154+V155</f>
        <v>93874.3140722757</v>
      </c>
    </row>
    <row r="156" customFormat="false" ht="15" hidden="false" customHeight="false" outlineLevel="0" collapsed="false">
      <c r="K156" s="56" t="n">
        <f aca="false">K155+1</f>
        <v>149</v>
      </c>
      <c r="L156" s="57" t="n">
        <f aca="false">IF(AND(K156&lt;=Assumptions!$C$42,L155=1,P155=0,O155&gt;Assumptions!$C$43),1,0)</f>
        <v>1</v>
      </c>
      <c r="M156" s="58" t="n">
        <f aca="false">O155</f>
        <v>157160.080000728</v>
      </c>
      <c r="N156" s="58" t="n">
        <f aca="false">IF(L156=1,M156*$B$22,0)</f>
        <v>523.866933335759</v>
      </c>
      <c r="O156" s="58" t="n">
        <f aca="false">IF(L156=1,M156+N156-$B$26,M156)</f>
        <v>156364.354833319</v>
      </c>
      <c r="P156" s="56" t="n">
        <f aca="false">IF(L156=1,IF($B$26&lt;=N156,1,0),0)</f>
        <v>0</v>
      </c>
      <c r="Q156" s="58" t="n">
        <f aca="false">Q155+N156</f>
        <v>102983.577844239</v>
      </c>
      <c r="S156" s="56" t="n">
        <f aca="false">S155+1</f>
        <v>149</v>
      </c>
      <c r="T156" s="57" t="n">
        <f aca="false">IF(AND(S156&lt;=Assumptions!$C$42,T155=1,X155=0,W155&gt;Assumptions!$C$43),1,0)</f>
        <v>1</v>
      </c>
      <c r="U156" s="58" t="n">
        <f aca="false">W155</f>
        <v>118974.683162101</v>
      </c>
      <c r="V156" s="58" t="n">
        <f aca="false">IF(T156=1,U156*$B$22,0)</f>
        <v>396.582277207002</v>
      </c>
      <c r="W156" s="58" t="n">
        <f aca="false">IF(T156=1,U156+V156-$B$27,U156)</f>
        <v>117851.673338563</v>
      </c>
      <c r="X156" s="56" t="n">
        <f aca="false">IF(T156=1,IF($B$27&lt;=V156,1,0),0)</f>
        <v>0</v>
      </c>
      <c r="Y156" s="58" t="n">
        <f aca="false">Y155+V156</f>
        <v>94270.8963494827</v>
      </c>
    </row>
    <row r="157" customFormat="false" ht="15" hidden="false" customHeight="false" outlineLevel="0" collapsed="false">
      <c r="K157" s="56" t="n">
        <f aca="false">K156+1</f>
        <v>150</v>
      </c>
      <c r="L157" s="57" t="n">
        <f aca="false">IF(AND(K157&lt;=Assumptions!$C$42,L156=1,P156=0,O156&gt;Assumptions!$C$43),1,0)</f>
        <v>1</v>
      </c>
      <c r="M157" s="58" t="n">
        <f aca="false">O156</f>
        <v>156364.354833319</v>
      </c>
      <c r="N157" s="58" t="n">
        <f aca="false">IF(L157=1,M157*$B$22,0)</f>
        <v>521.214516111064</v>
      </c>
      <c r="O157" s="58" t="n">
        <f aca="false">IF(L157=1,M157+N157-$B$26,M157)</f>
        <v>155565.977248686</v>
      </c>
      <c r="P157" s="56" t="n">
        <f aca="false">IF(L157=1,IF($B$26&lt;=N157,1,0),0)</f>
        <v>0</v>
      </c>
      <c r="Q157" s="58" t="n">
        <f aca="false">Q156+N157</f>
        <v>103504.79236035</v>
      </c>
      <c r="S157" s="56" t="n">
        <f aca="false">S156+1</f>
        <v>150</v>
      </c>
      <c r="T157" s="57" t="n">
        <f aca="false">IF(AND(S157&lt;=Assumptions!$C$42,T156=1,X156=0,W156&gt;Assumptions!$C$43),1,0)</f>
        <v>1</v>
      </c>
      <c r="U157" s="58" t="n">
        <f aca="false">W156</f>
        <v>117851.673338563</v>
      </c>
      <c r="V157" s="58" t="n">
        <f aca="false">IF(T157=1,U157*$B$22,0)</f>
        <v>392.838911128544</v>
      </c>
      <c r="W157" s="58" t="n">
        <f aca="false">IF(T157=1,U157+V157-$B$27,U157)</f>
        <v>116724.920148947</v>
      </c>
      <c r="X157" s="56" t="n">
        <f aca="false">IF(T157=1,IF($B$27&lt;=V157,1,0),0)</f>
        <v>0</v>
      </c>
      <c r="Y157" s="58" t="n">
        <f aca="false">Y156+V157</f>
        <v>94663.7352606113</v>
      </c>
    </row>
    <row r="158" customFormat="false" ht="15" hidden="false" customHeight="false" outlineLevel="0" collapsed="false">
      <c r="K158" s="56" t="n">
        <f aca="false">K157+1</f>
        <v>151</v>
      </c>
      <c r="L158" s="57" t="n">
        <f aca="false">IF(AND(K158&lt;=Assumptions!$C$42,L157=1,P157=0,O157&gt;Assumptions!$C$43),1,0)</f>
        <v>1</v>
      </c>
      <c r="M158" s="58" t="n">
        <f aca="false">O157</f>
        <v>155565.977248686</v>
      </c>
      <c r="N158" s="58" t="n">
        <f aca="false">IF(L158=1,M158*$B$22,0)</f>
        <v>518.553257495619</v>
      </c>
      <c r="O158" s="58" t="n">
        <f aca="false">IF(L158=1,M158+N158-$B$26,M158)</f>
        <v>154764.938405437</v>
      </c>
      <c r="P158" s="56" t="n">
        <f aca="false">IF(L158=1,IF($B$26&lt;=N158,1,0),0)</f>
        <v>0</v>
      </c>
      <c r="Q158" s="58" t="n">
        <f aca="false">Q157+N158</f>
        <v>104023.345617846</v>
      </c>
      <c r="S158" s="56" t="n">
        <f aca="false">S157+1</f>
        <v>151</v>
      </c>
      <c r="T158" s="57" t="n">
        <f aca="false">IF(AND(S158&lt;=Assumptions!$C$42,T157=1,X157=0,W157&gt;Assumptions!$C$43),1,0)</f>
        <v>1</v>
      </c>
      <c r="U158" s="58" t="n">
        <f aca="false">W157</f>
        <v>116724.920148947</v>
      </c>
      <c r="V158" s="58" t="n">
        <f aca="false">IF(T158=1,U158*$B$22,0)</f>
        <v>389.083067163158</v>
      </c>
      <c r="W158" s="58" t="n">
        <f aca="false">IF(T158=1,U158+V158-$B$27,U158)</f>
        <v>115594.411115366</v>
      </c>
      <c r="X158" s="56" t="n">
        <f aca="false">IF(T158=1,IF($B$27&lt;=V158,1,0),0)</f>
        <v>0</v>
      </c>
      <c r="Y158" s="58" t="n">
        <f aca="false">Y157+V158</f>
        <v>95052.8183277744</v>
      </c>
    </row>
    <row r="159" customFormat="false" ht="15" hidden="false" customHeight="false" outlineLevel="0" collapsed="false">
      <c r="K159" s="56" t="n">
        <f aca="false">K158+1</f>
        <v>152</v>
      </c>
      <c r="L159" s="57" t="n">
        <f aca="false">IF(AND(K159&lt;=Assumptions!$C$42,L158=1,P158=0,O158&gt;Assumptions!$C$43),1,0)</f>
        <v>1</v>
      </c>
      <c r="M159" s="58" t="n">
        <f aca="false">O158</f>
        <v>154764.938405437</v>
      </c>
      <c r="N159" s="58" t="n">
        <f aca="false">IF(L159=1,M159*$B$22,0)</f>
        <v>515.883128018123</v>
      </c>
      <c r="O159" s="58" t="n">
        <f aca="false">IF(L159=1,M159+N159-$B$26,M159)</f>
        <v>153961.229432711</v>
      </c>
      <c r="P159" s="56" t="n">
        <f aca="false">IF(L159=1,IF($B$26&lt;=N159,1,0),0)</f>
        <v>0</v>
      </c>
      <c r="Q159" s="58" t="n">
        <f aca="false">Q158+N159</f>
        <v>104539.228745864</v>
      </c>
      <c r="S159" s="56" t="n">
        <f aca="false">S158+1</f>
        <v>152</v>
      </c>
      <c r="T159" s="57" t="n">
        <f aca="false">IF(AND(S159&lt;=Assumptions!$C$42,T158=1,X158=0,W158&gt;Assumptions!$C$43),1,0)</f>
        <v>1</v>
      </c>
      <c r="U159" s="58" t="n">
        <f aca="false">W158</f>
        <v>115594.411115366</v>
      </c>
      <c r="V159" s="58" t="n">
        <f aca="false">IF(T159=1,U159*$B$22,0)</f>
        <v>385.314703717887</v>
      </c>
      <c r="W159" s="58" t="n">
        <f aca="false">IF(T159=1,U159+V159-$B$27,U159)</f>
        <v>114460.13371834</v>
      </c>
      <c r="X159" s="56" t="n">
        <f aca="false">IF(T159=1,IF($B$27&lt;=V159,1,0),0)</f>
        <v>0</v>
      </c>
      <c r="Y159" s="58" t="n">
        <f aca="false">Y158+V159</f>
        <v>95438.1330314923</v>
      </c>
    </row>
    <row r="160" customFormat="false" ht="15" hidden="false" customHeight="false" outlineLevel="0" collapsed="false">
      <c r="K160" s="56" t="n">
        <f aca="false">K159+1</f>
        <v>153</v>
      </c>
      <c r="L160" s="57" t="n">
        <f aca="false">IF(AND(K160&lt;=Assumptions!$C$42,L159=1,P159=0,O159&gt;Assumptions!$C$43),1,0)</f>
        <v>1</v>
      </c>
      <c r="M160" s="58" t="n">
        <f aca="false">O159</f>
        <v>153961.229432711</v>
      </c>
      <c r="N160" s="58" t="n">
        <f aca="false">IF(L160=1,M160*$B$22,0)</f>
        <v>513.204098109036</v>
      </c>
      <c r="O160" s="58" t="n">
        <f aca="false">IF(L160=1,M160+N160-$B$26,M160)</f>
        <v>153154.841430075</v>
      </c>
      <c r="P160" s="56" t="n">
        <f aca="false">IF(L160=1,IF($B$26&lt;=N160,1,0),0)</f>
        <v>0</v>
      </c>
      <c r="Q160" s="58" t="n">
        <f aca="false">Q159+N160</f>
        <v>105052.432843973</v>
      </c>
      <c r="S160" s="56" t="n">
        <f aca="false">S159+1</f>
        <v>153</v>
      </c>
      <c r="T160" s="57" t="n">
        <f aca="false">IF(AND(S160&lt;=Assumptions!$C$42,T159=1,X159=0,W159&gt;Assumptions!$C$43),1,0)</f>
        <v>1</v>
      </c>
      <c r="U160" s="58" t="n">
        <f aca="false">W159</f>
        <v>114460.13371834</v>
      </c>
      <c r="V160" s="58" t="n">
        <f aca="false">IF(T160=1,U160*$B$22,0)</f>
        <v>381.533779061132</v>
      </c>
      <c r="W160" s="58" t="n">
        <f aca="false">IF(T160=1,U160+V160-$B$27,U160)</f>
        <v>113322.075396656</v>
      </c>
      <c r="X160" s="56" t="n">
        <f aca="false">IF(T160=1,IF($B$27&lt;=V160,1,0),0)</f>
        <v>0</v>
      </c>
      <c r="Y160" s="58" t="n">
        <f aca="false">Y159+V160</f>
        <v>95819.6668105535</v>
      </c>
    </row>
    <row r="161" customFormat="false" ht="15" hidden="false" customHeight="false" outlineLevel="0" collapsed="false">
      <c r="K161" s="56" t="n">
        <f aca="false">K160+1</f>
        <v>154</v>
      </c>
      <c r="L161" s="57" t="n">
        <f aca="false">IF(AND(K161&lt;=Assumptions!$C$42,L160=1,P160=0,O160&gt;Assumptions!$C$43),1,0)</f>
        <v>1</v>
      </c>
      <c r="M161" s="58" t="n">
        <f aca="false">O160</f>
        <v>153154.841430075</v>
      </c>
      <c r="N161" s="58" t="n">
        <f aca="false">IF(L161=1,M161*$B$22,0)</f>
        <v>510.516138100251</v>
      </c>
      <c r="O161" s="58" t="n">
        <f aca="false">IF(L161=1,M161+N161-$B$26,M161)</f>
        <v>152345.765467431</v>
      </c>
      <c r="P161" s="56" t="n">
        <f aca="false">IF(L161=1,IF($B$26&lt;=N161,1,0),0)</f>
        <v>0</v>
      </c>
      <c r="Q161" s="58" t="n">
        <f aca="false">Q160+N161</f>
        <v>105562.948982073</v>
      </c>
      <c r="S161" s="56" t="n">
        <f aca="false">S160+1</f>
        <v>154</v>
      </c>
      <c r="T161" s="57" t="n">
        <f aca="false">IF(AND(S161&lt;=Assumptions!$C$42,T160=1,X160=0,W160&gt;Assumptions!$C$43),1,0)</f>
        <v>1</v>
      </c>
      <c r="U161" s="58" t="n">
        <f aca="false">W160</f>
        <v>113322.075396656</v>
      </c>
      <c r="V161" s="58" t="n">
        <f aca="false">IF(T161=1,U161*$B$22,0)</f>
        <v>377.740251322188</v>
      </c>
      <c r="W161" s="58" t="n">
        <f aca="false">IF(T161=1,U161+V161-$B$27,U161)</f>
        <v>112180.223547234</v>
      </c>
      <c r="X161" s="56" t="n">
        <f aca="false">IF(T161=1,IF($B$27&lt;=V161,1,0),0)</f>
        <v>0</v>
      </c>
      <c r="Y161" s="58" t="n">
        <f aca="false">Y160+V161</f>
        <v>96197.4070618757</v>
      </c>
    </row>
    <row r="162" customFormat="false" ht="15" hidden="false" customHeight="false" outlineLevel="0" collapsed="false">
      <c r="K162" s="56" t="n">
        <f aca="false">K161+1</f>
        <v>155</v>
      </c>
      <c r="L162" s="57" t="n">
        <f aca="false">IF(AND(K162&lt;=Assumptions!$C$42,L161=1,P161=0,O161&gt;Assumptions!$C$43),1,0)</f>
        <v>1</v>
      </c>
      <c r="M162" s="58" t="n">
        <f aca="false">O161</f>
        <v>152345.765467431</v>
      </c>
      <c r="N162" s="58" t="n">
        <f aca="false">IF(L162=1,M162*$B$22,0)</f>
        <v>507.81921822477</v>
      </c>
      <c r="O162" s="58" t="n">
        <f aca="false">IF(L162=1,M162+N162-$B$26,M162)</f>
        <v>151533.992584911</v>
      </c>
      <c r="P162" s="56" t="n">
        <f aca="false">IF(L162=1,IF($B$26&lt;=N162,1,0),0)</f>
        <v>0</v>
      </c>
      <c r="Q162" s="58" t="n">
        <f aca="false">Q161+N162</f>
        <v>106070.768200298</v>
      </c>
      <c r="S162" s="56" t="n">
        <f aca="false">S161+1</f>
        <v>155</v>
      </c>
      <c r="T162" s="57" t="n">
        <f aca="false">IF(AND(S162&lt;=Assumptions!$C$42,T161=1,X161=0,W161&gt;Assumptions!$C$43),1,0)</f>
        <v>1</v>
      </c>
      <c r="U162" s="58" t="n">
        <f aca="false">W161</f>
        <v>112180.223547234</v>
      </c>
      <c r="V162" s="58" t="n">
        <f aca="false">IF(T162=1,U162*$B$22,0)</f>
        <v>373.93407849078</v>
      </c>
      <c r="W162" s="58" t="n">
        <f aca="false">IF(T162=1,U162+V162-$B$27,U162)</f>
        <v>111034.56552498</v>
      </c>
      <c r="X162" s="56" t="n">
        <f aca="false">IF(T162=1,IF($B$27&lt;=V162,1,0),0)</f>
        <v>0</v>
      </c>
      <c r="Y162" s="58" t="n">
        <f aca="false">Y161+V162</f>
        <v>96571.3411403664</v>
      </c>
    </row>
    <row r="163" customFormat="false" ht="15" hidden="false" customHeight="false" outlineLevel="0" collapsed="false">
      <c r="K163" s="56" t="n">
        <f aca="false">K162+1</f>
        <v>156</v>
      </c>
      <c r="L163" s="57" t="n">
        <f aca="false">IF(AND(K163&lt;=Assumptions!$C$42,L162=1,P162=0,O162&gt;Assumptions!$C$43),1,0)</f>
        <v>1</v>
      </c>
      <c r="M163" s="58" t="n">
        <f aca="false">O162</f>
        <v>151533.992584911</v>
      </c>
      <c r="N163" s="58" t="n">
        <f aca="false">IF(L163=1,M163*$B$22,0)</f>
        <v>505.113308616371</v>
      </c>
      <c r="O163" s="58" t="n">
        <f aca="false">IF(L163=1,M163+N163-$B$26,M163)</f>
        <v>150719.513792783</v>
      </c>
      <c r="P163" s="56" t="n">
        <f aca="false">IF(L163=1,IF($B$26&lt;=N163,1,0),0)</f>
        <v>0</v>
      </c>
      <c r="Q163" s="58" t="n">
        <f aca="false">Q162+N163</f>
        <v>106575.881508914</v>
      </c>
      <c r="S163" s="56" t="n">
        <f aca="false">S162+1</f>
        <v>156</v>
      </c>
      <c r="T163" s="57" t="n">
        <f aca="false">IF(AND(S163&lt;=Assumptions!$C$42,T162=1,X162=0,W162&gt;Assumptions!$C$43),1,0)</f>
        <v>1</v>
      </c>
      <c r="U163" s="58" t="n">
        <f aca="false">W162</f>
        <v>111034.56552498</v>
      </c>
      <c r="V163" s="58" t="n">
        <f aca="false">IF(T163=1,U163*$B$22,0)</f>
        <v>370.115218416601</v>
      </c>
      <c r="W163" s="58" t="n">
        <f aca="false">IF(T163=1,U163+V163-$B$27,U163)</f>
        <v>109885.088642653</v>
      </c>
      <c r="X163" s="56" t="n">
        <f aca="false">IF(T163=1,IF($B$27&lt;=V163,1,0),0)</f>
        <v>0</v>
      </c>
      <c r="Y163" s="58" t="n">
        <f aca="false">Y162+V163</f>
        <v>96941.456358783</v>
      </c>
    </row>
    <row r="164" customFormat="false" ht="15" hidden="false" customHeight="false" outlineLevel="0" collapsed="false">
      <c r="K164" s="56" t="n">
        <f aca="false">K163+1</f>
        <v>157</v>
      </c>
      <c r="L164" s="57" t="n">
        <f aca="false">IF(AND(K164&lt;=Assumptions!$C$42,L163=1,P163=0,O163&gt;Assumptions!$C$43),1,0)</f>
        <v>1</v>
      </c>
      <c r="M164" s="58" t="n">
        <f aca="false">O163</f>
        <v>150719.513792783</v>
      </c>
      <c r="N164" s="58" t="n">
        <f aca="false">IF(L164=1,M164*$B$22,0)</f>
        <v>502.398379309278</v>
      </c>
      <c r="O164" s="58" t="n">
        <f aca="false">IF(L164=1,M164+N164-$B$26,M164)</f>
        <v>149902.320071348</v>
      </c>
      <c r="P164" s="56" t="n">
        <f aca="false">IF(L164=1,IF($B$26&lt;=N164,1,0),0)</f>
        <v>0</v>
      </c>
      <c r="Q164" s="58" t="n">
        <f aca="false">Q163+N164</f>
        <v>107078.279888223</v>
      </c>
      <c r="S164" s="56" t="n">
        <f aca="false">S163+1</f>
        <v>157</v>
      </c>
      <c r="T164" s="57" t="n">
        <f aca="false">IF(AND(S164&lt;=Assumptions!$C$42,T163=1,X163=0,W163&gt;Assumptions!$C$43),1,0)</f>
        <v>1</v>
      </c>
      <c r="U164" s="58" t="n">
        <f aca="false">W163</f>
        <v>109885.088642653</v>
      </c>
      <c r="V164" s="58" t="n">
        <f aca="false">IF(T164=1,U164*$B$22,0)</f>
        <v>366.283628808842</v>
      </c>
      <c r="W164" s="58" t="n">
        <f aca="false">IF(T164=1,U164+V164-$B$27,U164)</f>
        <v>108731.780170717</v>
      </c>
      <c r="X164" s="56" t="n">
        <f aca="false">IF(T164=1,IF($B$27&lt;=V164,1,0),0)</f>
        <v>0</v>
      </c>
      <c r="Y164" s="58" t="n">
        <f aca="false">Y163+V164</f>
        <v>97307.7399875919</v>
      </c>
    </row>
    <row r="165" customFormat="false" ht="15" hidden="false" customHeight="false" outlineLevel="0" collapsed="false">
      <c r="K165" s="56" t="n">
        <f aca="false">K164+1</f>
        <v>158</v>
      </c>
      <c r="L165" s="57" t="n">
        <f aca="false">IF(AND(K165&lt;=Assumptions!$C$42,L164=1,P164=0,O164&gt;Assumptions!$C$43),1,0)</f>
        <v>1</v>
      </c>
      <c r="M165" s="58" t="n">
        <f aca="false">O164</f>
        <v>149902.320071348</v>
      </c>
      <c r="N165" s="58" t="n">
        <f aca="false">IF(L165=1,M165*$B$22,0)</f>
        <v>499.674400237827</v>
      </c>
      <c r="O165" s="58" t="n">
        <f aca="false">IF(L165=1,M165+N165-$B$26,M165)</f>
        <v>149082.402370842</v>
      </c>
      <c r="P165" s="56" t="n">
        <f aca="false">IF(L165=1,IF($B$26&lt;=N165,1,0),0)</f>
        <v>0</v>
      </c>
      <c r="Q165" s="58" t="n">
        <f aca="false">Q164+N165</f>
        <v>107577.954288461</v>
      </c>
      <c r="S165" s="56" t="n">
        <f aca="false">S164+1</f>
        <v>158</v>
      </c>
      <c r="T165" s="57" t="n">
        <f aca="false">IF(AND(S165&lt;=Assumptions!$C$42,T164=1,X164=0,W164&gt;Assumptions!$C$43),1,0)</f>
        <v>1</v>
      </c>
      <c r="U165" s="58" t="n">
        <f aca="false">W164</f>
        <v>108731.780170717</v>
      </c>
      <c r="V165" s="58" t="n">
        <f aca="false">IF(T165=1,U165*$B$22,0)</f>
        <v>362.439267235723</v>
      </c>
      <c r="W165" s="58" t="n">
        <f aca="false">IF(T165=1,U165+V165-$B$27,U165)</f>
        <v>107574.627337208</v>
      </c>
      <c r="X165" s="56" t="n">
        <f aca="false">IF(T165=1,IF($B$27&lt;=V165,1,0),0)</f>
        <v>0</v>
      </c>
      <c r="Y165" s="58" t="n">
        <f aca="false">Y164+V165</f>
        <v>97670.1792548276</v>
      </c>
    </row>
    <row r="166" customFormat="false" ht="15" hidden="false" customHeight="false" outlineLevel="0" collapsed="false">
      <c r="K166" s="56" t="n">
        <f aca="false">K165+1</f>
        <v>159</v>
      </c>
      <c r="L166" s="57" t="n">
        <f aca="false">IF(AND(K166&lt;=Assumptions!$C$42,L165=1,P165=0,O165&gt;Assumptions!$C$43),1,0)</f>
        <v>1</v>
      </c>
      <c r="M166" s="58" t="n">
        <f aca="false">O165</f>
        <v>149082.402370842</v>
      </c>
      <c r="N166" s="58" t="n">
        <f aca="false">IF(L166=1,M166*$B$22,0)</f>
        <v>496.941341236139</v>
      </c>
      <c r="O166" s="58" t="n">
        <f aca="false">IF(L166=1,M166+N166-$B$26,M166)</f>
        <v>148259.751611333</v>
      </c>
      <c r="P166" s="56" t="n">
        <f aca="false">IF(L166=1,IF($B$26&lt;=N166,1,0),0)</f>
        <v>0</v>
      </c>
      <c r="Q166" s="58" t="n">
        <f aca="false">Q165+N166</f>
        <v>108074.895629697</v>
      </c>
      <c r="S166" s="56" t="n">
        <f aca="false">S165+1</f>
        <v>159</v>
      </c>
      <c r="T166" s="57" t="n">
        <f aca="false">IF(AND(S166&lt;=Assumptions!$C$42,T165=1,X165=0,W165&gt;Assumptions!$C$43),1,0)</f>
        <v>1</v>
      </c>
      <c r="U166" s="58" t="n">
        <f aca="false">W165</f>
        <v>107574.627337208</v>
      </c>
      <c r="V166" s="58" t="n">
        <f aca="false">IF(T166=1,U166*$B$22,0)</f>
        <v>358.582091124028</v>
      </c>
      <c r="W166" s="58" t="n">
        <f aca="false">IF(T166=1,U166+V166-$B$27,U166)</f>
        <v>106413.617327588</v>
      </c>
      <c r="X166" s="56" t="n">
        <f aca="false">IF(T166=1,IF($B$27&lt;=V166,1,0),0)</f>
        <v>0</v>
      </c>
      <c r="Y166" s="58" t="n">
        <f aca="false">Y165+V166</f>
        <v>98028.7613459516</v>
      </c>
    </row>
    <row r="167" customFormat="false" ht="15" hidden="false" customHeight="false" outlineLevel="0" collapsed="false">
      <c r="K167" s="56" t="n">
        <f aca="false">K166+1</f>
        <v>160</v>
      </c>
      <c r="L167" s="57" t="n">
        <f aca="false">IF(AND(K167&lt;=Assumptions!$C$42,L166=1,P166=0,O166&gt;Assumptions!$C$43),1,0)</f>
        <v>1</v>
      </c>
      <c r="M167" s="58" t="n">
        <f aca="false">O166</f>
        <v>148259.751611333</v>
      </c>
      <c r="N167" s="58" t="n">
        <f aca="false">IF(L167=1,M167*$B$22,0)</f>
        <v>494.199172037778</v>
      </c>
      <c r="O167" s="58" t="n">
        <f aca="false">IF(L167=1,M167+N167-$B$26,M167)</f>
        <v>147434.358682627</v>
      </c>
      <c r="P167" s="56" t="n">
        <f aca="false">IF(L167=1,IF($B$26&lt;=N167,1,0),0)</f>
        <v>0</v>
      </c>
      <c r="Q167" s="58" t="n">
        <f aca="false">Q166+N167</f>
        <v>108569.094801735</v>
      </c>
      <c r="S167" s="56" t="n">
        <f aca="false">S166+1</f>
        <v>160</v>
      </c>
      <c r="T167" s="57" t="n">
        <f aca="false">IF(AND(S167&lt;=Assumptions!$C$42,T166=1,X166=0,W166&gt;Assumptions!$C$43),1,0)</f>
        <v>1</v>
      </c>
      <c r="U167" s="58" t="n">
        <f aca="false">W166</f>
        <v>106413.617327588</v>
      </c>
      <c r="V167" s="58" t="n">
        <f aca="false">IF(T167=1,U167*$B$22,0)</f>
        <v>354.712057758626</v>
      </c>
      <c r="W167" s="58" t="n">
        <f aca="false">IF(T167=1,U167+V167-$B$27,U167)</f>
        <v>105248.737284602</v>
      </c>
      <c r="X167" s="56" t="n">
        <f aca="false">IF(T167=1,IF($B$27&lt;=V167,1,0),0)</f>
        <v>0</v>
      </c>
      <c r="Y167" s="58" t="n">
        <f aca="false">Y166+V167</f>
        <v>98383.4734037103</v>
      </c>
    </row>
    <row r="168" customFormat="false" ht="15" hidden="false" customHeight="false" outlineLevel="0" collapsed="false">
      <c r="K168" s="56" t="n">
        <f aca="false">K167+1</f>
        <v>161</v>
      </c>
      <c r="L168" s="57" t="n">
        <f aca="false">IF(AND(K168&lt;=Assumptions!$C$42,L167=1,P167=0,O167&gt;Assumptions!$C$43),1,0)</f>
        <v>1</v>
      </c>
      <c r="M168" s="58" t="n">
        <f aca="false">O167</f>
        <v>147434.358682627</v>
      </c>
      <c r="N168" s="58" t="n">
        <f aca="false">IF(L168=1,M168*$B$22,0)</f>
        <v>491.447862275422</v>
      </c>
      <c r="O168" s="58" t="n">
        <f aca="false">IF(L168=1,M168+N168-$B$26,M168)</f>
        <v>146606.214444158</v>
      </c>
      <c r="P168" s="56" t="n">
        <f aca="false">IF(L168=1,IF($B$26&lt;=N168,1,0),0)</f>
        <v>0</v>
      </c>
      <c r="Q168" s="58" t="n">
        <f aca="false">Q167+N168</f>
        <v>109060.542664011</v>
      </c>
      <c r="S168" s="56" t="n">
        <f aca="false">S167+1</f>
        <v>161</v>
      </c>
      <c r="T168" s="57" t="n">
        <f aca="false">IF(AND(S168&lt;=Assumptions!$C$42,T167=1,X167=0,W167&gt;Assumptions!$C$43),1,0)</f>
        <v>1</v>
      </c>
      <c r="U168" s="58" t="n">
        <f aca="false">W167</f>
        <v>105248.737284602</v>
      </c>
      <c r="V168" s="58" t="n">
        <f aca="false">IF(T168=1,U168*$B$22,0)</f>
        <v>350.829124282007</v>
      </c>
      <c r="W168" s="58" t="n">
        <f aca="false">IF(T168=1,U168+V168-$B$27,U168)</f>
        <v>104079.97430814</v>
      </c>
      <c r="X168" s="56" t="n">
        <f aca="false">IF(T168=1,IF($B$27&lt;=V168,1,0),0)</f>
        <v>0</v>
      </c>
      <c r="Y168" s="58" t="n">
        <f aca="false">Y167+V168</f>
        <v>98734.3025279923</v>
      </c>
    </row>
    <row r="169" customFormat="false" ht="15" hidden="false" customHeight="false" outlineLevel="0" collapsed="false">
      <c r="K169" s="56" t="n">
        <f aca="false">K168+1</f>
        <v>162</v>
      </c>
      <c r="L169" s="57" t="n">
        <f aca="false">IF(AND(K169&lt;=Assumptions!$C$42,L168=1,P168=0,O168&gt;Assumptions!$C$43),1,0)</f>
        <v>1</v>
      </c>
      <c r="M169" s="58" t="n">
        <f aca="false">O168</f>
        <v>146606.214444158</v>
      </c>
      <c r="N169" s="58" t="n">
        <f aca="false">IF(L169=1,M169*$B$22,0)</f>
        <v>488.687381480526</v>
      </c>
      <c r="O169" s="58" t="n">
        <f aca="false">IF(L169=1,M169+N169-$B$26,M169)</f>
        <v>145775.309724894</v>
      </c>
      <c r="P169" s="56" t="n">
        <f aca="false">IF(L169=1,IF($B$26&lt;=N169,1,0),0)</f>
        <v>0</v>
      </c>
      <c r="Q169" s="58" t="n">
        <f aca="false">Q168+N169</f>
        <v>109549.230045491</v>
      </c>
      <c r="S169" s="56" t="n">
        <f aca="false">S168+1</f>
        <v>162</v>
      </c>
      <c r="T169" s="57" t="n">
        <f aca="false">IF(AND(S169&lt;=Assumptions!$C$42,T168=1,X168=0,W168&gt;Assumptions!$C$43),1,0)</f>
        <v>1</v>
      </c>
      <c r="U169" s="58" t="n">
        <f aca="false">W168</f>
        <v>104079.97430814</v>
      </c>
      <c r="V169" s="58" t="n">
        <f aca="false">IF(T169=1,U169*$B$22,0)</f>
        <v>346.933247693799</v>
      </c>
      <c r="W169" s="58" t="n">
        <f aca="false">IF(T169=1,U169+V169-$B$27,U169)</f>
        <v>102907.315455089</v>
      </c>
      <c r="X169" s="56" t="n">
        <f aca="false">IF(T169=1,IF($B$27&lt;=V169,1,0),0)</f>
        <v>0</v>
      </c>
      <c r="Y169" s="58" t="n">
        <f aca="false">Y168+V169</f>
        <v>99081.2357756861</v>
      </c>
    </row>
    <row r="170" customFormat="false" ht="15" hidden="false" customHeight="false" outlineLevel="0" collapsed="false">
      <c r="K170" s="56" t="n">
        <f aca="false">K169+1</f>
        <v>163</v>
      </c>
      <c r="L170" s="57" t="n">
        <f aca="false">IF(AND(K170&lt;=Assumptions!$C$42,L169=1,P169=0,O169&gt;Assumptions!$C$43),1,0)</f>
        <v>1</v>
      </c>
      <c r="M170" s="58" t="n">
        <f aca="false">O169</f>
        <v>145775.309724894</v>
      </c>
      <c r="N170" s="58" t="n">
        <f aca="false">IF(L170=1,M170*$B$22,0)</f>
        <v>485.917699082979</v>
      </c>
      <c r="O170" s="58" t="n">
        <f aca="false">IF(L170=1,M170+N170-$B$26,M170)</f>
        <v>144941.635323232</v>
      </c>
      <c r="P170" s="56" t="n">
        <f aca="false">IF(L170=1,IF($B$26&lt;=N170,1,0),0)</f>
        <v>0</v>
      </c>
      <c r="Q170" s="58" t="n">
        <f aca="false">Q169+N170</f>
        <v>110035.147744574</v>
      </c>
      <c r="S170" s="56" t="n">
        <f aca="false">S169+1</f>
        <v>163</v>
      </c>
      <c r="T170" s="57" t="n">
        <f aca="false">IF(AND(S170&lt;=Assumptions!$C$42,T169=1,X169=0,W169&gt;Assumptions!$C$43),1,0)</f>
        <v>1</v>
      </c>
      <c r="U170" s="58" t="n">
        <f aca="false">W169</f>
        <v>102907.315455089</v>
      </c>
      <c r="V170" s="58" t="n">
        <f aca="false">IF(T170=1,U170*$B$22,0)</f>
        <v>343.024384850297</v>
      </c>
      <c r="W170" s="58" t="n">
        <f aca="false">IF(T170=1,U170+V170-$B$27,U170)</f>
        <v>101730.747739195</v>
      </c>
      <c r="X170" s="56" t="n">
        <f aca="false">IF(T170=1,IF($B$27&lt;=V170,1,0),0)</f>
        <v>0</v>
      </c>
      <c r="Y170" s="58" t="n">
        <f aca="false">Y169+V170</f>
        <v>99424.2601605364</v>
      </c>
    </row>
    <row r="171" customFormat="false" ht="15" hidden="false" customHeight="false" outlineLevel="0" collapsed="false">
      <c r="K171" s="56" t="n">
        <f aca="false">K170+1</f>
        <v>164</v>
      </c>
      <c r="L171" s="57" t="n">
        <f aca="false">IF(AND(K171&lt;=Assumptions!$C$42,L170=1,P170=0,O170&gt;Assumptions!$C$43),1,0)</f>
        <v>1</v>
      </c>
      <c r="M171" s="58" t="n">
        <f aca="false">O170</f>
        <v>144941.635323232</v>
      </c>
      <c r="N171" s="58" t="n">
        <f aca="false">IF(L171=1,M171*$B$22,0)</f>
        <v>483.138784410774</v>
      </c>
      <c r="O171" s="58" t="n">
        <f aca="false">IF(L171=1,M171+N171-$B$26,M171)</f>
        <v>144105.182006899</v>
      </c>
      <c r="P171" s="56" t="n">
        <f aca="false">IF(L171=1,IF($B$26&lt;=N171,1,0),0)</f>
        <v>0</v>
      </c>
      <c r="Q171" s="58" t="n">
        <f aca="false">Q170+N171</f>
        <v>110518.286528985</v>
      </c>
      <c r="S171" s="56" t="n">
        <f aca="false">S170+1</f>
        <v>164</v>
      </c>
      <c r="T171" s="57" t="n">
        <f aca="false">IF(AND(S171&lt;=Assumptions!$C$42,T170=1,X170=0,W170&gt;Assumptions!$C$43),1,0)</f>
        <v>1</v>
      </c>
      <c r="U171" s="58" t="n">
        <f aca="false">W170</f>
        <v>101730.747739195</v>
      </c>
      <c r="V171" s="58" t="n">
        <f aca="false">IF(T171=1,U171*$B$22,0)</f>
        <v>339.102492463983</v>
      </c>
      <c r="W171" s="58" t="n">
        <f aca="false">IF(T171=1,U171+V171-$B$27,U171)</f>
        <v>100550.258130914</v>
      </c>
      <c r="X171" s="56" t="n">
        <f aca="false">IF(T171=1,IF($B$27&lt;=V171,1,0),0)</f>
        <v>0</v>
      </c>
      <c r="Y171" s="58" t="n">
        <f aca="false">Y170+V171</f>
        <v>99763.3626530004</v>
      </c>
    </row>
    <row r="172" customFormat="false" ht="15" hidden="false" customHeight="false" outlineLevel="0" collapsed="false">
      <c r="K172" s="56" t="n">
        <f aca="false">K171+1</f>
        <v>165</v>
      </c>
      <c r="L172" s="57" t="n">
        <f aca="false">IF(AND(K172&lt;=Assumptions!$C$42,L171=1,P171=0,O171&gt;Assumptions!$C$43),1,0)</f>
        <v>1</v>
      </c>
      <c r="M172" s="58" t="n">
        <f aca="false">O171</f>
        <v>144105.182006899</v>
      </c>
      <c r="N172" s="58" t="n">
        <f aca="false">IF(L172=1,M172*$B$22,0)</f>
        <v>480.350606689662</v>
      </c>
      <c r="O172" s="58" t="n">
        <f aca="false">IF(L172=1,M172+N172-$B$26,M172)</f>
        <v>143265.940512844</v>
      </c>
      <c r="P172" s="56" t="n">
        <f aca="false">IF(L172=1,IF($B$26&lt;=N172,1,0),0)</f>
        <v>0</v>
      </c>
      <c r="Q172" s="58" t="n">
        <f aca="false">Q171+N172</f>
        <v>110998.637135674</v>
      </c>
      <c r="S172" s="56" t="n">
        <f aca="false">S171+1</f>
        <v>165</v>
      </c>
      <c r="T172" s="57" t="n">
        <f aca="false">IF(AND(S172&lt;=Assumptions!$C$42,T171=1,X171=0,W171&gt;Assumptions!$C$43),1,0)</f>
        <v>1</v>
      </c>
      <c r="U172" s="58" t="n">
        <f aca="false">W171</f>
        <v>100550.258130914</v>
      </c>
      <c r="V172" s="58" t="n">
        <f aca="false">IF(T172=1,U172*$B$22,0)</f>
        <v>335.167527103048</v>
      </c>
      <c r="W172" s="58" t="n">
        <f aca="false">IF(T172=1,U172+V172-$B$27,U172)</f>
        <v>99365.8335572731</v>
      </c>
      <c r="X172" s="56" t="n">
        <f aca="false">IF(T172=1,IF($B$27&lt;=V172,1,0),0)</f>
        <v>0</v>
      </c>
      <c r="Y172" s="58" t="n">
        <f aca="false">Y171+V172</f>
        <v>100098.530180103</v>
      </c>
    </row>
    <row r="173" customFormat="false" ht="15" hidden="false" customHeight="false" outlineLevel="0" collapsed="false">
      <c r="K173" s="56" t="n">
        <f aca="false">K172+1</f>
        <v>166</v>
      </c>
      <c r="L173" s="57" t="n">
        <f aca="false">IF(AND(K173&lt;=Assumptions!$C$42,L172=1,P172=0,O172&gt;Assumptions!$C$43),1,0)</f>
        <v>1</v>
      </c>
      <c r="M173" s="58" t="n">
        <f aca="false">O172</f>
        <v>143265.940512844</v>
      </c>
      <c r="N173" s="58" t="n">
        <f aca="false">IF(L173=1,M173*$B$22,0)</f>
        <v>477.553135042813</v>
      </c>
      <c r="O173" s="58" t="n">
        <f aca="false">IF(L173=1,M173+N173-$B$26,M173)</f>
        <v>142423.901547142</v>
      </c>
      <c r="P173" s="56" t="n">
        <f aca="false">IF(L173=1,IF($B$26&lt;=N173,1,0),0)</f>
        <v>0</v>
      </c>
      <c r="Q173" s="58" t="n">
        <f aca="false">Q172+N173</f>
        <v>111476.190270717</v>
      </c>
      <c r="S173" s="56" t="n">
        <f aca="false">S172+1</f>
        <v>166</v>
      </c>
      <c r="T173" s="57" t="n">
        <f aca="false">IF(AND(S173&lt;=Assumptions!$C$42,T172=1,X172=0,W172&gt;Assumptions!$C$43),1,0)</f>
        <v>1</v>
      </c>
      <c r="U173" s="58" t="n">
        <f aca="false">W172</f>
        <v>99365.8335572731</v>
      </c>
      <c r="V173" s="58" t="n">
        <f aca="false">IF(T173=1,U173*$B$22,0)</f>
        <v>331.21944519091</v>
      </c>
      <c r="W173" s="58" t="n">
        <f aca="false">IF(T173=1,U173+V173-$B$27,U173)</f>
        <v>98177.4609017196</v>
      </c>
      <c r="X173" s="56" t="n">
        <f aca="false">IF(T173=1,IF($B$27&lt;=V173,1,0),0)</f>
        <v>0</v>
      </c>
      <c r="Y173" s="58" t="n">
        <f aca="false">Y172+V173</f>
        <v>100429.749625294</v>
      </c>
    </row>
    <row r="174" customFormat="false" ht="15" hidden="false" customHeight="false" outlineLevel="0" collapsed="false">
      <c r="K174" s="56" t="n">
        <f aca="false">K173+1</f>
        <v>167</v>
      </c>
      <c r="L174" s="57" t="n">
        <f aca="false">IF(AND(K174&lt;=Assumptions!$C$42,L173=1,P173=0,O173&gt;Assumptions!$C$43),1,0)</f>
        <v>1</v>
      </c>
      <c r="M174" s="58" t="n">
        <f aca="false">O173</f>
        <v>142423.901547142</v>
      </c>
      <c r="N174" s="58" t="n">
        <f aca="false">IF(L174=1,M174*$B$22,0)</f>
        <v>474.746338490474</v>
      </c>
      <c r="O174" s="58" t="n">
        <f aca="false">IF(L174=1,M174+N174-$B$26,M174)</f>
        <v>141579.055784888</v>
      </c>
      <c r="P174" s="56" t="n">
        <f aca="false">IF(L174=1,IF($B$26&lt;=N174,1,0),0)</f>
        <v>0</v>
      </c>
      <c r="Q174" s="58" t="n">
        <f aca="false">Q173+N174</f>
        <v>111950.936609208</v>
      </c>
      <c r="S174" s="56" t="n">
        <f aca="false">S173+1</f>
        <v>167</v>
      </c>
      <c r="T174" s="57" t="n">
        <f aca="false">IF(AND(S174&lt;=Assumptions!$C$42,T173=1,X173=0,W173&gt;Assumptions!$C$43),1,0)</f>
        <v>1</v>
      </c>
      <c r="U174" s="58" t="n">
        <f aca="false">W173</f>
        <v>98177.4609017196</v>
      </c>
      <c r="V174" s="58" t="n">
        <f aca="false">IF(T174=1,U174*$B$22,0)</f>
        <v>327.258203005732</v>
      </c>
      <c r="W174" s="58" t="n">
        <f aca="false">IF(T174=1,U174+V174-$B$27,U174)</f>
        <v>96985.1270039809</v>
      </c>
      <c r="X174" s="56" t="n">
        <f aca="false">IF(T174=1,IF($B$27&lt;=V174,1,0),0)</f>
        <v>0</v>
      </c>
      <c r="Y174" s="58" t="n">
        <f aca="false">Y173+V174</f>
        <v>100757.0078283</v>
      </c>
    </row>
    <row r="175" customFormat="false" ht="15" hidden="false" customHeight="false" outlineLevel="0" collapsed="false">
      <c r="K175" s="56" t="n">
        <f aca="false">K174+1</f>
        <v>168</v>
      </c>
      <c r="L175" s="57" t="n">
        <f aca="false">IF(AND(K175&lt;=Assumptions!$C$42,L174=1,P174=0,O174&gt;Assumptions!$C$43),1,0)</f>
        <v>1</v>
      </c>
      <c r="M175" s="58" t="n">
        <f aca="false">O174</f>
        <v>141579.055784888</v>
      </c>
      <c r="N175" s="58" t="n">
        <f aca="false">IF(L175=1,M175*$B$22,0)</f>
        <v>471.930185949628</v>
      </c>
      <c r="O175" s="58" t="n">
        <f aca="false">IF(L175=1,M175+N175-$B$26,M175)</f>
        <v>140731.393870094</v>
      </c>
      <c r="P175" s="56" t="n">
        <f aca="false">IF(L175=1,IF($B$26&lt;=N175,1,0),0)</f>
        <v>0</v>
      </c>
      <c r="Q175" s="58" t="n">
        <f aca="false">Q174+N175</f>
        <v>112422.866795157</v>
      </c>
      <c r="S175" s="56" t="n">
        <f aca="false">S174+1</f>
        <v>168</v>
      </c>
      <c r="T175" s="57" t="n">
        <f aca="false">IF(AND(S175&lt;=Assumptions!$C$42,T174=1,X174=0,W174&gt;Assumptions!$C$43),1,0)</f>
        <v>1</v>
      </c>
      <c r="U175" s="58" t="n">
        <f aca="false">W174</f>
        <v>96985.1270039809</v>
      </c>
      <c r="V175" s="58" t="n">
        <f aca="false">IF(T175=1,U175*$B$22,0)</f>
        <v>323.283756679936</v>
      </c>
      <c r="W175" s="58" t="n">
        <f aca="false">IF(T175=1,U175+V175-$B$27,U175)</f>
        <v>95788.8186599164</v>
      </c>
      <c r="X175" s="56" t="n">
        <f aca="false">IF(T175=1,IF($B$27&lt;=V175,1,0),0)</f>
        <v>0</v>
      </c>
      <c r="Y175" s="58" t="n">
        <f aca="false">Y174+V175</f>
        <v>101080.29158498</v>
      </c>
    </row>
    <row r="176" customFormat="false" ht="15" hidden="false" customHeight="false" outlineLevel="0" collapsed="false">
      <c r="K176" s="56" t="n">
        <f aca="false">K175+1</f>
        <v>169</v>
      </c>
      <c r="L176" s="57" t="n">
        <f aca="false">IF(AND(K176&lt;=Assumptions!$C$42,L175=1,P175=0,O175&gt;Assumptions!$C$43),1,0)</f>
        <v>1</v>
      </c>
      <c r="M176" s="58" t="n">
        <f aca="false">O175</f>
        <v>140731.393870094</v>
      </c>
      <c r="N176" s="58" t="n">
        <f aca="false">IF(L176=1,M176*$B$22,0)</f>
        <v>469.104646233645</v>
      </c>
      <c r="O176" s="58" t="n">
        <f aca="false">IF(L176=1,M176+N176-$B$26,M176)</f>
        <v>139880.906415583</v>
      </c>
      <c r="P176" s="56" t="n">
        <f aca="false">IF(L176=1,IF($B$26&lt;=N176,1,0),0)</f>
        <v>0</v>
      </c>
      <c r="Q176" s="58" t="n">
        <f aca="false">Q175+N176</f>
        <v>112891.971441391</v>
      </c>
      <c r="S176" s="56" t="n">
        <f aca="false">S175+1</f>
        <v>169</v>
      </c>
      <c r="T176" s="57" t="n">
        <f aca="false">IF(AND(S176&lt;=Assumptions!$C$42,T175=1,X175=0,W175&gt;Assumptions!$C$43),1,0)</f>
        <v>1</v>
      </c>
      <c r="U176" s="58" t="n">
        <f aca="false">W175</f>
        <v>95788.8186599164</v>
      </c>
      <c r="V176" s="58" t="n">
        <f aca="false">IF(T176=1,U176*$B$22,0)</f>
        <v>319.296062199721</v>
      </c>
      <c r="W176" s="58" t="n">
        <f aca="false">IF(T176=1,U176+V176-$B$27,U176)</f>
        <v>94588.5226213717</v>
      </c>
      <c r="X176" s="56" t="n">
        <f aca="false">IF(T176=1,IF($B$27&lt;=V176,1,0),0)</f>
        <v>0</v>
      </c>
      <c r="Y176" s="58" t="n">
        <f aca="false">Y175+V176</f>
        <v>101399.58764718</v>
      </c>
    </row>
    <row r="177" customFormat="false" ht="15" hidden="false" customHeight="false" outlineLevel="0" collapsed="false">
      <c r="K177" s="56" t="n">
        <f aca="false">K176+1</f>
        <v>170</v>
      </c>
      <c r="L177" s="57" t="n">
        <f aca="false">IF(AND(K177&lt;=Assumptions!$C$42,L176=1,P176=0,O176&gt;Assumptions!$C$43),1,0)</f>
        <v>1</v>
      </c>
      <c r="M177" s="58" t="n">
        <f aca="false">O176</f>
        <v>139880.906415583</v>
      </c>
      <c r="N177" s="58" t="n">
        <f aca="false">IF(L177=1,M177*$B$22,0)</f>
        <v>466.269688051943</v>
      </c>
      <c r="O177" s="58" t="n">
        <f aca="false">IF(L177=1,M177+N177-$B$26,M177)</f>
        <v>139027.58400289</v>
      </c>
      <c r="P177" s="56" t="n">
        <f aca="false">IF(L177=1,IF($B$26&lt;=N177,1,0),0)</f>
        <v>0</v>
      </c>
      <c r="Q177" s="58" t="n">
        <f aca="false">Q176+N177</f>
        <v>113358.241129443</v>
      </c>
      <c r="S177" s="56" t="n">
        <f aca="false">S176+1</f>
        <v>170</v>
      </c>
      <c r="T177" s="57" t="n">
        <f aca="false">IF(AND(S177&lt;=Assumptions!$C$42,T176=1,X176=0,W176&gt;Assumptions!$C$43),1,0)</f>
        <v>1</v>
      </c>
      <c r="U177" s="58" t="n">
        <f aca="false">W176</f>
        <v>94588.5226213717</v>
      </c>
      <c r="V177" s="58" t="n">
        <f aca="false">IF(T177=1,U177*$B$22,0)</f>
        <v>315.295075404572</v>
      </c>
      <c r="W177" s="58" t="n">
        <f aca="false">IF(T177=1,U177+V177-$B$27,U177)</f>
        <v>93384.2255960319</v>
      </c>
      <c r="X177" s="56" t="n">
        <f aca="false">IF(T177=1,IF($B$27&lt;=V177,1,0),0)</f>
        <v>0</v>
      </c>
      <c r="Y177" s="58" t="n">
        <f aca="false">Y176+V177</f>
        <v>101714.882722584</v>
      </c>
    </row>
    <row r="178" customFormat="false" ht="15" hidden="false" customHeight="false" outlineLevel="0" collapsed="false">
      <c r="K178" s="56" t="n">
        <f aca="false">K177+1</f>
        <v>171</v>
      </c>
      <c r="L178" s="57" t="n">
        <f aca="false">IF(AND(K178&lt;=Assumptions!$C$42,L177=1,P177=0,O177&gt;Assumptions!$C$43),1,0)</f>
        <v>1</v>
      </c>
      <c r="M178" s="58" t="n">
        <f aca="false">O177</f>
        <v>139027.58400289</v>
      </c>
      <c r="N178" s="58" t="n">
        <f aca="false">IF(L178=1,M178*$B$22,0)</f>
        <v>463.425280009634</v>
      </c>
      <c r="O178" s="58" t="n">
        <f aca="false">IF(L178=1,M178+N178-$B$26,M178)</f>
        <v>138171.417182155</v>
      </c>
      <c r="P178" s="56" t="n">
        <f aca="false">IF(L178=1,IF($B$26&lt;=N178,1,0),0)</f>
        <v>0</v>
      </c>
      <c r="Q178" s="58" t="n">
        <f aca="false">Q177+N178</f>
        <v>113821.666409453</v>
      </c>
      <c r="S178" s="56" t="n">
        <f aca="false">S177+1</f>
        <v>171</v>
      </c>
      <c r="T178" s="57" t="n">
        <f aca="false">IF(AND(S178&lt;=Assumptions!$C$42,T177=1,X177=0,W177&gt;Assumptions!$C$43),1,0)</f>
        <v>1</v>
      </c>
      <c r="U178" s="58" t="n">
        <f aca="false">W177</f>
        <v>93384.2255960319</v>
      </c>
      <c r="V178" s="58" t="n">
        <f aca="false">IF(T178=1,U178*$B$22,0)</f>
        <v>311.280751986773</v>
      </c>
      <c r="W178" s="58" t="n">
        <f aca="false">IF(T178=1,U178+V178-$B$27,U178)</f>
        <v>92175.9142472742</v>
      </c>
      <c r="X178" s="56" t="n">
        <f aca="false">IF(T178=1,IF($B$27&lt;=V178,1,0),0)</f>
        <v>0</v>
      </c>
      <c r="Y178" s="58" t="n">
        <f aca="false">Y177+V178</f>
        <v>102026.163474571</v>
      </c>
    </row>
    <row r="179" customFormat="false" ht="15" hidden="false" customHeight="false" outlineLevel="0" collapsed="false">
      <c r="K179" s="56" t="n">
        <f aca="false">K178+1</f>
        <v>172</v>
      </c>
      <c r="L179" s="57" t="n">
        <f aca="false">IF(AND(K179&lt;=Assumptions!$C$42,L178=1,P178=0,O178&gt;Assumptions!$C$43),1,0)</f>
        <v>1</v>
      </c>
      <c r="M179" s="58" t="n">
        <f aca="false">O178</f>
        <v>138171.417182155</v>
      </c>
      <c r="N179" s="58" t="n">
        <f aca="false">IF(L179=1,M179*$B$22,0)</f>
        <v>460.571390607185</v>
      </c>
      <c r="O179" s="58" t="n">
        <f aca="false">IF(L179=1,M179+N179-$B$26,M179)</f>
        <v>137312.396472018</v>
      </c>
      <c r="P179" s="56" t="n">
        <f aca="false">IF(L179=1,IF($B$26&lt;=N179,1,0),0)</f>
        <v>0</v>
      </c>
      <c r="Q179" s="58" t="n">
        <f aca="false">Q178+N179</f>
        <v>114282.23780006</v>
      </c>
      <c r="S179" s="56" t="n">
        <f aca="false">S178+1</f>
        <v>172</v>
      </c>
      <c r="T179" s="57" t="n">
        <f aca="false">IF(AND(S179&lt;=Assumptions!$C$42,T178=1,X178=0,W178&gt;Assumptions!$C$43),1,0)</f>
        <v>1</v>
      </c>
      <c r="U179" s="58" t="n">
        <f aca="false">W178</f>
        <v>92175.9142472742</v>
      </c>
      <c r="V179" s="58" t="n">
        <f aca="false">IF(T179=1,U179*$B$22,0)</f>
        <v>307.253047490914</v>
      </c>
      <c r="W179" s="58" t="n">
        <f aca="false">IF(T179=1,U179+V179-$B$27,U179)</f>
        <v>90963.5751940207</v>
      </c>
      <c r="X179" s="56" t="n">
        <f aca="false">IF(T179=1,IF($B$27&lt;=V179,1,0),0)</f>
        <v>0</v>
      </c>
      <c r="Y179" s="58" t="n">
        <f aca="false">Y178+V179</f>
        <v>102333.416522062</v>
      </c>
    </row>
    <row r="180" customFormat="false" ht="15" hidden="false" customHeight="false" outlineLevel="0" collapsed="false">
      <c r="K180" s="56" t="n">
        <f aca="false">K179+1</f>
        <v>173</v>
      </c>
      <c r="L180" s="57" t="n">
        <f aca="false">IF(AND(K180&lt;=Assumptions!$C$42,L179=1,P179=0,O179&gt;Assumptions!$C$43),1,0)</f>
        <v>1</v>
      </c>
      <c r="M180" s="58" t="n">
        <f aca="false">O179</f>
        <v>137312.396472018</v>
      </c>
      <c r="N180" s="58" t="n">
        <f aca="false">IF(L180=1,M180*$B$22,0)</f>
        <v>457.707988240061</v>
      </c>
      <c r="O180" s="58" t="n">
        <f aca="false">IF(L180=1,M180+N180-$B$26,M180)</f>
        <v>136450.512359514</v>
      </c>
      <c r="P180" s="56" t="n">
        <f aca="false">IF(L180=1,IF($B$26&lt;=N180,1,0),0)</f>
        <v>0</v>
      </c>
      <c r="Q180" s="58" t="n">
        <f aca="false">Q179+N180</f>
        <v>114739.9457883</v>
      </c>
      <c r="S180" s="56" t="n">
        <f aca="false">S179+1</f>
        <v>173</v>
      </c>
      <c r="T180" s="57" t="n">
        <f aca="false">IF(AND(S180&lt;=Assumptions!$C$42,T179=1,X179=0,W179&gt;Assumptions!$C$43),1,0)</f>
        <v>1</v>
      </c>
      <c r="U180" s="58" t="n">
        <f aca="false">W179</f>
        <v>90963.5751940207</v>
      </c>
      <c r="V180" s="58" t="n">
        <f aca="false">IF(T180=1,U180*$B$22,0)</f>
        <v>303.211917313402</v>
      </c>
      <c r="W180" s="58" t="n">
        <f aca="false">IF(T180=1,U180+V180-$B$27,U180)</f>
        <v>89747.1950105897</v>
      </c>
      <c r="X180" s="56" t="n">
        <f aca="false">IF(T180=1,IF($B$27&lt;=V180,1,0),0)</f>
        <v>0</v>
      </c>
      <c r="Y180" s="58" t="n">
        <f aca="false">Y179+V180</f>
        <v>102636.628439375</v>
      </c>
    </row>
    <row r="181" customFormat="false" ht="15" hidden="false" customHeight="false" outlineLevel="0" collapsed="false">
      <c r="K181" s="56" t="n">
        <f aca="false">K180+1</f>
        <v>174</v>
      </c>
      <c r="L181" s="57" t="n">
        <f aca="false">IF(AND(K181&lt;=Assumptions!$C$42,L180=1,P180=0,O180&gt;Assumptions!$C$43),1,0)</f>
        <v>1</v>
      </c>
      <c r="M181" s="58" t="n">
        <f aca="false">O180</f>
        <v>136450.512359514</v>
      </c>
      <c r="N181" s="58" t="n">
        <f aca="false">IF(L181=1,M181*$B$22,0)</f>
        <v>454.83504119838</v>
      </c>
      <c r="O181" s="58" t="n">
        <f aca="false">IF(L181=1,M181+N181-$B$26,M181)</f>
        <v>135585.755299968</v>
      </c>
      <c r="P181" s="56" t="n">
        <f aca="false">IF(L181=1,IF($B$26&lt;=N181,1,0),0)</f>
        <v>0</v>
      </c>
      <c r="Q181" s="58" t="n">
        <f aca="false">Q180+N181</f>
        <v>115194.780829498</v>
      </c>
      <c r="S181" s="56" t="n">
        <f aca="false">S180+1</f>
        <v>174</v>
      </c>
      <c r="T181" s="57" t="n">
        <f aca="false">IF(AND(S181&lt;=Assumptions!$C$42,T180=1,X180=0,W180&gt;Assumptions!$C$43),1,0)</f>
        <v>1</v>
      </c>
      <c r="U181" s="58" t="n">
        <f aca="false">W180</f>
        <v>89747.1950105897</v>
      </c>
      <c r="V181" s="58" t="n">
        <f aca="false">IF(T181=1,U181*$B$22,0)</f>
        <v>299.157316701966</v>
      </c>
      <c r="W181" s="58" t="n">
        <f aca="false">IF(T181=1,U181+V181-$B$27,U181)</f>
        <v>88526.7602265472</v>
      </c>
      <c r="X181" s="56" t="n">
        <f aca="false">IF(T181=1,IF($B$27&lt;=V181,1,0),0)</f>
        <v>0</v>
      </c>
      <c r="Y181" s="58" t="n">
        <f aca="false">Y180+V181</f>
        <v>102935.785756077</v>
      </c>
    </row>
    <row r="182" customFormat="false" ht="15" hidden="false" customHeight="false" outlineLevel="0" collapsed="false">
      <c r="K182" s="56" t="n">
        <f aca="false">K181+1</f>
        <v>175</v>
      </c>
      <c r="L182" s="57" t="n">
        <f aca="false">IF(AND(K182&lt;=Assumptions!$C$42,L181=1,P181=0,O181&gt;Assumptions!$C$43),1,0)</f>
        <v>1</v>
      </c>
      <c r="M182" s="58" t="n">
        <f aca="false">O181</f>
        <v>135585.755299968</v>
      </c>
      <c r="N182" s="58" t="n">
        <f aca="false">IF(L182=1,M182*$B$22,0)</f>
        <v>451.952517666559</v>
      </c>
      <c r="O182" s="58" t="n">
        <f aca="false">IF(L182=1,M182+N182-$B$26,M182)</f>
        <v>134718.11571689</v>
      </c>
      <c r="P182" s="56" t="n">
        <f aca="false">IF(L182=1,IF($B$26&lt;=N182,1,0),0)</f>
        <v>0</v>
      </c>
      <c r="Q182" s="58" t="n">
        <f aca="false">Q181+N182</f>
        <v>115646.733347165</v>
      </c>
      <c r="S182" s="56" t="n">
        <f aca="false">S181+1</f>
        <v>175</v>
      </c>
      <c r="T182" s="57" t="n">
        <f aca="false">IF(AND(S182&lt;=Assumptions!$C$42,T181=1,X181=0,W181&gt;Assumptions!$C$43),1,0)</f>
        <v>1</v>
      </c>
      <c r="U182" s="58" t="n">
        <f aca="false">W181</f>
        <v>88526.7602265472</v>
      </c>
      <c r="V182" s="58" t="n">
        <f aca="false">IF(T182=1,U182*$B$22,0)</f>
        <v>295.089200755157</v>
      </c>
      <c r="W182" s="58" t="n">
        <f aca="false">IF(T182=1,U182+V182-$B$27,U182)</f>
        <v>87302.257326558</v>
      </c>
      <c r="X182" s="56" t="n">
        <f aca="false">IF(T182=1,IF($B$27&lt;=V182,1,0),0)</f>
        <v>0</v>
      </c>
      <c r="Y182" s="58" t="n">
        <f aca="false">Y181+V182</f>
        <v>103230.874956833</v>
      </c>
    </row>
    <row r="183" customFormat="false" ht="15" hidden="false" customHeight="false" outlineLevel="0" collapsed="false">
      <c r="K183" s="56" t="n">
        <f aca="false">K182+1</f>
        <v>176</v>
      </c>
      <c r="L183" s="57" t="n">
        <f aca="false">IF(AND(K183&lt;=Assumptions!$C$42,L182=1,P182=0,O182&gt;Assumptions!$C$43),1,0)</f>
        <v>1</v>
      </c>
      <c r="M183" s="58" t="n">
        <f aca="false">O182</f>
        <v>134718.11571689</v>
      </c>
      <c r="N183" s="58" t="n">
        <f aca="false">IF(L183=1,M183*$B$22,0)</f>
        <v>449.060385722967</v>
      </c>
      <c r="O183" s="58" t="n">
        <f aca="false">IF(L183=1,M183+N183-$B$26,M183)</f>
        <v>133847.584001869</v>
      </c>
      <c r="P183" s="56" t="n">
        <f aca="false">IF(L183=1,IF($B$26&lt;=N183,1,0),0)</f>
        <v>0</v>
      </c>
      <c r="Q183" s="58" t="n">
        <f aca="false">Q182+N183</f>
        <v>116095.793732888</v>
      </c>
      <c r="S183" s="56" t="n">
        <f aca="false">S182+1</f>
        <v>176</v>
      </c>
      <c r="T183" s="57" t="n">
        <f aca="false">IF(AND(S183&lt;=Assumptions!$C$42,T182=1,X182=0,W182&gt;Assumptions!$C$43),1,0)</f>
        <v>1</v>
      </c>
      <c r="U183" s="58" t="n">
        <f aca="false">W182</f>
        <v>87302.257326558</v>
      </c>
      <c r="V183" s="58" t="n">
        <f aca="false">IF(T183=1,U183*$B$22,0)</f>
        <v>291.00752442186</v>
      </c>
      <c r="W183" s="58" t="n">
        <f aca="false">IF(T183=1,U183+V183-$B$27,U183)</f>
        <v>86073.6727502354</v>
      </c>
      <c r="X183" s="56" t="n">
        <f aca="false">IF(T183=1,IF($B$27&lt;=V183,1,0),0)</f>
        <v>0</v>
      </c>
      <c r="Y183" s="58" t="n">
        <f aca="false">Y182+V183</f>
        <v>103521.882481254</v>
      </c>
    </row>
    <row r="184" customFormat="false" ht="15" hidden="false" customHeight="false" outlineLevel="0" collapsed="false">
      <c r="K184" s="56" t="n">
        <f aca="false">K183+1</f>
        <v>177</v>
      </c>
      <c r="L184" s="57" t="n">
        <f aca="false">IF(AND(K184&lt;=Assumptions!$C$42,L183=1,P183=0,O183&gt;Assumptions!$C$43),1,0)</f>
        <v>1</v>
      </c>
      <c r="M184" s="58" t="n">
        <f aca="false">O183</f>
        <v>133847.584001869</v>
      </c>
      <c r="N184" s="58" t="n">
        <f aca="false">IF(L184=1,M184*$B$22,0)</f>
        <v>446.158613339562</v>
      </c>
      <c r="O184" s="58" t="n">
        <f aca="false">IF(L184=1,M184+N184-$B$26,M184)</f>
        <v>132974.150514464</v>
      </c>
      <c r="P184" s="56" t="n">
        <f aca="false">IF(L184=1,IF($B$26&lt;=N184,1,0),0)</f>
        <v>0</v>
      </c>
      <c r="Q184" s="58" t="n">
        <f aca="false">Q183+N184</f>
        <v>116541.952346227</v>
      </c>
      <c r="S184" s="56" t="n">
        <f aca="false">S183+1</f>
        <v>177</v>
      </c>
      <c r="T184" s="57" t="n">
        <f aca="false">IF(AND(S184&lt;=Assumptions!$C$42,T183=1,X183=0,W183&gt;Assumptions!$C$43),1,0)</f>
        <v>1</v>
      </c>
      <c r="U184" s="58" t="n">
        <f aca="false">W183</f>
        <v>86073.6727502354</v>
      </c>
      <c r="V184" s="58" t="n">
        <f aca="false">IF(T184=1,U184*$B$22,0)</f>
        <v>286.912242500785</v>
      </c>
      <c r="W184" s="58" t="n">
        <f aca="false">IF(T184=1,U184+V184-$B$27,U184)</f>
        <v>84840.9928919917</v>
      </c>
      <c r="X184" s="56" t="n">
        <f aca="false">IF(T184=1,IF($B$27&lt;=V184,1,0),0)</f>
        <v>0</v>
      </c>
      <c r="Y184" s="58" t="n">
        <f aca="false">Y183+V184</f>
        <v>103808.794723755</v>
      </c>
    </row>
    <row r="185" customFormat="false" ht="15" hidden="false" customHeight="false" outlineLevel="0" collapsed="false">
      <c r="K185" s="56" t="n">
        <f aca="false">K184+1</f>
        <v>178</v>
      </c>
      <c r="L185" s="57" t="n">
        <f aca="false">IF(AND(K185&lt;=Assumptions!$C$42,L184=1,P184=0,O184&gt;Assumptions!$C$43),1,0)</f>
        <v>1</v>
      </c>
      <c r="M185" s="58" t="n">
        <f aca="false">O184</f>
        <v>132974.150514464</v>
      </c>
      <c r="N185" s="58" t="n">
        <f aca="false">IF(L185=1,M185*$B$22,0)</f>
        <v>443.247168381545</v>
      </c>
      <c r="O185" s="58" t="n">
        <f aca="false">IF(L185=1,M185+N185-$B$26,M185)</f>
        <v>132097.805582101</v>
      </c>
      <c r="P185" s="56" t="n">
        <f aca="false">IF(L185=1,IF($B$26&lt;=N185,1,0),0)</f>
        <v>0</v>
      </c>
      <c r="Q185" s="58" t="n">
        <f aca="false">Q184+N185</f>
        <v>116985.199514609</v>
      </c>
      <c r="S185" s="56" t="n">
        <f aca="false">S184+1</f>
        <v>178</v>
      </c>
      <c r="T185" s="57" t="n">
        <f aca="false">IF(AND(S185&lt;=Assumptions!$C$42,T184=1,X184=0,W184&gt;Assumptions!$C$43),1,0)</f>
        <v>1</v>
      </c>
      <c r="U185" s="58" t="n">
        <f aca="false">W184</f>
        <v>84840.9928919917</v>
      </c>
      <c r="V185" s="58" t="n">
        <f aca="false">IF(T185=1,U185*$B$22,0)</f>
        <v>282.803309639973</v>
      </c>
      <c r="W185" s="58" t="n">
        <f aca="false">IF(T185=1,U185+V185-$B$27,U185)</f>
        <v>83604.2041008873</v>
      </c>
      <c r="X185" s="56" t="n">
        <f aca="false">IF(T185=1,IF($B$27&lt;=V185,1,0),0)</f>
        <v>0</v>
      </c>
      <c r="Y185" s="58" t="n">
        <f aca="false">Y184+V185</f>
        <v>104091.598033395</v>
      </c>
    </row>
    <row r="186" customFormat="false" ht="15" hidden="false" customHeight="false" outlineLevel="0" collapsed="false">
      <c r="K186" s="56" t="n">
        <f aca="false">K185+1</f>
        <v>179</v>
      </c>
      <c r="L186" s="57" t="n">
        <f aca="false">IF(AND(K186&lt;=Assumptions!$C$42,L185=1,P185=0,O185&gt;Assumptions!$C$43),1,0)</f>
        <v>1</v>
      </c>
      <c r="M186" s="58" t="n">
        <f aca="false">O185</f>
        <v>132097.805582101</v>
      </c>
      <c r="N186" s="58" t="n">
        <f aca="false">IF(L186=1,M186*$B$22,0)</f>
        <v>440.326018607003</v>
      </c>
      <c r="O186" s="58" t="n">
        <f aca="false">IF(L186=1,M186+N186-$B$26,M186)</f>
        <v>131218.539499963</v>
      </c>
      <c r="P186" s="56" t="n">
        <f aca="false">IF(L186=1,IF($B$26&lt;=N186,1,0),0)</f>
        <v>0</v>
      </c>
      <c r="Q186" s="58" t="n">
        <f aca="false">Q185+N186</f>
        <v>117425.525533216</v>
      </c>
      <c r="S186" s="56" t="n">
        <f aca="false">S185+1</f>
        <v>179</v>
      </c>
      <c r="T186" s="57" t="n">
        <f aca="false">IF(AND(S186&lt;=Assumptions!$C$42,T185=1,X185=0,W185&gt;Assumptions!$C$43),1,0)</f>
        <v>1</v>
      </c>
      <c r="U186" s="58" t="n">
        <f aca="false">W185</f>
        <v>83604.2041008873</v>
      </c>
      <c r="V186" s="58" t="n">
        <f aca="false">IF(T186=1,U186*$B$22,0)</f>
        <v>278.680680336291</v>
      </c>
      <c r="W186" s="58" t="n">
        <f aca="false">IF(T186=1,U186+V186-$B$27,U186)</f>
        <v>82363.2926804792</v>
      </c>
      <c r="X186" s="56" t="n">
        <f aca="false">IF(T186=1,IF($B$27&lt;=V186,1,0),0)</f>
        <v>0</v>
      </c>
      <c r="Y186" s="58" t="n">
        <f aca="false">Y185+V186</f>
        <v>104370.278713731</v>
      </c>
    </row>
    <row r="187" customFormat="false" ht="15" hidden="false" customHeight="false" outlineLevel="0" collapsed="false">
      <c r="K187" s="56" t="n">
        <f aca="false">K186+1</f>
        <v>180</v>
      </c>
      <c r="L187" s="57" t="n">
        <f aca="false">IF(AND(K187&lt;=Assumptions!$C$42,L186=1,P186=0,O186&gt;Assumptions!$C$43),1,0)</f>
        <v>1</v>
      </c>
      <c r="M187" s="58" t="n">
        <f aca="false">O186</f>
        <v>131218.539499963</v>
      </c>
      <c r="N187" s="58" t="n">
        <f aca="false">IF(L187=1,M187*$B$22,0)</f>
        <v>437.395131666545</v>
      </c>
      <c r="O187" s="58" t="n">
        <f aca="false">IF(L187=1,M187+N187-$B$26,M187)</f>
        <v>130336.342530885</v>
      </c>
      <c r="P187" s="56" t="n">
        <f aca="false">IF(L187=1,IF($B$26&lt;=N187,1,0),0)</f>
        <v>0</v>
      </c>
      <c r="Q187" s="58" t="n">
        <f aca="false">Q186+N187</f>
        <v>117862.920664882</v>
      </c>
      <c r="S187" s="56" t="n">
        <f aca="false">S186+1</f>
        <v>180</v>
      </c>
      <c r="T187" s="57" t="n">
        <f aca="false">IF(AND(S187&lt;=Assumptions!$C$42,T186=1,X186=0,W186&gt;Assumptions!$C$43),1,0)</f>
        <v>1</v>
      </c>
      <c r="U187" s="58" t="n">
        <f aca="false">W186</f>
        <v>82363.2926804792</v>
      </c>
      <c r="V187" s="58" t="n">
        <f aca="false">IF(T187=1,U187*$B$22,0)</f>
        <v>274.544308934931</v>
      </c>
      <c r="W187" s="58" t="n">
        <f aca="false">IF(T187=1,U187+V187-$B$27,U187)</f>
        <v>81118.2448886697</v>
      </c>
      <c r="X187" s="56" t="n">
        <f aca="false">IF(T187=1,IF($B$27&lt;=V187,1,0),0)</f>
        <v>0</v>
      </c>
      <c r="Y187" s="58" t="n">
        <f aca="false">Y186+V187</f>
        <v>104644.823022666</v>
      </c>
    </row>
    <row r="188" customFormat="false" ht="15" hidden="false" customHeight="false" outlineLevel="0" collapsed="false">
      <c r="K188" s="56" t="n">
        <f aca="false">K187+1</f>
        <v>181</v>
      </c>
      <c r="L188" s="57" t="n">
        <f aca="false">IF(AND(K188&lt;=Assumptions!$C$42,L187=1,P187=0,O187&gt;Assumptions!$C$43),1,0)</f>
        <v>1</v>
      </c>
      <c r="M188" s="58" t="n">
        <f aca="false">O187</f>
        <v>130336.342530885</v>
      </c>
      <c r="N188" s="58" t="n">
        <f aca="false">IF(L188=1,M188*$B$22,0)</f>
        <v>434.454475102952</v>
      </c>
      <c r="O188" s="58" t="n">
        <f aca="false">IF(L188=1,M188+N188-$B$26,M188)</f>
        <v>129451.204905244</v>
      </c>
      <c r="P188" s="56" t="n">
        <f aca="false">IF(L188=1,IF($B$26&lt;=N188,1,0),0)</f>
        <v>0</v>
      </c>
      <c r="Q188" s="58" t="n">
        <f aca="false">Q187+N188</f>
        <v>118297.375139985</v>
      </c>
      <c r="S188" s="56" t="n">
        <f aca="false">S187+1</f>
        <v>181</v>
      </c>
      <c r="T188" s="57" t="n">
        <f aca="false">IF(AND(S188&lt;=Assumptions!$C$42,T187=1,X187=0,W187&gt;Assumptions!$C$43),1,0)</f>
        <v>1</v>
      </c>
      <c r="U188" s="58" t="n">
        <f aca="false">W187</f>
        <v>81118.2448886697</v>
      </c>
      <c r="V188" s="58" t="n">
        <f aca="false">IF(T188=1,U188*$B$22,0)</f>
        <v>270.394149628899</v>
      </c>
      <c r="W188" s="58" t="n">
        <f aca="false">IF(T188=1,U188+V188-$B$27,U188)</f>
        <v>79869.0469375541</v>
      </c>
      <c r="X188" s="56" t="n">
        <f aca="false">IF(T188=1,IF($B$27&lt;=V188,1,0),0)</f>
        <v>0</v>
      </c>
      <c r="Y188" s="58" t="n">
        <f aca="false">Y187+V188</f>
        <v>104915.217172295</v>
      </c>
    </row>
    <row r="189" customFormat="false" ht="15" hidden="false" customHeight="false" outlineLevel="0" collapsed="false">
      <c r="K189" s="56" t="n">
        <f aca="false">K188+1</f>
        <v>182</v>
      </c>
      <c r="L189" s="57" t="n">
        <f aca="false">IF(AND(K189&lt;=Assumptions!$C$42,L188=1,P188=0,O188&gt;Assumptions!$C$43),1,0)</f>
        <v>1</v>
      </c>
      <c r="M189" s="58" t="n">
        <f aca="false">O188</f>
        <v>129451.204905244</v>
      </c>
      <c r="N189" s="58" t="n">
        <f aca="false">IF(L189=1,M189*$B$22,0)</f>
        <v>431.504016350813</v>
      </c>
      <c r="O189" s="58" t="n">
        <f aca="false">IF(L189=1,M189+N189-$B$26,M189)</f>
        <v>128563.11682085</v>
      </c>
      <c r="P189" s="56" t="n">
        <f aca="false">IF(L189=1,IF($B$26&lt;=N189,1,0),0)</f>
        <v>0</v>
      </c>
      <c r="Q189" s="58" t="n">
        <f aca="false">Q188+N189</f>
        <v>118728.879156336</v>
      </c>
      <c r="S189" s="56" t="n">
        <f aca="false">S188+1</f>
        <v>182</v>
      </c>
      <c r="T189" s="57" t="n">
        <f aca="false">IF(AND(S189&lt;=Assumptions!$C$42,T188=1,X188=0,W188&gt;Assumptions!$C$43),1,0)</f>
        <v>1</v>
      </c>
      <c r="U189" s="58" t="n">
        <f aca="false">W188</f>
        <v>79869.0469375541</v>
      </c>
      <c r="V189" s="58" t="n">
        <f aca="false">IF(T189=1,U189*$B$22,0)</f>
        <v>266.230156458514</v>
      </c>
      <c r="W189" s="58" t="n">
        <f aca="false">IF(T189=1,U189+V189-$B$27,U189)</f>
        <v>78615.6849932682</v>
      </c>
      <c r="X189" s="56" t="n">
        <f aca="false">IF(T189=1,IF($B$27&lt;=V189,1,0),0)</f>
        <v>0</v>
      </c>
      <c r="Y189" s="58" t="n">
        <f aca="false">Y188+V189</f>
        <v>105181.447328754</v>
      </c>
    </row>
    <row r="190" customFormat="false" ht="15" hidden="false" customHeight="false" outlineLevel="0" collapsed="false">
      <c r="K190" s="56" t="n">
        <f aca="false">K189+1</f>
        <v>183</v>
      </c>
      <c r="L190" s="57" t="n">
        <f aca="false">IF(AND(K190&lt;=Assumptions!$C$42,L189=1,P189=0,O189&gt;Assumptions!$C$43),1,0)</f>
        <v>1</v>
      </c>
      <c r="M190" s="58" t="n">
        <f aca="false">O189</f>
        <v>128563.11682085</v>
      </c>
      <c r="N190" s="58" t="n">
        <f aca="false">IF(L190=1,M190*$B$22,0)</f>
        <v>428.543722736168</v>
      </c>
      <c r="O190" s="58" t="n">
        <f aca="false">IF(L190=1,M190+N190-$B$26,M190)</f>
        <v>127672.068442842</v>
      </c>
      <c r="P190" s="56" t="n">
        <f aca="false">IF(L190=1,IF($B$26&lt;=N190,1,0),0)</f>
        <v>0</v>
      </c>
      <c r="Q190" s="58" t="n">
        <f aca="false">Q189+N190</f>
        <v>119157.422879072</v>
      </c>
      <c r="S190" s="56" t="n">
        <f aca="false">S189+1</f>
        <v>183</v>
      </c>
      <c r="T190" s="57" t="n">
        <f aca="false">IF(AND(S190&lt;=Assumptions!$C$42,T189=1,X189=0,W189&gt;Assumptions!$C$43),1,0)</f>
        <v>1</v>
      </c>
      <c r="U190" s="58" t="n">
        <f aca="false">W189</f>
        <v>78615.6849932682</v>
      </c>
      <c r="V190" s="58" t="n">
        <f aca="false">IF(T190=1,U190*$B$22,0)</f>
        <v>262.052283310894</v>
      </c>
      <c r="W190" s="58" t="n">
        <f aca="false">IF(T190=1,U190+V190-$B$27,U190)</f>
        <v>77358.1451758347</v>
      </c>
      <c r="X190" s="56" t="n">
        <f aca="false">IF(T190=1,IF($B$27&lt;=V190,1,0),0)</f>
        <v>0</v>
      </c>
      <c r="Y190" s="58" t="n">
        <f aca="false">Y189+V190</f>
        <v>105443.499612065</v>
      </c>
    </row>
    <row r="191" customFormat="false" ht="15" hidden="false" customHeight="false" outlineLevel="0" collapsed="false">
      <c r="K191" s="56" t="n">
        <f aca="false">K190+1</f>
        <v>184</v>
      </c>
      <c r="L191" s="57" t="n">
        <f aca="false">IF(AND(K191&lt;=Assumptions!$C$42,L190=1,P190=0,O190&gt;Assumptions!$C$43),1,0)</f>
        <v>1</v>
      </c>
      <c r="M191" s="58" t="n">
        <f aca="false">O190</f>
        <v>127672.068442842</v>
      </c>
      <c r="N191" s="58" t="n">
        <f aca="false">IF(L191=1,M191*$B$22,0)</f>
        <v>425.57356147614</v>
      </c>
      <c r="O191" s="58" t="n">
        <f aca="false">IF(L191=1,M191+N191-$B$26,M191)</f>
        <v>126778.049903574</v>
      </c>
      <c r="P191" s="56" t="n">
        <f aca="false">IF(L191=1,IF($B$26&lt;=N191,1,0),0)</f>
        <v>0</v>
      </c>
      <c r="Q191" s="58" t="n">
        <f aca="false">Q190+N191</f>
        <v>119582.996440548</v>
      </c>
      <c r="S191" s="56" t="n">
        <f aca="false">S190+1</f>
        <v>184</v>
      </c>
      <c r="T191" s="57" t="n">
        <f aca="false">IF(AND(S191&lt;=Assumptions!$C$42,T190=1,X190=0,W190&gt;Assumptions!$C$43),1,0)</f>
        <v>1</v>
      </c>
      <c r="U191" s="58" t="n">
        <f aca="false">W190</f>
        <v>77358.1451758347</v>
      </c>
      <c r="V191" s="58" t="n">
        <f aca="false">IF(T191=1,U191*$B$22,0)</f>
        <v>257.860483919449</v>
      </c>
      <c r="W191" s="58" t="n">
        <f aca="false">IF(T191=1,U191+V191-$B$27,U191)</f>
        <v>76096.4135590097</v>
      </c>
      <c r="X191" s="56" t="n">
        <f aca="false">IF(T191=1,IF($B$27&lt;=V191,1,0),0)</f>
        <v>0</v>
      </c>
      <c r="Y191" s="58" t="n">
        <f aca="false">Y190+V191</f>
        <v>105701.360095984</v>
      </c>
    </row>
    <row r="192" customFormat="false" ht="15" hidden="false" customHeight="false" outlineLevel="0" collapsed="false">
      <c r="K192" s="56" t="n">
        <f aca="false">K191+1</f>
        <v>185</v>
      </c>
      <c r="L192" s="57" t="n">
        <f aca="false">IF(AND(K192&lt;=Assumptions!$C$42,L191=1,P191=0,O191&gt;Assumptions!$C$43),1,0)</f>
        <v>1</v>
      </c>
      <c r="M192" s="58" t="n">
        <f aca="false">O191</f>
        <v>126778.049903574</v>
      </c>
      <c r="N192" s="58" t="n">
        <f aca="false">IF(L192=1,M192*$B$22,0)</f>
        <v>422.593499678579</v>
      </c>
      <c r="O192" s="58" t="n">
        <f aca="false">IF(L192=1,M192+N192-$B$26,M192)</f>
        <v>125881.051302508</v>
      </c>
      <c r="P192" s="56" t="n">
        <f aca="false">IF(L192=1,IF($B$26&lt;=N192,1,0),0)</f>
        <v>0</v>
      </c>
      <c r="Q192" s="58" t="n">
        <f aca="false">Q191+N192</f>
        <v>120005.589940227</v>
      </c>
      <c r="S192" s="56" t="n">
        <f aca="false">S191+1</f>
        <v>185</v>
      </c>
      <c r="T192" s="57" t="n">
        <f aca="false">IF(AND(S192&lt;=Assumptions!$C$42,T191=1,X191=0,W191&gt;Assumptions!$C$43),1,0)</f>
        <v>1</v>
      </c>
      <c r="U192" s="58" t="n">
        <f aca="false">W191</f>
        <v>76096.4135590097</v>
      </c>
      <c r="V192" s="58" t="n">
        <f aca="false">IF(T192=1,U192*$B$22,0)</f>
        <v>253.654711863366</v>
      </c>
      <c r="W192" s="58" t="n">
        <f aca="false">IF(T192=1,U192+V192-$B$27,U192)</f>
        <v>74830.4761701286</v>
      </c>
      <c r="X192" s="56" t="n">
        <f aca="false">IF(T192=1,IF($B$27&lt;=V192,1,0),0)</f>
        <v>0</v>
      </c>
      <c r="Y192" s="58" t="n">
        <f aca="false">Y191+V192</f>
        <v>105955.014807847</v>
      </c>
    </row>
    <row r="193" customFormat="false" ht="15" hidden="false" customHeight="false" outlineLevel="0" collapsed="false">
      <c r="K193" s="56" t="n">
        <f aca="false">K192+1</f>
        <v>186</v>
      </c>
      <c r="L193" s="57" t="n">
        <f aca="false">IF(AND(K193&lt;=Assumptions!$C$42,L192=1,P192=0,O192&gt;Assumptions!$C$43),1,0)</f>
        <v>1</v>
      </c>
      <c r="M193" s="58" t="n">
        <f aca="false">O192</f>
        <v>125881.051302508</v>
      </c>
      <c r="N193" s="58" t="n">
        <f aca="false">IF(L193=1,M193*$B$22,0)</f>
        <v>419.603504341693</v>
      </c>
      <c r="O193" s="58" t="n">
        <f aca="false">IF(L193=1,M193+N193-$B$26,M193)</f>
        <v>124981.062706105</v>
      </c>
      <c r="P193" s="56" t="n">
        <f aca="false">IF(L193=1,IF($B$26&lt;=N193,1,0),0)</f>
        <v>0</v>
      </c>
      <c r="Q193" s="58" t="n">
        <f aca="false">Q192+N193</f>
        <v>120425.193444569</v>
      </c>
      <c r="S193" s="56" t="n">
        <f aca="false">S192+1</f>
        <v>186</v>
      </c>
      <c r="T193" s="57" t="n">
        <f aca="false">IF(AND(S193&lt;=Assumptions!$C$42,T192=1,X192=0,W192&gt;Assumptions!$C$43),1,0)</f>
        <v>1</v>
      </c>
      <c r="U193" s="58" t="n">
        <f aca="false">W192</f>
        <v>74830.4761701286</v>
      </c>
      <c r="V193" s="58" t="n">
        <f aca="false">IF(T193=1,U193*$B$22,0)</f>
        <v>249.434920567095</v>
      </c>
      <c r="W193" s="58" t="n">
        <f aca="false">IF(T193=1,U193+V193-$B$27,U193)</f>
        <v>73560.3189899513</v>
      </c>
      <c r="X193" s="56" t="n">
        <f aca="false">IF(T193=1,IF($B$27&lt;=V193,1,0),0)</f>
        <v>0</v>
      </c>
      <c r="Y193" s="58" t="n">
        <f aca="false">Y192+V193</f>
        <v>106204.449728415</v>
      </c>
    </row>
    <row r="194" customFormat="false" ht="15" hidden="false" customHeight="false" outlineLevel="0" collapsed="false">
      <c r="K194" s="56" t="n">
        <f aca="false">K193+1</f>
        <v>187</v>
      </c>
      <c r="L194" s="57" t="n">
        <f aca="false">IF(AND(K194&lt;=Assumptions!$C$42,L193=1,P193=0,O193&gt;Assumptions!$C$43),1,0)</f>
        <v>1</v>
      </c>
      <c r="M194" s="58" t="n">
        <f aca="false">O193</f>
        <v>124981.062706105</v>
      </c>
      <c r="N194" s="58" t="n">
        <f aca="false">IF(L194=1,M194*$B$22,0)</f>
        <v>416.603542353684</v>
      </c>
      <c r="O194" s="58" t="n">
        <f aca="false">IF(L194=1,M194+N194-$B$26,M194)</f>
        <v>124078.074147714</v>
      </c>
      <c r="P194" s="56" t="n">
        <f aca="false">IF(L194=1,IF($B$26&lt;=N194,1,0),0)</f>
        <v>0</v>
      </c>
      <c r="Q194" s="58" t="n">
        <f aca="false">Q193+N194</f>
        <v>120841.796986922</v>
      </c>
      <c r="S194" s="56" t="n">
        <f aca="false">S193+1</f>
        <v>187</v>
      </c>
      <c r="T194" s="57" t="n">
        <f aca="false">IF(AND(S194&lt;=Assumptions!$C$42,T193=1,X193=0,W193&gt;Assumptions!$C$43),1,0)</f>
        <v>1</v>
      </c>
      <c r="U194" s="58" t="n">
        <f aca="false">W193</f>
        <v>73560.3189899513</v>
      </c>
      <c r="V194" s="58" t="n">
        <f aca="false">IF(T194=1,U194*$B$22,0)</f>
        <v>245.201063299838</v>
      </c>
      <c r="W194" s="58" t="n">
        <f aca="false">IF(T194=1,U194+V194-$B$27,U194)</f>
        <v>72285.9279525067</v>
      </c>
      <c r="X194" s="56" t="n">
        <f aca="false">IF(T194=1,IF($B$27&lt;=V194,1,0),0)</f>
        <v>0</v>
      </c>
      <c r="Y194" s="58" t="n">
        <f aca="false">Y193+V194</f>
        <v>106449.650791714</v>
      </c>
    </row>
    <row r="195" customFormat="false" ht="15" hidden="false" customHeight="false" outlineLevel="0" collapsed="false">
      <c r="K195" s="56" t="n">
        <f aca="false">K194+1</f>
        <v>188</v>
      </c>
      <c r="L195" s="57" t="n">
        <f aca="false">IF(AND(K195&lt;=Assumptions!$C$42,L194=1,P194=0,O194&gt;Assumptions!$C$43),1,0)</f>
        <v>1</v>
      </c>
      <c r="M195" s="58" t="n">
        <f aca="false">O194</f>
        <v>124078.074147714</v>
      </c>
      <c r="N195" s="58" t="n">
        <f aca="false">IF(L195=1,M195*$B$22,0)</f>
        <v>413.593580492382</v>
      </c>
      <c r="O195" s="58" t="n">
        <f aca="false">IF(L195=1,M195+N195-$B$26,M195)</f>
        <v>123172.075627462</v>
      </c>
      <c r="P195" s="56" t="n">
        <f aca="false">IF(L195=1,IF($B$26&lt;=N195,1,0),0)</f>
        <v>0</v>
      </c>
      <c r="Q195" s="58" t="n">
        <f aca="false">Q194+N195</f>
        <v>121255.390567415</v>
      </c>
      <c r="S195" s="56" t="n">
        <f aca="false">S194+1</f>
        <v>188</v>
      </c>
      <c r="T195" s="57" t="n">
        <f aca="false">IF(AND(S195&lt;=Assumptions!$C$42,T194=1,X194=0,W194&gt;Assumptions!$C$43),1,0)</f>
        <v>1</v>
      </c>
      <c r="U195" s="58" t="n">
        <f aca="false">W194</f>
        <v>72285.9279525067</v>
      </c>
      <c r="V195" s="58" t="n">
        <f aca="false">IF(T195=1,U195*$B$22,0)</f>
        <v>240.953093175022</v>
      </c>
      <c r="W195" s="58" t="n">
        <f aca="false">IF(T195=1,U195+V195-$B$27,U195)</f>
        <v>71007.2889449373</v>
      </c>
      <c r="X195" s="56" t="n">
        <f aca="false">IF(T195=1,IF($B$27&lt;=V195,1,0),0)</f>
        <v>0</v>
      </c>
      <c r="Y195" s="58" t="n">
        <f aca="false">Y194+V195</f>
        <v>106690.603884889</v>
      </c>
    </row>
    <row r="196" customFormat="false" ht="15" hidden="false" customHeight="false" outlineLevel="0" collapsed="false">
      <c r="K196" s="56" t="n">
        <f aca="false">K195+1</f>
        <v>189</v>
      </c>
      <c r="L196" s="57" t="n">
        <f aca="false">IF(AND(K196&lt;=Assumptions!$C$42,L195=1,P195=0,O195&gt;Assumptions!$C$43),1,0)</f>
        <v>1</v>
      </c>
      <c r="M196" s="58" t="n">
        <f aca="false">O195</f>
        <v>123172.075627462</v>
      </c>
      <c r="N196" s="58" t="n">
        <f aca="false">IF(L196=1,M196*$B$22,0)</f>
        <v>410.573585424875</v>
      </c>
      <c r="O196" s="58" t="n">
        <f aca="false">IF(L196=1,M196+N196-$B$26,M196)</f>
        <v>122263.057112143</v>
      </c>
      <c r="P196" s="56" t="n">
        <f aca="false">IF(L196=1,IF($B$26&lt;=N196,1,0),0)</f>
        <v>0</v>
      </c>
      <c r="Q196" s="58" t="n">
        <f aca="false">Q195+N196</f>
        <v>121665.96415284</v>
      </c>
      <c r="S196" s="56" t="n">
        <f aca="false">S195+1</f>
        <v>189</v>
      </c>
      <c r="T196" s="57" t="n">
        <f aca="false">IF(AND(S196&lt;=Assumptions!$C$42,T195=1,X195=0,W195&gt;Assumptions!$C$43),1,0)</f>
        <v>1</v>
      </c>
      <c r="U196" s="58" t="n">
        <f aca="false">W195</f>
        <v>71007.2889449373</v>
      </c>
      <c r="V196" s="58" t="n">
        <f aca="false">IF(T196=1,U196*$B$22,0)</f>
        <v>236.690963149791</v>
      </c>
      <c r="W196" s="58" t="n">
        <f aca="false">IF(T196=1,U196+V196-$B$27,U196)</f>
        <v>69724.3878073427</v>
      </c>
      <c r="X196" s="56" t="n">
        <f aca="false">IF(T196=1,IF($B$27&lt;=V196,1,0),0)</f>
        <v>0</v>
      </c>
      <c r="Y196" s="58" t="n">
        <f aca="false">Y195+V196</f>
        <v>106927.294848039</v>
      </c>
    </row>
    <row r="197" customFormat="false" ht="15" hidden="false" customHeight="false" outlineLevel="0" collapsed="false">
      <c r="K197" s="56" t="n">
        <f aca="false">K196+1</f>
        <v>190</v>
      </c>
      <c r="L197" s="57" t="n">
        <f aca="false">IF(AND(K197&lt;=Assumptions!$C$42,L196=1,P196=0,O196&gt;Assumptions!$C$43),1,0)</f>
        <v>1</v>
      </c>
      <c r="M197" s="58" t="n">
        <f aca="false">O196</f>
        <v>122263.057112143</v>
      </c>
      <c r="N197" s="58" t="n">
        <f aca="false">IF(L197=1,M197*$B$22,0)</f>
        <v>407.543523707143</v>
      </c>
      <c r="O197" s="58" t="n">
        <f aca="false">IF(L197=1,M197+N197-$B$26,M197)</f>
        <v>121351.008535106</v>
      </c>
      <c r="P197" s="56" t="n">
        <f aca="false">IF(L197=1,IF($B$26&lt;=N197,1,0),0)</f>
        <v>0</v>
      </c>
      <c r="Q197" s="58" t="n">
        <f aca="false">Q196+N197</f>
        <v>122073.507676547</v>
      </c>
      <c r="S197" s="56" t="n">
        <f aca="false">S196+1</f>
        <v>190</v>
      </c>
      <c r="T197" s="57" t="n">
        <f aca="false">IF(AND(S197&lt;=Assumptions!$C$42,T196=1,X196=0,W196&gt;Assumptions!$C$43),1,0)</f>
        <v>1</v>
      </c>
      <c r="U197" s="58" t="n">
        <f aca="false">W196</f>
        <v>69724.3878073427</v>
      </c>
      <c r="V197" s="58" t="n">
        <f aca="false">IF(T197=1,U197*$B$22,0)</f>
        <v>232.414626024476</v>
      </c>
      <c r="W197" s="58" t="n">
        <f aca="false">IF(T197=1,U197+V197-$B$27,U197)</f>
        <v>68437.2103326227</v>
      </c>
      <c r="X197" s="56" t="n">
        <f aca="false">IF(T197=1,IF($B$27&lt;=V197,1,0),0)</f>
        <v>0</v>
      </c>
      <c r="Y197" s="58" t="n">
        <f aca="false">Y196+V197</f>
        <v>107159.709474064</v>
      </c>
    </row>
    <row r="198" customFormat="false" ht="15" hidden="false" customHeight="false" outlineLevel="0" collapsed="false">
      <c r="K198" s="56" t="n">
        <f aca="false">K197+1</f>
        <v>191</v>
      </c>
      <c r="L198" s="57" t="n">
        <f aca="false">IF(AND(K198&lt;=Assumptions!$C$42,L197=1,P197=0,O197&gt;Assumptions!$C$43),1,0)</f>
        <v>1</v>
      </c>
      <c r="M198" s="58" t="n">
        <f aca="false">O197</f>
        <v>121351.008535106</v>
      </c>
      <c r="N198" s="58" t="n">
        <f aca="false">IF(L198=1,M198*$B$22,0)</f>
        <v>404.503361783685</v>
      </c>
      <c r="O198" s="58" t="n">
        <f aca="false">IF(L198=1,M198+N198-$B$26,M198)</f>
        <v>120435.919796145</v>
      </c>
      <c r="P198" s="56" t="n">
        <f aca="false">IF(L198=1,IF($B$26&lt;=N198,1,0),0)</f>
        <v>0</v>
      </c>
      <c r="Q198" s="58" t="n">
        <f aca="false">Q197+N198</f>
        <v>122478.01103833</v>
      </c>
      <c r="S198" s="56" t="n">
        <f aca="false">S197+1</f>
        <v>191</v>
      </c>
      <c r="T198" s="57" t="n">
        <f aca="false">IF(AND(S198&lt;=Assumptions!$C$42,T197=1,X197=0,W197&gt;Assumptions!$C$43),1,0)</f>
        <v>1</v>
      </c>
      <c r="U198" s="58" t="n">
        <f aca="false">W197</f>
        <v>68437.2103326227</v>
      </c>
      <c r="V198" s="58" t="n">
        <f aca="false">IF(T198=1,U198*$B$22,0)</f>
        <v>228.124034442076</v>
      </c>
      <c r="W198" s="58" t="n">
        <f aca="false">IF(T198=1,U198+V198-$B$27,U198)</f>
        <v>67145.7422663204</v>
      </c>
      <c r="X198" s="56" t="n">
        <f aca="false">IF(T198=1,IF($B$27&lt;=V198,1,0),0)</f>
        <v>0</v>
      </c>
      <c r="Y198" s="58" t="n">
        <f aca="false">Y197+V198</f>
        <v>107387.833508506</v>
      </c>
    </row>
    <row r="199" customFormat="false" ht="15" hidden="false" customHeight="false" outlineLevel="0" collapsed="false">
      <c r="K199" s="56" t="n">
        <f aca="false">K198+1</f>
        <v>192</v>
      </c>
      <c r="L199" s="57" t="n">
        <f aca="false">IF(AND(K199&lt;=Assumptions!$C$42,L198=1,P198=0,O198&gt;Assumptions!$C$43),1,0)</f>
        <v>1</v>
      </c>
      <c r="M199" s="58" t="n">
        <f aca="false">O198</f>
        <v>120435.919796145</v>
      </c>
      <c r="N199" s="58" t="n">
        <f aca="false">IF(L199=1,M199*$B$22,0)</f>
        <v>401.45306598715</v>
      </c>
      <c r="O199" s="58" t="n">
        <f aca="false">IF(L199=1,M199+N199-$B$26,M199)</f>
        <v>119517.780761388</v>
      </c>
      <c r="P199" s="56" t="n">
        <f aca="false">IF(L199=1,IF($B$26&lt;=N199,1,0),0)</f>
        <v>0</v>
      </c>
      <c r="Q199" s="58" t="n">
        <f aca="false">Q198+N199</f>
        <v>122879.464104318</v>
      </c>
      <c r="S199" s="56" t="n">
        <f aca="false">S198+1</f>
        <v>192</v>
      </c>
      <c r="T199" s="57" t="n">
        <f aca="false">IF(AND(S199&lt;=Assumptions!$C$42,T198=1,X198=0,W198&gt;Assumptions!$C$43),1,0)</f>
        <v>1</v>
      </c>
      <c r="U199" s="58" t="n">
        <f aca="false">W198</f>
        <v>67145.7422663204</v>
      </c>
      <c r="V199" s="58" t="n">
        <f aca="false">IF(T199=1,U199*$B$22,0)</f>
        <v>223.819140887735</v>
      </c>
      <c r="W199" s="58" t="n">
        <f aca="false">IF(T199=1,U199+V199-$B$27,U199)</f>
        <v>65849.9693064637</v>
      </c>
      <c r="X199" s="56" t="n">
        <f aca="false">IF(T199=1,IF($B$27&lt;=V199,1,0),0)</f>
        <v>0</v>
      </c>
      <c r="Y199" s="58" t="n">
        <f aca="false">Y198+V199</f>
        <v>107611.652649394</v>
      </c>
    </row>
    <row r="200" customFormat="false" ht="15" hidden="false" customHeight="false" outlineLevel="0" collapsed="false">
      <c r="K200" s="56" t="n">
        <f aca="false">K199+1</f>
        <v>193</v>
      </c>
      <c r="L200" s="57" t="n">
        <f aca="false">IF(AND(K200&lt;=Assumptions!$C$42,L199=1,P199=0,O199&gt;Assumptions!$C$43),1,0)</f>
        <v>1</v>
      </c>
      <c r="M200" s="58" t="n">
        <f aca="false">O199</f>
        <v>119517.780761388</v>
      </c>
      <c r="N200" s="58" t="n">
        <f aca="false">IF(L200=1,M200*$B$22,0)</f>
        <v>398.392602537959</v>
      </c>
      <c r="O200" s="58" t="n">
        <f aca="false">IF(L200=1,M200+N200-$B$26,M200)</f>
        <v>118596.581263181</v>
      </c>
      <c r="P200" s="56" t="n">
        <f aca="false">IF(L200=1,IF($B$26&lt;=N200,1,0),0)</f>
        <v>0</v>
      </c>
      <c r="Q200" s="58" t="n">
        <f aca="false">Q199+N200</f>
        <v>123277.856706856</v>
      </c>
      <c r="S200" s="56" t="n">
        <f aca="false">S199+1</f>
        <v>193</v>
      </c>
      <c r="T200" s="57" t="n">
        <f aca="false">IF(AND(S200&lt;=Assumptions!$C$42,T199=1,X199=0,W199&gt;Assumptions!$C$43),1,0)</f>
        <v>1</v>
      </c>
      <c r="U200" s="58" t="n">
        <f aca="false">W199</f>
        <v>65849.9693064637</v>
      </c>
      <c r="V200" s="58" t="n">
        <f aca="false">IF(T200=1,U200*$B$22,0)</f>
        <v>219.499897688212</v>
      </c>
      <c r="W200" s="58" t="n">
        <f aca="false">IF(T200=1,U200+V200-$B$27,U200)</f>
        <v>64549.8771034075</v>
      </c>
      <c r="X200" s="56" t="n">
        <f aca="false">IF(T200=1,IF($B$27&lt;=V200,1,0),0)</f>
        <v>0</v>
      </c>
      <c r="Y200" s="58" t="n">
        <f aca="false">Y199+V200</f>
        <v>107831.152547082</v>
      </c>
    </row>
    <row r="201" customFormat="false" ht="15" hidden="false" customHeight="false" outlineLevel="0" collapsed="false">
      <c r="K201" s="56" t="n">
        <f aca="false">K200+1</f>
        <v>194</v>
      </c>
      <c r="L201" s="57" t="n">
        <f aca="false">IF(AND(K201&lt;=Assumptions!$C$42,L200=1,P200=0,O200&gt;Assumptions!$C$43),1,0)</f>
        <v>1</v>
      </c>
      <c r="M201" s="58" t="n">
        <f aca="false">O200</f>
        <v>118596.581263181</v>
      </c>
      <c r="N201" s="58" t="n">
        <f aca="false">IF(L201=1,M201*$B$22,0)</f>
        <v>395.321937543937</v>
      </c>
      <c r="O201" s="58" t="n">
        <f aca="false">IF(L201=1,M201+N201-$B$26,M201)</f>
        <v>117672.311099981</v>
      </c>
      <c r="P201" s="56" t="n">
        <f aca="false">IF(L201=1,IF($B$26&lt;=N201,1,0),0)</f>
        <v>0</v>
      </c>
      <c r="Q201" s="58" t="n">
        <f aca="false">Q200+N201</f>
        <v>123673.1786444</v>
      </c>
      <c r="S201" s="56" t="n">
        <f aca="false">S200+1</f>
        <v>194</v>
      </c>
      <c r="T201" s="57" t="n">
        <f aca="false">IF(AND(S201&lt;=Assumptions!$C$42,T200=1,X200=0,W200&gt;Assumptions!$C$43),1,0)</f>
        <v>1</v>
      </c>
      <c r="U201" s="58" t="n">
        <f aca="false">W200</f>
        <v>64549.8771034075</v>
      </c>
      <c r="V201" s="58" t="n">
        <f aca="false">IF(T201=1,U201*$B$22,0)</f>
        <v>215.166257011358</v>
      </c>
      <c r="W201" s="58" t="n">
        <f aca="false">IF(T201=1,U201+V201-$B$27,U201)</f>
        <v>63245.4512596744</v>
      </c>
      <c r="X201" s="56" t="n">
        <f aca="false">IF(T201=1,IF($B$27&lt;=V201,1,0),0)</f>
        <v>0</v>
      </c>
      <c r="Y201" s="58" t="n">
        <f aca="false">Y200+V201</f>
        <v>108046.318804093</v>
      </c>
    </row>
    <row r="202" customFormat="false" ht="15" hidden="false" customHeight="false" outlineLevel="0" collapsed="false">
      <c r="K202" s="56" t="n">
        <f aca="false">K201+1</f>
        <v>195</v>
      </c>
      <c r="L202" s="57" t="n">
        <f aca="false">IF(AND(K202&lt;=Assumptions!$C$42,L201=1,P201=0,O201&gt;Assumptions!$C$43),1,0)</f>
        <v>1</v>
      </c>
      <c r="M202" s="58" t="n">
        <f aca="false">O201</f>
        <v>117672.311099981</v>
      </c>
      <c r="N202" s="58" t="n">
        <f aca="false">IF(L202=1,M202*$B$22,0)</f>
        <v>392.241036999935</v>
      </c>
      <c r="O202" s="58" t="n">
        <f aca="false">IF(L202=1,M202+N202-$B$26,M202)</f>
        <v>116744.960036236</v>
      </c>
      <c r="P202" s="56" t="n">
        <f aca="false">IF(L202=1,IF($B$26&lt;=N202,1,0),0)</f>
        <v>0</v>
      </c>
      <c r="Q202" s="58" t="n">
        <f aca="false">Q201+N202</f>
        <v>124065.419681399</v>
      </c>
      <c r="S202" s="56" t="n">
        <f aca="false">S201+1</f>
        <v>195</v>
      </c>
      <c r="T202" s="57" t="n">
        <f aca="false">IF(AND(S202&lt;=Assumptions!$C$42,T201=1,X201=0,W201&gt;Assumptions!$C$43),1,0)</f>
        <v>1</v>
      </c>
      <c r="U202" s="58" t="n">
        <f aca="false">W201</f>
        <v>63245.4512596744</v>
      </c>
      <c r="V202" s="58" t="n">
        <f aca="false">IF(T202=1,U202*$B$22,0)</f>
        <v>210.818170865581</v>
      </c>
      <c r="W202" s="58" t="n">
        <f aca="false">IF(T202=1,U202+V202-$B$27,U202)</f>
        <v>61936.6773297956</v>
      </c>
      <c r="X202" s="56" t="n">
        <f aca="false">IF(T202=1,IF($B$27&lt;=V202,1,0),0)</f>
        <v>0</v>
      </c>
      <c r="Y202" s="58" t="n">
        <f aca="false">Y201+V202</f>
        <v>108257.136974959</v>
      </c>
    </row>
    <row r="203" customFormat="false" ht="15" hidden="false" customHeight="false" outlineLevel="0" collapsed="false">
      <c r="K203" s="56" t="n">
        <f aca="false">K202+1</f>
        <v>196</v>
      </c>
      <c r="L203" s="57" t="n">
        <f aca="false">IF(AND(K203&lt;=Assumptions!$C$42,L202=1,P202=0,O202&gt;Assumptions!$C$43),1,0)</f>
        <v>1</v>
      </c>
      <c r="M203" s="58" t="n">
        <f aca="false">O202</f>
        <v>116744.960036236</v>
      </c>
      <c r="N203" s="58" t="n">
        <f aca="false">IF(L203=1,M203*$B$22,0)</f>
        <v>389.149866787454</v>
      </c>
      <c r="O203" s="58" t="n">
        <f aca="false">IF(L203=1,M203+N203-$B$26,M203)</f>
        <v>115814.517802279</v>
      </c>
      <c r="P203" s="56" t="n">
        <f aca="false">IF(L203=1,IF($B$26&lt;=N203,1,0),0)</f>
        <v>0</v>
      </c>
      <c r="Q203" s="58" t="n">
        <f aca="false">Q202+N203</f>
        <v>124454.569548187</v>
      </c>
      <c r="S203" s="56" t="n">
        <f aca="false">S202+1</f>
        <v>196</v>
      </c>
      <c r="T203" s="57" t="n">
        <f aca="false">IF(AND(S203&lt;=Assumptions!$C$42,T202=1,X202=0,W202&gt;Assumptions!$C$43),1,0)</f>
        <v>1</v>
      </c>
      <c r="U203" s="58" t="n">
        <f aca="false">W202</f>
        <v>61936.6773297956</v>
      </c>
      <c r="V203" s="58" t="n">
        <f aca="false">IF(T203=1,U203*$B$22,0)</f>
        <v>206.455591099319</v>
      </c>
      <c r="W203" s="58" t="n">
        <f aca="false">IF(T203=1,U203+V203-$B$27,U203)</f>
        <v>60623.5408201505</v>
      </c>
      <c r="X203" s="56" t="n">
        <f aca="false">IF(T203=1,IF($B$27&lt;=V203,1,0),0)</f>
        <v>0</v>
      </c>
      <c r="Y203" s="58" t="n">
        <f aca="false">Y202+V203</f>
        <v>108463.592566058</v>
      </c>
    </row>
    <row r="204" customFormat="false" ht="15" hidden="false" customHeight="false" outlineLevel="0" collapsed="false">
      <c r="K204" s="56" t="n">
        <f aca="false">K203+1</f>
        <v>197</v>
      </c>
      <c r="L204" s="57" t="n">
        <f aca="false">IF(AND(K204&lt;=Assumptions!$C$42,L203=1,P203=0,O203&gt;Assumptions!$C$43),1,0)</f>
        <v>1</v>
      </c>
      <c r="M204" s="58" t="n">
        <f aca="false">O203</f>
        <v>115814.517802279</v>
      </c>
      <c r="N204" s="58" t="n">
        <f aca="false">IF(L204=1,M204*$B$22,0)</f>
        <v>386.048392674264</v>
      </c>
      <c r="O204" s="58" t="n">
        <f aca="false">IF(L204=1,M204+N204-$B$26,M204)</f>
        <v>114880.974094209</v>
      </c>
      <c r="P204" s="56" t="n">
        <f aca="false">IF(L204=1,IF($B$26&lt;=N204,1,0),0)</f>
        <v>0</v>
      </c>
      <c r="Q204" s="58" t="n">
        <f aca="false">Q203+N204</f>
        <v>124840.617940861</v>
      </c>
      <c r="S204" s="56" t="n">
        <f aca="false">S203+1</f>
        <v>197</v>
      </c>
      <c r="T204" s="57" t="n">
        <f aca="false">IF(AND(S204&lt;=Assumptions!$C$42,T203=1,X203=0,W203&gt;Assumptions!$C$43),1,0)</f>
        <v>1</v>
      </c>
      <c r="U204" s="58" t="n">
        <f aca="false">W203</f>
        <v>60623.5408201505</v>
      </c>
      <c r="V204" s="58" t="n">
        <f aca="false">IF(T204=1,U204*$B$22,0)</f>
        <v>202.078469400502</v>
      </c>
      <c r="W204" s="58" t="n">
        <f aca="false">IF(T204=1,U204+V204-$B$27,U204)</f>
        <v>59306.0271888065</v>
      </c>
      <c r="X204" s="56" t="n">
        <f aca="false">IF(T204=1,IF($B$27&lt;=V204,1,0),0)</f>
        <v>0</v>
      </c>
      <c r="Y204" s="58" t="n">
        <f aca="false">Y203+V204</f>
        <v>108665.671035458</v>
      </c>
    </row>
    <row r="205" customFormat="false" ht="15" hidden="false" customHeight="false" outlineLevel="0" collapsed="false">
      <c r="K205" s="56" t="n">
        <f aca="false">K204+1</f>
        <v>198</v>
      </c>
      <c r="L205" s="57" t="n">
        <f aca="false">IF(AND(K205&lt;=Assumptions!$C$42,L204=1,P204=0,O204&gt;Assumptions!$C$43),1,0)</f>
        <v>1</v>
      </c>
      <c r="M205" s="58" t="n">
        <f aca="false">O204</f>
        <v>114880.974094209</v>
      </c>
      <c r="N205" s="58" t="n">
        <f aca="false">IF(L205=1,M205*$B$22,0)</f>
        <v>382.93658031403</v>
      </c>
      <c r="O205" s="58" t="n">
        <f aca="false">IF(L205=1,M205+N205-$B$26,M205)</f>
        <v>113944.318573779</v>
      </c>
      <c r="P205" s="56" t="n">
        <f aca="false">IF(L205=1,IF($B$26&lt;=N205,1,0),0)</f>
        <v>0</v>
      </c>
      <c r="Q205" s="58" t="n">
        <f aca="false">Q204+N205</f>
        <v>125223.554521175</v>
      </c>
      <c r="S205" s="56" t="n">
        <f aca="false">S204+1</f>
        <v>198</v>
      </c>
      <c r="T205" s="57" t="n">
        <f aca="false">IF(AND(S205&lt;=Assumptions!$C$42,T204=1,X204=0,W204&gt;Assumptions!$C$43),1,0)</f>
        <v>1</v>
      </c>
      <c r="U205" s="58" t="n">
        <f aca="false">W204</f>
        <v>59306.0271888065</v>
      </c>
      <c r="V205" s="58" t="n">
        <f aca="false">IF(T205=1,U205*$B$22,0)</f>
        <v>197.686757296022</v>
      </c>
      <c r="W205" s="58" t="n">
        <f aca="false">IF(T205=1,U205+V205-$B$27,U205)</f>
        <v>57984.1218453581</v>
      </c>
      <c r="X205" s="56" t="n">
        <f aca="false">IF(T205=1,IF($B$27&lt;=V205,1,0),0)</f>
        <v>0</v>
      </c>
      <c r="Y205" s="58" t="n">
        <f aca="false">Y204+V205</f>
        <v>108863.357792754</v>
      </c>
    </row>
    <row r="206" customFormat="false" ht="15" hidden="false" customHeight="false" outlineLevel="0" collapsed="false">
      <c r="K206" s="56" t="n">
        <f aca="false">K205+1</f>
        <v>199</v>
      </c>
      <c r="L206" s="57" t="n">
        <f aca="false">IF(AND(K206&lt;=Assumptions!$C$42,L205=1,P205=0,O205&gt;Assumptions!$C$43),1,0)</f>
        <v>1</v>
      </c>
      <c r="M206" s="58" t="n">
        <f aca="false">O205</f>
        <v>113944.318573779</v>
      </c>
      <c r="N206" s="58" t="n">
        <f aca="false">IF(L206=1,M206*$B$22,0)</f>
        <v>379.814395245929</v>
      </c>
      <c r="O206" s="58" t="n">
        <f aca="false">IF(L206=1,M206+N206-$B$26,M206)</f>
        <v>113004.54086828</v>
      </c>
      <c r="P206" s="56" t="n">
        <f aca="false">IF(L206=1,IF($B$26&lt;=N206,1,0),0)</f>
        <v>0</v>
      </c>
      <c r="Q206" s="58" t="n">
        <f aca="false">Q205+N206</f>
        <v>125603.368916421</v>
      </c>
      <c r="S206" s="56" t="n">
        <f aca="false">S205+1</f>
        <v>199</v>
      </c>
      <c r="T206" s="57" t="n">
        <f aca="false">IF(AND(S206&lt;=Assumptions!$C$42,T205=1,X205=0,W205&gt;Assumptions!$C$43),1,0)</f>
        <v>1</v>
      </c>
      <c r="U206" s="58" t="n">
        <f aca="false">W205</f>
        <v>57984.1218453581</v>
      </c>
      <c r="V206" s="58" t="n">
        <f aca="false">IF(T206=1,U206*$B$22,0)</f>
        <v>193.280406151194</v>
      </c>
      <c r="W206" s="58" t="n">
        <f aca="false">IF(T206=1,U206+V206-$B$27,U206)</f>
        <v>56657.8101507649</v>
      </c>
      <c r="X206" s="56" t="n">
        <f aca="false">IF(T206=1,IF($B$27&lt;=V206,1,0),0)</f>
        <v>0</v>
      </c>
      <c r="Y206" s="58" t="n">
        <f aca="false">Y205+V206</f>
        <v>109056.638198906</v>
      </c>
    </row>
    <row r="207" customFormat="false" ht="15" hidden="false" customHeight="false" outlineLevel="0" collapsed="false">
      <c r="K207" s="56" t="n">
        <f aca="false">K206+1</f>
        <v>200</v>
      </c>
      <c r="L207" s="57" t="n">
        <f aca="false">IF(AND(K207&lt;=Assumptions!$C$42,L206=1,P206=0,O206&gt;Assumptions!$C$43),1,0)</f>
        <v>1</v>
      </c>
      <c r="M207" s="58" t="n">
        <f aca="false">O206</f>
        <v>113004.54086828</v>
      </c>
      <c r="N207" s="58" t="n">
        <f aca="false">IF(L207=1,M207*$B$22,0)</f>
        <v>376.681802894267</v>
      </c>
      <c r="O207" s="58" t="n">
        <f aca="false">IF(L207=1,M207+N207-$B$26,M207)</f>
        <v>112061.63057043</v>
      </c>
      <c r="P207" s="56" t="n">
        <f aca="false">IF(L207=1,IF($B$26&lt;=N207,1,0),0)</f>
        <v>0</v>
      </c>
      <c r="Q207" s="58" t="n">
        <f aca="false">Q206+N207</f>
        <v>125980.050719315</v>
      </c>
      <c r="S207" s="56" t="n">
        <f aca="false">S206+1</f>
        <v>200</v>
      </c>
      <c r="T207" s="57" t="n">
        <f aca="false">IF(AND(S207&lt;=Assumptions!$C$42,T206=1,X206=0,W206&gt;Assumptions!$C$43),1,0)</f>
        <v>1</v>
      </c>
      <c r="U207" s="58" t="n">
        <f aca="false">W206</f>
        <v>56657.8101507649</v>
      </c>
      <c r="V207" s="58" t="n">
        <f aca="false">IF(T207=1,U207*$B$22,0)</f>
        <v>188.859367169216</v>
      </c>
      <c r="W207" s="58" t="n">
        <f aca="false">IF(T207=1,U207+V207-$B$27,U207)</f>
        <v>55327.0774171897</v>
      </c>
      <c r="X207" s="56" t="n">
        <f aca="false">IF(T207=1,IF($B$27&lt;=V207,1,0),0)</f>
        <v>0</v>
      </c>
      <c r="Y207" s="58" t="n">
        <f aca="false">Y206+V207</f>
        <v>109245.497566075</v>
      </c>
    </row>
    <row r="208" customFormat="false" ht="15" hidden="false" customHeight="false" outlineLevel="0" collapsed="false">
      <c r="K208" s="56" t="n">
        <f aca="false">K207+1</f>
        <v>201</v>
      </c>
      <c r="L208" s="57" t="n">
        <f aca="false">IF(AND(K208&lt;=Assumptions!$C$42,L207=1,P207=0,O207&gt;Assumptions!$C$43),1,0)</f>
        <v>1</v>
      </c>
      <c r="M208" s="58" t="n">
        <f aca="false">O207</f>
        <v>112061.63057043</v>
      </c>
      <c r="N208" s="58" t="n">
        <f aca="false">IF(L208=1,M208*$B$22,0)</f>
        <v>373.5387685681</v>
      </c>
      <c r="O208" s="58" t="n">
        <f aca="false">IF(L208=1,M208+N208-$B$26,M208)</f>
        <v>111115.577238254</v>
      </c>
      <c r="P208" s="56" t="n">
        <f aca="false">IF(L208=1,IF($B$26&lt;=N208,1,0),0)</f>
        <v>0</v>
      </c>
      <c r="Q208" s="58" t="n">
        <f aca="false">Q207+N208</f>
        <v>126353.589487884</v>
      </c>
      <c r="S208" s="56" t="n">
        <f aca="false">S207+1</f>
        <v>201</v>
      </c>
      <c r="T208" s="57" t="n">
        <f aca="false">IF(AND(S208&lt;=Assumptions!$C$42,T207=1,X207=0,W207&gt;Assumptions!$C$43),1,0)</f>
        <v>1</v>
      </c>
      <c r="U208" s="58" t="n">
        <f aca="false">W207</f>
        <v>55327.0774171897</v>
      </c>
      <c r="V208" s="58" t="n">
        <f aca="false">IF(T208=1,U208*$B$22,0)</f>
        <v>184.423591390632</v>
      </c>
      <c r="W208" s="58" t="n">
        <f aca="false">IF(T208=1,U208+V208-$B$27,U208)</f>
        <v>53991.9089078359</v>
      </c>
      <c r="X208" s="56" t="n">
        <f aca="false">IF(T208=1,IF($B$27&lt;=V208,1,0),0)</f>
        <v>0</v>
      </c>
      <c r="Y208" s="58" t="n">
        <f aca="false">Y207+V208</f>
        <v>109429.921157466</v>
      </c>
    </row>
    <row r="209" customFormat="false" ht="15" hidden="false" customHeight="false" outlineLevel="0" collapsed="false">
      <c r="K209" s="56" t="n">
        <f aca="false">K208+1</f>
        <v>202</v>
      </c>
      <c r="L209" s="57" t="n">
        <f aca="false">IF(AND(K209&lt;=Assumptions!$C$42,L208=1,P208=0,O208&gt;Assumptions!$C$43),1,0)</f>
        <v>1</v>
      </c>
      <c r="M209" s="58" t="n">
        <f aca="false">O208</f>
        <v>111115.577238254</v>
      </c>
      <c r="N209" s="58" t="n">
        <f aca="false">IF(L209=1,M209*$B$22,0)</f>
        <v>370.385257460845</v>
      </c>
      <c r="O209" s="58" t="n">
        <f aca="false">IF(L209=1,M209+N209-$B$26,M209)</f>
        <v>110166.37039497</v>
      </c>
      <c r="P209" s="56" t="n">
        <f aca="false">IF(L209=1,IF($B$26&lt;=N209,1,0),0)</f>
        <v>0</v>
      </c>
      <c r="Q209" s="58" t="n">
        <f aca="false">Q208+N209</f>
        <v>126723.974745344</v>
      </c>
      <c r="S209" s="56" t="n">
        <f aca="false">S208+1</f>
        <v>202</v>
      </c>
      <c r="T209" s="57" t="n">
        <f aca="false">IF(AND(S209&lt;=Assumptions!$C$42,T208=1,X208=0,W208&gt;Assumptions!$C$43),1,0)</f>
        <v>1</v>
      </c>
      <c r="U209" s="58" t="n">
        <f aca="false">W208</f>
        <v>53991.9089078359</v>
      </c>
      <c r="V209" s="58" t="n">
        <f aca="false">IF(T209=1,U209*$B$22,0)</f>
        <v>179.973029692786</v>
      </c>
      <c r="W209" s="58" t="n">
        <f aca="false">IF(T209=1,U209+V209-$B$27,U209)</f>
        <v>52652.2898367842</v>
      </c>
      <c r="X209" s="56" t="n">
        <f aca="false">IF(T209=1,IF($B$27&lt;=V209,1,0),0)</f>
        <v>0</v>
      </c>
      <c r="Y209" s="58" t="n">
        <f aca="false">Y208+V209</f>
        <v>109609.894187158</v>
      </c>
    </row>
    <row r="210" customFormat="false" ht="15" hidden="false" customHeight="false" outlineLevel="0" collapsed="false">
      <c r="K210" s="56" t="n">
        <f aca="false">K209+1</f>
        <v>203</v>
      </c>
      <c r="L210" s="57" t="n">
        <f aca="false">IF(AND(K210&lt;=Assumptions!$C$42,L209=1,P209=0,O209&gt;Assumptions!$C$43),1,0)</f>
        <v>1</v>
      </c>
      <c r="M210" s="58" t="n">
        <f aca="false">O209</f>
        <v>110166.37039497</v>
      </c>
      <c r="N210" s="58" t="n">
        <f aca="false">IF(L210=1,M210*$B$22,0)</f>
        <v>367.2212346499</v>
      </c>
      <c r="O210" s="58" t="n">
        <f aca="false">IF(L210=1,M210+N210-$B$26,M210)</f>
        <v>109213.999528876</v>
      </c>
      <c r="P210" s="56" t="n">
        <f aca="false">IF(L210=1,IF($B$26&lt;=N210,1,0),0)</f>
        <v>0</v>
      </c>
      <c r="Q210" s="58" t="n">
        <f aca="false">Q209+N210</f>
        <v>127091.195979994</v>
      </c>
      <c r="S210" s="56" t="n">
        <f aca="false">S209+1</f>
        <v>203</v>
      </c>
      <c r="T210" s="57" t="n">
        <f aca="false">IF(AND(S210&lt;=Assumptions!$C$42,T209=1,X209=0,W209&gt;Assumptions!$C$43),1,0)</f>
        <v>1</v>
      </c>
      <c r="U210" s="58" t="n">
        <f aca="false">W209</f>
        <v>52652.2898367842</v>
      </c>
      <c r="V210" s="58" t="n">
        <f aca="false">IF(T210=1,U210*$B$22,0)</f>
        <v>175.507632789281</v>
      </c>
      <c r="W210" s="58" t="n">
        <f aca="false">IF(T210=1,U210+V210-$B$27,U210)</f>
        <v>51308.2053688291</v>
      </c>
      <c r="X210" s="56" t="n">
        <f aca="false">IF(T210=1,IF($B$27&lt;=V210,1,0),0)</f>
        <v>0</v>
      </c>
      <c r="Y210" s="58" t="n">
        <f aca="false">Y209+V210</f>
        <v>109785.401819948</v>
      </c>
    </row>
    <row r="211" customFormat="false" ht="15" hidden="false" customHeight="false" outlineLevel="0" collapsed="false">
      <c r="K211" s="56" t="n">
        <f aca="false">K210+1</f>
        <v>204</v>
      </c>
      <c r="L211" s="57" t="n">
        <f aca="false">IF(AND(K211&lt;=Assumptions!$C$42,L210=1,P210=0,O210&gt;Assumptions!$C$43),1,0)</f>
        <v>1</v>
      </c>
      <c r="M211" s="58" t="n">
        <f aca="false">O210</f>
        <v>109213.999528876</v>
      </c>
      <c r="N211" s="58" t="n">
        <f aca="false">IF(L211=1,M211*$B$22,0)</f>
        <v>364.046665096252</v>
      </c>
      <c r="O211" s="58" t="n">
        <f aca="false">IF(L211=1,M211+N211-$B$26,M211)</f>
        <v>108258.454093227</v>
      </c>
      <c r="P211" s="56" t="n">
        <f aca="false">IF(L211=1,IF($B$26&lt;=N211,1,0),0)</f>
        <v>0</v>
      </c>
      <c r="Q211" s="58" t="n">
        <f aca="false">Q210+N211</f>
        <v>127455.242645091</v>
      </c>
      <c r="S211" s="56" t="n">
        <f aca="false">S210+1</f>
        <v>204</v>
      </c>
      <c r="T211" s="57" t="n">
        <f aca="false">IF(AND(S211&lt;=Assumptions!$C$42,T210=1,X210=0,W210&gt;Assumptions!$C$43),1,0)</f>
        <v>1</v>
      </c>
      <c r="U211" s="58" t="n">
        <f aca="false">W210</f>
        <v>51308.2053688291</v>
      </c>
      <c r="V211" s="58" t="n">
        <f aca="false">IF(T211=1,U211*$B$22,0)</f>
        <v>171.02735122943</v>
      </c>
      <c r="W211" s="58" t="n">
        <f aca="false">IF(T211=1,U211+V211-$B$27,U211)</f>
        <v>49959.6406193141</v>
      </c>
      <c r="X211" s="56" t="n">
        <f aca="false">IF(T211=1,IF($B$27&lt;=V211,1,0),0)</f>
        <v>0</v>
      </c>
      <c r="Y211" s="58" t="n">
        <f aca="false">Y210+V211</f>
        <v>109956.429171177</v>
      </c>
    </row>
    <row r="212" customFormat="false" ht="15" hidden="false" customHeight="false" outlineLevel="0" collapsed="false">
      <c r="K212" s="56" t="n">
        <f aca="false">K211+1</f>
        <v>205</v>
      </c>
      <c r="L212" s="57" t="n">
        <f aca="false">IF(AND(K212&lt;=Assumptions!$C$42,L211=1,P211=0,O211&gt;Assumptions!$C$43),1,0)</f>
        <v>1</v>
      </c>
      <c r="M212" s="58" t="n">
        <f aca="false">O211</f>
        <v>108258.454093227</v>
      </c>
      <c r="N212" s="58" t="n">
        <f aca="false">IF(L212=1,M212*$B$22,0)</f>
        <v>360.861513644091</v>
      </c>
      <c r="O212" s="58" t="n">
        <f aca="false">IF(L212=1,M212+N212-$B$26,M212)</f>
        <v>107299.723506127</v>
      </c>
      <c r="P212" s="56" t="n">
        <f aca="false">IF(L212=1,IF($B$26&lt;=N212,1,0),0)</f>
        <v>0</v>
      </c>
      <c r="Q212" s="58" t="n">
        <f aca="false">Q211+N212</f>
        <v>127816.104158735</v>
      </c>
      <c r="S212" s="56" t="n">
        <f aca="false">S211+1</f>
        <v>205</v>
      </c>
      <c r="T212" s="57" t="n">
        <f aca="false">IF(AND(S212&lt;=Assumptions!$C$42,T211=1,X211=0,W211&gt;Assumptions!$C$43),1,0)</f>
        <v>1</v>
      </c>
      <c r="U212" s="58" t="n">
        <f aca="false">W211</f>
        <v>49959.6406193141</v>
      </c>
      <c r="V212" s="58" t="n">
        <f aca="false">IF(T212=1,U212*$B$22,0)</f>
        <v>166.532135397714</v>
      </c>
      <c r="W212" s="58" t="n">
        <f aca="false">IF(T212=1,U212+V212-$B$27,U212)</f>
        <v>48606.5806539674</v>
      </c>
      <c r="X212" s="56" t="n">
        <f aca="false">IF(T212=1,IF($B$27&lt;=V212,1,0),0)</f>
        <v>0</v>
      </c>
      <c r="Y212" s="58" t="n">
        <f aca="false">Y211+V212</f>
        <v>110122.961306575</v>
      </c>
    </row>
    <row r="213" customFormat="false" ht="15" hidden="false" customHeight="false" outlineLevel="0" collapsed="false">
      <c r="K213" s="56" t="n">
        <f aca="false">K212+1</f>
        <v>206</v>
      </c>
      <c r="L213" s="57" t="n">
        <f aca="false">IF(AND(K213&lt;=Assumptions!$C$42,L212=1,P212=0,O212&gt;Assumptions!$C$43),1,0)</f>
        <v>1</v>
      </c>
      <c r="M213" s="58" t="n">
        <f aca="false">O212</f>
        <v>107299.723506127</v>
      </c>
      <c r="N213" s="58" t="n">
        <f aca="false">IF(L213=1,M213*$B$22,0)</f>
        <v>357.665745020423</v>
      </c>
      <c r="O213" s="58" t="n">
        <f aca="false">IF(L213=1,M213+N213-$B$26,M213)</f>
        <v>106337.797150403</v>
      </c>
      <c r="P213" s="56" t="n">
        <f aca="false">IF(L213=1,IF($B$26&lt;=N213,1,0),0)</f>
        <v>0</v>
      </c>
      <c r="Q213" s="58" t="n">
        <f aca="false">Q212+N213</f>
        <v>128173.769903755</v>
      </c>
      <c r="S213" s="56" t="n">
        <f aca="false">S212+1</f>
        <v>206</v>
      </c>
      <c r="T213" s="57" t="n">
        <f aca="false">IF(AND(S213&lt;=Assumptions!$C$42,T212=1,X212=0,W212&gt;Assumptions!$C$43),1,0)</f>
        <v>1</v>
      </c>
      <c r="U213" s="58" t="n">
        <f aca="false">W212</f>
        <v>48606.5806539674</v>
      </c>
      <c r="V213" s="58" t="n">
        <f aca="false">IF(T213=1,U213*$B$22,0)</f>
        <v>162.021935513225</v>
      </c>
      <c r="W213" s="58" t="n">
        <f aca="false">IF(T213=1,U213+V213-$B$27,U213)</f>
        <v>47249.0104887362</v>
      </c>
      <c r="X213" s="56" t="n">
        <f aca="false">IF(T213=1,IF($B$27&lt;=V213,1,0),0)</f>
        <v>0</v>
      </c>
      <c r="Y213" s="58" t="n">
        <f aca="false">Y212+V213</f>
        <v>110284.983242088</v>
      </c>
    </row>
    <row r="214" customFormat="false" ht="15" hidden="false" customHeight="false" outlineLevel="0" collapsed="false">
      <c r="K214" s="56" t="n">
        <f aca="false">K213+1</f>
        <v>207</v>
      </c>
      <c r="L214" s="57" t="n">
        <f aca="false">IF(AND(K214&lt;=Assumptions!$C$42,L213=1,P213=0,O213&gt;Assumptions!$C$43),1,0)</f>
        <v>1</v>
      </c>
      <c r="M214" s="58" t="n">
        <f aca="false">O213</f>
        <v>106337.797150403</v>
      </c>
      <c r="N214" s="58" t="n">
        <f aca="false">IF(L214=1,M214*$B$22,0)</f>
        <v>354.459323834677</v>
      </c>
      <c r="O214" s="58" t="n">
        <f aca="false">IF(L214=1,M214+N214-$B$26,M214)</f>
        <v>105372.664373493</v>
      </c>
      <c r="P214" s="56" t="n">
        <f aca="false">IF(L214=1,IF($B$26&lt;=N214,1,0),0)</f>
        <v>0</v>
      </c>
      <c r="Q214" s="58" t="n">
        <f aca="false">Q213+N214</f>
        <v>128528.22922759</v>
      </c>
      <c r="S214" s="56" t="n">
        <f aca="false">S213+1</f>
        <v>207</v>
      </c>
      <c r="T214" s="57" t="n">
        <f aca="false">IF(AND(S214&lt;=Assumptions!$C$42,T213=1,X213=0,W213&gt;Assumptions!$C$43),1,0)</f>
        <v>1</v>
      </c>
      <c r="U214" s="58" t="n">
        <f aca="false">W213</f>
        <v>47249.0104887362</v>
      </c>
      <c r="V214" s="58" t="n">
        <f aca="false">IF(T214=1,U214*$B$22,0)</f>
        <v>157.496701629121</v>
      </c>
      <c r="W214" s="58" t="n">
        <f aca="false">IF(T214=1,U214+V214-$B$27,U214)</f>
        <v>45886.9150896209</v>
      </c>
      <c r="X214" s="56" t="n">
        <f aca="false">IF(T214=1,IF($B$27&lt;=V214,1,0),0)</f>
        <v>0</v>
      </c>
      <c r="Y214" s="58" t="n">
        <f aca="false">Y213+V214</f>
        <v>110442.479943717</v>
      </c>
    </row>
    <row r="215" customFormat="false" ht="15" hidden="false" customHeight="false" outlineLevel="0" collapsed="false">
      <c r="K215" s="56" t="n">
        <f aca="false">K214+1</f>
        <v>208</v>
      </c>
      <c r="L215" s="57" t="n">
        <f aca="false">IF(AND(K215&lt;=Assumptions!$C$42,L214=1,P214=0,O214&gt;Assumptions!$C$43),1,0)</f>
        <v>1</v>
      </c>
      <c r="M215" s="58" t="n">
        <f aca="false">O214</f>
        <v>105372.664373493</v>
      </c>
      <c r="N215" s="58" t="n">
        <f aca="false">IF(L215=1,M215*$B$22,0)</f>
        <v>351.242214578311</v>
      </c>
      <c r="O215" s="58" t="n">
        <f aca="false">IF(L215=1,M215+N215-$B$26,M215)</f>
        <v>104404.314487327</v>
      </c>
      <c r="P215" s="56" t="n">
        <f aca="false">IF(L215=1,IF($B$26&lt;=N215,1,0),0)</f>
        <v>0</v>
      </c>
      <c r="Q215" s="58" t="n">
        <f aca="false">Q214+N215</f>
        <v>128879.471442168</v>
      </c>
      <c r="S215" s="56" t="n">
        <f aca="false">S214+1</f>
        <v>208</v>
      </c>
      <c r="T215" s="57" t="n">
        <f aca="false">IF(AND(S215&lt;=Assumptions!$C$42,T214=1,X214=0,W214&gt;Assumptions!$C$43),1,0)</f>
        <v>1</v>
      </c>
      <c r="U215" s="58" t="n">
        <f aca="false">W214</f>
        <v>45886.9150896209</v>
      </c>
      <c r="V215" s="58" t="n">
        <f aca="false">IF(T215=1,U215*$B$22,0)</f>
        <v>152.95638363207</v>
      </c>
      <c r="W215" s="58" t="n">
        <f aca="false">IF(T215=1,U215+V215-$B$27,U215)</f>
        <v>44520.2793725085</v>
      </c>
      <c r="X215" s="56" t="n">
        <f aca="false">IF(T215=1,IF($B$27&lt;=V215,1,0),0)</f>
        <v>0</v>
      </c>
      <c r="Y215" s="58" t="n">
        <f aca="false">Y214+V215</f>
        <v>110595.436327349</v>
      </c>
    </row>
    <row r="216" customFormat="false" ht="15" hidden="false" customHeight="false" outlineLevel="0" collapsed="false">
      <c r="K216" s="56" t="n">
        <f aca="false">K215+1</f>
        <v>209</v>
      </c>
      <c r="L216" s="57" t="n">
        <f aca="false">IF(AND(K216&lt;=Assumptions!$C$42,L215=1,P215=0,O215&gt;Assumptions!$C$43),1,0)</f>
        <v>1</v>
      </c>
      <c r="M216" s="58" t="n">
        <f aca="false">O215</f>
        <v>104404.314487327</v>
      </c>
      <c r="N216" s="58" t="n">
        <f aca="false">IF(L216=1,M216*$B$22,0)</f>
        <v>348.014381624424</v>
      </c>
      <c r="O216" s="58" t="n">
        <f aca="false">IF(L216=1,M216+N216-$B$26,M216)</f>
        <v>103432.736768207</v>
      </c>
      <c r="P216" s="56" t="n">
        <f aca="false">IF(L216=1,IF($B$26&lt;=N216,1,0),0)</f>
        <v>0</v>
      </c>
      <c r="Q216" s="58" t="n">
        <f aca="false">Q215+N216</f>
        <v>129227.485823792</v>
      </c>
      <c r="S216" s="56" t="n">
        <f aca="false">S215+1</f>
        <v>209</v>
      </c>
      <c r="T216" s="57" t="n">
        <f aca="false">IF(AND(S216&lt;=Assumptions!$C$42,T215=1,X215=0,W215&gt;Assumptions!$C$43),1,0)</f>
        <v>1</v>
      </c>
      <c r="U216" s="58" t="n">
        <f aca="false">W215</f>
        <v>44520.2793725085</v>
      </c>
      <c r="V216" s="58" t="n">
        <f aca="false">IF(T216=1,U216*$B$22,0)</f>
        <v>148.400931241695</v>
      </c>
      <c r="W216" s="58" t="n">
        <f aca="false">IF(T216=1,U216+V216-$B$27,U216)</f>
        <v>43149.0882030058</v>
      </c>
      <c r="X216" s="56" t="n">
        <f aca="false">IF(T216=1,IF($B$27&lt;=V216,1,0),0)</f>
        <v>0</v>
      </c>
      <c r="Y216" s="58" t="n">
        <f aca="false">Y215+V216</f>
        <v>110743.837258591</v>
      </c>
    </row>
    <row r="217" customFormat="false" ht="15" hidden="false" customHeight="false" outlineLevel="0" collapsed="false">
      <c r="K217" s="56" t="n">
        <f aca="false">K216+1</f>
        <v>210</v>
      </c>
      <c r="L217" s="57" t="n">
        <f aca="false">IF(AND(K217&lt;=Assumptions!$C$42,L216=1,P216=0,O216&gt;Assumptions!$C$43),1,0)</f>
        <v>1</v>
      </c>
      <c r="M217" s="58" t="n">
        <f aca="false">O216</f>
        <v>103432.736768207</v>
      </c>
      <c r="N217" s="58" t="n">
        <f aca="false">IF(L217=1,M217*$B$22,0)</f>
        <v>344.775789227357</v>
      </c>
      <c r="O217" s="58" t="n">
        <f aca="false">IF(L217=1,M217+N217-$B$26,M217)</f>
        <v>102457.92045669</v>
      </c>
      <c r="P217" s="56" t="n">
        <f aca="false">IF(L217=1,IF($B$26&lt;=N217,1,0),0)</f>
        <v>0</v>
      </c>
      <c r="Q217" s="58" t="n">
        <f aca="false">Q216+N217</f>
        <v>129572.26161302</v>
      </c>
      <c r="S217" s="56" t="n">
        <f aca="false">S216+1</f>
        <v>210</v>
      </c>
      <c r="T217" s="57" t="n">
        <f aca="false">IF(AND(S217&lt;=Assumptions!$C$42,T216=1,X216=0,W216&gt;Assumptions!$C$43),1,0)</f>
        <v>1</v>
      </c>
      <c r="U217" s="58" t="n">
        <f aca="false">W216</f>
        <v>43149.0882030058</v>
      </c>
      <c r="V217" s="58" t="n">
        <f aca="false">IF(T217=1,U217*$B$22,0)</f>
        <v>143.830294010019</v>
      </c>
      <c r="W217" s="58" t="n">
        <f aca="false">IF(T217=1,U217+V217-$B$27,U217)</f>
        <v>41773.3263962714</v>
      </c>
      <c r="X217" s="56" t="n">
        <f aca="false">IF(T217=1,IF($B$27&lt;=V217,1,0),0)</f>
        <v>0</v>
      </c>
      <c r="Y217" s="58" t="n">
        <f aca="false">Y216+V217</f>
        <v>110887.667552601</v>
      </c>
    </row>
    <row r="218" customFormat="false" ht="15" hidden="false" customHeight="false" outlineLevel="0" collapsed="false">
      <c r="K218" s="56" t="n">
        <f aca="false">K217+1</f>
        <v>211</v>
      </c>
      <c r="L218" s="57" t="n">
        <f aca="false">IF(AND(K218&lt;=Assumptions!$C$42,L217=1,P217=0,O217&gt;Assumptions!$C$43),1,0)</f>
        <v>1</v>
      </c>
      <c r="M218" s="58" t="n">
        <f aca="false">O217</f>
        <v>102457.92045669</v>
      </c>
      <c r="N218" s="58" t="n">
        <f aca="false">IF(L218=1,M218*$B$22,0)</f>
        <v>341.5264015223</v>
      </c>
      <c r="O218" s="58" t="n">
        <f aca="false">IF(L218=1,M218+N218-$B$26,M218)</f>
        <v>101479.854757468</v>
      </c>
      <c r="P218" s="56" t="n">
        <f aca="false">IF(L218=1,IF($B$26&lt;=N218,1,0),0)</f>
        <v>0</v>
      </c>
      <c r="Q218" s="58" t="n">
        <f aca="false">Q217+N218</f>
        <v>129913.788014542</v>
      </c>
      <c r="S218" s="56" t="n">
        <f aca="false">S217+1</f>
        <v>211</v>
      </c>
      <c r="T218" s="57" t="n">
        <f aca="false">IF(AND(S218&lt;=Assumptions!$C$42,T217=1,X217=0,W217&gt;Assumptions!$C$43),1,0)</f>
        <v>1</v>
      </c>
      <c r="U218" s="58" t="n">
        <f aca="false">W217</f>
        <v>41773.3263962714</v>
      </c>
      <c r="V218" s="58" t="n">
        <f aca="false">IF(T218=1,U218*$B$22,0)</f>
        <v>139.244421320905</v>
      </c>
      <c r="W218" s="58" t="n">
        <f aca="false">IF(T218=1,U218+V218-$B$27,U218)</f>
        <v>40392.9787168478</v>
      </c>
      <c r="X218" s="56" t="n">
        <f aca="false">IF(T218=1,IF($B$27&lt;=V218,1,0),0)</f>
        <v>0</v>
      </c>
      <c r="Y218" s="58" t="n">
        <f aca="false">Y217+V218</f>
        <v>111026.911973922</v>
      </c>
    </row>
    <row r="219" customFormat="false" ht="15" hidden="false" customHeight="false" outlineLevel="0" collapsed="false">
      <c r="K219" s="56" t="n">
        <f aca="false">K218+1</f>
        <v>212</v>
      </c>
      <c r="L219" s="57" t="n">
        <f aca="false">IF(AND(K219&lt;=Assumptions!$C$42,L218=1,P218=0,O218&gt;Assumptions!$C$43),1,0)</f>
        <v>1</v>
      </c>
      <c r="M219" s="58" t="n">
        <f aca="false">O218</f>
        <v>101479.854757468</v>
      </c>
      <c r="N219" s="58" t="n">
        <f aca="false">IF(L219=1,M219*$B$22,0)</f>
        <v>338.266182524893</v>
      </c>
      <c r="O219" s="58" t="n">
        <f aca="false">IF(L219=1,M219+N219-$B$26,M219)</f>
        <v>100498.528839248</v>
      </c>
      <c r="P219" s="56" t="n">
        <f aca="false">IF(L219=1,IF($B$26&lt;=N219,1,0),0)</f>
        <v>0</v>
      </c>
      <c r="Q219" s="58" t="n">
        <f aca="false">Q218+N219</f>
        <v>130252.054197067</v>
      </c>
      <c r="S219" s="56" t="n">
        <f aca="false">S218+1</f>
        <v>212</v>
      </c>
      <c r="T219" s="57" t="n">
        <f aca="false">IF(AND(S219&lt;=Assumptions!$C$42,T218=1,X218=0,W218&gt;Assumptions!$C$43),1,0)</f>
        <v>1</v>
      </c>
      <c r="U219" s="58" t="n">
        <f aca="false">W218</f>
        <v>40392.9787168478</v>
      </c>
      <c r="V219" s="58" t="n">
        <f aca="false">IF(T219=1,U219*$B$22,0)</f>
        <v>134.643262389493</v>
      </c>
      <c r="W219" s="58" t="n">
        <f aca="false">IF(T219=1,U219+V219-$B$27,U219)</f>
        <v>39008.0298784929</v>
      </c>
      <c r="X219" s="56" t="n">
        <f aca="false">IF(T219=1,IF($B$27&lt;=V219,1,0),0)</f>
        <v>0</v>
      </c>
      <c r="Y219" s="58" t="n">
        <f aca="false">Y218+V219</f>
        <v>111161.555236311</v>
      </c>
    </row>
    <row r="220" customFormat="false" ht="15" hidden="false" customHeight="false" outlineLevel="0" collapsed="false">
      <c r="K220" s="56" t="n">
        <f aca="false">K219+1</f>
        <v>213</v>
      </c>
      <c r="L220" s="57" t="n">
        <f aca="false">IF(AND(K220&lt;=Assumptions!$C$42,L219=1,P219=0,O219&gt;Assumptions!$C$43),1,0)</f>
        <v>1</v>
      </c>
      <c r="M220" s="58" t="n">
        <f aca="false">O219</f>
        <v>100498.528839248</v>
      </c>
      <c r="N220" s="58" t="n">
        <f aca="false">IF(L220=1,M220*$B$22,0)</f>
        <v>334.995096130828</v>
      </c>
      <c r="O220" s="58" t="n">
        <f aca="false">IF(L220=1,M220+N220-$B$26,M220)</f>
        <v>99513.9318346348</v>
      </c>
      <c r="P220" s="56" t="n">
        <f aca="false">IF(L220=1,IF($B$26&lt;=N220,1,0),0)</f>
        <v>0</v>
      </c>
      <c r="Q220" s="58" t="n">
        <f aca="false">Q219+N220</f>
        <v>130587.049293198</v>
      </c>
      <c r="S220" s="56" t="n">
        <f aca="false">S219+1</f>
        <v>213</v>
      </c>
      <c r="T220" s="57" t="n">
        <f aca="false">IF(AND(S220&lt;=Assumptions!$C$42,T219=1,X219=0,W219&gt;Assumptions!$C$43),1,0)</f>
        <v>1</v>
      </c>
      <c r="U220" s="58" t="n">
        <f aca="false">W219</f>
        <v>39008.0298784929</v>
      </c>
      <c r="V220" s="58" t="n">
        <f aca="false">IF(T220=1,U220*$B$22,0)</f>
        <v>130.026766261643</v>
      </c>
      <c r="W220" s="58" t="n">
        <f aca="false">IF(T220=1,U220+V220-$B$27,U220)</f>
        <v>37618.4645440101</v>
      </c>
      <c r="X220" s="56" t="n">
        <f aca="false">IF(T220=1,IF($B$27&lt;=V220,1,0),0)</f>
        <v>0</v>
      </c>
      <c r="Y220" s="58" t="n">
        <f aca="false">Y219+V220</f>
        <v>111291.582002573</v>
      </c>
    </row>
    <row r="221" customFormat="false" ht="15" hidden="false" customHeight="false" outlineLevel="0" collapsed="false">
      <c r="K221" s="56" t="n">
        <f aca="false">K220+1</f>
        <v>214</v>
      </c>
      <c r="L221" s="57" t="n">
        <f aca="false">IF(AND(K221&lt;=Assumptions!$C$42,L220=1,P220=0,O220&gt;Assumptions!$C$43),1,0)</f>
        <v>1</v>
      </c>
      <c r="M221" s="58" t="n">
        <f aca="false">O220</f>
        <v>99513.9318346348</v>
      </c>
      <c r="N221" s="58" t="n">
        <f aca="false">IF(L221=1,M221*$B$22,0)</f>
        <v>331.713106115449</v>
      </c>
      <c r="O221" s="58" t="n">
        <f aca="false">IF(L221=1,M221+N221-$B$26,M221)</f>
        <v>98526.0528400058</v>
      </c>
      <c r="P221" s="56" t="n">
        <f aca="false">IF(L221=1,IF($B$26&lt;=N221,1,0),0)</f>
        <v>0</v>
      </c>
      <c r="Q221" s="58" t="n">
        <f aca="false">Q220+N221</f>
        <v>130918.762399313</v>
      </c>
      <c r="S221" s="56" t="n">
        <f aca="false">S220+1</f>
        <v>214</v>
      </c>
      <c r="T221" s="57" t="n">
        <f aca="false">IF(AND(S221&lt;=Assumptions!$C$42,T220=1,X220=0,W220&gt;Assumptions!$C$43),1,0)</f>
        <v>1</v>
      </c>
      <c r="U221" s="58" t="n">
        <f aca="false">W220</f>
        <v>37618.4645440101</v>
      </c>
      <c r="V221" s="58" t="n">
        <f aca="false">IF(T221=1,U221*$B$22,0)</f>
        <v>125.394881813367</v>
      </c>
      <c r="W221" s="58" t="n">
        <f aca="false">IF(T221=1,U221+V221-$B$27,U221)</f>
        <v>36224.2673250791</v>
      </c>
      <c r="X221" s="56" t="n">
        <f aca="false">IF(T221=1,IF($B$27&lt;=V221,1,0),0)</f>
        <v>0</v>
      </c>
      <c r="Y221" s="58" t="n">
        <f aca="false">Y220+V221</f>
        <v>111416.976884386</v>
      </c>
    </row>
    <row r="222" customFormat="false" ht="15" hidden="false" customHeight="false" outlineLevel="0" collapsed="false">
      <c r="K222" s="56" t="n">
        <f aca="false">K221+1</f>
        <v>215</v>
      </c>
      <c r="L222" s="57" t="n">
        <f aca="false">IF(AND(K222&lt;=Assumptions!$C$42,L221=1,P221=0,O221&gt;Assumptions!$C$43),1,0)</f>
        <v>1</v>
      </c>
      <c r="M222" s="58" t="n">
        <f aca="false">O221</f>
        <v>98526.0528400058</v>
      </c>
      <c r="N222" s="58" t="n">
        <f aca="false">IF(L222=1,M222*$B$22,0)</f>
        <v>328.420176133353</v>
      </c>
      <c r="O222" s="58" t="n">
        <f aca="false">IF(L222=1,M222+N222-$B$26,M222)</f>
        <v>97534.8809153948</v>
      </c>
      <c r="P222" s="56" t="n">
        <f aca="false">IF(L222=1,IF($B$26&lt;=N222,1,0),0)</f>
        <v>0</v>
      </c>
      <c r="Q222" s="58" t="n">
        <f aca="false">Q221+N222</f>
        <v>131247.182575447</v>
      </c>
      <c r="S222" s="56" t="n">
        <f aca="false">S221+1</f>
        <v>215</v>
      </c>
      <c r="T222" s="57" t="n">
        <f aca="false">IF(AND(S222&lt;=Assumptions!$C$42,T221=1,X221=0,W221&gt;Assumptions!$C$43),1,0)</f>
        <v>1</v>
      </c>
      <c r="U222" s="58" t="n">
        <f aca="false">W221</f>
        <v>36224.2673250791</v>
      </c>
      <c r="V222" s="58" t="n">
        <f aca="false">IF(T222=1,U222*$B$22,0)</f>
        <v>120.747557750264</v>
      </c>
      <c r="W222" s="58" t="n">
        <f aca="false">IF(T222=1,U222+V222-$B$27,U222)</f>
        <v>34825.4227820849</v>
      </c>
      <c r="X222" s="56" t="n">
        <f aca="false">IF(T222=1,IF($B$27&lt;=V222,1,0),0)</f>
        <v>0</v>
      </c>
      <c r="Y222" s="58" t="n">
        <f aca="false">Y221+V222</f>
        <v>111537.724442137</v>
      </c>
    </row>
    <row r="223" customFormat="false" ht="15" hidden="false" customHeight="false" outlineLevel="0" collapsed="false">
      <c r="K223" s="56" t="n">
        <f aca="false">K222+1</f>
        <v>216</v>
      </c>
      <c r="L223" s="57" t="n">
        <f aca="false">IF(AND(K223&lt;=Assumptions!$C$42,L222=1,P222=0,O222&gt;Assumptions!$C$43),1,0)</f>
        <v>1</v>
      </c>
      <c r="M223" s="58" t="n">
        <f aca="false">O222</f>
        <v>97534.8809153948</v>
      </c>
      <c r="N223" s="58" t="n">
        <f aca="false">IF(L223=1,M223*$B$22,0)</f>
        <v>325.116269717983</v>
      </c>
      <c r="O223" s="58" t="n">
        <f aca="false">IF(L223=1,M223+N223-$B$26,M223)</f>
        <v>96540.4050843683</v>
      </c>
      <c r="P223" s="56" t="n">
        <f aca="false">IF(L223=1,IF($B$26&lt;=N223,1,0),0)</f>
        <v>0</v>
      </c>
      <c r="Q223" s="58" t="n">
        <f aca="false">Q222+N223</f>
        <v>131572.298845165</v>
      </c>
      <c r="S223" s="56" t="n">
        <f aca="false">S222+1</f>
        <v>216</v>
      </c>
      <c r="T223" s="57" t="n">
        <f aca="false">IF(AND(S223&lt;=Assumptions!$C$42,T222=1,X222=0,W222&gt;Assumptions!$C$43),1,0)</f>
        <v>1</v>
      </c>
      <c r="U223" s="58" t="n">
        <f aca="false">W222</f>
        <v>34825.4227820849</v>
      </c>
      <c r="V223" s="58" t="n">
        <f aca="false">IF(T223=1,U223*$B$22,0)</f>
        <v>116.08474260695</v>
      </c>
      <c r="W223" s="58" t="n">
        <f aca="false">IF(T223=1,U223+V223-$B$27,U223)</f>
        <v>33421.9154239474</v>
      </c>
      <c r="X223" s="56" t="n">
        <f aca="false">IF(T223=1,IF($B$27&lt;=V223,1,0),0)</f>
        <v>0</v>
      </c>
      <c r="Y223" s="58" t="n">
        <f aca="false">Y222+V223</f>
        <v>111653.809184744</v>
      </c>
    </row>
    <row r="224" customFormat="false" ht="15" hidden="false" customHeight="false" outlineLevel="0" collapsed="false">
      <c r="K224" s="56" t="n">
        <f aca="false">K223+1</f>
        <v>217</v>
      </c>
      <c r="L224" s="57" t="n">
        <f aca="false">IF(AND(K224&lt;=Assumptions!$C$42,L223=1,P223=0,O223&gt;Assumptions!$C$43),1,0)</f>
        <v>1</v>
      </c>
      <c r="M224" s="58" t="n">
        <f aca="false">O223</f>
        <v>96540.4050843683</v>
      </c>
      <c r="N224" s="58" t="n">
        <f aca="false">IF(L224=1,M224*$B$22,0)</f>
        <v>321.801350281228</v>
      </c>
      <c r="O224" s="58" t="n">
        <f aca="false">IF(L224=1,M224+N224-$B$26,M224)</f>
        <v>95542.6143339051</v>
      </c>
      <c r="P224" s="56" t="n">
        <f aca="false">IF(L224=1,IF($B$26&lt;=N224,1,0),0)</f>
        <v>0</v>
      </c>
      <c r="Q224" s="58" t="n">
        <f aca="false">Q223+N224</f>
        <v>131894.100195446</v>
      </c>
      <c r="S224" s="56" t="n">
        <f aca="false">S223+1</f>
        <v>217</v>
      </c>
      <c r="T224" s="57" t="n">
        <f aca="false">IF(AND(S224&lt;=Assumptions!$C$42,T223=1,X223=0,W223&gt;Assumptions!$C$43),1,0)</f>
        <v>1</v>
      </c>
      <c r="U224" s="58" t="n">
        <f aca="false">W223</f>
        <v>33421.9154239474</v>
      </c>
      <c r="V224" s="58" t="n">
        <f aca="false">IF(T224=1,U224*$B$22,0)</f>
        <v>111.406384746491</v>
      </c>
      <c r="W224" s="58" t="n">
        <f aca="false">IF(T224=1,U224+V224-$B$27,U224)</f>
        <v>32013.7297079495</v>
      </c>
      <c r="X224" s="56" t="n">
        <f aca="false">IF(T224=1,IF($B$27&lt;=V224,1,0),0)</f>
        <v>0</v>
      </c>
      <c r="Y224" s="58" t="n">
        <f aca="false">Y223+V224</f>
        <v>111765.21556949</v>
      </c>
    </row>
    <row r="225" customFormat="false" ht="15" hidden="false" customHeight="false" outlineLevel="0" collapsed="false">
      <c r="K225" s="56" t="n">
        <f aca="false">K224+1</f>
        <v>218</v>
      </c>
      <c r="L225" s="57" t="n">
        <f aca="false">IF(AND(K225&lt;=Assumptions!$C$42,L224=1,P224=0,O224&gt;Assumptions!$C$43),1,0)</f>
        <v>1</v>
      </c>
      <c r="M225" s="58" t="n">
        <f aca="false">O224</f>
        <v>95542.6143339051</v>
      </c>
      <c r="N225" s="58" t="n">
        <f aca="false">IF(L225=1,M225*$B$22,0)</f>
        <v>318.475381113017</v>
      </c>
      <c r="O225" s="58" t="n">
        <f aca="false">IF(L225=1,M225+N225-$B$26,M225)</f>
        <v>94541.4976142737</v>
      </c>
      <c r="P225" s="56" t="n">
        <f aca="false">IF(L225=1,IF($B$26&lt;=N225,1,0),0)</f>
        <v>0</v>
      </c>
      <c r="Q225" s="58" t="n">
        <f aca="false">Q224+N225</f>
        <v>132212.575576559</v>
      </c>
      <c r="S225" s="56" t="n">
        <f aca="false">S224+1</f>
        <v>218</v>
      </c>
      <c r="T225" s="57" t="n">
        <f aca="false">IF(AND(S225&lt;=Assumptions!$C$42,T224=1,X224=0,W224&gt;Assumptions!$C$43),1,0)</f>
        <v>1</v>
      </c>
      <c r="U225" s="58" t="n">
        <f aca="false">W224</f>
        <v>32013.7297079495</v>
      </c>
      <c r="V225" s="58" t="n">
        <f aca="false">IF(T225=1,U225*$B$22,0)</f>
        <v>106.712432359832</v>
      </c>
      <c r="W225" s="58" t="n">
        <f aca="false">IF(T225=1,U225+V225-$B$27,U225)</f>
        <v>30600.8500395649</v>
      </c>
      <c r="X225" s="56" t="n">
        <f aca="false">IF(T225=1,IF($B$27&lt;=V225,1,0),0)</f>
        <v>0</v>
      </c>
      <c r="Y225" s="58" t="n">
        <f aca="false">Y224+V225</f>
        <v>111871.92800185</v>
      </c>
    </row>
    <row r="226" customFormat="false" ht="15" hidden="false" customHeight="false" outlineLevel="0" collapsed="false">
      <c r="K226" s="56" t="n">
        <f aca="false">K225+1</f>
        <v>219</v>
      </c>
      <c r="L226" s="57" t="n">
        <f aca="false">IF(AND(K226&lt;=Assumptions!$C$42,L225=1,P225=0,O225&gt;Assumptions!$C$43),1,0)</f>
        <v>1</v>
      </c>
      <c r="M226" s="58" t="n">
        <f aca="false">O225</f>
        <v>94541.4976142737</v>
      </c>
      <c r="N226" s="58" t="n">
        <f aca="false">IF(L226=1,M226*$B$22,0)</f>
        <v>315.138325380912</v>
      </c>
      <c r="O226" s="58" t="n">
        <f aca="false">IF(L226=1,M226+N226-$B$26,M226)</f>
        <v>93537.0438389102</v>
      </c>
      <c r="P226" s="56" t="n">
        <f aca="false">IF(L226=1,IF($B$26&lt;=N226,1,0),0)</f>
        <v>0</v>
      </c>
      <c r="Q226" s="58" t="n">
        <f aca="false">Q225+N226</f>
        <v>132527.71390194</v>
      </c>
      <c r="S226" s="56" t="n">
        <f aca="false">S225+1</f>
        <v>219</v>
      </c>
      <c r="T226" s="57" t="n">
        <f aca="false">IF(AND(S226&lt;=Assumptions!$C$42,T225=1,X225=0,W225&gt;Assumptions!$C$43),1,0)</f>
        <v>1</v>
      </c>
      <c r="U226" s="58" t="n">
        <f aca="false">W225</f>
        <v>30600.8500395649</v>
      </c>
      <c r="V226" s="58" t="n">
        <f aca="false">IF(T226=1,U226*$B$22,0)</f>
        <v>102.002833465216</v>
      </c>
      <c r="W226" s="58" t="n">
        <f aca="false">IF(T226=1,U226+V226-$B$27,U226)</f>
        <v>29183.2607722857</v>
      </c>
      <c r="X226" s="56" t="n">
        <f aca="false">IF(T226=1,IF($B$27&lt;=V226,1,0),0)</f>
        <v>0</v>
      </c>
      <c r="Y226" s="58" t="n">
        <f aca="false">Y225+V226</f>
        <v>111973.930835315</v>
      </c>
    </row>
    <row r="227" customFormat="false" ht="15" hidden="false" customHeight="false" outlineLevel="0" collapsed="false">
      <c r="K227" s="56" t="n">
        <f aca="false">K226+1</f>
        <v>220</v>
      </c>
      <c r="L227" s="57" t="n">
        <f aca="false">IF(AND(K227&lt;=Assumptions!$C$42,L226=1,P226=0,O226&gt;Assumptions!$C$43),1,0)</f>
        <v>1</v>
      </c>
      <c r="M227" s="58" t="n">
        <f aca="false">O226</f>
        <v>93537.0438389102</v>
      </c>
      <c r="N227" s="58" t="n">
        <f aca="false">IF(L227=1,M227*$B$22,0)</f>
        <v>311.790146129701</v>
      </c>
      <c r="O227" s="58" t="n">
        <f aca="false">IF(L227=1,M227+N227-$B$26,M227)</f>
        <v>92529.2418842955</v>
      </c>
      <c r="P227" s="56" t="n">
        <f aca="false">IF(L227=1,IF($B$26&lt;=N227,1,0),0)</f>
        <v>0</v>
      </c>
      <c r="Q227" s="58" t="n">
        <f aca="false">Q226+N227</f>
        <v>132839.504048069</v>
      </c>
      <c r="S227" s="56" t="n">
        <f aca="false">S226+1</f>
        <v>220</v>
      </c>
      <c r="T227" s="57" t="n">
        <f aca="false">IF(AND(S227&lt;=Assumptions!$C$42,T226=1,X226=0,W226&gt;Assumptions!$C$43),1,0)</f>
        <v>1</v>
      </c>
      <c r="U227" s="58" t="n">
        <f aca="false">W226</f>
        <v>29183.2607722857</v>
      </c>
      <c r="V227" s="58" t="n">
        <f aca="false">IF(T227=1,U227*$B$22,0)</f>
        <v>97.277535907619</v>
      </c>
      <c r="W227" s="58" t="n">
        <f aca="false">IF(T227=1,U227+V227-$B$27,U227)</f>
        <v>27760.9462074489</v>
      </c>
      <c r="X227" s="56" t="n">
        <f aca="false">IF(T227=1,IF($B$27&lt;=V227,1,0),0)</f>
        <v>0</v>
      </c>
      <c r="Y227" s="58" t="n">
        <f aca="false">Y226+V227</f>
        <v>112071.208371223</v>
      </c>
    </row>
    <row r="228" customFormat="false" ht="15" hidden="false" customHeight="false" outlineLevel="0" collapsed="false">
      <c r="K228" s="56" t="n">
        <f aca="false">K227+1</f>
        <v>221</v>
      </c>
      <c r="L228" s="57" t="n">
        <f aca="false">IF(AND(K228&lt;=Assumptions!$C$42,L227=1,P227=0,O227&gt;Assumptions!$C$43),1,0)</f>
        <v>1</v>
      </c>
      <c r="M228" s="58" t="n">
        <f aca="false">O227</f>
        <v>92529.2418842955</v>
      </c>
      <c r="N228" s="58" t="n">
        <f aca="false">IF(L228=1,M228*$B$22,0)</f>
        <v>308.430806280985</v>
      </c>
      <c r="O228" s="58" t="n">
        <f aca="false">IF(L228=1,M228+N228-$B$26,M228)</f>
        <v>91518.080589832</v>
      </c>
      <c r="P228" s="56" t="n">
        <f aca="false">IF(L228=1,IF($B$26&lt;=N228,1,0),0)</f>
        <v>0</v>
      </c>
      <c r="Q228" s="58" t="n">
        <f aca="false">Q227+N228</f>
        <v>133147.93485435</v>
      </c>
      <c r="S228" s="56" t="n">
        <f aca="false">S227+1</f>
        <v>221</v>
      </c>
      <c r="T228" s="57" t="n">
        <f aca="false">IF(AND(S228&lt;=Assumptions!$C$42,T227=1,X227=0,W227&gt;Assumptions!$C$43),1,0)</f>
        <v>1</v>
      </c>
      <c r="U228" s="58" t="n">
        <f aca="false">W227</f>
        <v>27760.9462074489</v>
      </c>
      <c r="V228" s="58" t="n">
        <f aca="false">IF(T228=1,U228*$B$22,0)</f>
        <v>92.5364873581629</v>
      </c>
      <c r="W228" s="58" t="n">
        <f aca="false">IF(T228=1,U228+V228-$B$27,U228)</f>
        <v>26333.8905940626</v>
      </c>
      <c r="X228" s="56" t="n">
        <f aca="false">IF(T228=1,IF($B$27&lt;=V228,1,0),0)</f>
        <v>0</v>
      </c>
      <c r="Y228" s="58" t="n">
        <f aca="false">Y227+V228</f>
        <v>112163.744858581</v>
      </c>
    </row>
    <row r="229" customFormat="false" ht="15" hidden="false" customHeight="false" outlineLevel="0" collapsed="false">
      <c r="K229" s="56" t="n">
        <f aca="false">K228+1</f>
        <v>222</v>
      </c>
      <c r="L229" s="57" t="n">
        <f aca="false">IF(AND(K229&lt;=Assumptions!$C$42,L228=1,P228=0,O228&gt;Assumptions!$C$43),1,0)</f>
        <v>1</v>
      </c>
      <c r="M229" s="58" t="n">
        <f aca="false">O228</f>
        <v>91518.080589832</v>
      </c>
      <c r="N229" s="58" t="n">
        <f aca="false">IF(L229=1,M229*$B$22,0)</f>
        <v>305.060268632773</v>
      </c>
      <c r="O229" s="58" t="n">
        <f aca="false">IF(L229=1,M229+N229-$B$26,M229)</f>
        <v>90503.5487577204</v>
      </c>
      <c r="P229" s="56" t="n">
        <f aca="false">IF(L229=1,IF($B$26&lt;=N229,1,0),0)</f>
        <v>0</v>
      </c>
      <c r="Q229" s="58" t="n">
        <f aca="false">Q228+N229</f>
        <v>133452.995122983</v>
      </c>
      <c r="S229" s="56" t="n">
        <f aca="false">S228+1</f>
        <v>222</v>
      </c>
      <c r="T229" s="57" t="n">
        <f aca="false">IF(AND(S229&lt;=Assumptions!$C$42,T228=1,X228=0,W228&gt;Assumptions!$C$43),1,0)</f>
        <v>1</v>
      </c>
      <c r="U229" s="58" t="n">
        <f aca="false">W228</f>
        <v>26333.8905940626</v>
      </c>
      <c r="V229" s="58" t="n">
        <f aca="false">IF(T229=1,U229*$B$22,0)</f>
        <v>87.779635313542</v>
      </c>
      <c r="W229" s="58" t="n">
        <f aca="false">IF(T229=1,U229+V229-$B$27,U229)</f>
        <v>24902.0781286317</v>
      </c>
      <c r="X229" s="56" t="n">
        <f aca="false">IF(T229=1,IF($B$27&lt;=V229,1,0),0)</f>
        <v>0</v>
      </c>
      <c r="Y229" s="58" t="n">
        <f aca="false">Y228+V229</f>
        <v>112251.524493894</v>
      </c>
    </row>
    <row r="230" customFormat="false" ht="15" hidden="false" customHeight="false" outlineLevel="0" collapsed="false">
      <c r="K230" s="56" t="n">
        <f aca="false">K229+1</f>
        <v>223</v>
      </c>
      <c r="L230" s="57" t="n">
        <f aca="false">IF(AND(K230&lt;=Assumptions!$C$42,L229=1,P229=0,O229&gt;Assumptions!$C$43),1,0)</f>
        <v>1</v>
      </c>
      <c r="M230" s="58" t="n">
        <f aca="false">O229</f>
        <v>90503.5487577204</v>
      </c>
      <c r="N230" s="58" t="n">
        <f aca="false">IF(L230=1,M230*$B$22,0)</f>
        <v>301.678495859068</v>
      </c>
      <c r="O230" s="58" t="n">
        <f aca="false">IF(L230=1,M230+N230-$B$26,M230)</f>
        <v>89485.635152835</v>
      </c>
      <c r="P230" s="56" t="n">
        <f aca="false">IF(L230=1,IF($B$26&lt;=N230,1,0),0)</f>
        <v>0</v>
      </c>
      <c r="Q230" s="58" t="n">
        <f aca="false">Q229+N230</f>
        <v>133754.673618842</v>
      </c>
      <c r="S230" s="56" t="n">
        <f aca="false">S229+1</f>
        <v>223</v>
      </c>
      <c r="T230" s="57" t="n">
        <f aca="false">IF(AND(S230&lt;=Assumptions!$C$42,T229=1,X229=0,W229&gt;Assumptions!$C$43),1,0)</f>
        <v>1</v>
      </c>
      <c r="U230" s="58" t="n">
        <f aca="false">W229</f>
        <v>24902.0781286317</v>
      </c>
      <c r="V230" s="58" t="n">
        <f aca="false">IF(T230=1,U230*$B$22,0)</f>
        <v>83.0069270954391</v>
      </c>
      <c r="W230" s="58" t="n">
        <f aca="false">IF(T230=1,U230+V230-$B$27,U230)</f>
        <v>23465.4929549827</v>
      </c>
      <c r="X230" s="56" t="n">
        <f aca="false">IF(T230=1,IF($B$27&lt;=V230,1,0),0)</f>
        <v>0</v>
      </c>
      <c r="Y230" s="58" t="n">
        <f aca="false">Y229+V230</f>
        <v>112334.53142099</v>
      </c>
    </row>
    <row r="231" customFormat="false" ht="15" hidden="false" customHeight="false" outlineLevel="0" collapsed="false">
      <c r="K231" s="56" t="n">
        <f aca="false">K230+1</f>
        <v>224</v>
      </c>
      <c r="L231" s="57" t="n">
        <f aca="false">IF(AND(K231&lt;=Assumptions!$C$42,L230=1,P230=0,O230&gt;Assumptions!$C$43),1,0)</f>
        <v>1</v>
      </c>
      <c r="M231" s="58" t="n">
        <f aca="false">O230</f>
        <v>89485.635152835</v>
      </c>
      <c r="N231" s="58" t="n">
        <f aca="false">IF(L231=1,M231*$B$22,0)</f>
        <v>298.28545050945</v>
      </c>
      <c r="O231" s="58" t="n">
        <f aca="false">IF(L231=1,M231+N231-$B$26,M231)</f>
        <v>88464.3285026</v>
      </c>
      <c r="P231" s="56" t="n">
        <f aca="false">IF(L231=1,IF($B$26&lt;=N231,1,0),0)</f>
        <v>0</v>
      </c>
      <c r="Q231" s="58" t="n">
        <f aca="false">Q230+N231</f>
        <v>134052.959069352</v>
      </c>
      <c r="S231" s="56" t="n">
        <f aca="false">S230+1</f>
        <v>224</v>
      </c>
      <c r="T231" s="57" t="n">
        <f aca="false">IF(AND(S231&lt;=Assumptions!$C$42,T230=1,X230=0,W230&gt;Assumptions!$C$43),1,0)</f>
        <v>1</v>
      </c>
      <c r="U231" s="58" t="n">
        <f aca="false">W230</f>
        <v>23465.4929549827</v>
      </c>
      <c r="V231" s="58" t="n">
        <f aca="false">IF(T231=1,U231*$B$22,0)</f>
        <v>78.2183098499425</v>
      </c>
      <c r="W231" s="58" t="n">
        <f aca="false">IF(T231=1,U231+V231-$B$27,U231)</f>
        <v>22024.1191640883</v>
      </c>
      <c r="X231" s="56" t="n">
        <f aca="false">IF(T231=1,IF($B$27&lt;=V231,1,0),0)</f>
        <v>0</v>
      </c>
      <c r="Y231" s="58" t="n">
        <f aca="false">Y230+V231</f>
        <v>112412.74973084</v>
      </c>
    </row>
    <row r="232" customFormat="false" ht="15" hidden="false" customHeight="false" outlineLevel="0" collapsed="false">
      <c r="K232" s="56" t="n">
        <f aca="false">K231+1</f>
        <v>225</v>
      </c>
      <c r="L232" s="57" t="n">
        <f aca="false">IF(AND(K232&lt;=Assumptions!$C$42,L231=1,P231=0,O231&gt;Assumptions!$C$43),1,0)</f>
        <v>1</v>
      </c>
      <c r="M232" s="58" t="n">
        <f aca="false">O231</f>
        <v>88464.3285026</v>
      </c>
      <c r="N232" s="58" t="n">
        <f aca="false">IF(L232=1,M232*$B$22,0)</f>
        <v>294.881095008667</v>
      </c>
      <c r="O232" s="58" t="n">
        <f aca="false">IF(L232=1,M232+N232-$B$26,M232)</f>
        <v>87439.6174968643</v>
      </c>
      <c r="P232" s="56" t="n">
        <f aca="false">IF(L232=1,IF($B$26&lt;=N232,1,0),0)</f>
        <v>0</v>
      </c>
      <c r="Q232" s="58" t="n">
        <f aca="false">Q231+N232</f>
        <v>134347.84016436</v>
      </c>
      <c r="S232" s="56" t="n">
        <f aca="false">S231+1</f>
        <v>225</v>
      </c>
      <c r="T232" s="57" t="n">
        <f aca="false">IF(AND(S232&lt;=Assumptions!$C$42,T231=1,X231=0,W231&gt;Assumptions!$C$43),1,0)</f>
        <v>1</v>
      </c>
      <c r="U232" s="58" t="n">
        <f aca="false">W231</f>
        <v>22024.1191640883</v>
      </c>
      <c r="V232" s="58" t="n">
        <f aca="false">IF(T232=1,U232*$B$22,0)</f>
        <v>73.4137305469609</v>
      </c>
      <c r="W232" s="58" t="n">
        <f aca="false">IF(T232=1,U232+V232-$B$27,U232)</f>
        <v>20577.9407938908</v>
      </c>
      <c r="X232" s="56" t="n">
        <f aca="false">IF(T232=1,IF($B$27&lt;=V232,1,0),0)</f>
        <v>0</v>
      </c>
      <c r="Y232" s="58" t="n">
        <f aca="false">Y231+V232</f>
        <v>112486.163461387</v>
      </c>
    </row>
    <row r="233" customFormat="false" ht="15" hidden="false" customHeight="false" outlineLevel="0" collapsed="false">
      <c r="K233" s="56" t="n">
        <f aca="false">K232+1</f>
        <v>226</v>
      </c>
      <c r="L233" s="57" t="n">
        <f aca="false">IF(AND(K233&lt;=Assumptions!$C$42,L232=1,P232=0,O232&gt;Assumptions!$C$43),1,0)</f>
        <v>1</v>
      </c>
      <c r="M233" s="58" t="n">
        <f aca="false">O232</f>
        <v>87439.6174968643</v>
      </c>
      <c r="N233" s="58" t="n">
        <f aca="false">IF(L233=1,M233*$B$22,0)</f>
        <v>291.465391656214</v>
      </c>
      <c r="O233" s="58" t="n">
        <f aca="false">IF(L233=1,M233+N233-$B$26,M233)</f>
        <v>86411.4907877761</v>
      </c>
      <c r="P233" s="56" t="n">
        <f aca="false">IF(L233=1,IF($B$26&lt;=N233,1,0),0)</f>
        <v>0</v>
      </c>
      <c r="Q233" s="58" t="n">
        <f aca="false">Q232+N233</f>
        <v>134639.305556017</v>
      </c>
      <c r="S233" s="56" t="n">
        <f aca="false">S232+1</f>
        <v>226</v>
      </c>
      <c r="T233" s="57" t="n">
        <f aca="false">IF(AND(S233&lt;=Assumptions!$C$42,T232=1,X232=0,W232&gt;Assumptions!$C$43),1,0)</f>
        <v>1</v>
      </c>
      <c r="U233" s="58" t="n">
        <f aca="false">W232</f>
        <v>20577.9407938908</v>
      </c>
      <c r="V233" s="58" t="n">
        <f aca="false">IF(T233=1,U233*$B$22,0)</f>
        <v>68.593135979636</v>
      </c>
      <c r="W233" s="58" t="n">
        <f aca="false">IF(T233=1,U233+V233-$B$27,U233)</f>
        <v>19126.941829126</v>
      </c>
      <c r="X233" s="56" t="n">
        <f aca="false">IF(T233=1,IF($B$27&lt;=V233,1,0),0)</f>
        <v>0</v>
      </c>
      <c r="Y233" s="58" t="n">
        <f aca="false">Y232+V233</f>
        <v>112554.756597366</v>
      </c>
    </row>
    <row r="234" customFormat="false" ht="15" hidden="false" customHeight="false" outlineLevel="0" collapsed="false">
      <c r="K234" s="56" t="n">
        <f aca="false">K233+1</f>
        <v>227</v>
      </c>
      <c r="L234" s="57" t="n">
        <f aca="false">IF(AND(K234&lt;=Assumptions!$C$42,L233=1,P233=0,O233&gt;Assumptions!$C$43),1,0)</f>
        <v>1</v>
      </c>
      <c r="M234" s="58" t="n">
        <f aca="false">O233</f>
        <v>86411.4907877761</v>
      </c>
      <c r="N234" s="58" t="n">
        <f aca="false">IF(L234=1,M234*$B$22,0)</f>
        <v>288.03830262592</v>
      </c>
      <c r="O234" s="58" t="n">
        <f aca="false">IF(L234=1,M234+N234-$B$26,M234)</f>
        <v>85379.9369896576</v>
      </c>
      <c r="P234" s="56" t="n">
        <f aca="false">IF(L234=1,IF($B$26&lt;=N234,1,0),0)</f>
        <v>0</v>
      </c>
      <c r="Q234" s="58" t="n">
        <f aca="false">Q233+N234</f>
        <v>134927.343858643</v>
      </c>
      <c r="S234" s="56" t="n">
        <f aca="false">S233+1</f>
        <v>227</v>
      </c>
      <c r="T234" s="57" t="n">
        <f aca="false">IF(AND(S234&lt;=Assumptions!$C$42,T233=1,X233=0,W233&gt;Assumptions!$C$43),1,0)</f>
        <v>1</v>
      </c>
      <c r="U234" s="58" t="n">
        <f aca="false">W233</f>
        <v>19126.941829126</v>
      </c>
      <c r="V234" s="58" t="n">
        <f aca="false">IF(T234=1,U234*$B$22,0)</f>
        <v>63.7564727637533</v>
      </c>
      <c r="W234" s="58" t="n">
        <f aca="false">IF(T234=1,U234+V234-$B$27,U234)</f>
        <v>17671.1062011453</v>
      </c>
      <c r="X234" s="56" t="n">
        <f aca="false">IF(T234=1,IF($B$27&lt;=V234,1,0),0)</f>
        <v>0</v>
      </c>
      <c r="Y234" s="58" t="n">
        <f aca="false">Y233+V234</f>
        <v>112618.51307013</v>
      </c>
    </row>
    <row r="235" customFormat="false" ht="15" hidden="false" customHeight="false" outlineLevel="0" collapsed="false">
      <c r="K235" s="56" t="n">
        <f aca="false">K234+1</f>
        <v>228</v>
      </c>
      <c r="L235" s="57" t="n">
        <f aca="false">IF(AND(K235&lt;=Assumptions!$C$42,L234=1,P234=0,O234&gt;Assumptions!$C$43),1,0)</f>
        <v>1</v>
      </c>
      <c r="M235" s="58" t="n">
        <f aca="false">O234</f>
        <v>85379.9369896576</v>
      </c>
      <c r="N235" s="58" t="n">
        <f aca="false">IF(L235=1,M235*$B$22,0)</f>
        <v>284.599789965525</v>
      </c>
      <c r="O235" s="58" t="n">
        <f aca="false">IF(L235=1,M235+N235-$B$26,M235)</f>
        <v>84344.9446788786</v>
      </c>
      <c r="P235" s="56" t="n">
        <f aca="false">IF(L235=1,IF($B$26&lt;=N235,1,0),0)</f>
        <v>0</v>
      </c>
      <c r="Q235" s="58" t="n">
        <f aca="false">Q234+N235</f>
        <v>135211.943648608</v>
      </c>
      <c r="S235" s="56" t="n">
        <f aca="false">S234+1</f>
        <v>228</v>
      </c>
      <c r="T235" s="57" t="n">
        <f aca="false">IF(AND(S235&lt;=Assumptions!$C$42,T234=1,X234=0,W234&gt;Assumptions!$C$43),1,0)</f>
        <v>1</v>
      </c>
      <c r="U235" s="58" t="n">
        <f aca="false">W234</f>
        <v>17671.1062011453</v>
      </c>
      <c r="V235" s="58" t="n">
        <f aca="false">IF(T235=1,U235*$B$22,0)</f>
        <v>58.9036873371511</v>
      </c>
      <c r="W235" s="58" t="n">
        <f aca="false">IF(T235=1,U235+V235-$B$27,U235)</f>
        <v>16210.4177877381</v>
      </c>
      <c r="X235" s="56" t="n">
        <f aca="false">IF(T235=1,IF($B$27&lt;=V235,1,0),0)</f>
        <v>0</v>
      </c>
      <c r="Y235" s="58" t="n">
        <f aca="false">Y234+V235</f>
        <v>112677.416757467</v>
      </c>
    </row>
    <row r="236" customFormat="false" ht="15" hidden="false" customHeight="false" outlineLevel="0" collapsed="false">
      <c r="K236" s="56" t="n">
        <f aca="false">K235+1</f>
        <v>229</v>
      </c>
      <c r="L236" s="57" t="n">
        <f aca="false">IF(AND(K236&lt;=Assumptions!$C$42,L235=1,P235=0,O235&gt;Assumptions!$C$43),1,0)</f>
        <v>1</v>
      </c>
      <c r="M236" s="58" t="n">
        <f aca="false">O235</f>
        <v>84344.9446788786</v>
      </c>
      <c r="N236" s="58" t="n">
        <f aca="false">IF(L236=1,M236*$B$22,0)</f>
        <v>281.149815596262</v>
      </c>
      <c r="O236" s="58" t="n">
        <f aca="false">IF(L236=1,M236+N236-$B$26,M236)</f>
        <v>83306.5023937305</v>
      </c>
      <c r="P236" s="56" t="n">
        <f aca="false">IF(L236=1,IF($B$26&lt;=N236,1,0),0)</f>
        <v>0</v>
      </c>
      <c r="Q236" s="58" t="n">
        <f aca="false">Q235+N236</f>
        <v>135493.093464204</v>
      </c>
      <c r="S236" s="56" t="n">
        <f aca="false">S235+1</f>
        <v>229</v>
      </c>
      <c r="T236" s="57" t="n">
        <f aca="false">IF(AND(S236&lt;=Assumptions!$C$42,T235=1,X235=0,W235&gt;Assumptions!$C$43),1,0)</f>
        <v>1</v>
      </c>
      <c r="U236" s="58" t="n">
        <f aca="false">W235</f>
        <v>16210.4177877381</v>
      </c>
      <c r="V236" s="58" t="n">
        <f aca="false">IF(T236=1,U236*$B$22,0)</f>
        <v>54.0347259591269</v>
      </c>
      <c r="W236" s="58" t="n">
        <f aca="false">IF(T236=1,U236+V236-$B$27,U236)</f>
        <v>14744.8604129528</v>
      </c>
      <c r="X236" s="56" t="n">
        <f aca="false">IF(T236=1,IF($B$27&lt;=V236,1,0),0)</f>
        <v>0</v>
      </c>
      <c r="Y236" s="58" t="n">
        <f aca="false">Y235+V236</f>
        <v>112731.451483426</v>
      </c>
    </row>
    <row r="237" customFormat="false" ht="15" hidden="false" customHeight="false" outlineLevel="0" collapsed="false">
      <c r="K237" s="56" t="n">
        <f aca="false">K236+1</f>
        <v>230</v>
      </c>
      <c r="L237" s="57" t="n">
        <f aca="false">IF(AND(K237&lt;=Assumptions!$C$42,L236=1,P236=0,O236&gt;Assumptions!$C$43),1,0)</f>
        <v>1</v>
      </c>
      <c r="M237" s="58" t="n">
        <f aca="false">O236</f>
        <v>83306.5023937305</v>
      </c>
      <c r="N237" s="58" t="n">
        <f aca="false">IF(L237=1,M237*$B$22,0)</f>
        <v>277.688341312435</v>
      </c>
      <c r="O237" s="58" t="n">
        <f aca="false">IF(L237=1,M237+N237-$B$26,M237)</f>
        <v>82264.5986342985</v>
      </c>
      <c r="P237" s="56" t="n">
        <f aca="false">IF(L237=1,IF($B$26&lt;=N237,1,0),0)</f>
        <v>0</v>
      </c>
      <c r="Q237" s="58" t="n">
        <f aca="false">Q236+N237</f>
        <v>135770.781805517</v>
      </c>
      <c r="S237" s="56" t="n">
        <f aca="false">S236+1</f>
        <v>230</v>
      </c>
      <c r="T237" s="57" t="n">
        <f aca="false">IF(AND(S237&lt;=Assumptions!$C$42,T236=1,X236=0,W236&gt;Assumptions!$C$43),1,0)</f>
        <v>1</v>
      </c>
      <c r="U237" s="58" t="n">
        <f aca="false">W236</f>
        <v>14744.8604129528</v>
      </c>
      <c r="V237" s="58" t="n">
        <f aca="false">IF(T237=1,U237*$B$22,0)</f>
        <v>49.1495347098425</v>
      </c>
      <c r="W237" s="58" t="n">
        <f aca="false">IF(T237=1,U237+V237-$B$27,U237)</f>
        <v>13274.4178469182</v>
      </c>
      <c r="X237" s="56" t="n">
        <f aca="false">IF(T237=1,IF($B$27&lt;=V237,1,0),0)</f>
        <v>0</v>
      </c>
      <c r="Y237" s="58" t="n">
        <f aca="false">Y236+V237</f>
        <v>112780.601018136</v>
      </c>
    </row>
    <row r="238" customFormat="false" ht="15" hidden="false" customHeight="false" outlineLevel="0" collapsed="false">
      <c r="K238" s="56" t="n">
        <f aca="false">K237+1</f>
        <v>231</v>
      </c>
      <c r="L238" s="57" t="n">
        <f aca="false">IF(AND(K238&lt;=Assumptions!$C$42,L237=1,P237=0,O237&gt;Assumptions!$C$43),1,0)</f>
        <v>1</v>
      </c>
      <c r="M238" s="58" t="n">
        <f aca="false">O237</f>
        <v>82264.5986342985</v>
      </c>
      <c r="N238" s="58" t="n">
        <f aca="false">IF(L238=1,M238*$B$22,0)</f>
        <v>274.215328780995</v>
      </c>
      <c r="O238" s="58" t="n">
        <f aca="false">IF(L238=1,M238+N238-$B$26,M238)</f>
        <v>81219.2218623351</v>
      </c>
      <c r="P238" s="56" t="n">
        <f aca="false">IF(L238=1,IF($B$26&lt;=N238,1,0),0)</f>
        <v>0</v>
      </c>
      <c r="Q238" s="58" t="n">
        <f aca="false">Q237+N238</f>
        <v>136044.997134298</v>
      </c>
      <c r="S238" s="56" t="n">
        <f aca="false">S237+1</f>
        <v>231</v>
      </c>
      <c r="T238" s="57" t="n">
        <f aca="false">IF(AND(S238&lt;=Assumptions!$C$42,T237=1,X237=0,W237&gt;Assumptions!$C$43),1,0)</f>
        <v>1</v>
      </c>
      <c r="U238" s="58" t="n">
        <f aca="false">W237</f>
        <v>13274.4178469182</v>
      </c>
      <c r="V238" s="58" t="n">
        <f aca="false">IF(T238=1,U238*$B$22,0)</f>
        <v>44.2480594897273</v>
      </c>
      <c r="W238" s="58" t="n">
        <f aca="false">IF(T238=1,U238+V238-$B$27,U238)</f>
        <v>11799.0738056635</v>
      </c>
      <c r="X238" s="56" t="n">
        <f aca="false">IF(T238=1,IF($B$27&lt;=V238,1,0),0)</f>
        <v>0</v>
      </c>
      <c r="Y238" s="58" t="n">
        <f aca="false">Y237+V238</f>
        <v>112824.849077626</v>
      </c>
    </row>
    <row r="239" customFormat="false" ht="15" hidden="false" customHeight="false" outlineLevel="0" collapsed="false">
      <c r="K239" s="56" t="n">
        <f aca="false">K238+1</f>
        <v>232</v>
      </c>
      <c r="L239" s="57" t="n">
        <f aca="false">IF(AND(K239&lt;=Assumptions!$C$42,L238=1,P238=0,O238&gt;Assumptions!$C$43),1,0)</f>
        <v>1</v>
      </c>
      <c r="M239" s="58" t="n">
        <f aca="false">O238</f>
        <v>81219.2218623351</v>
      </c>
      <c r="N239" s="58" t="n">
        <f aca="false">IF(L239=1,M239*$B$22,0)</f>
        <v>270.730739541117</v>
      </c>
      <c r="O239" s="58" t="n">
        <f aca="false">IF(L239=1,M239+N239-$B$26,M239)</f>
        <v>80170.3605011317</v>
      </c>
      <c r="P239" s="56" t="n">
        <f aca="false">IF(L239=1,IF($B$26&lt;=N239,1,0),0)</f>
        <v>0</v>
      </c>
      <c r="Q239" s="58" t="n">
        <f aca="false">Q238+N239</f>
        <v>136315.727873839</v>
      </c>
      <c r="S239" s="56" t="n">
        <f aca="false">S238+1</f>
        <v>232</v>
      </c>
      <c r="T239" s="57" t="n">
        <f aca="false">IF(AND(S239&lt;=Assumptions!$C$42,T238=1,X238=0,W238&gt;Assumptions!$C$43),1,0)</f>
        <v>1</v>
      </c>
      <c r="U239" s="58" t="n">
        <f aca="false">W238</f>
        <v>11799.0738056635</v>
      </c>
      <c r="V239" s="58" t="n">
        <f aca="false">IF(T239=1,U239*$B$22,0)</f>
        <v>39.3302460188783</v>
      </c>
      <c r="W239" s="58" t="n">
        <f aca="false">IF(T239=1,U239+V239-$B$27,U239)</f>
        <v>10318.8119509379</v>
      </c>
      <c r="X239" s="56" t="n">
        <f aca="false">IF(T239=1,IF($B$27&lt;=V239,1,0),0)</f>
        <v>0</v>
      </c>
      <c r="Y239" s="58" t="n">
        <f aca="false">Y238+V239</f>
        <v>112864.179323645</v>
      </c>
    </row>
    <row r="240" customFormat="false" ht="15" hidden="false" customHeight="false" outlineLevel="0" collapsed="false">
      <c r="K240" s="56" t="n">
        <f aca="false">K239+1</f>
        <v>233</v>
      </c>
      <c r="L240" s="57" t="n">
        <f aca="false">IF(AND(K240&lt;=Assumptions!$C$42,L239=1,P239=0,O239&gt;Assumptions!$C$43),1,0)</f>
        <v>1</v>
      </c>
      <c r="M240" s="58" t="n">
        <f aca="false">O239</f>
        <v>80170.3605011317</v>
      </c>
      <c r="N240" s="58" t="n">
        <f aca="false">IF(L240=1,M240*$B$22,0)</f>
        <v>267.234535003772</v>
      </c>
      <c r="O240" s="58" t="n">
        <f aca="false">IF(L240=1,M240+N240-$B$26,M240)</f>
        <v>79118.0029353911</v>
      </c>
      <c r="P240" s="56" t="n">
        <f aca="false">IF(L240=1,IF($B$26&lt;=N240,1,0),0)</f>
        <v>0</v>
      </c>
      <c r="Q240" s="58" t="n">
        <f aca="false">Q239+N240</f>
        <v>136582.962408843</v>
      </c>
      <c r="S240" s="56" t="n">
        <f aca="false">S239+1</f>
        <v>233</v>
      </c>
      <c r="T240" s="57" t="n">
        <f aca="false">IF(AND(S240&lt;=Assumptions!$C$42,T239=1,X239=0,W239&gt;Assumptions!$C$43),1,0)</f>
        <v>1</v>
      </c>
      <c r="U240" s="58" t="n">
        <f aca="false">W239</f>
        <v>10318.8119509379</v>
      </c>
      <c r="V240" s="58" t="n">
        <f aca="false">IF(T240=1,U240*$B$22,0)</f>
        <v>34.3960398364598</v>
      </c>
      <c r="W240" s="58" t="n">
        <f aca="false">IF(T240=1,U240+V240-$B$27,U240)</f>
        <v>8833.61589002997</v>
      </c>
      <c r="X240" s="56" t="n">
        <f aca="false">IF(T240=1,IF($B$27&lt;=V240,1,0),0)</f>
        <v>0</v>
      </c>
      <c r="Y240" s="58" t="n">
        <f aca="false">Y239+V240</f>
        <v>112898.575363481</v>
      </c>
    </row>
    <row r="241" customFormat="false" ht="15" hidden="false" customHeight="false" outlineLevel="0" collapsed="false">
      <c r="K241" s="56" t="n">
        <f aca="false">K240+1</f>
        <v>234</v>
      </c>
      <c r="L241" s="57" t="n">
        <f aca="false">IF(AND(K241&lt;=Assumptions!$C$42,L240=1,P240=0,O240&gt;Assumptions!$C$43),1,0)</f>
        <v>1</v>
      </c>
      <c r="M241" s="58" t="n">
        <f aca="false">O240</f>
        <v>79118.0029353911</v>
      </c>
      <c r="N241" s="58" t="n">
        <f aca="false">IF(L241=1,M241*$B$22,0)</f>
        <v>263.726676451304</v>
      </c>
      <c r="O241" s="58" t="n">
        <f aca="false">IF(L241=1,M241+N241-$B$26,M241)</f>
        <v>78062.137511098</v>
      </c>
      <c r="P241" s="56" t="n">
        <f aca="false">IF(L241=1,IF($B$26&lt;=N241,1,0),0)</f>
        <v>0</v>
      </c>
      <c r="Q241" s="58" t="n">
        <f aca="false">Q240+N241</f>
        <v>136846.689085294</v>
      </c>
      <c r="S241" s="56" t="n">
        <f aca="false">S240+1</f>
        <v>234</v>
      </c>
      <c r="T241" s="57" t="n">
        <f aca="false">IF(AND(S241&lt;=Assumptions!$C$42,T240=1,X240=0,W240&gt;Assumptions!$C$43),1,0)</f>
        <v>1</v>
      </c>
      <c r="U241" s="58" t="n">
        <f aca="false">W240</f>
        <v>8833.61589002997</v>
      </c>
      <c r="V241" s="58" t="n">
        <f aca="false">IF(T241=1,U241*$B$22,0)</f>
        <v>29.4453863000999</v>
      </c>
      <c r="W241" s="58" t="n">
        <f aca="false">IF(T241=1,U241+V241-$B$27,U241)</f>
        <v>7343.46917558564</v>
      </c>
      <c r="X241" s="56" t="n">
        <f aca="false">IF(T241=1,IF($B$27&lt;=V241,1,0),0)</f>
        <v>0</v>
      </c>
      <c r="Y241" s="58" t="n">
        <f aca="false">Y240+V241</f>
        <v>112928.020749781</v>
      </c>
    </row>
    <row r="242" customFormat="false" ht="15" hidden="false" customHeight="false" outlineLevel="0" collapsed="false">
      <c r="K242" s="56" t="n">
        <f aca="false">K241+1</f>
        <v>235</v>
      </c>
      <c r="L242" s="57" t="n">
        <f aca="false">IF(AND(K242&lt;=Assumptions!$C$42,L241=1,P241=0,O241&gt;Assumptions!$C$43),1,0)</f>
        <v>1</v>
      </c>
      <c r="M242" s="58" t="n">
        <f aca="false">O241</f>
        <v>78062.137511098</v>
      </c>
      <c r="N242" s="58" t="n">
        <f aca="false">IF(L242=1,M242*$B$22,0)</f>
        <v>260.207125036993</v>
      </c>
      <c r="O242" s="58" t="n">
        <f aca="false">IF(L242=1,M242+N242-$B$26,M242)</f>
        <v>77002.7525353905</v>
      </c>
      <c r="P242" s="56" t="n">
        <f aca="false">IF(L242=1,IF($B$26&lt;=N242,1,0),0)</f>
        <v>0</v>
      </c>
      <c r="Q242" s="58" t="n">
        <f aca="false">Q241+N242</f>
        <v>137106.896210331</v>
      </c>
      <c r="S242" s="56" t="n">
        <f aca="false">S241+1</f>
        <v>235</v>
      </c>
      <c r="T242" s="57" t="n">
        <f aca="false">IF(AND(S242&lt;=Assumptions!$C$42,T241=1,X241=0,W241&gt;Assumptions!$C$43),1,0)</f>
        <v>1</v>
      </c>
      <c r="U242" s="58" t="n">
        <f aca="false">W241</f>
        <v>7343.46917558564</v>
      </c>
      <c r="V242" s="58" t="n">
        <f aca="false">IF(T242=1,U242*$B$22,0)</f>
        <v>24.4782305852855</v>
      </c>
      <c r="W242" s="58" t="n">
        <f aca="false">IF(T242=1,U242+V242-$B$27,U242)</f>
        <v>5848.3553054265</v>
      </c>
      <c r="X242" s="56" t="n">
        <f aca="false">IF(T242=1,IF($B$27&lt;=V242,1,0),0)</f>
        <v>0</v>
      </c>
      <c r="Y242" s="58" t="n">
        <f aca="false">Y241+V242</f>
        <v>112952.498980367</v>
      </c>
    </row>
    <row r="243" customFormat="false" ht="15" hidden="false" customHeight="false" outlineLevel="0" collapsed="false">
      <c r="K243" s="56" t="n">
        <f aca="false">K242+1</f>
        <v>236</v>
      </c>
      <c r="L243" s="57" t="n">
        <f aca="false">IF(AND(K243&lt;=Assumptions!$C$42,L242=1,P242=0,O242&gt;Assumptions!$C$43),1,0)</f>
        <v>1</v>
      </c>
      <c r="M243" s="58" t="n">
        <f aca="false">O242</f>
        <v>77002.7525353905</v>
      </c>
      <c r="N243" s="58" t="n">
        <f aca="false">IF(L243=1,M243*$B$22,0)</f>
        <v>256.675841784635</v>
      </c>
      <c r="O243" s="58" t="n">
        <f aca="false">IF(L243=1,M243+N243-$B$26,M243)</f>
        <v>75939.8362764307</v>
      </c>
      <c r="P243" s="56" t="n">
        <f aca="false">IF(L243=1,IF($B$26&lt;=N243,1,0),0)</f>
        <v>0</v>
      </c>
      <c r="Q243" s="58" t="n">
        <f aca="false">Q242+N243</f>
        <v>137363.572052116</v>
      </c>
      <c r="S243" s="56" t="n">
        <f aca="false">S242+1</f>
        <v>236</v>
      </c>
      <c r="T243" s="57" t="n">
        <f aca="false">IF(AND(S243&lt;=Assumptions!$C$42,T242=1,X242=0,W242&gt;Assumptions!$C$43),1,0)</f>
        <v>1</v>
      </c>
      <c r="U243" s="58" t="n">
        <f aca="false">W242</f>
        <v>5848.3553054265</v>
      </c>
      <c r="V243" s="58" t="n">
        <f aca="false">IF(T243=1,U243*$B$22,0)</f>
        <v>19.494517684755</v>
      </c>
      <c r="W243" s="58" t="n">
        <f aca="false">IF(T243=1,U243+V243-$B$27,U243)</f>
        <v>4348.25772236683</v>
      </c>
      <c r="X243" s="56" t="n">
        <f aca="false">IF(T243=1,IF($B$27&lt;=V243,1,0),0)</f>
        <v>0</v>
      </c>
      <c r="Y243" s="58" t="n">
        <f aca="false">Y242+V243</f>
        <v>112971.993498051</v>
      </c>
    </row>
    <row r="244" customFormat="false" ht="15" hidden="false" customHeight="false" outlineLevel="0" collapsed="false">
      <c r="K244" s="56" t="n">
        <f aca="false">K243+1</f>
        <v>237</v>
      </c>
      <c r="L244" s="57" t="n">
        <f aca="false">IF(AND(K244&lt;=Assumptions!$C$42,L243=1,P243=0,O243&gt;Assumptions!$C$43),1,0)</f>
        <v>1</v>
      </c>
      <c r="M244" s="58" t="n">
        <f aca="false">O243</f>
        <v>75939.8362764307</v>
      </c>
      <c r="N244" s="58" t="n">
        <f aca="false">IF(L244=1,M244*$B$22,0)</f>
        <v>253.132787588102</v>
      </c>
      <c r="O244" s="58" t="n">
        <f aca="false">IF(L244=1,M244+N244-$B$26,M244)</f>
        <v>74873.3769632744</v>
      </c>
      <c r="P244" s="56" t="n">
        <f aca="false">IF(L244=1,IF($B$26&lt;=N244,1,0),0)</f>
        <v>0</v>
      </c>
      <c r="Q244" s="58" t="n">
        <f aca="false">Q243+N244</f>
        <v>137616.704839704</v>
      </c>
      <c r="S244" s="56" t="n">
        <f aca="false">S243+1</f>
        <v>237</v>
      </c>
      <c r="T244" s="57" t="n">
        <f aca="false">IF(AND(S244&lt;=Assumptions!$C$42,T243=1,X243=0,W243&gt;Assumptions!$C$43),1,0)</f>
        <v>1</v>
      </c>
      <c r="U244" s="58" t="n">
        <f aca="false">W243</f>
        <v>4348.25772236683</v>
      </c>
      <c r="V244" s="58" t="n">
        <f aca="false">IF(T244=1,U244*$B$22,0)</f>
        <v>14.4941924078894</v>
      </c>
      <c r="W244" s="58" t="n">
        <f aca="false">IF(T244=1,U244+V244-$B$27,U244)</f>
        <v>2843.1598140303</v>
      </c>
      <c r="X244" s="56" t="n">
        <f aca="false">IF(T244=1,IF($B$27&lt;=V244,1,0),0)</f>
        <v>0</v>
      </c>
      <c r="Y244" s="58" t="n">
        <f aca="false">Y243+V244</f>
        <v>112986.487690459</v>
      </c>
    </row>
    <row r="245" customFormat="false" ht="15" hidden="false" customHeight="false" outlineLevel="0" collapsed="false">
      <c r="K245" s="56" t="n">
        <f aca="false">K244+1</f>
        <v>238</v>
      </c>
      <c r="L245" s="57" t="n">
        <f aca="false">IF(AND(K245&lt;=Assumptions!$C$42,L244=1,P244=0,O244&gt;Assumptions!$C$43),1,0)</f>
        <v>1</v>
      </c>
      <c r="M245" s="58" t="n">
        <f aca="false">O244</f>
        <v>74873.3769632744</v>
      </c>
      <c r="N245" s="58" t="n">
        <f aca="false">IF(L245=1,M245*$B$22,0)</f>
        <v>249.577923210915</v>
      </c>
      <c r="O245" s="58" t="n">
        <f aca="false">IF(L245=1,M245+N245-$B$26,M245)</f>
        <v>73803.3627857409</v>
      </c>
      <c r="P245" s="56" t="n">
        <f aca="false">IF(L245=1,IF($B$26&lt;=N245,1,0),0)</f>
        <v>0</v>
      </c>
      <c r="Q245" s="58" t="n">
        <f aca="false">Q244+N245</f>
        <v>137866.282762915</v>
      </c>
      <c r="S245" s="56" t="n">
        <f aca="false">S244+1</f>
        <v>238</v>
      </c>
      <c r="T245" s="57" t="n">
        <f aca="false">IF(AND(S245&lt;=Assumptions!$C$42,T244=1,X244=0,W244&gt;Assumptions!$C$43),1,0)</f>
        <v>1</v>
      </c>
      <c r="U245" s="58" t="n">
        <f aca="false">W244</f>
        <v>2843.1598140303</v>
      </c>
      <c r="V245" s="58" t="n">
        <f aca="false">IF(T245=1,U245*$B$22,0)</f>
        <v>9.47719938010099</v>
      </c>
      <c r="W245" s="58" t="n">
        <f aca="false">IF(T245=1,U245+V245-$B$27,U245)</f>
        <v>1333.04491266597</v>
      </c>
      <c r="X245" s="56" t="n">
        <f aca="false">IF(T245=1,IF($B$27&lt;=V245,1,0),0)</f>
        <v>0</v>
      </c>
      <c r="Y245" s="58" t="n">
        <f aca="false">Y244+V245</f>
        <v>112995.964889839</v>
      </c>
    </row>
    <row r="246" customFormat="false" ht="15" hidden="false" customHeight="false" outlineLevel="0" collapsed="false">
      <c r="K246" s="56" t="n">
        <f aca="false">K245+1</f>
        <v>239</v>
      </c>
      <c r="L246" s="57" t="n">
        <f aca="false">IF(AND(K246&lt;=Assumptions!$C$42,L245=1,P245=0,O245&gt;Assumptions!$C$43),1,0)</f>
        <v>1</v>
      </c>
      <c r="M246" s="58" t="n">
        <f aca="false">O245</f>
        <v>73803.3627857409</v>
      </c>
      <c r="N246" s="58" t="n">
        <f aca="false">IF(L246=1,M246*$B$22,0)</f>
        <v>246.011209285803</v>
      </c>
      <c r="O246" s="58" t="n">
        <f aca="false">IF(L246=1,M246+N246-$B$26,M246)</f>
        <v>72729.7818942823</v>
      </c>
      <c r="P246" s="56" t="n">
        <f aca="false">IF(L246=1,IF($B$26&lt;=N246,1,0),0)</f>
        <v>0</v>
      </c>
      <c r="Q246" s="58" t="n">
        <f aca="false">Q245+N246</f>
        <v>138112.2939722</v>
      </c>
      <c r="S246" s="56" t="n">
        <f aca="false">S245+1</f>
        <v>239</v>
      </c>
      <c r="T246" s="57" t="n">
        <f aca="false">IF(AND(S246&lt;=Assumptions!$C$42,T245=1,X245=0,W245&gt;Assumptions!$C$43),1,0)</f>
        <v>1</v>
      </c>
      <c r="U246" s="58" t="n">
        <f aca="false">W245</f>
        <v>1333.04491266597</v>
      </c>
      <c r="V246" s="58" t="n">
        <f aca="false">IF(T246=1,U246*$B$22,0)</f>
        <v>4.44348304221991</v>
      </c>
      <c r="W246" s="58" t="n">
        <f aca="false">IF(T246=1,U246+V246-$B$27,U246)</f>
        <v>-182.103705036234</v>
      </c>
      <c r="X246" s="56" t="n">
        <f aca="false">IF(T246=1,IF($B$27&lt;=V246,1,0),0)</f>
        <v>0</v>
      </c>
      <c r="Y246" s="58" t="n">
        <f aca="false">Y245+V246</f>
        <v>113000.408372882</v>
      </c>
    </row>
    <row r="247" customFormat="false" ht="15" hidden="false" customHeight="false" outlineLevel="0" collapsed="false">
      <c r="K247" s="56" t="n">
        <f aca="false">K246+1</f>
        <v>240</v>
      </c>
      <c r="L247" s="57" t="n">
        <f aca="false">IF(AND(K247&lt;=Assumptions!$C$42,L246=1,P246=0,O246&gt;Assumptions!$C$43),1,0)</f>
        <v>1</v>
      </c>
      <c r="M247" s="58" t="n">
        <f aca="false">O246</f>
        <v>72729.7818942823</v>
      </c>
      <c r="N247" s="58" t="n">
        <f aca="false">IF(L247=1,M247*$B$22,0)</f>
        <v>242.432606314274</v>
      </c>
      <c r="O247" s="58" t="n">
        <f aca="false">IF(L247=1,M247+N247-$B$26,M247)</f>
        <v>71652.6223998521</v>
      </c>
      <c r="P247" s="56" t="n">
        <f aca="false">IF(L247=1,IF($B$26&lt;=N247,1,0),0)</f>
        <v>0</v>
      </c>
      <c r="Q247" s="58" t="n">
        <f aca="false">Q246+N247</f>
        <v>138354.726578515</v>
      </c>
      <c r="S247" s="56" t="n">
        <f aca="false">S246+1</f>
        <v>240</v>
      </c>
      <c r="T247" s="57" t="n">
        <f aca="false">IF(AND(S247&lt;=Assumptions!$C$42,T246=1,X246=0,W246&gt;Assumptions!$C$43),1,0)</f>
        <v>0</v>
      </c>
      <c r="U247" s="58" t="n">
        <f aca="false">W246</f>
        <v>-182.103705036234</v>
      </c>
      <c r="V247" s="58" t="n">
        <f aca="false">IF(T247=1,U247*$B$22,0)</f>
        <v>0</v>
      </c>
      <c r="W247" s="58" t="n">
        <f aca="false">IF(T247=1,U247+V247-$B$27,U247)</f>
        <v>-182.103705036234</v>
      </c>
      <c r="X247" s="56" t="n">
        <f aca="false">IF(T247=1,IF($B$27&lt;=V247,1,0),0)</f>
        <v>0</v>
      </c>
      <c r="Y247" s="58" t="n">
        <f aca="false">Y246+V247</f>
        <v>113000.408372882</v>
      </c>
    </row>
    <row r="248" customFormat="false" ht="15" hidden="false" customHeight="false" outlineLevel="0" collapsed="false">
      <c r="K248" s="56" t="n">
        <f aca="false">K247+1</f>
        <v>241</v>
      </c>
      <c r="L248" s="57" t="n">
        <f aca="false">IF(AND(K248&lt;=Assumptions!$C$42,L247=1,P247=0,O247&gt;Assumptions!$C$43),1,0)</f>
        <v>1</v>
      </c>
      <c r="M248" s="58" t="n">
        <f aca="false">O247</f>
        <v>71652.6223998521</v>
      </c>
      <c r="N248" s="58" t="n">
        <f aca="false">IF(L248=1,M248*$B$22,0)</f>
        <v>238.842074666174</v>
      </c>
      <c r="O248" s="58" t="n">
        <f aca="false">IF(L248=1,M248+N248-$B$26,M248)</f>
        <v>70571.8723737739</v>
      </c>
      <c r="P248" s="56" t="n">
        <f aca="false">IF(L248=1,IF($B$26&lt;=N248,1,0),0)</f>
        <v>0</v>
      </c>
      <c r="Q248" s="58" t="n">
        <f aca="false">Q247+N248</f>
        <v>138593.568653181</v>
      </c>
      <c r="S248" s="56" t="n">
        <f aca="false">S247+1</f>
        <v>241</v>
      </c>
      <c r="T248" s="57" t="n">
        <f aca="false">IF(AND(S248&lt;=Assumptions!$C$42,T247=1,X247=0,W247&gt;Assumptions!$C$43),1,0)</f>
        <v>0</v>
      </c>
      <c r="U248" s="58" t="n">
        <f aca="false">W247</f>
        <v>-182.103705036234</v>
      </c>
      <c r="V248" s="58" t="n">
        <f aca="false">IF(T248=1,U248*$B$22,0)</f>
        <v>0</v>
      </c>
      <c r="W248" s="58" t="n">
        <f aca="false">IF(T248=1,U248+V248-$B$27,U248)</f>
        <v>-182.103705036234</v>
      </c>
      <c r="X248" s="56" t="n">
        <f aca="false">IF(T248=1,IF($B$27&lt;=V248,1,0),0)</f>
        <v>0</v>
      </c>
      <c r="Y248" s="58" t="n">
        <f aca="false">Y247+V248</f>
        <v>113000.408372882</v>
      </c>
    </row>
    <row r="249" customFormat="false" ht="15" hidden="false" customHeight="false" outlineLevel="0" collapsed="false">
      <c r="K249" s="56" t="n">
        <f aca="false">K248+1</f>
        <v>242</v>
      </c>
      <c r="L249" s="57" t="n">
        <f aca="false">IF(AND(K249&lt;=Assumptions!$C$42,L248=1,P248=0,O248&gt;Assumptions!$C$43),1,0)</f>
        <v>1</v>
      </c>
      <c r="M249" s="58" t="n">
        <f aca="false">O248</f>
        <v>70571.8723737739</v>
      </c>
      <c r="N249" s="58" t="n">
        <f aca="false">IF(L249=1,M249*$B$22,0)</f>
        <v>235.239574579246</v>
      </c>
      <c r="O249" s="58" t="n">
        <f aca="false">IF(L249=1,M249+N249-$B$26,M249)</f>
        <v>69487.5198476087</v>
      </c>
      <c r="P249" s="56" t="n">
        <f aca="false">IF(L249=1,IF($B$26&lt;=N249,1,0),0)</f>
        <v>0</v>
      </c>
      <c r="Q249" s="58" t="n">
        <f aca="false">Q248+N249</f>
        <v>138828.80822776</v>
      </c>
      <c r="S249" s="56" t="n">
        <f aca="false">S248+1</f>
        <v>242</v>
      </c>
      <c r="T249" s="57" t="n">
        <f aca="false">IF(AND(S249&lt;=Assumptions!$C$42,T248=1,X248=0,W248&gt;Assumptions!$C$43),1,0)</f>
        <v>0</v>
      </c>
      <c r="U249" s="58" t="n">
        <f aca="false">W248</f>
        <v>-182.103705036234</v>
      </c>
      <c r="V249" s="58" t="n">
        <f aca="false">IF(T249=1,U249*$B$22,0)</f>
        <v>0</v>
      </c>
      <c r="W249" s="58" t="n">
        <f aca="false">IF(T249=1,U249+V249-$B$27,U249)</f>
        <v>-182.103705036234</v>
      </c>
      <c r="X249" s="56" t="n">
        <f aca="false">IF(T249=1,IF($B$27&lt;=V249,1,0),0)</f>
        <v>0</v>
      </c>
      <c r="Y249" s="58" t="n">
        <f aca="false">Y248+V249</f>
        <v>113000.408372882</v>
      </c>
    </row>
    <row r="250" customFormat="false" ht="15" hidden="false" customHeight="false" outlineLevel="0" collapsed="false">
      <c r="K250" s="56" t="n">
        <f aca="false">K249+1</f>
        <v>243</v>
      </c>
      <c r="L250" s="57" t="n">
        <f aca="false">IF(AND(K250&lt;=Assumptions!$C$42,L249=1,P249=0,O249&gt;Assumptions!$C$43),1,0)</f>
        <v>1</v>
      </c>
      <c r="M250" s="58" t="n">
        <f aca="false">O249</f>
        <v>69487.5198476087</v>
      </c>
      <c r="N250" s="58" t="n">
        <f aca="false">IF(L250=1,M250*$B$22,0)</f>
        <v>231.625066158696</v>
      </c>
      <c r="O250" s="58" t="n">
        <f aca="false">IF(L250=1,M250+N250-$B$26,M250)</f>
        <v>68399.552813023</v>
      </c>
      <c r="P250" s="56" t="n">
        <f aca="false">IF(L250=1,IF($B$26&lt;=N250,1,0),0)</f>
        <v>0</v>
      </c>
      <c r="Q250" s="58" t="n">
        <f aca="false">Q249+N250</f>
        <v>139060.433293919</v>
      </c>
      <c r="S250" s="56" t="n">
        <f aca="false">S249+1</f>
        <v>243</v>
      </c>
      <c r="T250" s="57" t="n">
        <f aca="false">IF(AND(S250&lt;=Assumptions!$C$42,T249=1,X249=0,W249&gt;Assumptions!$C$43),1,0)</f>
        <v>0</v>
      </c>
      <c r="U250" s="58" t="n">
        <f aca="false">W249</f>
        <v>-182.103705036234</v>
      </c>
      <c r="V250" s="58" t="n">
        <f aca="false">IF(T250=1,U250*$B$22,0)</f>
        <v>0</v>
      </c>
      <c r="W250" s="58" t="n">
        <f aca="false">IF(T250=1,U250+V250-$B$27,U250)</f>
        <v>-182.103705036234</v>
      </c>
      <c r="X250" s="56" t="n">
        <f aca="false">IF(T250=1,IF($B$27&lt;=V250,1,0),0)</f>
        <v>0</v>
      </c>
      <c r="Y250" s="58" t="n">
        <f aca="false">Y249+V250</f>
        <v>113000.408372882</v>
      </c>
    </row>
    <row r="251" customFormat="false" ht="15" hidden="false" customHeight="false" outlineLevel="0" collapsed="false">
      <c r="K251" s="56" t="n">
        <f aca="false">K250+1</f>
        <v>244</v>
      </c>
      <c r="L251" s="57" t="n">
        <f aca="false">IF(AND(K251&lt;=Assumptions!$C$42,L250=1,P250=0,O250&gt;Assumptions!$C$43),1,0)</f>
        <v>1</v>
      </c>
      <c r="M251" s="58" t="n">
        <f aca="false">O250</f>
        <v>68399.552813023</v>
      </c>
      <c r="N251" s="58" t="n">
        <f aca="false">IF(L251=1,M251*$B$22,0)</f>
        <v>227.998509376743</v>
      </c>
      <c r="O251" s="58" t="n">
        <f aca="false">IF(L251=1,M251+N251-$B$26,M251)</f>
        <v>67307.9592216553</v>
      </c>
      <c r="P251" s="56" t="n">
        <f aca="false">IF(L251=1,IF($B$26&lt;=N251,1,0),0)</f>
        <v>0</v>
      </c>
      <c r="Q251" s="58" t="n">
        <f aca="false">Q250+N251</f>
        <v>139288.431803296</v>
      </c>
      <c r="S251" s="56" t="n">
        <f aca="false">S250+1</f>
        <v>244</v>
      </c>
      <c r="T251" s="57" t="n">
        <f aca="false">IF(AND(S251&lt;=Assumptions!$C$42,T250=1,X250=0,W250&gt;Assumptions!$C$43),1,0)</f>
        <v>0</v>
      </c>
      <c r="U251" s="58" t="n">
        <f aca="false">W250</f>
        <v>-182.103705036234</v>
      </c>
      <c r="V251" s="58" t="n">
        <f aca="false">IF(T251=1,U251*$B$22,0)</f>
        <v>0</v>
      </c>
      <c r="W251" s="58" t="n">
        <f aca="false">IF(T251=1,U251+V251-$B$27,U251)</f>
        <v>-182.103705036234</v>
      </c>
      <c r="X251" s="56" t="n">
        <f aca="false">IF(T251=1,IF($B$27&lt;=V251,1,0),0)</f>
        <v>0</v>
      </c>
      <c r="Y251" s="58" t="n">
        <f aca="false">Y250+V251</f>
        <v>113000.408372882</v>
      </c>
    </row>
    <row r="252" customFormat="false" ht="15" hidden="false" customHeight="false" outlineLevel="0" collapsed="false">
      <c r="K252" s="56" t="n">
        <f aca="false">K251+1</f>
        <v>245</v>
      </c>
      <c r="L252" s="57" t="n">
        <f aca="false">IF(AND(K252&lt;=Assumptions!$C$42,L251=1,P251=0,O251&gt;Assumptions!$C$43),1,0)</f>
        <v>1</v>
      </c>
      <c r="M252" s="58" t="n">
        <f aca="false">O251</f>
        <v>67307.9592216553</v>
      </c>
      <c r="N252" s="58" t="n">
        <f aca="false">IF(L252=1,M252*$B$22,0)</f>
        <v>224.359864072184</v>
      </c>
      <c r="O252" s="58" t="n">
        <f aca="false">IF(L252=1,M252+N252-$B$26,M252)</f>
        <v>66212.7269849831</v>
      </c>
      <c r="P252" s="56" t="n">
        <f aca="false">IF(L252=1,IF($B$26&lt;=N252,1,0),0)</f>
        <v>0</v>
      </c>
      <c r="Q252" s="58" t="n">
        <f aca="false">Q251+N252</f>
        <v>139512.791667368</v>
      </c>
      <c r="S252" s="56" t="n">
        <f aca="false">S251+1</f>
        <v>245</v>
      </c>
      <c r="T252" s="57" t="n">
        <f aca="false">IF(AND(S252&lt;=Assumptions!$C$42,T251=1,X251=0,W251&gt;Assumptions!$C$43),1,0)</f>
        <v>0</v>
      </c>
      <c r="U252" s="58" t="n">
        <f aca="false">W251</f>
        <v>-182.103705036234</v>
      </c>
      <c r="V252" s="58" t="n">
        <f aca="false">IF(T252=1,U252*$B$22,0)</f>
        <v>0</v>
      </c>
      <c r="W252" s="58" t="n">
        <f aca="false">IF(T252=1,U252+V252-$B$27,U252)</f>
        <v>-182.103705036234</v>
      </c>
      <c r="X252" s="56" t="n">
        <f aca="false">IF(T252=1,IF($B$27&lt;=V252,1,0),0)</f>
        <v>0</v>
      </c>
      <c r="Y252" s="58" t="n">
        <f aca="false">Y251+V252</f>
        <v>113000.408372882</v>
      </c>
    </row>
    <row r="253" customFormat="false" ht="15" hidden="false" customHeight="false" outlineLevel="0" collapsed="false">
      <c r="K253" s="56" t="n">
        <f aca="false">K252+1</f>
        <v>246</v>
      </c>
      <c r="L253" s="57" t="n">
        <f aca="false">IF(AND(K253&lt;=Assumptions!$C$42,L252=1,P252=0,O252&gt;Assumptions!$C$43),1,0)</f>
        <v>1</v>
      </c>
      <c r="M253" s="58" t="n">
        <f aca="false">O252</f>
        <v>66212.7269849831</v>
      </c>
      <c r="N253" s="58" t="n">
        <f aca="false">IF(L253=1,M253*$B$22,0)</f>
        <v>220.709089949944</v>
      </c>
      <c r="O253" s="58" t="n">
        <f aca="false">IF(L253=1,M253+N253-$B$26,M253)</f>
        <v>65113.8439741886</v>
      </c>
      <c r="P253" s="56" t="n">
        <f aca="false">IF(L253=1,IF($B$26&lt;=N253,1,0),0)</f>
        <v>0</v>
      </c>
      <c r="Q253" s="58" t="n">
        <f aca="false">Q252+N253</f>
        <v>139733.500757318</v>
      </c>
      <c r="S253" s="56" t="n">
        <f aca="false">S252+1</f>
        <v>246</v>
      </c>
      <c r="T253" s="57" t="n">
        <f aca="false">IF(AND(S253&lt;=Assumptions!$C$42,T252=1,X252=0,W252&gt;Assumptions!$C$43),1,0)</f>
        <v>0</v>
      </c>
      <c r="U253" s="58" t="n">
        <f aca="false">W252</f>
        <v>-182.103705036234</v>
      </c>
      <c r="V253" s="58" t="n">
        <f aca="false">IF(T253=1,U253*$B$22,0)</f>
        <v>0</v>
      </c>
      <c r="W253" s="58" t="n">
        <f aca="false">IF(T253=1,U253+V253-$B$27,U253)</f>
        <v>-182.103705036234</v>
      </c>
      <c r="X253" s="56" t="n">
        <f aca="false">IF(T253=1,IF($B$27&lt;=V253,1,0),0)</f>
        <v>0</v>
      </c>
      <c r="Y253" s="58" t="n">
        <f aca="false">Y252+V253</f>
        <v>113000.408372882</v>
      </c>
    </row>
    <row r="254" customFormat="false" ht="15" hidden="false" customHeight="false" outlineLevel="0" collapsed="false">
      <c r="K254" s="56" t="n">
        <f aca="false">K253+1</f>
        <v>247</v>
      </c>
      <c r="L254" s="57" t="n">
        <f aca="false">IF(AND(K254&lt;=Assumptions!$C$42,L253=1,P253=0,O253&gt;Assumptions!$C$43),1,0)</f>
        <v>1</v>
      </c>
      <c r="M254" s="58" t="n">
        <f aca="false">O253</f>
        <v>65113.8439741886</v>
      </c>
      <c r="N254" s="58" t="n">
        <f aca="false">IF(L254=1,M254*$B$22,0)</f>
        <v>217.046146580629</v>
      </c>
      <c r="O254" s="58" t="n">
        <f aca="false">IF(L254=1,M254+N254-$B$26,M254)</f>
        <v>64011.2980200248</v>
      </c>
      <c r="P254" s="56" t="n">
        <f aca="false">IF(L254=1,IF($B$26&lt;=N254,1,0),0)</f>
        <v>0</v>
      </c>
      <c r="Q254" s="58" t="n">
        <f aca="false">Q253+N254</f>
        <v>139950.546903898</v>
      </c>
      <c r="S254" s="56" t="n">
        <f aca="false">S253+1</f>
        <v>247</v>
      </c>
      <c r="T254" s="57" t="n">
        <f aca="false">IF(AND(S254&lt;=Assumptions!$C$42,T253=1,X253=0,W253&gt;Assumptions!$C$43),1,0)</f>
        <v>0</v>
      </c>
      <c r="U254" s="58" t="n">
        <f aca="false">W253</f>
        <v>-182.103705036234</v>
      </c>
      <c r="V254" s="58" t="n">
        <f aca="false">IF(T254=1,U254*$B$22,0)</f>
        <v>0</v>
      </c>
      <c r="W254" s="58" t="n">
        <f aca="false">IF(T254=1,U254+V254-$B$27,U254)</f>
        <v>-182.103705036234</v>
      </c>
      <c r="X254" s="56" t="n">
        <f aca="false">IF(T254=1,IF($B$27&lt;=V254,1,0),0)</f>
        <v>0</v>
      </c>
      <c r="Y254" s="58" t="n">
        <f aca="false">Y253+V254</f>
        <v>113000.408372882</v>
      </c>
    </row>
    <row r="255" customFormat="false" ht="15" hidden="false" customHeight="false" outlineLevel="0" collapsed="false">
      <c r="K255" s="56" t="n">
        <f aca="false">K254+1</f>
        <v>248</v>
      </c>
      <c r="L255" s="57" t="n">
        <f aca="false">IF(AND(K255&lt;=Assumptions!$C$42,L254=1,P254=0,O254&gt;Assumptions!$C$43),1,0)</f>
        <v>1</v>
      </c>
      <c r="M255" s="58" t="n">
        <f aca="false">O254</f>
        <v>64011.2980200248</v>
      </c>
      <c r="N255" s="58" t="n">
        <f aca="false">IF(L255=1,M255*$B$22,0)</f>
        <v>213.370993400083</v>
      </c>
      <c r="O255" s="58" t="n">
        <f aca="false">IF(L255=1,M255+N255-$B$26,M255)</f>
        <v>62905.0769126804</v>
      </c>
      <c r="P255" s="56" t="n">
        <f aca="false">IF(L255=1,IF($B$26&lt;=N255,1,0),0)</f>
        <v>0</v>
      </c>
      <c r="Q255" s="58" t="n">
        <f aca="false">Q254+N255</f>
        <v>140163.917897298</v>
      </c>
      <c r="S255" s="56" t="n">
        <f aca="false">S254+1</f>
        <v>248</v>
      </c>
      <c r="T255" s="57" t="n">
        <f aca="false">IF(AND(S255&lt;=Assumptions!$C$42,T254=1,X254=0,W254&gt;Assumptions!$C$43),1,0)</f>
        <v>0</v>
      </c>
      <c r="U255" s="58" t="n">
        <f aca="false">W254</f>
        <v>-182.103705036234</v>
      </c>
      <c r="V255" s="58" t="n">
        <f aca="false">IF(T255=1,U255*$B$22,0)</f>
        <v>0</v>
      </c>
      <c r="W255" s="58" t="n">
        <f aca="false">IF(T255=1,U255+V255-$B$27,U255)</f>
        <v>-182.103705036234</v>
      </c>
      <c r="X255" s="56" t="n">
        <f aca="false">IF(T255=1,IF($B$27&lt;=V255,1,0),0)</f>
        <v>0</v>
      </c>
      <c r="Y255" s="58" t="n">
        <f aca="false">Y254+V255</f>
        <v>113000.408372882</v>
      </c>
    </row>
    <row r="256" customFormat="false" ht="15" hidden="false" customHeight="false" outlineLevel="0" collapsed="false">
      <c r="K256" s="56" t="n">
        <f aca="false">K255+1</f>
        <v>249</v>
      </c>
      <c r="L256" s="57" t="n">
        <f aca="false">IF(AND(K256&lt;=Assumptions!$C$42,L255=1,P255=0,O255&gt;Assumptions!$C$43),1,0)</f>
        <v>1</v>
      </c>
      <c r="M256" s="58" t="n">
        <f aca="false">O255</f>
        <v>62905.0769126804</v>
      </c>
      <c r="N256" s="58" t="n">
        <f aca="false">IF(L256=1,M256*$B$22,0)</f>
        <v>209.683589708935</v>
      </c>
      <c r="O256" s="58" t="n">
        <f aca="false">IF(L256=1,M256+N256-$B$26,M256)</f>
        <v>61795.1684016449</v>
      </c>
      <c r="P256" s="56" t="n">
        <f aca="false">IF(L256=1,IF($B$26&lt;=N256,1,0),0)</f>
        <v>0</v>
      </c>
      <c r="Q256" s="58" t="n">
        <f aca="false">Q255+N256</f>
        <v>140373.601487007</v>
      </c>
      <c r="S256" s="56" t="n">
        <f aca="false">S255+1</f>
        <v>249</v>
      </c>
      <c r="T256" s="57" t="n">
        <f aca="false">IF(AND(S256&lt;=Assumptions!$C$42,T255=1,X255=0,W255&gt;Assumptions!$C$43),1,0)</f>
        <v>0</v>
      </c>
      <c r="U256" s="58" t="n">
        <f aca="false">W255</f>
        <v>-182.103705036234</v>
      </c>
      <c r="V256" s="58" t="n">
        <f aca="false">IF(T256=1,U256*$B$22,0)</f>
        <v>0</v>
      </c>
      <c r="W256" s="58" t="n">
        <f aca="false">IF(T256=1,U256+V256-$B$27,U256)</f>
        <v>-182.103705036234</v>
      </c>
      <c r="X256" s="56" t="n">
        <f aca="false">IF(T256=1,IF($B$27&lt;=V256,1,0),0)</f>
        <v>0</v>
      </c>
      <c r="Y256" s="58" t="n">
        <f aca="false">Y255+V256</f>
        <v>113000.408372882</v>
      </c>
    </row>
    <row r="257" customFormat="false" ht="15" hidden="false" customHeight="false" outlineLevel="0" collapsed="false">
      <c r="K257" s="56" t="n">
        <f aca="false">K256+1</f>
        <v>250</v>
      </c>
      <c r="L257" s="57" t="n">
        <f aca="false">IF(AND(K257&lt;=Assumptions!$C$42,L256=1,P256=0,O256&gt;Assumptions!$C$43),1,0)</f>
        <v>1</v>
      </c>
      <c r="M257" s="58" t="n">
        <f aca="false">O256</f>
        <v>61795.1684016449</v>
      </c>
      <c r="N257" s="58" t="n">
        <f aca="false">IF(L257=1,M257*$B$22,0)</f>
        <v>205.98389467215</v>
      </c>
      <c r="O257" s="58" t="n">
        <f aca="false">IF(L257=1,M257+N257-$B$26,M257)</f>
        <v>60681.5601955727</v>
      </c>
      <c r="P257" s="56" t="n">
        <f aca="false">IF(L257=1,IF($B$26&lt;=N257,1,0),0)</f>
        <v>0</v>
      </c>
      <c r="Q257" s="58" t="n">
        <f aca="false">Q256+N257</f>
        <v>140579.585381679</v>
      </c>
      <c r="S257" s="56" t="n">
        <f aca="false">S256+1</f>
        <v>250</v>
      </c>
      <c r="T257" s="57" t="n">
        <f aca="false">IF(AND(S257&lt;=Assumptions!$C$42,T256=1,X256=0,W256&gt;Assumptions!$C$43),1,0)</f>
        <v>0</v>
      </c>
      <c r="U257" s="58" t="n">
        <f aca="false">W256</f>
        <v>-182.103705036234</v>
      </c>
      <c r="V257" s="58" t="n">
        <f aca="false">IF(T257=1,U257*$B$22,0)</f>
        <v>0</v>
      </c>
      <c r="W257" s="58" t="n">
        <f aca="false">IF(T257=1,U257+V257-$B$27,U257)</f>
        <v>-182.103705036234</v>
      </c>
      <c r="X257" s="56" t="n">
        <f aca="false">IF(T257=1,IF($B$27&lt;=V257,1,0),0)</f>
        <v>0</v>
      </c>
      <c r="Y257" s="58" t="n">
        <f aca="false">Y256+V257</f>
        <v>113000.408372882</v>
      </c>
    </row>
    <row r="258" customFormat="false" ht="15" hidden="false" customHeight="false" outlineLevel="0" collapsed="false">
      <c r="K258" s="56" t="n">
        <f aca="false">K257+1</f>
        <v>251</v>
      </c>
      <c r="L258" s="57" t="n">
        <f aca="false">IF(AND(K258&lt;=Assumptions!$C$42,L257=1,P257=0,O257&gt;Assumptions!$C$43),1,0)</f>
        <v>1</v>
      </c>
      <c r="M258" s="58" t="n">
        <f aca="false">O257</f>
        <v>60681.5601955727</v>
      </c>
      <c r="N258" s="58" t="n">
        <f aca="false">IF(L258=1,M258*$B$22,0)</f>
        <v>202.271867318576</v>
      </c>
      <c r="O258" s="58" t="n">
        <f aca="false">IF(L258=1,M258+N258-$B$26,M258)</f>
        <v>59564.2399621468</v>
      </c>
      <c r="P258" s="56" t="n">
        <f aca="false">IF(L258=1,IF($B$26&lt;=N258,1,0),0)</f>
        <v>0</v>
      </c>
      <c r="Q258" s="58" t="n">
        <f aca="false">Q257+N258</f>
        <v>140781.857248998</v>
      </c>
      <c r="S258" s="56" t="n">
        <f aca="false">S257+1</f>
        <v>251</v>
      </c>
      <c r="T258" s="57" t="n">
        <f aca="false">IF(AND(S258&lt;=Assumptions!$C$42,T257=1,X257=0,W257&gt;Assumptions!$C$43),1,0)</f>
        <v>0</v>
      </c>
      <c r="U258" s="58" t="n">
        <f aca="false">W257</f>
        <v>-182.103705036234</v>
      </c>
      <c r="V258" s="58" t="n">
        <f aca="false">IF(T258=1,U258*$B$22,0)</f>
        <v>0</v>
      </c>
      <c r="W258" s="58" t="n">
        <f aca="false">IF(T258=1,U258+V258-$B$27,U258)</f>
        <v>-182.103705036234</v>
      </c>
      <c r="X258" s="56" t="n">
        <f aca="false">IF(T258=1,IF($B$27&lt;=V258,1,0),0)</f>
        <v>0</v>
      </c>
      <c r="Y258" s="58" t="n">
        <f aca="false">Y257+V258</f>
        <v>113000.408372882</v>
      </c>
    </row>
    <row r="259" customFormat="false" ht="15" hidden="false" customHeight="false" outlineLevel="0" collapsed="false">
      <c r="K259" s="56" t="n">
        <f aca="false">K258+1</f>
        <v>252</v>
      </c>
      <c r="L259" s="57" t="n">
        <f aca="false">IF(AND(K259&lt;=Assumptions!$C$42,L258=1,P258=0,O258&gt;Assumptions!$C$43),1,0)</f>
        <v>1</v>
      </c>
      <c r="M259" s="58" t="n">
        <f aca="false">O258</f>
        <v>59564.2399621468</v>
      </c>
      <c r="N259" s="58" t="n">
        <f aca="false">IF(L259=1,M259*$B$22,0)</f>
        <v>198.547466540489</v>
      </c>
      <c r="O259" s="58" t="n">
        <f aca="false">IF(L259=1,M259+N259-$B$26,M259)</f>
        <v>58443.1953279429</v>
      </c>
      <c r="P259" s="56" t="n">
        <f aca="false">IF(L259=1,IF($B$26&lt;=N259,1,0),0)</f>
        <v>0</v>
      </c>
      <c r="Q259" s="58" t="n">
        <f aca="false">Q258+N259</f>
        <v>140980.404715538</v>
      </c>
      <c r="S259" s="56" t="n">
        <f aca="false">S258+1</f>
        <v>252</v>
      </c>
      <c r="T259" s="57" t="n">
        <f aca="false">IF(AND(S259&lt;=Assumptions!$C$42,T258=1,X258=0,W258&gt;Assumptions!$C$43),1,0)</f>
        <v>0</v>
      </c>
      <c r="U259" s="58" t="n">
        <f aca="false">W258</f>
        <v>-182.103705036234</v>
      </c>
      <c r="V259" s="58" t="n">
        <f aca="false">IF(T259=1,U259*$B$22,0)</f>
        <v>0</v>
      </c>
      <c r="W259" s="58" t="n">
        <f aca="false">IF(T259=1,U259+V259-$B$27,U259)</f>
        <v>-182.103705036234</v>
      </c>
      <c r="X259" s="56" t="n">
        <f aca="false">IF(T259=1,IF($B$27&lt;=V259,1,0),0)</f>
        <v>0</v>
      </c>
      <c r="Y259" s="58" t="n">
        <f aca="false">Y258+V259</f>
        <v>113000.408372882</v>
      </c>
    </row>
    <row r="260" customFormat="false" ht="15" hidden="false" customHeight="false" outlineLevel="0" collapsed="false">
      <c r="K260" s="56" t="n">
        <f aca="false">K259+1</f>
        <v>253</v>
      </c>
      <c r="L260" s="57" t="n">
        <f aca="false">IF(AND(K260&lt;=Assumptions!$C$42,L259=1,P259=0,O259&gt;Assumptions!$C$43),1,0)</f>
        <v>1</v>
      </c>
      <c r="M260" s="58" t="n">
        <f aca="false">O259</f>
        <v>58443.1953279429</v>
      </c>
      <c r="N260" s="58" t="n">
        <f aca="false">IF(L260=1,M260*$B$22,0)</f>
        <v>194.810651093143</v>
      </c>
      <c r="O260" s="58" t="n">
        <f aca="false">IF(L260=1,M260+N260-$B$26,M260)</f>
        <v>57318.4138782916</v>
      </c>
      <c r="P260" s="56" t="n">
        <f aca="false">IF(L260=1,IF($B$26&lt;=N260,1,0),0)</f>
        <v>0</v>
      </c>
      <c r="Q260" s="58" t="n">
        <f aca="false">Q259+N260</f>
        <v>141175.215366632</v>
      </c>
      <c r="S260" s="56" t="n">
        <f aca="false">S259+1</f>
        <v>253</v>
      </c>
      <c r="T260" s="57" t="n">
        <f aca="false">IF(AND(S260&lt;=Assumptions!$C$42,T259=1,X259=0,W259&gt;Assumptions!$C$43),1,0)</f>
        <v>0</v>
      </c>
      <c r="U260" s="58" t="n">
        <f aca="false">W259</f>
        <v>-182.103705036234</v>
      </c>
      <c r="V260" s="58" t="n">
        <f aca="false">IF(T260=1,U260*$B$22,0)</f>
        <v>0</v>
      </c>
      <c r="W260" s="58" t="n">
        <f aca="false">IF(T260=1,U260+V260-$B$27,U260)</f>
        <v>-182.103705036234</v>
      </c>
      <c r="X260" s="56" t="n">
        <f aca="false">IF(T260=1,IF($B$27&lt;=V260,1,0),0)</f>
        <v>0</v>
      </c>
      <c r="Y260" s="58" t="n">
        <f aca="false">Y259+V260</f>
        <v>113000.408372882</v>
      </c>
    </row>
    <row r="261" customFormat="false" ht="15" hidden="false" customHeight="false" outlineLevel="0" collapsed="false">
      <c r="K261" s="56" t="n">
        <f aca="false">K260+1</f>
        <v>254</v>
      </c>
      <c r="L261" s="57" t="n">
        <f aca="false">IF(AND(K261&lt;=Assumptions!$C$42,L260=1,P260=0,O260&gt;Assumptions!$C$43),1,0)</f>
        <v>1</v>
      </c>
      <c r="M261" s="58" t="n">
        <f aca="false">O260</f>
        <v>57318.4138782916</v>
      </c>
      <c r="N261" s="58" t="n">
        <f aca="false">IF(L261=1,M261*$B$22,0)</f>
        <v>191.061379594305</v>
      </c>
      <c r="O261" s="58" t="n">
        <f aca="false">IF(L261=1,M261+N261-$B$26,M261)</f>
        <v>56189.8831571415</v>
      </c>
      <c r="P261" s="56" t="n">
        <f aca="false">IF(L261=1,IF($B$26&lt;=N261,1,0),0)</f>
        <v>0</v>
      </c>
      <c r="Q261" s="58" t="n">
        <f aca="false">Q260+N261</f>
        <v>141366.276746226</v>
      </c>
      <c r="S261" s="56" t="n">
        <f aca="false">S260+1</f>
        <v>254</v>
      </c>
      <c r="T261" s="57" t="n">
        <f aca="false">IF(AND(S261&lt;=Assumptions!$C$42,T260=1,X260=0,W260&gt;Assumptions!$C$43),1,0)</f>
        <v>0</v>
      </c>
      <c r="U261" s="58" t="n">
        <f aca="false">W260</f>
        <v>-182.103705036234</v>
      </c>
      <c r="V261" s="58" t="n">
        <f aca="false">IF(T261=1,U261*$B$22,0)</f>
        <v>0</v>
      </c>
      <c r="W261" s="58" t="n">
        <f aca="false">IF(T261=1,U261+V261-$B$27,U261)</f>
        <v>-182.103705036234</v>
      </c>
      <c r="X261" s="56" t="n">
        <f aca="false">IF(T261=1,IF($B$27&lt;=V261,1,0),0)</f>
        <v>0</v>
      </c>
      <c r="Y261" s="58" t="n">
        <f aca="false">Y260+V261</f>
        <v>113000.408372882</v>
      </c>
    </row>
    <row r="262" customFormat="false" ht="15" hidden="false" customHeight="false" outlineLevel="0" collapsed="false">
      <c r="K262" s="56" t="n">
        <f aca="false">K261+1</f>
        <v>255</v>
      </c>
      <c r="L262" s="57" t="n">
        <f aca="false">IF(AND(K262&lt;=Assumptions!$C$42,L261=1,P261=0,O261&gt;Assumptions!$C$43),1,0)</f>
        <v>1</v>
      </c>
      <c r="M262" s="58" t="n">
        <f aca="false">O261</f>
        <v>56189.8831571415</v>
      </c>
      <c r="N262" s="58" t="n">
        <f aca="false">IF(L262=1,M262*$B$22,0)</f>
        <v>187.299610523805</v>
      </c>
      <c r="O262" s="58" t="n">
        <f aca="false">IF(L262=1,M262+N262-$B$26,M262)</f>
        <v>55057.5906669208</v>
      </c>
      <c r="P262" s="56" t="n">
        <f aca="false">IF(L262=1,IF($B$26&lt;=N262,1,0),0)</f>
        <v>0</v>
      </c>
      <c r="Q262" s="58" t="n">
        <f aca="false">Q261+N262</f>
        <v>141553.57635675</v>
      </c>
      <c r="S262" s="56" t="n">
        <f aca="false">S261+1</f>
        <v>255</v>
      </c>
      <c r="T262" s="57" t="n">
        <f aca="false">IF(AND(S262&lt;=Assumptions!$C$42,T261=1,X261=0,W261&gt;Assumptions!$C$43),1,0)</f>
        <v>0</v>
      </c>
      <c r="U262" s="58" t="n">
        <f aca="false">W261</f>
        <v>-182.103705036234</v>
      </c>
      <c r="V262" s="58" t="n">
        <f aca="false">IF(T262=1,U262*$B$22,0)</f>
        <v>0</v>
      </c>
      <c r="W262" s="58" t="n">
        <f aca="false">IF(T262=1,U262+V262-$B$27,U262)</f>
        <v>-182.103705036234</v>
      </c>
      <c r="X262" s="56" t="n">
        <f aca="false">IF(T262=1,IF($B$27&lt;=V262,1,0),0)</f>
        <v>0</v>
      </c>
      <c r="Y262" s="58" t="n">
        <f aca="false">Y261+V262</f>
        <v>113000.408372882</v>
      </c>
    </row>
    <row r="263" customFormat="false" ht="15" hidden="false" customHeight="false" outlineLevel="0" collapsed="false">
      <c r="K263" s="56" t="n">
        <f aca="false">K262+1</f>
        <v>256</v>
      </c>
      <c r="L263" s="57" t="n">
        <f aca="false">IF(AND(K263&lt;=Assumptions!$C$42,L262=1,P262=0,O262&gt;Assumptions!$C$43),1,0)</f>
        <v>1</v>
      </c>
      <c r="M263" s="58" t="n">
        <f aca="false">O262</f>
        <v>55057.5906669208</v>
      </c>
      <c r="N263" s="58" t="n">
        <f aca="false">IF(L263=1,M263*$B$22,0)</f>
        <v>183.525302223069</v>
      </c>
      <c r="O263" s="58" t="n">
        <f aca="false">IF(L263=1,M263+N263-$B$26,M263)</f>
        <v>53921.5238683995</v>
      </c>
      <c r="P263" s="56" t="n">
        <f aca="false">IF(L263=1,IF($B$26&lt;=N263,1,0),0)</f>
        <v>0</v>
      </c>
      <c r="Q263" s="58" t="n">
        <f aca="false">Q262+N263</f>
        <v>141737.101658973</v>
      </c>
      <c r="S263" s="56" t="n">
        <f aca="false">S262+1</f>
        <v>256</v>
      </c>
      <c r="T263" s="57" t="n">
        <f aca="false">IF(AND(S263&lt;=Assumptions!$C$42,T262=1,X262=0,W262&gt;Assumptions!$C$43),1,0)</f>
        <v>0</v>
      </c>
      <c r="U263" s="58" t="n">
        <f aca="false">W262</f>
        <v>-182.103705036234</v>
      </c>
      <c r="V263" s="58" t="n">
        <f aca="false">IF(T263=1,U263*$B$22,0)</f>
        <v>0</v>
      </c>
      <c r="W263" s="58" t="n">
        <f aca="false">IF(T263=1,U263+V263-$B$27,U263)</f>
        <v>-182.103705036234</v>
      </c>
      <c r="X263" s="56" t="n">
        <f aca="false">IF(T263=1,IF($B$27&lt;=V263,1,0),0)</f>
        <v>0</v>
      </c>
      <c r="Y263" s="58" t="n">
        <f aca="false">Y262+V263</f>
        <v>113000.408372882</v>
      </c>
    </row>
    <row r="264" customFormat="false" ht="15" hidden="false" customHeight="false" outlineLevel="0" collapsed="false">
      <c r="K264" s="56" t="n">
        <f aca="false">K263+1</f>
        <v>257</v>
      </c>
      <c r="L264" s="57" t="n">
        <f aca="false">IF(AND(K264&lt;=Assumptions!$C$42,L263=1,P263=0,O263&gt;Assumptions!$C$43),1,0)</f>
        <v>1</v>
      </c>
      <c r="M264" s="58" t="n">
        <f aca="false">O263</f>
        <v>53921.5238683995</v>
      </c>
      <c r="N264" s="58" t="n">
        <f aca="false">IF(L264=1,M264*$B$22,0)</f>
        <v>179.738412894665</v>
      </c>
      <c r="O264" s="58" t="n">
        <f aca="false">IF(L264=1,M264+N264-$B$26,M264)</f>
        <v>52781.6701805497</v>
      </c>
      <c r="P264" s="56" t="n">
        <f aca="false">IF(L264=1,IF($B$26&lt;=N264,1,0),0)</f>
        <v>0</v>
      </c>
      <c r="Q264" s="58" t="n">
        <f aca="false">Q263+N264</f>
        <v>141916.840071867</v>
      </c>
      <c r="S264" s="56" t="n">
        <f aca="false">S263+1</f>
        <v>257</v>
      </c>
      <c r="T264" s="57" t="n">
        <f aca="false">IF(AND(S264&lt;=Assumptions!$C$42,T263=1,X263=0,W263&gt;Assumptions!$C$43),1,0)</f>
        <v>0</v>
      </c>
      <c r="U264" s="58" t="n">
        <f aca="false">W263</f>
        <v>-182.103705036234</v>
      </c>
      <c r="V264" s="58" t="n">
        <f aca="false">IF(T264=1,U264*$B$22,0)</f>
        <v>0</v>
      </c>
      <c r="W264" s="58" t="n">
        <f aca="false">IF(T264=1,U264+V264-$B$27,U264)</f>
        <v>-182.103705036234</v>
      </c>
      <c r="X264" s="56" t="n">
        <f aca="false">IF(T264=1,IF($B$27&lt;=V264,1,0),0)</f>
        <v>0</v>
      </c>
      <c r="Y264" s="58" t="n">
        <f aca="false">Y263+V264</f>
        <v>113000.408372882</v>
      </c>
    </row>
    <row r="265" customFormat="false" ht="15" hidden="false" customHeight="false" outlineLevel="0" collapsed="false">
      <c r="K265" s="56" t="n">
        <f aca="false">K264+1</f>
        <v>258</v>
      </c>
      <c r="L265" s="57" t="n">
        <f aca="false">IF(AND(K265&lt;=Assumptions!$C$42,L264=1,P264=0,O264&gt;Assumptions!$C$43),1,0)</f>
        <v>1</v>
      </c>
      <c r="M265" s="58" t="n">
        <f aca="false">O264</f>
        <v>52781.6701805497</v>
      </c>
      <c r="N265" s="58" t="n">
        <f aca="false">IF(L265=1,M265*$B$22,0)</f>
        <v>175.938900601832</v>
      </c>
      <c r="O265" s="58" t="n">
        <f aca="false">IF(L265=1,M265+N265-$B$26,M265)</f>
        <v>51638.0169804071</v>
      </c>
      <c r="P265" s="56" t="n">
        <f aca="false">IF(L265=1,IF($B$26&lt;=N265,1,0),0)</f>
        <v>0</v>
      </c>
      <c r="Q265" s="58" t="n">
        <f aca="false">Q264+N265</f>
        <v>142092.778972469</v>
      </c>
      <c r="S265" s="56" t="n">
        <f aca="false">S264+1</f>
        <v>258</v>
      </c>
      <c r="T265" s="57" t="n">
        <f aca="false">IF(AND(S265&lt;=Assumptions!$C$42,T264=1,X264=0,W264&gt;Assumptions!$C$43),1,0)</f>
        <v>0</v>
      </c>
      <c r="U265" s="58" t="n">
        <f aca="false">W264</f>
        <v>-182.103705036234</v>
      </c>
      <c r="V265" s="58" t="n">
        <f aca="false">IF(T265=1,U265*$B$22,0)</f>
        <v>0</v>
      </c>
      <c r="W265" s="58" t="n">
        <f aca="false">IF(T265=1,U265+V265-$B$27,U265)</f>
        <v>-182.103705036234</v>
      </c>
      <c r="X265" s="56" t="n">
        <f aca="false">IF(T265=1,IF($B$27&lt;=V265,1,0),0)</f>
        <v>0</v>
      </c>
      <c r="Y265" s="58" t="n">
        <f aca="false">Y264+V265</f>
        <v>113000.408372882</v>
      </c>
    </row>
    <row r="266" customFormat="false" ht="15" hidden="false" customHeight="false" outlineLevel="0" collapsed="false">
      <c r="K266" s="56" t="n">
        <f aca="false">K265+1</f>
        <v>259</v>
      </c>
      <c r="L266" s="57" t="n">
        <f aca="false">IF(AND(K266&lt;=Assumptions!$C$42,L265=1,P265=0,O265&gt;Assumptions!$C$43),1,0)</f>
        <v>1</v>
      </c>
      <c r="M266" s="58" t="n">
        <f aca="false">O265</f>
        <v>51638.0169804071</v>
      </c>
      <c r="N266" s="58" t="n">
        <f aca="false">IF(L266=1,M266*$B$22,0)</f>
        <v>172.126723268024</v>
      </c>
      <c r="O266" s="58" t="n">
        <f aca="false">IF(L266=1,M266+N266-$B$26,M266)</f>
        <v>50490.5516029307</v>
      </c>
      <c r="P266" s="56" t="n">
        <f aca="false">IF(L266=1,IF($B$26&lt;=N266,1,0),0)</f>
        <v>0</v>
      </c>
      <c r="Q266" s="58" t="n">
        <f aca="false">Q265+N266</f>
        <v>142264.905695737</v>
      </c>
      <c r="S266" s="56" t="n">
        <f aca="false">S265+1</f>
        <v>259</v>
      </c>
      <c r="T266" s="57" t="n">
        <f aca="false">IF(AND(S266&lt;=Assumptions!$C$42,T265=1,X265=0,W265&gt;Assumptions!$C$43),1,0)</f>
        <v>0</v>
      </c>
      <c r="U266" s="58" t="n">
        <f aca="false">W265</f>
        <v>-182.103705036234</v>
      </c>
      <c r="V266" s="58" t="n">
        <f aca="false">IF(T266=1,U266*$B$22,0)</f>
        <v>0</v>
      </c>
      <c r="W266" s="58" t="n">
        <f aca="false">IF(T266=1,U266+V266-$B$27,U266)</f>
        <v>-182.103705036234</v>
      </c>
      <c r="X266" s="56" t="n">
        <f aca="false">IF(T266=1,IF($B$27&lt;=V266,1,0),0)</f>
        <v>0</v>
      </c>
      <c r="Y266" s="58" t="n">
        <f aca="false">Y265+V266</f>
        <v>113000.408372882</v>
      </c>
    </row>
    <row r="267" customFormat="false" ht="15" hidden="false" customHeight="false" outlineLevel="0" collapsed="false">
      <c r="K267" s="56" t="n">
        <f aca="false">K266+1</f>
        <v>260</v>
      </c>
      <c r="L267" s="57" t="n">
        <f aca="false">IF(AND(K267&lt;=Assumptions!$C$42,L266=1,P266=0,O266&gt;Assumptions!$C$43),1,0)</f>
        <v>1</v>
      </c>
      <c r="M267" s="58" t="n">
        <f aca="false">O266</f>
        <v>50490.5516029307</v>
      </c>
      <c r="N267" s="58" t="n">
        <f aca="false">IF(L267=1,M267*$B$22,0)</f>
        <v>168.301838676436</v>
      </c>
      <c r="O267" s="58" t="n">
        <f aca="false">IF(L267=1,M267+N267-$B$26,M267)</f>
        <v>49339.2613408627</v>
      </c>
      <c r="P267" s="56" t="n">
        <f aca="false">IF(L267=1,IF($B$26&lt;=N267,1,0),0)</f>
        <v>0</v>
      </c>
      <c r="Q267" s="58" t="n">
        <f aca="false">Q266+N267</f>
        <v>142433.207534414</v>
      </c>
      <c r="S267" s="56" t="n">
        <f aca="false">S266+1</f>
        <v>260</v>
      </c>
      <c r="T267" s="57" t="n">
        <f aca="false">IF(AND(S267&lt;=Assumptions!$C$42,T266=1,X266=0,W266&gt;Assumptions!$C$43),1,0)</f>
        <v>0</v>
      </c>
      <c r="U267" s="58" t="n">
        <f aca="false">W266</f>
        <v>-182.103705036234</v>
      </c>
      <c r="V267" s="58" t="n">
        <f aca="false">IF(T267=1,U267*$B$22,0)</f>
        <v>0</v>
      </c>
      <c r="W267" s="58" t="n">
        <f aca="false">IF(T267=1,U267+V267-$B$27,U267)</f>
        <v>-182.103705036234</v>
      </c>
      <c r="X267" s="56" t="n">
        <f aca="false">IF(T267=1,IF($B$27&lt;=V267,1,0),0)</f>
        <v>0</v>
      </c>
      <c r="Y267" s="58" t="n">
        <f aca="false">Y266+V267</f>
        <v>113000.408372882</v>
      </c>
    </row>
    <row r="268" customFormat="false" ht="15" hidden="false" customHeight="false" outlineLevel="0" collapsed="false">
      <c r="K268" s="56" t="n">
        <f aca="false">K267+1</f>
        <v>261</v>
      </c>
      <c r="L268" s="57" t="n">
        <f aca="false">IF(AND(K268&lt;=Assumptions!$C$42,L267=1,P267=0,O267&gt;Assumptions!$C$43),1,0)</f>
        <v>1</v>
      </c>
      <c r="M268" s="58" t="n">
        <f aca="false">O267</f>
        <v>49339.2613408627</v>
      </c>
      <c r="N268" s="58" t="n">
        <f aca="false">IF(L268=1,M268*$B$22,0)</f>
        <v>164.464204469542</v>
      </c>
      <c r="O268" s="58" t="n">
        <f aca="false">IF(L268=1,M268+N268-$B$26,M268)</f>
        <v>48184.1334445878</v>
      </c>
      <c r="P268" s="56" t="n">
        <f aca="false">IF(L268=1,IF($B$26&lt;=N268,1,0),0)</f>
        <v>0</v>
      </c>
      <c r="Q268" s="58" t="n">
        <f aca="false">Q267+N268</f>
        <v>142597.671738883</v>
      </c>
      <c r="S268" s="56" t="n">
        <f aca="false">S267+1</f>
        <v>261</v>
      </c>
      <c r="T268" s="57" t="n">
        <f aca="false">IF(AND(S268&lt;=Assumptions!$C$42,T267=1,X267=0,W267&gt;Assumptions!$C$43),1,0)</f>
        <v>0</v>
      </c>
      <c r="U268" s="58" t="n">
        <f aca="false">W267</f>
        <v>-182.103705036234</v>
      </c>
      <c r="V268" s="58" t="n">
        <f aca="false">IF(T268=1,U268*$B$22,0)</f>
        <v>0</v>
      </c>
      <c r="W268" s="58" t="n">
        <f aca="false">IF(T268=1,U268+V268-$B$27,U268)</f>
        <v>-182.103705036234</v>
      </c>
      <c r="X268" s="56" t="n">
        <f aca="false">IF(T268=1,IF($B$27&lt;=V268,1,0),0)</f>
        <v>0</v>
      </c>
      <c r="Y268" s="58" t="n">
        <f aca="false">Y267+V268</f>
        <v>113000.408372882</v>
      </c>
    </row>
    <row r="269" customFormat="false" ht="15" hidden="false" customHeight="false" outlineLevel="0" collapsed="false">
      <c r="K269" s="56" t="n">
        <f aca="false">K268+1</f>
        <v>262</v>
      </c>
      <c r="L269" s="57" t="n">
        <f aca="false">IF(AND(K269&lt;=Assumptions!$C$42,L268=1,P268=0,O268&gt;Assumptions!$C$43),1,0)</f>
        <v>1</v>
      </c>
      <c r="M269" s="58" t="n">
        <f aca="false">O268</f>
        <v>48184.1334445878</v>
      </c>
      <c r="N269" s="58" t="n">
        <f aca="false">IF(L269=1,M269*$B$22,0)</f>
        <v>160.613778148626</v>
      </c>
      <c r="O269" s="58" t="n">
        <f aca="false">IF(L269=1,M269+N269-$B$26,M269)</f>
        <v>47025.155121992</v>
      </c>
      <c r="P269" s="56" t="n">
        <f aca="false">IF(L269=1,IF($B$26&lt;=N269,1,0),0)</f>
        <v>0</v>
      </c>
      <c r="Q269" s="58" t="n">
        <f aca="false">Q268+N269</f>
        <v>142758.285517032</v>
      </c>
      <c r="S269" s="56" t="n">
        <f aca="false">S268+1</f>
        <v>262</v>
      </c>
      <c r="T269" s="57" t="n">
        <f aca="false">IF(AND(S269&lt;=Assumptions!$C$42,T268=1,X268=0,W268&gt;Assumptions!$C$43),1,0)</f>
        <v>0</v>
      </c>
      <c r="U269" s="58" t="n">
        <f aca="false">W268</f>
        <v>-182.103705036234</v>
      </c>
      <c r="V269" s="58" t="n">
        <f aca="false">IF(T269=1,U269*$B$22,0)</f>
        <v>0</v>
      </c>
      <c r="W269" s="58" t="n">
        <f aca="false">IF(T269=1,U269+V269-$B$27,U269)</f>
        <v>-182.103705036234</v>
      </c>
      <c r="X269" s="56" t="n">
        <f aca="false">IF(T269=1,IF($B$27&lt;=V269,1,0),0)</f>
        <v>0</v>
      </c>
      <c r="Y269" s="58" t="n">
        <f aca="false">Y268+V269</f>
        <v>113000.408372882</v>
      </c>
    </row>
    <row r="270" customFormat="false" ht="15" hidden="false" customHeight="false" outlineLevel="0" collapsed="false">
      <c r="K270" s="56" t="n">
        <f aca="false">K269+1</f>
        <v>263</v>
      </c>
      <c r="L270" s="57" t="n">
        <f aca="false">IF(AND(K270&lt;=Assumptions!$C$42,L269=1,P269=0,O269&gt;Assumptions!$C$43),1,0)</f>
        <v>1</v>
      </c>
      <c r="M270" s="58" t="n">
        <f aca="false">O269</f>
        <v>47025.155121992</v>
      </c>
      <c r="N270" s="58" t="n">
        <f aca="false">IF(L270=1,M270*$B$22,0)</f>
        <v>156.750517073307</v>
      </c>
      <c r="O270" s="58" t="n">
        <f aca="false">IF(L270=1,M270+N270-$B$26,M270)</f>
        <v>45862.3135383209</v>
      </c>
      <c r="P270" s="56" t="n">
        <f aca="false">IF(L270=1,IF($B$26&lt;=N270,1,0),0)</f>
        <v>0</v>
      </c>
      <c r="Q270" s="58" t="n">
        <f aca="false">Q269+N270</f>
        <v>142915.036034105</v>
      </c>
      <c r="S270" s="56" t="n">
        <f aca="false">S269+1</f>
        <v>263</v>
      </c>
      <c r="T270" s="57" t="n">
        <f aca="false">IF(AND(S270&lt;=Assumptions!$C$42,T269=1,X269=0,W269&gt;Assumptions!$C$43),1,0)</f>
        <v>0</v>
      </c>
      <c r="U270" s="58" t="n">
        <f aca="false">W269</f>
        <v>-182.103705036234</v>
      </c>
      <c r="V270" s="58" t="n">
        <f aca="false">IF(T270=1,U270*$B$22,0)</f>
        <v>0</v>
      </c>
      <c r="W270" s="58" t="n">
        <f aca="false">IF(T270=1,U270+V270-$B$27,U270)</f>
        <v>-182.103705036234</v>
      </c>
      <c r="X270" s="56" t="n">
        <f aca="false">IF(T270=1,IF($B$27&lt;=V270,1,0),0)</f>
        <v>0</v>
      </c>
      <c r="Y270" s="58" t="n">
        <f aca="false">Y269+V270</f>
        <v>113000.408372882</v>
      </c>
    </row>
    <row r="271" customFormat="false" ht="15" hidden="false" customHeight="false" outlineLevel="0" collapsed="false">
      <c r="K271" s="56" t="n">
        <f aca="false">K270+1</f>
        <v>264</v>
      </c>
      <c r="L271" s="57" t="n">
        <f aca="false">IF(AND(K271&lt;=Assumptions!$C$42,L270=1,P270=0,O270&gt;Assumptions!$C$43),1,0)</f>
        <v>1</v>
      </c>
      <c r="M271" s="58" t="n">
        <f aca="false">O270</f>
        <v>45862.3135383209</v>
      </c>
      <c r="N271" s="58" t="n">
        <f aca="false">IF(L271=1,M271*$B$22,0)</f>
        <v>152.87437846107</v>
      </c>
      <c r="O271" s="58" t="n">
        <f aca="false">IF(L271=1,M271+N271-$B$26,M271)</f>
        <v>44695.5958160376</v>
      </c>
      <c r="P271" s="56" t="n">
        <f aca="false">IF(L271=1,IF($B$26&lt;=N271,1,0),0)</f>
        <v>0</v>
      </c>
      <c r="Q271" s="58" t="n">
        <f aca="false">Q270+N271</f>
        <v>143067.910412566</v>
      </c>
      <c r="S271" s="56" t="n">
        <f aca="false">S270+1</f>
        <v>264</v>
      </c>
      <c r="T271" s="57" t="n">
        <f aca="false">IF(AND(S271&lt;=Assumptions!$C$42,T270=1,X270=0,W270&gt;Assumptions!$C$43),1,0)</f>
        <v>0</v>
      </c>
      <c r="U271" s="58" t="n">
        <f aca="false">W270</f>
        <v>-182.103705036234</v>
      </c>
      <c r="V271" s="58" t="n">
        <f aca="false">IF(T271=1,U271*$B$22,0)</f>
        <v>0</v>
      </c>
      <c r="W271" s="58" t="n">
        <f aca="false">IF(T271=1,U271+V271-$B$27,U271)</f>
        <v>-182.103705036234</v>
      </c>
      <c r="X271" s="56" t="n">
        <f aca="false">IF(T271=1,IF($B$27&lt;=V271,1,0),0)</f>
        <v>0</v>
      </c>
      <c r="Y271" s="58" t="n">
        <f aca="false">Y270+V271</f>
        <v>113000.408372882</v>
      </c>
    </row>
    <row r="272" customFormat="false" ht="15" hidden="false" customHeight="false" outlineLevel="0" collapsed="false">
      <c r="K272" s="56" t="n">
        <f aca="false">K271+1</f>
        <v>265</v>
      </c>
      <c r="L272" s="57" t="n">
        <f aca="false">IF(AND(K272&lt;=Assumptions!$C$42,L271=1,P271=0,O271&gt;Assumptions!$C$43),1,0)</f>
        <v>1</v>
      </c>
      <c r="M272" s="58" t="n">
        <f aca="false">O271</f>
        <v>44695.5958160376</v>
      </c>
      <c r="N272" s="58" t="n">
        <f aca="false">IF(L272=1,M272*$B$22,0)</f>
        <v>148.985319386792</v>
      </c>
      <c r="O272" s="58" t="n">
        <f aca="false">IF(L272=1,M272+N272-$B$26,M272)</f>
        <v>43524.9890346799</v>
      </c>
      <c r="P272" s="56" t="n">
        <f aca="false">IF(L272=1,IF($B$26&lt;=N272,1,0),0)</f>
        <v>0</v>
      </c>
      <c r="Q272" s="58" t="n">
        <f aca="false">Q271+N272</f>
        <v>143216.895731953</v>
      </c>
      <c r="S272" s="56" t="n">
        <f aca="false">S271+1</f>
        <v>265</v>
      </c>
      <c r="T272" s="57" t="n">
        <f aca="false">IF(AND(S272&lt;=Assumptions!$C$42,T271=1,X271=0,W271&gt;Assumptions!$C$43),1,0)</f>
        <v>0</v>
      </c>
      <c r="U272" s="58" t="n">
        <f aca="false">W271</f>
        <v>-182.103705036234</v>
      </c>
      <c r="V272" s="58" t="n">
        <f aca="false">IF(T272=1,U272*$B$22,0)</f>
        <v>0</v>
      </c>
      <c r="W272" s="58" t="n">
        <f aca="false">IF(T272=1,U272+V272-$B$27,U272)</f>
        <v>-182.103705036234</v>
      </c>
      <c r="X272" s="56" t="n">
        <f aca="false">IF(T272=1,IF($B$27&lt;=V272,1,0),0)</f>
        <v>0</v>
      </c>
      <c r="Y272" s="58" t="n">
        <f aca="false">Y271+V272</f>
        <v>113000.408372882</v>
      </c>
    </row>
    <row r="273" customFormat="false" ht="15" hidden="false" customHeight="false" outlineLevel="0" collapsed="false">
      <c r="K273" s="56" t="n">
        <f aca="false">K272+1</f>
        <v>266</v>
      </c>
      <c r="L273" s="57" t="n">
        <f aca="false">IF(AND(K273&lt;=Assumptions!$C$42,L272=1,P272=0,O272&gt;Assumptions!$C$43),1,0)</f>
        <v>1</v>
      </c>
      <c r="M273" s="58" t="n">
        <f aca="false">O272</f>
        <v>43524.9890346799</v>
      </c>
      <c r="N273" s="58" t="n">
        <f aca="false">IF(L273=1,M273*$B$22,0)</f>
        <v>145.083296782266</v>
      </c>
      <c r="O273" s="58" t="n">
        <f aca="false">IF(L273=1,M273+N273-$B$26,M273)</f>
        <v>42350.4802307178</v>
      </c>
      <c r="P273" s="56" t="n">
        <f aca="false">IF(L273=1,IF($B$26&lt;=N273,1,0),0)</f>
        <v>0</v>
      </c>
      <c r="Q273" s="58" t="n">
        <f aca="false">Q272+N273</f>
        <v>143361.979028735</v>
      </c>
      <c r="S273" s="56" t="n">
        <f aca="false">S272+1</f>
        <v>266</v>
      </c>
      <c r="T273" s="57" t="n">
        <f aca="false">IF(AND(S273&lt;=Assumptions!$C$42,T272=1,X272=0,W272&gt;Assumptions!$C$43),1,0)</f>
        <v>0</v>
      </c>
      <c r="U273" s="58" t="n">
        <f aca="false">W272</f>
        <v>-182.103705036234</v>
      </c>
      <c r="V273" s="58" t="n">
        <f aca="false">IF(T273=1,U273*$B$22,0)</f>
        <v>0</v>
      </c>
      <c r="W273" s="58" t="n">
        <f aca="false">IF(T273=1,U273+V273-$B$27,U273)</f>
        <v>-182.103705036234</v>
      </c>
      <c r="X273" s="56" t="n">
        <f aca="false">IF(T273=1,IF($B$27&lt;=V273,1,0),0)</f>
        <v>0</v>
      </c>
      <c r="Y273" s="58" t="n">
        <f aca="false">Y272+V273</f>
        <v>113000.408372882</v>
      </c>
    </row>
    <row r="274" customFormat="false" ht="15" hidden="false" customHeight="false" outlineLevel="0" collapsed="false">
      <c r="K274" s="56" t="n">
        <f aca="false">K273+1</f>
        <v>267</v>
      </c>
      <c r="L274" s="57" t="n">
        <f aca="false">IF(AND(K274&lt;=Assumptions!$C$42,L273=1,P273=0,O273&gt;Assumptions!$C$43),1,0)</f>
        <v>1</v>
      </c>
      <c r="M274" s="58" t="n">
        <f aca="false">O273</f>
        <v>42350.4802307178</v>
      </c>
      <c r="N274" s="58" t="n">
        <f aca="false">IF(L274=1,M274*$B$22,0)</f>
        <v>141.168267435726</v>
      </c>
      <c r="O274" s="58" t="n">
        <f aca="false">IF(L274=1,M274+N274-$B$26,M274)</f>
        <v>41172.0563974091</v>
      </c>
      <c r="P274" s="56" t="n">
        <f aca="false">IF(L274=1,IF($B$26&lt;=N274,1,0),0)</f>
        <v>0</v>
      </c>
      <c r="Q274" s="58" t="n">
        <f aca="false">Q273+N274</f>
        <v>143503.147296171</v>
      </c>
      <c r="S274" s="56" t="n">
        <f aca="false">S273+1</f>
        <v>267</v>
      </c>
      <c r="T274" s="57" t="n">
        <f aca="false">IF(AND(S274&lt;=Assumptions!$C$42,T273=1,X273=0,W273&gt;Assumptions!$C$43),1,0)</f>
        <v>0</v>
      </c>
      <c r="U274" s="58" t="n">
        <f aca="false">W273</f>
        <v>-182.103705036234</v>
      </c>
      <c r="V274" s="58" t="n">
        <f aca="false">IF(T274=1,U274*$B$22,0)</f>
        <v>0</v>
      </c>
      <c r="W274" s="58" t="n">
        <f aca="false">IF(T274=1,U274+V274-$B$27,U274)</f>
        <v>-182.103705036234</v>
      </c>
      <c r="X274" s="56" t="n">
        <f aca="false">IF(T274=1,IF($B$27&lt;=V274,1,0),0)</f>
        <v>0</v>
      </c>
      <c r="Y274" s="58" t="n">
        <f aca="false">Y273+V274</f>
        <v>113000.408372882</v>
      </c>
    </row>
    <row r="275" customFormat="false" ht="15" hidden="false" customHeight="false" outlineLevel="0" collapsed="false">
      <c r="K275" s="56" t="n">
        <f aca="false">K274+1</f>
        <v>268</v>
      </c>
      <c r="L275" s="57" t="n">
        <f aca="false">IF(AND(K275&lt;=Assumptions!$C$42,L274=1,P274=0,O274&gt;Assumptions!$C$43),1,0)</f>
        <v>1</v>
      </c>
      <c r="M275" s="58" t="n">
        <f aca="false">O274</f>
        <v>41172.0563974091</v>
      </c>
      <c r="N275" s="58" t="n">
        <f aca="false">IF(L275=1,M275*$B$22,0)</f>
        <v>137.240187991364</v>
      </c>
      <c r="O275" s="58" t="n">
        <f aca="false">IF(L275=1,M275+N275-$B$26,M275)</f>
        <v>39989.704484656</v>
      </c>
      <c r="P275" s="56" t="n">
        <f aca="false">IF(L275=1,IF($B$26&lt;=N275,1,0),0)</f>
        <v>0</v>
      </c>
      <c r="Q275" s="58" t="n">
        <f aca="false">Q274+N275</f>
        <v>143640.387484162</v>
      </c>
      <c r="S275" s="56" t="n">
        <f aca="false">S274+1</f>
        <v>268</v>
      </c>
      <c r="T275" s="57" t="n">
        <f aca="false">IF(AND(S275&lt;=Assumptions!$C$42,T274=1,X274=0,W274&gt;Assumptions!$C$43),1,0)</f>
        <v>0</v>
      </c>
      <c r="U275" s="58" t="n">
        <f aca="false">W274</f>
        <v>-182.103705036234</v>
      </c>
      <c r="V275" s="58" t="n">
        <f aca="false">IF(T275=1,U275*$B$22,0)</f>
        <v>0</v>
      </c>
      <c r="W275" s="58" t="n">
        <f aca="false">IF(T275=1,U275+V275-$B$27,U275)</f>
        <v>-182.103705036234</v>
      </c>
      <c r="X275" s="56" t="n">
        <f aca="false">IF(T275=1,IF($B$27&lt;=V275,1,0),0)</f>
        <v>0</v>
      </c>
      <c r="Y275" s="58" t="n">
        <f aca="false">Y274+V275</f>
        <v>113000.408372882</v>
      </c>
    </row>
    <row r="276" customFormat="false" ht="15" hidden="false" customHeight="false" outlineLevel="0" collapsed="false">
      <c r="K276" s="56" t="n">
        <f aca="false">K275+1</f>
        <v>269</v>
      </c>
      <c r="L276" s="57" t="n">
        <f aca="false">IF(AND(K276&lt;=Assumptions!$C$42,L275=1,P275=0,O275&gt;Assumptions!$C$43),1,0)</f>
        <v>1</v>
      </c>
      <c r="M276" s="58" t="n">
        <f aca="false">O275</f>
        <v>39989.704484656</v>
      </c>
      <c r="N276" s="58" t="n">
        <f aca="false">IF(L276=1,M276*$B$22,0)</f>
        <v>133.299014948853</v>
      </c>
      <c r="O276" s="58" t="n">
        <f aca="false">IF(L276=1,M276+N276-$B$26,M276)</f>
        <v>38803.4113988604</v>
      </c>
      <c r="P276" s="56" t="n">
        <f aca="false">IF(L276=1,IF($B$26&lt;=N276,1,0),0)</f>
        <v>0</v>
      </c>
      <c r="Q276" s="58" t="n">
        <f aca="false">Q275+N276</f>
        <v>143773.686499111</v>
      </c>
      <c r="S276" s="56" t="n">
        <f aca="false">S275+1</f>
        <v>269</v>
      </c>
      <c r="T276" s="57" t="n">
        <f aca="false">IF(AND(S276&lt;=Assumptions!$C$42,T275=1,X275=0,W275&gt;Assumptions!$C$43),1,0)</f>
        <v>0</v>
      </c>
      <c r="U276" s="58" t="n">
        <f aca="false">W275</f>
        <v>-182.103705036234</v>
      </c>
      <c r="V276" s="58" t="n">
        <f aca="false">IF(T276=1,U276*$B$22,0)</f>
        <v>0</v>
      </c>
      <c r="W276" s="58" t="n">
        <f aca="false">IF(T276=1,U276+V276-$B$27,U276)</f>
        <v>-182.103705036234</v>
      </c>
      <c r="X276" s="56" t="n">
        <f aca="false">IF(T276=1,IF($B$27&lt;=V276,1,0),0)</f>
        <v>0</v>
      </c>
      <c r="Y276" s="58" t="n">
        <f aca="false">Y275+V276</f>
        <v>113000.408372882</v>
      </c>
    </row>
    <row r="277" customFormat="false" ht="15" hidden="false" customHeight="false" outlineLevel="0" collapsed="false">
      <c r="K277" s="56" t="n">
        <f aca="false">K276+1</f>
        <v>270</v>
      </c>
      <c r="L277" s="57" t="n">
        <f aca="false">IF(AND(K277&lt;=Assumptions!$C$42,L276=1,P276=0,O276&gt;Assumptions!$C$43),1,0)</f>
        <v>1</v>
      </c>
      <c r="M277" s="58" t="n">
        <f aca="false">O276</f>
        <v>38803.4113988604</v>
      </c>
      <c r="N277" s="58" t="n">
        <f aca="false">IF(L277=1,M277*$B$22,0)</f>
        <v>129.344704662868</v>
      </c>
      <c r="O277" s="58" t="n">
        <f aca="false">IF(L277=1,M277+N277-$B$26,M277)</f>
        <v>37613.1640027789</v>
      </c>
      <c r="P277" s="56" t="n">
        <f aca="false">IF(L277=1,IF($B$26&lt;=N277,1,0),0)</f>
        <v>0</v>
      </c>
      <c r="Q277" s="58" t="n">
        <f aca="false">Q276+N277</f>
        <v>143903.031203774</v>
      </c>
      <c r="S277" s="56" t="n">
        <f aca="false">S276+1</f>
        <v>270</v>
      </c>
      <c r="T277" s="57" t="n">
        <f aca="false">IF(AND(S277&lt;=Assumptions!$C$42,T276=1,X276=0,W276&gt;Assumptions!$C$43),1,0)</f>
        <v>0</v>
      </c>
      <c r="U277" s="58" t="n">
        <f aca="false">W276</f>
        <v>-182.103705036234</v>
      </c>
      <c r="V277" s="58" t="n">
        <f aca="false">IF(T277=1,U277*$B$22,0)</f>
        <v>0</v>
      </c>
      <c r="W277" s="58" t="n">
        <f aca="false">IF(T277=1,U277+V277-$B$27,U277)</f>
        <v>-182.103705036234</v>
      </c>
      <c r="X277" s="56" t="n">
        <f aca="false">IF(T277=1,IF($B$27&lt;=V277,1,0),0)</f>
        <v>0</v>
      </c>
      <c r="Y277" s="58" t="n">
        <f aca="false">Y276+V277</f>
        <v>113000.408372882</v>
      </c>
    </row>
    <row r="278" customFormat="false" ht="15" hidden="false" customHeight="false" outlineLevel="0" collapsed="false">
      <c r="K278" s="56" t="n">
        <f aca="false">K277+1</f>
        <v>271</v>
      </c>
      <c r="L278" s="57" t="n">
        <f aca="false">IF(AND(K278&lt;=Assumptions!$C$42,L277=1,P277=0,O277&gt;Assumptions!$C$43),1,0)</f>
        <v>1</v>
      </c>
      <c r="M278" s="58" t="n">
        <f aca="false">O277</f>
        <v>37613.1640027789</v>
      </c>
      <c r="N278" s="58" t="n">
        <f aca="false">IF(L278=1,M278*$B$22,0)</f>
        <v>125.377213342596</v>
      </c>
      <c r="O278" s="58" t="n">
        <f aca="false">IF(L278=1,M278+N278-$B$26,M278)</f>
        <v>36418.9491153771</v>
      </c>
      <c r="P278" s="56" t="n">
        <f aca="false">IF(L278=1,IF($B$26&lt;=N278,1,0),0)</f>
        <v>0</v>
      </c>
      <c r="Q278" s="58" t="n">
        <f aca="false">Q277+N278</f>
        <v>144028.408417117</v>
      </c>
      <c r="S278" s="56" t="n">
        <f aca="false">S277+1</f>
        <v>271</v>
      </c>
      <c r="T278" s="57" t="n">
        <f aca="false">IF(AND(S278&lt;=Assumptions!$C$42,T277=1,X277=0,W277&gt;Assumptions!$C$43),1,0)</f>
        <v>0</v>
      </c>
      <c r="U278" s="58" t="n">
        <f aca="false">W277</f>
        <v>-182.103705036234</v>
      </c>
      <c r="V278" s="58" t="n">
        <f aca="false">IF(T278=1,U278*$B$22,0)</f>
        <v>0</v>
      </c>
      <c r="W278" s="58" t="n">
        <f aca="false">IF(T278=1,U278+V278-$B$27,U278)</f>
        <v>-182.103705036234</v>
      </c>
      <c r="X278" s="56" t="n">
        <f aca="false">IF(T278=1,IF($B$27&lt;=V278,1,0),0)</f>
        <v>0</v>
      </c>
      <c r="Y278" s="58" t="n">
        <f aca="false">Y277+V278</f>
        <v>113000.408372882</v>
      </c>
    </row>
    <row r="279" customFormat="false" ht="15" hidden="false" customHeight="false" outlineLevel="0" collapsed="false">
      <c r="K279" s="56" t="n">
        <f aca="false">K278+1</f>
        <v>272</v>
      </c>
      <c r="L279" s="57" t="n">
        <f aca="false">IF(AND(K279&lt;=Assumptions!$C$42,L278=1,P278=0,O278&gt;Assumptions!$C$43),1,0)</f>
        <v>1</v>
      </c>
      <c r="M279" s="58" t="n">
        <f aca="false">O278</f>
        <v>36418.9491153771</v>
      </c>
      <c r="N279" s="58" t="n">
        <f aca="false">IF(L279=1,M279*$B$22,0)</f>
        <v>121.396497051257</v>
      </c>
      <c r="O279" s="58" t="n">
        <f aca="false">IF(L279=1,M279+N279-$B$26,M279)</f>
        <v>35220.7535116839</v>
      </c>
      <c r="P279" s="56" t="n">
        <f aca="false">IF(L279=1,IF($B$26&lt;=N279,1,0),0)</f>
        <v>0</v>
      </c>
      <c r="Q279" s="58" t="n">
        <f aca="false">Q278+N279</f>
        <v>144149.804914168</v>
      </c>
      <c r="S279" s="56" t="n">
        <f aca="false">S278+1</f>
        <v>272</v>
      </c>
      <c r="T279" s="57" t="n">
        <f aca="false">IF(AND(S279&lt;=Assumptions!$C$42,T278=1,X278=0,W278&gt;Assumptions!$C$43),1,0)</f>
        <v>0</v>
      </c>
      <c r="U279" s="58" t="n">
        <f aca="false">W278</f>
        <v>-182.103705036234</v>
      </c>
      <c r="V279" s="58" t="n">
        <f aca="false">IF(T279=1,U279*$B$22,0)</f>
        <v>0</v>
      </c>
      <c r="W279" s="58" t="n">
        <f aca="false">IF(T279=1,U279+V279-$B$27,U279)</f>
        <v>-182.103705036234</v>
      </c>
      <c r="X279" s="56" t="n">
        <f aca="false">IF(T279=1,IF($B$27&lt;=V279,1,0),0)</f>
        <v>0</v>
      </c>
      <c r="Y279" s="58" t="n">
        <f aca="false">Y278+V279</f>
        <v>113000.408372882</v>
      </c>
    </row>
    <row r="280" customFormat="false" ht="15" hidden="false" customHeight="false" outlineLevel="0" collapsed="false">
      <c r="K280" s="56" t="n">
        <f aca="false">K279+1</f>
        <v>273</v>
      </c>
      <c r="L280" s="57" t="n">
        <f aca="false">IF(AND(K280&lt;=Assumptions!$C$42,L279=1,P279=0,O279&gt;Assumptions!$C$43),1,0)</f>
        <v>1</v>
      </c>
      <c r="M280" s="58" t="n">
        <f aca="false">O279</f>
        <v>35220.7535116839</v>
      </c>
      <c r="N280" s="58" t="n">
        <f aca="false">IF(L280=1,M280*$B$22,0)</f>
        <v>117.402511705613</v>
      </c>
      <c r="O280" s="58" t="n">
        <f aca="false">IF(L280=1,M280+N280-$B$26,M280)</f>
        <v>34018.5639226451</v>
      </c>
      <c r="P280" s="56" t="n">
        <f aca="false">IF(L280=1,IF($B$26&lt;=N280,1,0),0)</f>
        <v>0</v>
      </c>
      <c r="Q280" s="58" t="n">
        <f aca="false">Q279+N280</f>
        <v>144267.207425874</v>
      </c>
      <c r="S280" s="56" t="n">
        <f aca="false">S279+1</f>
        <v>273</v>
      </c>
      <c r="T280" s="57" t="n">
        <f aca="false">IF(AND(S280&lt;=Assumptions!$C$42,T279=1,X279=0,W279&gt;Assumptions!$C$43),1,0)</f>
        <v>0</v>
      </c>
      <c r="U280" s="58" t="n">
        <f aca="false">W279</f>
        <v>-182.103705036234</v>
      </c>
      <c r="V280" s="58" t="n">
        <f aca="false">IF(T280=1,U280*$B$22,0)</f>
        <v>0</v>
      </c>
      <c r="W280" s="58" t="n">
        <f aca="false">IF(T280=1,U280+V280-$B$27,U280)</f>
        <v>-182.103705036234</v>
      </c>
      <c r="X280" s="56" t="n">
        <f aca="false">IF(T280=1,IF($B$27&lt;=V280,1,0),0)</f>
        <v>0</v>
      </c>
      <c r="Y280" s="58" t="n">
        <f aca="false">Y279+V280</f>
        <v>113000.408372882</v>
      </c>
    </row>
    <row r="281" customFormat="false" ht="15" hidden="false" customHeight="false" outlineLevel="0" collapsed="false">
      <c r="K281" s="56" t="n">
        <f aca="false">K280+1</f>
        <v>274</v>
      </c>
      <c r="L281" s="57" t="n">
        <f aca="false">IF(AND(K281&lt;=Assumptions!$C$42,L280=1,P280=0,O280&gt;Assumptions!$C$43),1,0)</f>
        <v>1</v>
      </c>
      <c r="M281" s="58" t="n">
        <f aca="false">O280</f>
        <v>34018.5639226451</v>
      </c>
      <c r="N281" s="58" t="n">
        <f aca="false">IF(L281=1,M281*$B$22,0)</f>
        <v>113.395213075484</v>
      </c>
      <c r="O281" s="58" t="n">
        <f aca="false">IF(L281=1,M281+N281-$B$26,M281)</f>
        <v>32812.3670349761</v>
      </c>
      <c r="P281" s="56" t="n">
        <f aca="false">IF(L281=1,IF($B$26&lt;=N281,1,0),0)</f>
        <v>0</v>
      </c>
      <c r="Q281" s="58" t="n">
        <f aca="false">Q280+N281</f>
        <v>144380.602638949</v>
      </c>
      <c r="S281" s="56" t="n">
        <f aca="false">S280+1</f>
        <v>274</v>
      </c>
      <c r="T281" s="57" t="n">
        <f aca="false">IF(AND(S281&lt;=Assumptions!$C$42,T280=1,X280=0,W280&gt;Assumptions!$C$43),1,0)</f>
        <v>0</v>
      </c>
      <c r="U281" s="58" t="n">
        <f aca="false">W280</f>
        <v>-182.103705036234</v>
      </c>
      <c r="V281" s="58" t="n">
        <f aca="false">IF(T281=1,U281*$B$22,0)</f>
        <v>0</v>
      </c>
      <c r="W281" s="58" t="n">
        <f aca="false">IF(T281=1,U281+V281-$B$27,U281)</f>
        <v>-182.103705036234</v>
      </c>
      <c r="X281" s="56" t="n">
        <f aca="false">IF(T281=1,IF($B$27&lt;=V281,1,0),0)</f>
        <v>0</v>
      </c>
      <c r="Y281" s="58" t="n">
        <f aca="false">Y280+V281</f>
        <v>113000.408372882</v>
      </c>
    </row>
    <row r="282" customFormat="false" ht="15" hidden="false" customHeight="false" outlineLevel="0" collapsed="false">
      <c r="K282" s="56" t="n">
        <f aca="false">K281+1</f>
        <v>275</v>
      </c>
      <c r="L282" s="57" t="n">
        <f aca="false">IF(AND(K282&lt;=Assumptions!$C$42,L281=1,P281=0,O281&gt;Assumptions!$C$43),1,0)</f>
        <v>1</v>
      </c>
      <c r="M282" s="58" t="n">
        <f aca="false">O281</f>
        <v>32812.3670349761</v>
      </c>
      <c r="N282" s="58" t="n">
        <f aca="false">IF(L282=1,M282*$B$22,0)</f>
        <v>109.374556783254</v>
      </c>
      <c r="O282" s="58" t="n">
        <f aca="false">IF(L282=1,M282+N282-$B$26,M282)</f>
        <v>31602.149491015</v>
      </c>
      <c r="P282" s="56" t="n">
        <f aca="false">IF(L282=1,IF($B$26&lt;=N282,1,0),0)</f>
        <v>0</v>
      </c>
      <c r="Q282" s="58" t="n">
        <f aca="false">Q281+N282</f>
        <v>144489.977195732</v>
      </c>
      <c r="S282" s="56" t="n">
        <f aca="false">S281+1</f>
        <v>275</v>
      </c>
      <c r="T282" s="57" t="n">
        <f aca="false">IF(AND(S282&lt;=Assumptions!$C$42,T281=1,X281=0,W281&gt;Assumptions!$C$43),1,0)</f>
        <v>0</v>
      </c>
      <c r="U282" s="58" t="n">
        <f aca="false">W281</f>
        <v>-182.103705036234</v>
      </c>
      <c r="V282" s="58" t="n">
        <f aca="false">IF(T282=1,U282*$B$22,0)</f>
        <v>0</v>
      </c>
      <c r="W282" s="58" t="n">
        <f aca="false">IF(T282=1,U282+V282-$B$27,U282)</f>
        <v>-182.103705036234</v>
      </c>
      <c r="X282" s="56" t="n">
        <f aca="false">IF(T282=1,IF($B$27&lt;=V282,1,0),0)</f>
        <v>0</v>
      </c>
      <c r="Y282" s="58" t="n">
        <f aca="false">Y281+V282</f>
        <v>113000.408372882</v>
      </c>
    </row>
    <row r="283" customFormat="false" ht="15" hidden="false" customHeight="false" outlineLevel="0" collapsed="false">
      <c r="K283" s="56" t="n">
        <f aca="false">K282+1</f>
        <v>276</v>
      </c>
      <c r="L283" s="57" t="n">
        <f aca="false">IF(AND(K283&lt;=Assumptions!$C$42,L282=1,P282=0,O282&gt;Assumptions!$C$43),1,0)</f>
        <v>1</v>
      </c>
      <c r="M283" s="58" t="n">
        <f aca="false">O282</f>
        <v>31602.149491015</v>
      </c>
      <c r="N283" s="58" t="n">
        <f aca="false">IF(L283=1,M283*$B$22,0)</f>
        <v>105.340498303383</v>
      </c>
      <c r="O283" s="58" t="n">
        <f aca="false">IF(L283=1,M283+N283-$B$26,M283)</f>
        <v>30387.8978885739</v>
      </c>
      <c r="P283" s="56" t="n">
        <f aca="false">IF(L283=1,IF($B$26&lt;=N283,1,0),0)</f>
        <v>0</v>
      </c>
      <c r="Q283" s="58" t="n">
        <f aca="false">Q282+N283</f>
        <v>144595.317694036</v>
      </c>
      <c r="S283" s="56" t="n">
        <f aca="false">S282+1</f>
        <v>276</v>
      </c>
      <c r="T283" s="57" t="n">
        <f aca="false">IF(AND(S283&lt;=Assumptions!$C$42,T282=1,X282=0,W282&gt;Assumptions!$C$43),1,0)</f>
        <v>0</v>
      </c>
      <c r="U283" s="58" t="n">
        <f aca="false">W282</f>
        <v>-182.103705036234</v>
      </c>
      <c r="V283" s="58" t="n">
        <f aca="false">IF(T283=1,U283*$B$22,0)</f>
        <v>0</v>
      </c>
      <c r="W283" s="58" t="n">
        <f aca="false">IF(T283=1,U283+V283-$B$27,U283)</f>
        <v>-182.103705036234</v>
      </c>
      <c r="X283" s="56" t="n">
        <f aca="false">IF(T283=1,IF($B$27&lt;=V283,1,0),0)</f>
        <v>0</v>
      </c>
      <c r="Y283" s="58" t="n">
        <f aca="false">Y282+V283</f>
        <v>113000.408372882</v>
      </c>
    </row>
    <row r="284" customFormat="false" ht="15" hidden="false" customHeight="false" outlineLevel="0" collapsed="false">
      <c r="K284" s="56" t="n">
        <f aca="false">K283+1</f>
        <v>277</v>
      </c>
      <c r="L284" s="57" t="n">
        <f aca="false">IF(AND(K284&lt;=Assumptions!$C$42,L283=1,P283=0,O283&gt;Assumptions!$C$43),1,0)</f>
        <v>1</v>
      </c>
      <c r="M284" s="58" t="n">
        <f aca="false">O283</f>
        <v>30387.8978885739</v>
      </c>
      <c r="N284" s="58" t="n">
        <f aca="false">IF(L284=1,M284*$B$22,0)</f>
        <v>101.292992961913</v>
      </c>
      <c r="O284" s="58" t="n">
        <f aca="false">IF(L284=1,M284+N284-$B$26,M284)</f>
        <v>29169.5987807914</v>
      </c>
      <c r="P284" s="56" t="n">
        <f aca="false">IF(L284=1,IF($B$26&lt;=N284,1,0),0)</f>
        <v>0</v>
      </c>
      <c r="Q284" s="58" t="n">
        <f aca="false">Q283+N284</f>
        <v>144696.610686998</v>
      </c>
      <c r="S284" s="56" t="n">
        <f aca="false">S283+1</f>
        <v>277</v>
      </c>
      <c r="T284" s="57" t="n">
        <f aca="false">IF(AND(S284&lt;=Assumptions!$C$42,T283=1,X283=0,W283&gt;Assumptions!$C$43),1,0)</f>
        <v>0</v>
      </c>
      <c r="U284" s="58" t="n">
        <f aca="false">W283</f>
        <v>-182.103705036234</v>
      </c>
      <c r="V284" s="58" t="n">
        <f aca="false">IF(T284=1,U284*$B$22,0)</f>
        <v>0</v>
      </c>
      <c r="W284" s="58" t="n">
        <f aca="false">IF(T284=1,U284+V284-$B$27,U284)</f>
        <v>-182.103705036234</v>
      </c>
      <c r="X284" s="56" t="n">
        <f aca="false">IF(T284=1,IF($B$27&lt;=V284,1,0),0)</f>
        <v>0</v>
      </c>
      <c r="Y284" s="58" t="n">
        <f aca="false">Y283+V284</f>
        <v>113000.408372882</v>
      </c>
    </row>
    <row r="285" customFormat="false" ht="15" hidden="false" customHeight="false" outlineLevel="0" collapsed="false">
      <c r="K285" s="56" t="n">
        <f aca="false">K284+1</f>
        <v>278</v>
      </c>
      <c r="L285" s="57" t="n">
        <f aca="false">IF(AND(K285&lt;=Assumptions!$C$42,L284=1,P284=0,O284&gt;Assumptions!$C$43),1,0)</f>
        <v>1</v>
      </c>
      <c r="M285" s="58" t="n">
        <f aca="false">O284</f>
        <v>29169.5987807914</v>
      </c>
      <c r="N285" s="58" t="n">
        <f aca="false">IF(L285=1,M285*$B$22,0)</f>
        <v>97.2319959359713</v>
      </c>
      <c r="O285" s="58" t="n">
        <f aca="false">IF(L285=1,M285+N285-$B$26,M285)</f>
        <v>27947.2386759829</v>
      </c>
      <c r="P285" s="56" t="n">
        <f aca="false">IF(L285=1,IF($B$26&lt;=N285,1,0),0)</f>
        <v>0</v>
      </c>
      <c r="Q285" s="58" t="n">
        <f aca="false">Q284+N285</f>
        <v>144793.842682934</v>
      </c>
      <c r="S285" s="56" t="n">
        <f aca="false">S284+1</f>
        <v>278</v>
      </c>
      <c r="T285" s="57" t="n">
        <f aca="false">IF(AND(S285&lt;=Assumptions!$C$42,T284=1,X284=0,W284&gt;Assumptions!$C$43),1,0)</f>
        <v>0</v>
      </c>
      <c r="U285" s="58" t="n">
        <f aca="false">W284</f>
        <v>-182.103705036234</v>
      </c>
      <c r="V285" s="58" t="n">
        <f aca="false">IF(T285=1,U285*$B$22,0)</f>
        <v>0</v>
      </c>
      <c r="W285" s="58" t="n">
        <f aca="false">IF(T285=1,U285+V285-$B$27,U285)</f>
        <v>-182.103705036234</v>
      </c>
      <c r="X285" s="56" t="n">
        <f aca="false">IF(T285=1,IF($B$27&lt;=V285,1,0),0)</f>
        <v>0</v>
      </c>
      <c r="Y285" s="58" t="n">
        <f aca="false">Y284+V285</f>
        <v>113000.408372882</v>
      </c>
    </row>
    <row r="286" customFormat="false" ht="15" hidden="false" customHeight="false" outlineLevel="0" collapsed="false">
      <c r="K286" s="56" t="n">
        <f aca="false">K285+1</f>
        <v>279</v>
      </c>
      <c r="L286" s="57" t="n">
        <f aca="false">IF(AND(K286&lt;=Assumptions!$C$42,L285=1,P285=0,O285&gt;Assumptions!$C$43),1,0)</f>
        <v>1</v>
      </c>
      <c r="M286" s="58" t="n">
        <f aca="false">O285</f>
        <v>27947.2386759829</v>
      </c>
      <c r="N286" s="58" t="n">
        <f aca="false">IF(L286=1,M286*$B$22,0)</f>
        <v>93.1574622532765</v>
      </c>
      <c r="O286" s="58" t="n">
        <f aca="false">IF(L286=1,M286+N286-$B$26,M286)</f>
        <v>26720.8040374918</v>
      </c>
      <c r="P286" s="56" t="n">
        <f aca="false">IF(L286=1,IF($B$26&lt;=N286,1,0),0)</f>
        <v>0</v>
      </c>
      <c r="Q286" s="58" t="n">
        <f aca="false">Q285+N286</f>
        <v>144887.000145187</v>
      </c>
      <c r="S286" s="56" t="n">
        <f aca="false">S285+1</f>
        <v>279</v>
      </c>
      <c r="T286" s="57" t="n">
        <f aca="false">IF(AND(S286&lt;=Assumptions!$C$42,T285=1,X285=0,W285&gt;Assumptions!$C$43),1,0)</f>
        <v>0</v>
      </c>
      <c r="U286" s="58" t="n">
        <f aca="false">W285</f>
        <v>-182.103705036234</v>
      </c>
      <c r="V286" s="58" t="n">
        <f aca="false">IF(T286=1,U286*$B$22,0)</f>
        <v>0</v>
      </c>
      <c r="W286" s="58" t="n">
        <f aca="false">IF(T286=1,U286+V286-$B$27,U286)</f>
        <v>-182.103705036234</v>
      </c>
      <c r="X286" s="56" t="n">
        <f aca="false">IF(T286=1,IF($B$27&lt;=V286,1,0),0)</f>
        <v>0</v>
      </c>
      <c r="Y286" s="58" t="n">
        <f aca="false">Y285+V286</f>
        <v>113000.408372882</v>
      </c>
    </row>
    <row r="287" customFormat="false" ht="15" hidden="false" customHeight="false" outlineLevel="0" collapsed="false">
      <c r="K287" s="56" t="n">
        <f aca="false">K286+1</f>
        <v>280</v>
      </c>
      <c r="L287" s="57" t="n">
        <f aca="false">IF(AND(K287&lt;=Assumptions!$C$42,L286=1,P286=0,O286&gt;Assumptions!$C$43),1,0)</f>
        <v>1</v>
      </c>
      <c r="M287" s="58" t="n">
        <f aca="false">O286</f>
        <v>26720.8040374918</v>
      </c>
      <c r="N287" s="58" t="n">
        <f aca="false">IF(L287=1,M287*$B$22,0)</f>
        <v>89.0693467916393</v>
      </c>
      <c r="O287" s="58" t="n">
        <f aca="false">IF(L287=1,M287+N287-$B$26,M287)</f>
        <v>25490.281283539</v>
      </c>
      <c r="P287" s="56" t="n">
        <f aca="false">IF(L287=1,IF($B$26&lt;=N287,1,0),0)</f>
        <v>0</v>
      </c>
      <c r="Q287" s="58" t="n">
        <f aca="false">Q286+N287</f>
        <v>144976.069491979</v>
      </c>
      <c r="S287" s="56" t="n">
        <f aca="false">S286+1</f>
        <v>280</v>
      </c>
      <c r="T287" s="57" t="n">
        <f aca="false">IF(AND(S287&lt;=Assumptions!$C$42,T286=1,X286=0,W286&gt;Assumptions!$C$43),1,0)</f>
        <v>0</v>
      </c>
      <c r="U287" s="58" t="n">
        <f aca="false">W286</f>
        <v>-182.103705036234</v>
      </c>
      <c r="V287" s="58" t="n">
        <f aca="false">IF(T287=1,U287*$B$22,0)</f>
        <v>0</v>
      </c>
      <c r="W287" s="58" t="n">
        <f aca="false">IF(T287=1,U287+V287-$B$27,U287)</f>
        <v>-182.103705036234</v>
      </c>
      <c r="X287" s="56" t="n">
        <f aca="false">IF(T287=1,IF($B$27&lt;=V287,1,0),0)</f>
        <v>0</v>
      </c>
      <c r="Y287" s="58" t="n">
        <f aca="false">Y286+V287</f>
        <v>113000.408372882</v>
      </c>
    </row>
    <row r="288" customFormat="false" ht="15" hidden="false" customHeight="false" outlineLevel="0" collapsed="false">
      <c r="K288" s="56" t="n">
        <f aca="false">K287+1</f>
        <v>281</v>
      </c>
      <c r="L288" s="57" t="n">
        <f aca="false">IF(AND(K288&lt;=Assumptions!$C$42,L287=1,P287=0,O287&gt;Assumptions!$C$43),1,0)</f>
        <v>1</v>
      </c>
      <c r="M288" s="58" t="n">
        <f aca="false">O287</f>
        <v>25490.281283539</v>
      </c>
      <c r="N288" s="58" t="n">
        <f aca="false">IF(L288=1,M288*$B$22,0)</f>
        <v>84.9676042784633</v>
      </c>
      <c r="O288" s="58" t="n">
        <f aca="false">IF(L288=1,M288+N288-$B$26,M288)</f>
        <v>24255.656787073</v>
      </c>
      <c r="P288" s="56" t="n">
        <f aca="false">IF(L288=1,IF($B$26&lt;=N288,1,0),0)</f>
        <v>0</v>
      </c>
      <c r="Q288" s="58" t="n">
        <f aca="false">Q287+N288</f>
        <v>145061.037096257</v>
      </c>
      <c r="S288" s="56" t="n">
        <f aca="false">S287+1</f>
        <v>281</v>
      </c>
      <c r="T288" s="57" t="n">
        <f aca="false">IF(AND(S288&lt;=Assumptions!$C$42,T287=1,X287=0,W287&gt;Assumptions!$C$43),1,0)</f>
        <v>0</v>
      </c>
      <c r="U288" s="58" t="n">
        <f aca="false">W287</f>
        <v>-182.103705036234</v>
      </c>
      <c r="V288" s="58" t="n">
        <f aca="false">IF(T288=1,U288*$B$22,0)</f>
        <v>0</v>
      </c>
      <c r="W288" s="58" t="n">
        <f aca="false">IF(T288=1,U288+V288-$B$27,U288)</f>
        <v>-182.103705036234</v>
      </c>
      <c r="X288" s="56" t="n">
        <f aca="false">IF(T288=1,IF($B$27&lt;=V288,1,0),0)</f>
        <v>0</v>
      </c>
      <c r="Y288" s="58" t="n">
        <f aca="false">Y287+V288</f>
        <v>113000.408372882</v>
      </c>
    </row>
    <row r="289" customFormat="false" ht="15" hidden="false" customHeight="false" outlineLevel="0" collapsed="false">
      <c r="K289" s="56" t="n">
        <f aca="false">K288+1</f>
        <v>282</v>
      </c>
      <c r="L289" s="57" t="n">
        <f aca="false">IF(AND(K289&lt;=Assumptions!$C$42,L288=1,P288=0,O288&gt;Assumptions!$C$43),1,0)</f>
        <v>1</v>
      </c>
      <c r="M289" s="58" t="n">
        <f aca="false">O288</f>
        <v>24255.656787073</v>
      </c>
      <c r="N289" s="58" t="n">
        <f aca="false">IF(L289=1,M289*$B$22,0)</f>
        <v>80.8521892902434</v>
      </c>
      <c r="O289" s="58" t="n">
        <f aca="false">IF(L289=1,M289+N289-$B$26,M289)</f>
        <v>23016.9168756189</v>
      </c>
      <c r="P289" s="56" t="n">
        <f aca="false">IF(L289=1,IF($B$26&lt;=N289,1,0),0)</f>
        <v>0</v>
      </c>
      <c r="Q289" s="58" t="n">
        <f aca="false">Q288+N289</f>
        <v>145141.889285547</v>
      </c>
      <c r="S289" s="56" t="n">
        <f aca="false">S288+1</f>
        <v>282</v>
      </c>
      <c r="T289" s="57" t="n">
        <f aca="false">IF(AND(S289&lt;=Assumptions!$C$42,T288=1,X288=0,W288&gt;Assumptions!$C$43),1,0)</f>
        <v>0</v>
      </c>
      <c r="U289" s="58" t="n">
        <f aca="false">W288</f>
        <v>-182.103705036234</v>
      </c>
      <c r="V289" s="58" t="n">
        <f aca="false">IF(T289=1,U289*$B$22,0)</f>
        <v>0</v>
      </c>
      <c r="W289" s="58" t="n">
        <f aca="false">IF(T289=1,U289+V289-$B$27,U289)</f>
        <v>-182.103705036234</v>
      </c>
      <c r="X289" s="56" t="n">
        <f aca="false">IF(T289=1,IF($B$27&lt;=V289,1,0),0)</f>
        <v>0</v>
      </c>
      <c r="Y289" s="58" t="n">
        <f aca="false">Y288+V289</f>
        <v>113000.408372882</v>
      </c>
    </row>
    <row r="290" customFormat="false" ht="15" hidden="false" customHeight="false" outlineLevel="0" collapsed="false">
      <c r="K290" s="56" t="n">
        <f aca="false">K289+1</f>
        <v>283</v>
      </c>
      <c r="L290" s="57" t="n">
        <f aca="false">IF(AND(K290&lt;=Assumptions!$C$42,L289=1,P289=0,O289&gt;Assumptions!$C$43),1,0)</f>
        <v>1</v>
      </c>
      <c r="M290" s="58" t="n">
        <f aca="false">O289</f>
        <v>23016.9168756189</v>
      </c>
      <c r="N290" s="58" t="n">
        <f aca="false">IF(L290=1,M290*$B$22,0)</f>
        <v>76.7230562520628</v>
      </c>
      <c r="O290" s="58" t="n">
        <f aca="false">IF(L290=1,M290+N290-$B$26,M290)</f>
        <v>21774.0478311265</v>
      </c>
      <c r="P290" s="56" t="n">
        <f aca="false">IF(L290=1,IF($B$26&lt;=N290,1,0),0)</f>
        <v>0</v>
      </c>
      <c r="Q290" s="58" t="n">
        <f aca="false">Q289+N290</f>
        <v>145218.612341799</v>
      </c>
      <c r="S290" s="56" t="n">
        <f aca="false">S289+1</f>
        <v>283</v>
      </c>
      <c r="T290" s="57" t="n">
        <f aca="false">IF(AND(S290&lt;=Assumptions!$C$42,T289=1,X289=0,W289&gt;Assumptions!$C$43),1,0)</f>
        <v>0</v>
      </c>
      <c r="U290" s="58" t="n">
        <f aca="false">W289</f>
        <v>-182.103705036234</v>
      </c>
      <c r="V290" s="58" t="n">
        <f aca="false">IF(T290=1,U290*$B$22,0)</f>
        <v>0</v>
      </c>
      <c r="W290" s="58" t="n">
        <f aca="false">IF(T290=1,U290+V290-$B$27,U290)</f>
        <v>-182.103705036234</v>
      </c>
      <c r="X290" s="56" t="n">
        <f aca="false">IF(T290=1,IF($B$27&lt;=V290,1,0),0)</f>
        <v>0</v>
      </c>
      <c r="Y290" s="58" t="n">
        <f aca="false">Y289+V290</f>
        <v>113000.408372882</v>
      </c>
    </row>
    <row r="291" customFormat="false" ht="15" hidden="false" customHeight="false" outlineLevel="0" collapsed="false">
      <c r="K291" s="56" t="n">
        <f aca="false">K290+1</f>
        <v>284</v>
      </c>
      <c r="L291" s="57" t="n">
        <f aca="false">IF(AND(K291&lt;=Assumptions!$C$42,L290=1,P290=0,O290&gt;Assumptions!$C$43),1,0)</f>
        <v>1</v>
      </c>
      <c r="M291" s="58" t="n">
        <f aca="false">O290</f>
        <v>21774.0478311265</v>
      </c>
      <c r="N291" s="58" t="n">
        <f aca="false">IF(L291=1,M291*$B$22,0)</f>
        <v>72.5801594370883</v>
      </c>
      <c r="O291" s="58" t="n">
        <f aca="false">IF(L291=1,M291+N291-$B$26,M291)</f>
        <v>20527.0358898191</v>
      </c>
      <c r="P291" s="56" t="n">
        <f aca="false">IF(L291=1,IF($B$26&lt;=N291,1,0),0)</f>
        <v>0</v>
      </c>
      <c r="Q291" s="58" t="n">
        <f aca="false">Q290+N291</f>
        <v>145291.192501236</v>
      </c>
      <c r="S291" s="56" t="n">
        <f aca="false">S290+1</f>
        <v>284</v>
      </c>
      <c r="T291" s="57" t="n">
        <f aca="false">IF(AND(S291&lt;=Assumptions!$C$42,T290=1,X290=0,W290&gt;Assumptions!$C$43),1,0)</f>
        <v>0</v>
      </c>
      <c r="U291" s="58" t="n">
        <f aca="false">W290</f>
        <v>-182.103705036234</v>
      </c>
      <c r="V291" s="58" t="n">
        <f aca="false">IF(T291=1,U291*$B$22,0)</f>
        <v>0</v>
      </c>
      <c r="W291" s="58" t="n">
        <f aca="false">IF(T291=1,U291+V291-$B$27,U291)</f>
        <v>-182.103705036234</v>
      </c>
      <c r="X291" s="56" t="n">
        <f aca="false">IF(T291=1,IF($B$27&lt;=V291,1,0),0)</f>
        <v>0</v>
      </c>
      <c r="Y291" s="58" t="n">
        <f aca="false">Y290+V291</f>
        <v>113000.408372882</v>
      </c>
    </row>
    <row r="292" customFormat="false" ht="15" hidden="false" customHeight="false" outlineLevel="0" collapsed="false">
      <c r="K292" s="56" t="n">
        <f aca="false">K291+1</f>
        <v>285</v>
      </c>
      <c r="L292" s="57" t="n">
        <f aca="false">IF(AND(K292&lt;=Assumptions!$C$42,L291=1,P291=0,O291&gt;Assumptions!$C$43),1,0)</f>
        <v>1</v>
      </c>
      <c r="M292" s="58" t="n">
        <f aca="false">O291</f>
        <v>20527.0358898191</v>
      </c>
      <c r="N292" s="58" t="n">
        <f aca="false">IF(L292=1,M292*$B$22,0)</f>
        <v>68.4234529660638</v>
      </c>
      <c r="O292" s="58" t="n">
        <f aca="false">IF(L292=1,M292+N292-$B$26,M292)</f>
        <v>19275.8672420408</v>
      </c>
      <c r="P292" s="56" t="n">
        <f aca="false">IF(L292=1,IF($B$26&lt;=N292,1,0),0)</f>
        <v>0</v>
      </c>
      <c r="Q292" s="58" t="n">
        <f aca="false">Q291+N292</f>
        <v>145359.615954202</v>
      </c>
      <c r="S292" s="56" t="n">
        <f aca="false">S291+1</f>
        <v>285</v>
      </c>
      <c r="T292" s="57" t="n">
        <f aca="false">IF(AND(S292&lt;=Assumptions!$C$42,T291=1,X291=0,W291&gt;Assumptions!$C$43),1,0)</f>
        <v>0</v>
      </c>
      <c r="U292" s="58" t="n">
        <f aca="false">W291</f>
        <v>-182.103705036234</v>
      </c>
      <c r="V292" s="58" t="n">
        <f aca="false">IF(T292=1,U292*$B$22,0)</f>
        <v>0</v>
      </c>
      <c r="W292" s="58" t="n">
        <f aca="false">IF(T292=1,U292+V292-$B$27,U292)</f>
        <v>-182.103705036234</v>
      </c>
      <c r="X292" s="56" t="n">
        <f aca="false">IF(T292=1,IF($B$27&lt;=V292,1,0),0)</f>
        <v>0</v>
      </c>
      <c r="Y292" s="58" t="n">
        <f aca="false">Y291+V292</f>
        <v>113000.408372882</v>
      </c>
    </row>
    <row r="293" customFormat="false" ht="15" hidden="false" customHeight="false" outlineLevel="0" collapsed="false">
      <c r="K293" s="56" t="n">
        <f aca="false">K292+1</f>
        <v>286</v>
      </c>
      <c r="L293" s="57" t="n">
        <f aca="false">IF(AND(K293&lt;=Assumptions!$C$42,L292=1,P292=0,O292&gt;Assumptions!$C$43),1,0)</f>
        <v>1</v>
      </c>
      <c r="M293" s="58" t="n">
        <f aca="false">O292</f>
        <v>19275.8672420408</v>
      </c>
      <c r="N293" s="58" t="n">
        <f aca="false">IF(L293=1,M293*$B$22,0)</f>
        <v>64.2528908068026</v>
      </c>
      <c r="O293" s="58" t="n">
        <f aca="false">IF(L293=1,M293+N293-$B$26,M293)</f>
        <v>18020.5280321032</v>
      </c>
      <c r="P293" s="56" t="n">
        <f aca="false">IF(L293=1,IF($B$26&lt;=N293,1,0),0)</f>
        <v>0</v>
      </c>
      <c r="Q293" s="58" t="n">
        <f aca="false">Q292+N293</f>
        <v>145423.868845009</v>
      </c>
      <c r="S293" s="56" t="n">
        <f aca="false">S292+1</f>
        <v>286</v>
      </c>
      <c r="T293" s="57" t="n">
        <f aca="false">IF(AND(S293&lt;=Assumptions!$C$42,T292=1,X292=0,W292&gt;Assumptions!$C$43),1,0)</f>
        <v>0</v>
      </c>
      <c r="U293" s="58" t="n">
        <f aca="false">W292</f>
        <v>-182.103705036234</v>
      </c>
      <c r="V293" s="58" t="n">
        <f aca="false">IF(T293=1,U293*$B$22,0)</f>
        <v>0</v>
      </c>
      <c r="W293" s="58" t="n">
        <f aca="false">IF(T293=1,U293+V293-$B$27,U293)</f>
        <v>-182.103705036234</v>
      </c>
      <c r="X293" s="56" t="n">
        <f aca="false">IF(T293=1,IF($B$27&lt;=V293,1,0),0)</f>
        <v>0</v>
      </c>
      <c r="Y293" s="58" t="n">
        <f aca="false">Y292+V293</f>
        <v>113000.408372882</v>
      </c>
    </row>
    <row r="294" customFormat="false" ht="15" hidden="false" customHeight="false" outlineLevel="0" collapsed="false">
      <c r="K294" s="56" t="n">
        <f aca="false">K293+1</f>
        <v>287</v>
      </c>
      <c r="L294" s="57" t="n">
        <f aca="false">IF(AND(K294&lt;=Assumptions!$C$42,L293=1,P293=0,O293&gt;Assumptions!$C$43),1,0)</f>
        <v>1</v>
      </c>
      <c r="M294" s="58" t="n">
        <f aca="false">O293</f>
        <v>18020.5280321032</v>
      </c>
      <c r="N294" s="58" t="n">
        <f aca="false">IF(L294=1,M294*$B$22,0)</f>
        <v>60.0684267736772</v>
      </c>
      <c r="O294" s="58" t="n">
        <f aca="false">IF(L294=1,M294+N294-$B$26,M294)</f>
        <v>16761.0043581324</v>
      </c>
      <c r="P294" s="56" t="n">
        <f aca="false">IF(L294=1,IF($B$26&lt;=N294,1,0),0)</f>
        <v>0</v>
      </c>
      <c r="Q294" s="58" t="n">
        <f aca="false">Q293+N294</f>
        <v>145483.937271783</v>
      </c>
      <c r="S294" s="56" t="n">
        <f aca="false">S293+1</f>
        <v>287</v>
      </c>
      <c r="T294" s="57" t="n">
        <f aca="false">IF(AND(S294&lt;=Assumptions!$C$42,T293=1,X293=0,W293&gt;Assumptions!$C$43),1,0)</f>
        <v>0</v>
      </c>
      <c r="U294" s="58" t="n">
        <f aca="false">W293</f>
        <v>-182.103705036234</v>
      </c>
      <c r="V294" s="58" t="n">
        <f aca="false">IF(T294=1,U294*$B$22,0)</f>
        <v>0</v>
      </c>
      <c r="W294" s="58" t="n">
        <f aca="false">IF(T294=1,U294+V294-$B$27,U294)</f>
        <v>-182.103705036234</v>
      </c>
      <c r="X294" s="56" t="n">
        <f aca="false">IF(T294=1,IF($B$27&lt;=V294,1,0),0)</f>
        <v>0</v>
      </c>
      <c r="Y294" s="58" t="n">
        <f aca="false">Y293+V294</f>
        <v>113000.408372882</v>
      </c>
    </row>
    <row r="295" customFormat="false" ht="15" hidden="false" customHeight="false" outlineLevel="0" collapsed="false">
      <c r="K295" s="56" t="n">
        <f aca="false">K294+1</f>
        <v>288</v>
      </c>
      <c r="L295" s="57" t="n">
        <f aca="false">IF(AND(K295&lt;=Assumptions!$C$42,L294=1,P294=0,O294&gt;Assumptions!$C$43),1,0)</f>
        <v>1</v>
      </c>
      <c r="M295" s="58" t="n">
        <f aca="false">O294</f>
        <v>16761.0043581324</v>
      </c>
      <c r="N295" s="58" t="n">
        <f aca="false">IF(L295=1,M295*$B$22,0)</f>
        <v>55.870014527108</v>
      </c>
      <c r="O295" s="58" t="n">
        <f aca="false">IF(L295=1,M295+N295-$B$26,M295)</f>
        <v>15497.2822719151</v>
      </c>
      <c r="P295" s="56" t="n">
        <f aca="false">IF(L295=1,IF($B$26&lt;=N295,1,0),0)</f>
        <v>0</v>
      </c>
      <c r="Q295" s="58" t="n">
        <f aca="false">Q294+N295</f>
        <v>145539.80728631</v>
      </c>
      <c r="S295" s="56" t="n">
        <f aca="false">S294+1</f>
        <v>288</v>
      </c>
      <c r="T295" s="57" t="n">
        <f aca="false">IF(AND(S295&lt;=Assumptions!$C$42,T294=1,X294=0,W294&gt;Assumptions!$C$43),1,0)</f>
        <v>0</v>
      </c>
      <c r="U295" s="58" t="n">
        <f aca="false">W294</f>
        <v>-182.103705036234</v>
      </c>
      <c r="V295" s="58" t="n">
        <f aca="false">IF(T295=1,U295*$B$22,0)</f>
        <v>0</v>
      </c>
      <c r="W295" s="58" t="n">
        <f aca="false">IF(T295=1,U295+V295-$B$27,U295)</f>
        <v>-182.103705036234</v>
      </c>
      <c r="X295" s="56" t="n">
        <f aca="false">IF(T295=1,IF($B$27&lt;=V295,1,0),0)</f>
        <v>0</v>
      </c>
      <c r="Y295" s="58" t="n">
        <f aca="false">Y294+V295</f>
        <v>113000.408372882</v>
      </c>
    </row>
    <row r="296" customFormat="false" ht="15" hidden="false" customHeight="false" outlineLevel="0" collapsed="false">
      <c r="K296" s="56" t="n">
        <f aca="false">K295+1</f>
        <v>289</v>
      </c>
      <c r="L296" s="57" t="n">
        <f aca="false">IF(AND(K296&lt;=Assumptions!$C$42,L295=1,P295=0,O295&gt;Assumptions!$C$43),1,0)</f>
        <v>1</v>
      </c>
      <c r="M296" s="58" t="n">
        <f aca="false">O295</f>
        <v>15497.2822719151</v>
      </c>
      <c r="N296" s="58" t="n">
        <f aca="false">IF(L296=1,M296*$B$22,0)</f>
        <v>51.6576075730503</v>
      </c>
      <c r="O296" s="58" t="n">
        <f aca="false">IF(L296=1,M296+N296-$B$26,M296)</f>
        <v>14229.3477787437</v>
      </c>
      <c r="P296" s="56" t="n">
        <f aca="false">IF(L296=1,IF($B$26&lt;=N296,1,0),0)</f>
        <v>0</v>
      </c>
      <c r="Q296" s="58" t="n">
        <f aca="false">Q295+N296</f>
        <v>145591.464893883</v>
      </c>
      <c r="S296" s="56" t="n">
        <f aca="false">S295+1</f>
        <v>289</v>
      </c>
      <c r="T296" s="57" t="n">
        <f aca="false">IF(AND(S296&lt;=Assumptions!$C$42,T295=1,X295=0,W295&gt;Assumptions!$C$43),1,0)</f>
        <v>0</v>
      </c>
      <c r="U296" s="58" t="n">
        <f aca="false">W295</f>
        <v>-182.103705036234</v>
      </c>
      <c r="V296" s="58" t="n">
        <f aca="false">IF(T296=1,U296*$B$22,0)</f>
        <v>0</v>
      </c>
      <c r="W296" s="58" t="n">
        <f aca="false">IF(T296=1,U296+V296-$B$27,U296)</f>
        <v>-182.103705036234</v>
      </c>
      <c r="X296" s="56" t="n">
        <f aca="false">IF(T296=1,IF($B$27&lt;=V296,1,0),0)</f>
        <v>0</v>
      </c>
      <c r="Y296" s="58" t="n">
        <f aca="false">Y295+V296</f>
        <v>113000.408372882</v>
      </c>
    </row>
    <row r="297" customFormat="false" ht="15" hidden="false" customHeight="false" outlineLevel="0" collapsed="false">
      <c r="K297" s="56" t="n">
        <f aca="false">K296+1</f>
        <v>290</v>
      </c>
      <c r="L297" s="57" t="n">
        <f aca="false">IF(AND(K297&lt;=Assumptions!$C$42,L296=1,P296=0,O296&gt;Assumptions!$C$43),1,0)</f>
        <v>1</v>
      </c>
      <c r="M297" s="58" t="n">
        <f aca="false">O296</f>
        <v>14229.3477787437</v>
      </c>
      <c r="N297" s="58" t="n">
        <f aca="false">IF(L297=1,M297*$B$22,0)</f>
        <v>47.4311592624791</v>
      </c>
      <c r="O297" s="58" t="n">
        <f aca="false">IF(L297=1,M297+N297-$B$26,M297)</f>
        <v>12957.1868372618</v>
      </c>
      <c r="P297" s="56" t="n">
        <f aca="false">IF(L297=1,IF($B$26&lt;=N297,1,0),0)</f>
        <v>0</v>
      </c>
      <c r="Q297" s="58" t="n">
        <f aca="false">Q296+N297</f>
        <v>145638.896053146</v>
      </c>
      <c r="S297" s="56" t="n">
        <f aca="false">S296+1</f>
        <v>290</v>
      </c>
      <c r="T297" s="57" t="n">
        <f aca="false">IF(AND(S297&lt;=Assumptions!$C$42,T296=1,X296=0,W296&gt;Assumptions!$C$43),1,0)</f>
        <v>0</v>
      </c>
      <c r="U297" s="58" t="n">
        <f aca="false">W296</f>
        <v>-182.103705036234</v>
      </c>
      <c r="V297" s="58" t="n">
        <f aca="false">IF(T297=1,U297*$B$22,0)</f>
        <v>0</v>
      </c>
      <c r="W297" s="58" t="n">
        <f aca="false">IF(T297=1,U297+V297-$B$27,U297)</f>
        <v>-182.103705036234</v>
      </c>
      <c r="X297" s="56" t="n">
        <f aca="false">IF(T297=1,IF($B$27&lt;=V297,1,0),0)</f>
        <v>0</v>
      </c>
      <c r="Y297" s="58" t="n">
        <f aca="false">Y296+V297</f>
        <v>113000.408372882</v>
      </c>
    </row>
    <row r="298" customFormat="false" ht="15" hidden="false" customHeight="false" outlineLevel="0" collapsed="false">
      <c r="K298" s="56" t="n">
        <f aca="false">K297+1</f>
        <v>291</v>
      </c>
      <c r="L298" s="57" t="n">
        <f aca="false">IF(AND(K298&lt;=Assumptions!$C$42,L297=1,P297=0,O297&gt;Assumptions!$C$43),1,0)</f>
        <v>1</v>
      </c>
      <c r="M298" s="58" t="n">
        <f aca="false">O297</f>
        <v>12957.1868372618</v>
      </c>
      <c r="N298" s="58" t="n">
        <f aca="false">IF(L298=1,M298*$B$22,0)</f>
        <v>43.1906227908726</v>
      </c>
      <c r="O298" s="58" t="n">
        <f aca="false">IF(L298=1,M298+N298-$B$26,M298)</f>
        <v>11680.7853593082</v>
      </c>
      <c r="P298" s="56" t="n">
        <f aca="false">IF(L298=1,IF($B$26&lt;=N298,1,0),0)</f>
        <v>0</v>
      </c>
      <c r="Q298" s="58" t="n">
        <f aca="false">Q297+N298</f>
        <v>145682.086675936</v>
      </c>
      <c r="S298" s="56" t="n">
        <f aca="false">S297+1</f>
        <v>291</v>
      </c>
      <c r="T298" s="57" t="n">
        <f aca="false">IF(AND(S298&lt;=Assumptions!$C$42,T297=1,X297=0,W297&gt;Assumptions!$C$43),1,0)</f>
        <v>0</v>
      </c>
      <c r="U298" s="58" t="n">
        <f aca="false">W297</f>
        <v>-182.103705036234</v>
      </c>
      <c r="V298" s="58" t="n">
        <f aca="false">IF(T298=1,U298*$B$22,0)</f>
        <v>0</v>
      </c>
      <c r="W298" s="58" t="n">
        <f aca="false">IF(T298=1,U298+V298-$B$27,U298)</f>
        <v>-182.103705036234</v>
      </c>
      <c r="X298" s="56" t="n">
        <f aca="false">IF(T298=1,IF($B$27&lt;=V298,1,0),0)</f>
        <v>0</v>
      </c>
      <c r="Y298" s="58" t="n">
        <f aca="false">Y297+V298</f>
        <v>113000.408372882</v>
      </c>
    </row>
    <row r="299" customFormat="false" ht="15" hidden="false" customHeight="false" outlineLevel="0" collapsed="false">
      <c r="K299" s="56" t="n">
        <f aca="false">K298+1</f>
        <v>292</v>
      </c>
      <c r="L299" s="57" t="n">
        <f aca="false">IF(AND(K299&lt;=Assumptions!$C$42,L298=1,P298=0,O298&gt;Assumptions!$C$43),1,0)</f>
        <v>1</v>
      </c>
      <c r="M299" s="58" t="n">
        <f aca="false">O298</f>
        <v>11680.7853593082</v>
      </c>
      <c r="N299" s="58" t="n">
        <f aca="false">IF(L299=1,M299*$B$22,0)</f>
        <v>38.9359511976941</v>
      </c>
      <c r="O299" s="58" t="n">
        <f aca="false">IF(L299=1,M299+N299-$B$26,M299)</f>
        <v>10400.1292097615</v>
      </c>
      <c r="P299" s="56" t="n">
        <f aca="false">IF(L299=1,IF($B$26&lt;=N299,1,0),0)</f>
        <v>0</v>
      </c>
      <c r="Q299" s="58" t="n">
        <f aca="false">Q298+N299</f>
        <v>145721.022627134</v>
      </c>
      <c r="S299" s="56" t="n">
        <f aca="false">S298+1</f>
        <v>292</v>
      </c>
      <c r="T299" s="57" t="n">
        <f aca="false">IF(AND(S299&lt;=Assumptions!$C$42,T298=1,X298=0,W298&gt;Assumptions!$C$43),1,0)</f>
        <v>0</v>
      </c>
      <c r="U299" s="58" t="n">
        <f aca="false">W298</f>
        <v>-182.103705036234</v>
      </c>
      <c r="V299" s="58" t="n">
        <f aca="false">IF(T299=1,U299*$B$22,0)</f>
        <v>0</v>
      </c>
      <c r="W299" s="58" t="n">
        <f aca="false">IF(T299=1,U299+V299-$B$27,U299)</f>
        <v>-182.103705036234</v>
      </c>
      <c r="X299" s="56" t="n">
        <f aca="false">IF(T299=1,IF($B$27&lt;=V299,1,0),0)</f>
        <v>0</v>
      </c>
      <c r="Y299" s="58" t="n">
        <f aca="false">Y298+V299</f>
        <v>113000.408372882</v>
      </c>
    </row>
    <row r="300" customFormat="false" ht="15" hidden="false" customHeight="false" outlineLevel="0" collapsed="false">
      <c r="K300" s="56" t="n">
        <f aca="false">K299+1</f>
        <v>293</v>
      </c>
      <c r="L300" s="57" t="n">
        <f aca="false">IF(AND(K300&lt;=Assumptions!$C$42,L299=1,P299=0,O299&gt;Assumptions!$C$43),1,0)</f>
        <v>1</v>
      </c>
      <c r="M300" s="58" t="n">
        <f aca="false">O299</f>
        <v>10400.1292097615</v>
      </c>
      <c r="N300" s="58" t="n">
        <f aca="false">IF(L300=1,M300*$B$22,0)</f>
        <v>34.6670973658716</v>
      </c>
      <c r="O300" s="58" t="n">
        <f aca="false">IF(L300=1,M300+N300-$B$26,M300)</f>
        <v>9115.20420638294</v>
      </c>
      <c r="P300" s="56" t="n">
        <f aca="false">IF(L300=1,IF($B$26&lt;=N300,1,0),0)</f>
        <v>0</v>
      </c>
      <c r="Q300" s="58" t="n">
        <f aca="false">Q299+N300</f>
        <v>145755.6897245</v>
      </c>
      <c r="S300" s="56" t="n">
        <f aca="false">S299+1</f>
        <v>293</v>
      </c>
      <c r="T300" s="57" t="n">
        <f aca="false">IF(AND(S300&lt;=Assumptions!$C$42,T299=1,X299=0,W299&gt;Assumptions!$C$43),1,0)</f>
        <v>0</v>
      </c>
      <c r="U300" s="58" t="n">
        <f aca="false">W299</f>
        <v>-182.103705036234</v>
      </c>
      <c r="V300" s="58" t="n">
        <f aca="false">IF(T300=1,U300*$B$22,0)</f>
        <v>0</v>
      </c>
      <c r="W300" s="58" t="n">
        <f aca="false">IF(T300=1,U300+V300-$B$27,U300)</f>
        <v>-182.103705036234</v>
      </c>
      <c r="X300" s="56" t="n">
        <f aca="false">IF(T300=1,IF($B$27&lt;=V300,1,0),0)</f>
        <v>0</v>
      </c>
      <c r="Y300" s="58" t="n">
        <f aca="false">Y299+V300</f>
        <v>113000.408372882</v>
      </c>
    </row>
    <row r="301" customFormat="false" ht="15" hidden="false" customHeight="false" outlineLevel="0" collapsed="false">
      <c r="K301" s="56" t="n">
        <f aca="false">K300+1</f>
        <v>294</v>
      </c>
      <c r="L301" s="57" t="n">
        <f aca="false">IF(AND(K301&lt;=Assumptions!$C$42,L300=1,P300=0,O300&gt;Assumptions!$C$43),1,0)</f>
        <v>1</v>
      </c>
      <c r="M301" s="58" t="n">
        <f aca="false">O300</f>
        <v>9115.20420638294</v>
      </c>
      <c r="N301" s="58" t="n">
        <f aca="false">IF(L301=1,M301*$B$22,0)</f>
        <v>30.3840140212765</v>
      </c>
      <c r="O301" s="58" t="n">
        <f aca="false">IF(L301=1,M301+N301-$B$26,M301)</f>
        <v>7825.99611965979</v>
      </c>
      <c r="P301" s="56" t="n">
        <f aca="false">IF(L301=1,IF($B$26&lt;=N301,1,0),0)</f>
        <v>0</v>
      </c>
      <c r="Q301" s="58" t="n">
        <f aca="false">Q300+N301</f>
        <v>145786.073738521</v>
      </c>
      <c r="S301" s="56" t="n">
        <f aca="false">S300+1</f>
        <v>294</v>
      </c>
      <c r="T301" s="57" t="n">
        <f aca="false">IF(AND(S301&lt;=Assumptions!$C$42,T300=1,X300=0,W300&gt;Assumptions!$C$43),1,0)</f>
        <v>0</v>
      </c>
      <c r="U301" s="58" t="n">
        <f aca="false">W300</f>
        <v>-182.103705036234</v>
      </c>
      <c r="V301" s="58" t="n">
        <f aca="false">IF(T301=1,U301*$B$22,0)</f>
        <v>0</v>
      </c>
      <c r="W301" s="58" t="n">
        <f aca="false">IF(T301=1,U301+V301-$B$27,U301)</f>
        <v>-182.103705036234</v>
      </c>
      <c r="X301" s="56" t="n">
        <f aca="false">IF(T301=1,IF($B$27&lt;=V301,1,0),0)</f>
        <v>0</v>
      </c>
      <c r="Y301" s="58" t="n">
        <f aca="false">Y300+V301</f>
        <v>113000.408372882</v>
      </c>
    </row>
    <row r="302" customFormat="false" ht="15" hidden="false" customHeight="false" outlineLevel="0" collapsed="false">
      <c r="K302" s="56" t="n">
        <f aca="false">K301+1</f>
        <v>295</v>
      </c>
      <c r="L302" s="57" t="n">
        <f aca="false">IF(AND(K302&lt;=Assumptions!$C$42,L301=1,P301=0,O301&gt;Assumptions!$C$43),1,0)</f>
        <v>1</v>
      </c>
      <c r="M302" s="58" t="n">
        <f aca="false">O301</f>
        <v>7825.99611965979</v>
      </c>
      <c r="N302" s="58" t="n">
        <f aca="false">IF(L302=1,M302*$B$22,0)</f>
        <v>26.0866537321993</v>
      </c>
      <c r="O302" s="58" t="n">
        <f aca="false">IF(L302=1,M302+N302-$B$26,M302)</f>
        <v>6532.49067264756</v>
      </c>
      <c r="P302" s="56" t="n">
        <f aca="false">IF(L302=1,IF($B$26&lt;=N302,1,0),0)</f>
        <v>0</v>
      </c>
      <c r="Q302" s="58" t="n">
        <f aca="false">Q301+N302</f>
        <v>145812.160392253</v>
      </c>
      <c r="S302" s="56" t="n">
        <f aca="false">S301+1</f>
        <v>295</v>
      </c>
      <c r="T302" s="57" t="n">
        <f aca="false">IF(AND(S302&lt;=Assumptions!$C$42,T301=1,X301=0,W301&gt;Assumptions!$C$43),1,0)</f>
        <v>0</v>
      </c>
      <c r="U302" s="58" t="n">
        <f aca="false">W301</f>
        <v>-182.103705036234</v>
      </c>
      <c r="V302" s="58" t="n">
        <f aca="false">IF(T302=1,U302*$B$22,0)</f>
        <v>0</v>
      </c>
      <c r="W302" s="58" t="n">
        <f aca="false">IF(T302=1,U302+V302-$B$27,U302)</f>
        <v>-182.103705036234</v>
      </c>
      <c r="X302" s="56" t="n">
        <f aca="false">IF(T302=1,IF($B$27&lt;=V302,1,0),0)</f>
        <v>0</v>
      </c>
      <c r="Y302" s="58" t="n">
        <f aca="false">Y301+V302</f>
        <v>113000.408372882</v>
      </c>
    </row>
    <row r="303" customFormat="false" ht="15" hidden="false" customHeight="false" outlineLevel="0" collapsed="false">
      <c r="K303" s="56" t="n">
        <f aca="false">K302+1</f>
        <v>296</v>
      </c>
      <c r="L303" s="57" t="n">
        <f aca="false">IF(AND(K303&lt;=Assumptions!$C$42,L302=1,P302=0,O302&gt;Assumptions!$C$43),1,0)</f>
        <v>1</v>
      </c>
      <c r="M303" s="58" t="n">
        <f aca="false">O302</f>
        <v>6532.49067264756</v>
      </c>
      <c r="N303" s="58" t="n">
        <f aca="false">IF(L303=1,M303*$B$22,0)</f>
        <v>21.7749689088252</v>
      </c>
      <c r="O303" s="58" t="n">
        <f aca="false">IF(L303=1,M303+N303-$B$26,M303)</f>
        <v>5234.67354081196</v>
      </c>
      <c r="P303" s="56" t="n">
        <f aca="false">IF(L303=1,IF($B$26&lt;=N303,1,0),0)</f>
        <v>0</v>
      </c>
      <c r="Q303" s="58" t="n">
        <f aca="false">Q302+N303</f>
        <v>145833.935361162</v>
      </c>
      <c r="S303" s="56" t="n">
        <f aca="false">S302+1</f>
        <v>296</v>
      </c>
      <c r="T303" s="57" t="n">
        <f aca="false">IF(AND(S303&lt;=Assumptions!$C$42,T302=1,X302=0,W302&gt;Assumptions!$C$43),1,0)</f>
        <v>0</v>
      </c>
      <c r="U303" s="58" t="n">
        <f aca="false">W302</f>
        <v>-182.103705036234</v>
      </c>
      <c r="V303" s="58" t="n">
        <f aca="false">IF(T303=1,U303*$B$22,0)</f>
        <v>0</v>
      </c>
      <c r="W303" s="58" t="n">
        <f aca="false">IF(T303=1,U303+V303-$B$27,U303)</f>
        <v>-182.103705036234</v>
      </c>
      <c r="X303" s="56" t="n">
        <f aca="false">IF(T303=1,IF($B$27&lt;=V303,1,0),0)</f>
        <v>0</v>
      </c>
      <c r="Y303" s="58" t="n">
        <f aca="false">Y302+V303</f>
        <v>113000.408372882</v>
      </c>
    </row>
    <row r="304" customFormat="false" ht="15" hidden="false" customHeight="false" outlineLevel="0" collapsed="false">
      <c r="K304" s="56" t="n">
        <f aca="false">K303+1</f>
        <v>297</v>
      </c>
      <c r="L304" s="57" t="n">
        <f aca="false">IF(AND(K304&lt;=Assumptions!$C$42,L303=1,P303=0,O303&gt;Assumptions!$C$43),1,0)</f>
        <v>1</v>
      </c>
      <c r="M304" s="58" t="n">
        <f aca="false">O303</f>
        <v>5234.67354081196</v>
      </c>
      <c r="N304" s="58" t="n">
        <f aca="false">IF(L304=1,M304*$B$22,0)</f>
        <v>17.4489118027065</v>
      </c>
      <c r="O304" s="58" t="n">
        <f aca="false">IF(L304=1,M304+N304-$B$26,M304)</f>
        <v>3932.53035187024</v>
      </c>
      <c r="P304" s="56" t="n">
        <f aca="false">IF(L304=1,IF($B$26&lt;=N304,1,0),0)</f>
        <v>0</v>
      </c>
      <c r="Q304" s="58" t="n">
        <f aca="false">Q303+N304</f>
        <v>145851.384272965</v>
      </c>
      <c r="S304" s="56" t="n">
        <f aca="false">S303+1</f>
        <v>297</v>
      </c>
      <c r="T304" s="57" t="n">
        <f aca="false">IF(AND(S304&lt;=Assumptions!$C$42,T303=1,X303=0,W303&gt;Assumptions!$C$43),1,0)</f>
        <v>0</v>
      </c>
      <c r="U304" s="58" t="n">
        <f aca="false">W303</f>
        <v>-182.103705036234</v>
      </c>
      <c r="V304" s="58" t="n">
        <f aca="false">IF(T304=1,U304*$B$22,0)</f>
        <v>0</v>
      </c>
      <c r="W304" s="58" t="n">
        <f aca="false">IF(T304=1,U304+V304-$B$27,U304)</f>
        <v>-182.103705036234</v>
      </c>
      <c r="X304" s="56" t="n">
        <f aca="false">IF(T304=1,IF($B$27&lt;=V304,1,0),0)</f>
        <v>0</v>
      </c>
      <c r="Y304" s="58" t="n">
        <f aca="false">Y303+V304</f>
        <v>113000.408372882</v>
      </c>
    </row>
    <row r="305" customFormat="false" ht="15" hidden="false" customHeight="false" outlineLevel="0" collapsed="false">
      <c r="K305" s="56" t="n">
        <f aca="false">K304+1</f>
        <v>298</v>
      </c>
      <c r="L305" s="57" t="n">
        <f aca="false">IF(AND(K305&lt;=Assumptions!$C$42,L304=1,P304=0,O304&gt;Assumptions!$C$43),1,0)</f>
        <v>1</v>
      </c>
      <c r="M305" s="58" t="n">
        <f aca="false">O304</f>
        <v>3932.53035187024</v>
      </c>
      <c r="N305" s="58" t="n">
        <f aca="false">IF(L305=1,M305*$B$22,0)</f>
        <v>13.1084345062341</v>
      </c>
      <c r="O305" s="58" t="n">
        <f aca="false">IF(L305=1,M305+N305-$B$26,M305)</f>
        <v>2626.04668563205</v>
      </c>
      <c r="P305" s="56" t="n">
        <f aca="false">IF(L305=1,IF($B$26&lt;=N305,1,0),0)</f>
        <v>0</v>
      </c>
      <c r="Q305" s="58" t="n">
        <f aca="false">Q304+N305</f>
        <v>145864.492707471</v>
      </c>
      <c r="S305" s="56" t="n">
        <f aca="false">S304+1</f>
        <v>298</v>
      </c>
      <c r="T305" s="57" t="n">
        <f aca="false">IF(AND(S305&lt;=Assumptions!$C$42,T304=1,X304=0,W304&gt;Assumptions!$C$43),1,0)</f>
        <v>0</v>
      </c>
      <c r="U305" s="58" t="n">
        <f aca="false">W304</f>
        <v>-182.103705036234</v>
      </c>
      <c r="V305" s="58" t="n">
        <f aca="false">IF(T305=1,U305*$B$22,0)</f>
        <v>0</v>
      </c>
      <c r="W305" s="58" t="n">
        <f aca="false">IF(T305=1,U305+V305-$B$27,U305)</f>
        <v>-182.103705036234</v>
      </c>
      <c r="X305" s="56" t="n">
        <f aca="false">IF(T305=1,IF($B$27&lt;=V305,1,0),0)</f>
        <v>0</v>
      </c>
      <c r="Y305" s="58" t="n">
        <f aca="false">Y304+V305</f>
        <v>113000.408372882</v>
      </c>
    </row>
    <row r="306" customFormat="false" ht="15" hidden="false" customHeight="false" outlineLevel="0" collapsed="false">
      <c r="K306" s="56" t="n">
        <f aca="false">K305+1</f>
        <v>299</v>
      </c>
      <c r="L306" s="57" t="n">
        <f aca="false">IF(AND(K306&lt;=Assumptions!$C$42,L305=1,P305=0,O305&gt;Assumptions!$C$43),1,0)</f>
        <v>1</v>
      </c>
      <c r="M306" s="58" t="n">
        <f aca="false">O305</f>
        <v>2626.04668563205</v>
      </c>
      <c r="N306" s="58" t="n">
        <f aca="false">IF(L306=1,M306*$B$22,0)</f>
        <v>8.75348895210684</v>
      </c>
      <c r="O306" s="58" t="n">
        <f aca="false">IF(L306=1,M306+N306-$B$26,M306)</f>
        <v>1315.20807383973</v>
      </c>
      <c r="P306" s="56" t="n">
        <f aca="false">IF(L306=1,IF($B$26&lt;=N306,1,0),0)</f>
        <v>0</v>
      </c>
      <c r="Q306" s="58" t="n">
        <f aca="false">Q305+N306</f>
        <v>145873.246196423</v>
      </c>
      <c r="S306" s="56" t="n">
        <f aca="false">S305+1</f>
        <v>299</v>
      </c>
      <c r="T306" s="57" t="n">
        <f aca="false">IF(AND(S306&lt;=Assumptions!$C$42,T305=1,X305=0,W305&gt;Assumptions!$C$43),1,0)</f>
        <v>0</v>
      </c>
      <c r="U306" s="58" t="n">
        <f aca="false">W305</f>
        <v>-182.103705036234</v>
      </c>
      <c r="V306" s="58" t="n">
        <f aca="false">IF(T306=1,U306*$B$22,0)</f>
        <v>0</v>
      </c>
      <c r="W306" s="58" t="n">
        <f aca="false">IF(T306=1,U306+V306-$B$27,U306)</f>
        <v>-182.103705036234</v>
      </c>
      <c r="X306" s="56" t="n">
        <f aca="false">IF(T306=1,IF($B$27&lt;=V306,1,0),0)</f>
        <v>0</v>
      </c>
      <c r="Y306" s="58" t="n">
        <f aca="false">Y305+V306</f>
        <v>113000.408372882</v>
      </c>
    </row>
    <row r="307" customFormat="false" ht="15" hidden="false" customHeight="false" outlineLevel="0" collapsed="false">
      <c r="K307" s="56" t="n">
        <f aca="false">K306+1</f>
        <v>300</v>
      </c>
      <c r="L307" s="57" t="n">
        <f aca="false">IF(AND(K307&lt;=Assumptions!$C$42,L306=1,P306=0,O306&gt;Assumptions!$C$43),1,0)</f>
        <v>1</v>
      </c>
      <c r="M307" s="58" t="n">
        <f aca="false">O306</f>
        <v>1315.20807383973</v>
      </c>
      <c r="N307" s="58" t="n">
        <f aca="false">IF(L307=1,M307*$B$22,0)</f>
        <v>4.38402691279911</v>
      </c>
      <c r="O307" s="58" t="n">
        <f aca="false">IF(L307=1,M307+N307-$B$26,M307)</f>
        <v>8.10541678220034E-009</v>
      </c>
      <c r="P307" s="56" t="n">
        <f aca="false">IF(L307=1,IF($B$26&lt;=N307,1,0),0)</f>
        <v>0</v>
      </c>
      <c r="Q307" s="58" t="n">
        <f aca="false">Q306+N307</f>
        <v>145877.630223336</v>
      </c>
      <c r="S307" s="56" t="n">
        <f aca="false">S306+1</f>
        <v>300</v>
      </c>
      <c r="T307" s="57" t="n">
        <f aca="false">IF(AND(S307&lt;=Assumptions!$C$42,T306=1,X306=0,W306&gt;Assumptions!$C$43),1,0)</f>
        <v>0</v>
      </c>
      <c r="U307" s="58" t="n">
        <f aca="false">W306</f>
        <v>-182.103705036234</v>
      </c>
      <c r="V307" s="58" t="n">
        <f aca="false">IF(T307=1,U307*$B$22,0)</f>
        <v>0</v>
      </c>
      <c r="W307" s="58" t="n">
        <f aca="false">IF(T307=1,U307+V307-$B$27,U307)</f>
        <v>-182.103705036234</v>
      </c>
      <c r="X307" s="56" t="n">
        <f aca="false">IF(T307=1,IF($B$27&lt;=V307,1,0),0)</f>
        <v>0</v>
      </c>
      <c r="Y307" s="58" t="n">
        <f aca="false">Y306+V307</f>
        <v>113000.408372882</v>
      </c>
    </row>
    <row r="308" customFormat="false" ht="15" hidden="false" customHeight="false" outlineLevel="0" collapsed="false">
      <c r="K308" s="56" t="n">
        <f aca="false">K307+1</f>
        <v>301</v>
      </c>
      <c r="L308" s="57" t="n">
        <f aca="false">IF(AND(K308&lt;=Assumptions!$C$42,L307=1,P307=0,O307&gt;Assumptions!$C$43),1,0)</f>
        <v>0</v>
      </c>
      <c r="M308" s="58" t="n">
        <f aca="false">O307</f>
        <v>8.10541678220034E-009</v>
      </c>
      <c r="N308" s="58" t="n">
        <f aca="false">IF(L308=1,M308*$B$22,0)</f>
        <v>0</v>
      </c>
      <c r="O308" s="58" t="n">
        <f aca="false">IF(L308=1,M308+N308-$B$26,M308)</f>
        <v>8.10541678220034E-009</v>
      </c>
      <c r="P308" s="56" t="n">
        <f aca="false">IF(L308=1,IF($B$26&lt;=N308,1,0),0)</f>
        <v>0</v>
      </c>
      <c r="Q308" s="58" t="n">
        <f aca="false">Q307+N308</f>
        <v>145877.630223336</v>
      </c>
      <c r="S308" s="56" t="n">
        <f aca="false">S307+1</f>
        <v>301</v>
      </c>
      <c r="T308" s="57" t="n">
        <f aca="false">IF(AND(S308&lt;=Assumptions!$C$42,T307=1,X307=0,W307&gt;Assumptions!$C$43),1,0)</f>
        <v>0</v>
      </c>
      <c r="U308" s="58" t="n">
        <f aca="false">W307</f>
        <v>-182.103705036234</v>
      </c>
      <c r="V308" s="58" t="n">
        <f aca="false">IF(T308=1,U308*$B$22,0)</f>
        <v>0</v>
      </c>
      <c r="W308" s="58" t="n">
        <f aca="false">IF(T308=1,U308+V308-$B$27,U308)</f>
        <v>-182.103705036234</v>
      </c>
      <c r="X308" s="56" t="n">
        <f aca="false">IF(T308=1,IF($B$27&lt;=V308,1,0),0)</f>
        <v>0</v>
      </c>
      <c r="Y308" s="58" t="n">
        <f aca="false">Y307+V308</f>
        <v>113000.408372882</v>
      </c>
    </row>
    <row r="309" customFormat="false" ht="15" hidden="false" customHeight="false" outlineLevel="0" collapsed="false">
      <c r="K309" s="56" t="n">
        <f aca="false">K308+1</f>
        <v>302</v>
      </c>
      <c r="L309" s="57" t="n">
        <f aca="false">IF(AND(K309&lt;=Assumptions!$C$42,L308=1,P308=0,O308&gt;Assumptions!$C$43),1,0)</f>
        <v>0</v>
      </c>
      <c r="M309" s="58" t="n">
        <f aca="false">O308</f>
        <v>8.10541678220034E-009</v>
      </c>
      <c r="N309" s="58" t="n">
        <f aca="false">IF(L309=1,M309*$B$22,0)</f>
        <v>0</v>
      </c>
      <c r="O309" s="58" t="n">
        <f aca="false">IF(L309=1,M309+N309-$B$26,M309)</f>
        <v>8.10541678220034E-009</v>
      </c>
      <c r="P309" s="56" t="n">
        <f aca="false">IF(L309=1,IF($B$26&lt;=N309,1,0),0)</f>
        <v>0</v>
      </c>
      <c r="Q309" s="58" t="n">
        <f aca="false">Q308+N309</f>
        <v>145877.630223336</v>
      </c>
      <c r="S309" s="56" t="n">
        <f aca="false">S308+1</f>
        <v>302</v>
      </c>
      <c r="T309" s="57" t="n">
        <f aca="false">IF(AND(S309&lt;=Assumptions!$C$42,T308=1,X308=0,W308&gt;Assumptions!$C$43),1,0)</f>
        <v>0</v>
      </c>
      <c r="U309" s="58" t="n">
        <f aca="false">W308</f>
        <v>-182.103705036234</v>
      </c>
      <c r="V309" s="58" t="n">
        <f aca="false">IF(T309=1,U309*$B$22,0)</f>
        <v>0</v>
      </c>
      <c r="W309" s="58" t="n">
        <f aca="false">IF(T309=1,U309+V309-$B$27,U309)</f>
        <v>-182.103705036234</v>
      </c>
      <c r="X309" s="56" t="n">
        <f aca="false">IF(T309=1,IF($B$27&lt;=V309,1,0),0)</f>
        <v>0</v>
      </c>
      <c r="Y309" s="58" t="n">
        <f aca="false">Y308+V309</f>
        <v>113000.408372882</v>
      </c>
    </row>
    <row r="310" customFormat="false" ht="15" hidden="false" customHeight="false" outlineLevel="0" collapsed="false">
      <c r="K310" s="56" t="n">
        <f aca="false">K309+1</f>
        <v>303</v>
      </c>
      <c r="L310" s="57" t="n">
        <f aca="false">IF(AND(K310&lt;=Assumptions!$C$42,L309=1,P309=0,O309&gt;Assumptions!$C$43),1,0)</f>
        <v>0</v>
      </c>
      <c r="M310" s="58" t="n">
        <f aca="false">O309</f>
        <v>8.10541678220034E-009</v>
      </c>
      <c r="N310" s="58" t="n">
        <f aca="false">IF(L310=1,M310*$B$22,0)</f>
        <v>0</v>
      </c>
      <c r="O310" s="58" t="n">
        <f aca="false">IF(L310=1,M310+N310-$B$26,M310)</f>
        <v>8.10541678220034E-009</v>
      </c>
      <c r="P310" s="56" t="n">
        <f aca="false">IF(L310=1,IF($B$26&lt;=N310,1,0),0)</f>
        <v>0</v>
      </c>
      <c r="Q310" s="58" t="n">
        <f aca="false">Q309+N310</f>
        <v>145877.630223336</v>
      </c>
      <c r="S310" s="56" t="n">
        <f aca="false">S309+1</f>
        <v>303</v>
      </c>
      <c r="T310" s="57" t="n">
        <f aca="false">IF(AND(S310&lt;=Assumptions!$C$42,T309=1,X309=0,W309&gt;Assumptions!$C$43),1,0)</f>
        <v>0</v>
      </c>
      <c r="U310" s="58" t="n">
        <f aca="false">W309</f>
        <v>-182.103705036234</v>
      </c>
      <c r="V310" s="58" t="n">
        <f aca="false">IF(T310=1,U310*$B$22,0)</f>
        <v>0</v>
      </c>
      <c r="W310" s="58" t="n">
        <f aca="false">IF(T310=1,U310+V310-$B$27,U310)</f>
        <v>-182.103705036234</v>
      </c>
      <c r="X310" s="56" t="n">
        <f aca="false">IF(T310=1,IF($B$27&lt;=V310,1,0),0)</f>
        <v>0</v>
      </c>
      <c r="Y310" s="58" t="n">
        <f aca="false">Y309+V310</f>
        <v>113000.408372882</v>
      </c>
    </row>
    <row r="311" customFormat="false" ht="15" hidden="false" customHeight="false" outlineLevel="0" collapsed="false">
      <c r="K311" s="56" t="n">
        <f aca="false">K310+1</f>
        <v>304</v>
      </c>
      <c r="L311" s="57" t="n">
        <f aca="false">IF(AND(K311&lt;=Assumptions!$C$42,L310=1,P310=0,O310&gt;Assumptions!$C$43),1,0)</f>
        <v>0</v>
      </c>
      <c r="M311" s="58" t="n">
        <f aca="false">O310</f>
        <v>8.10541678220034E-009</v>
      </c>
      <c r="N311" s="58" t="n">
        <f aca="false">IF(L311=1,M311*$B$22,0)</f>
        <v>0</v>
      </c>
      <c r="O311" s="58" t="n">
        <f aca="false">IF(L311=1,M311+N311-$B$26,M311)</f>
        <v>8.10541678220034E-009</v>
      </c>
      <c r="P311" s="56" t="n">
        <f aca="false">IF(L311=1,IF($B$26&lt;=N311,1,0),0)</f>
        <v>0</v>
      </c>
      <c r="Q311" s="58" t="n">
        <f aca="false">Q310+N311</f>
        <v>145877.630223336</v>
      </c>
      <c r="S311" s="56" t="n">
        <f aca="false">S310+1</f>
        <v>304</v>
      </c>
      <c r="T311" s="57" t="n">
        <f aca="false">IF(AND(S311&lt;=Assumptions!$C$42,T310=1,X310=0,W310&gt;Assumptions!$C$43),1,0)</f>
        <v>0</v>
      </c>
      <c r="U311" s="58" t="n">
        <f aca="false">W310</f>
        <v>-182.103705036234</v>
      </c>
      <c r="V311" s="58" t="n">
        <f aca="false">IF(T311=1,U311*$B$22,0)</f>
        <v>0</v>
      </c>
      <c r="W311" s="58" t="n">
        <f aca="false">IF(T311=1,U311+V311-$B$27,U311)</f>
        <v>-182.103705036234</v>
      </c>
      <c r="X311" s="56" t="n">
        <f aca="false">IF(T311=1,IF($B$27&lt;=V311,1,0),0)</f>
        <v>0</v>
      </c>
      <c r="Y311" s="58" t="n">
        <f aca="false">Y310+V311</f>
        <v>113000.408372882</v>
      </c>
    </row>
    <row r="312" customFormat="false" ht="15" hidden="false" customHeight="false" outlineLevel="0" collapsed="false">
      <c r="K312" s="56" t="n">
        <f aca="false">K311+1</f>
        <v>305</v>
      </c>
      <c r="L312" s="57" t="n">
        <f aca="false">IF(AND(K312&lt;=Assumptions!$C$42,L311=1,P311=0,O311&gt;Assumptions!$C$43),1,0)</f>
        <v>0</v>
      </c>
      <c r="M312" s="58" t="n">
        <f aca="false">O311</f>
        <v>8.10541678220034E-009</v>
      </c>
      <c r="N312" s="58" t="n">
        <f aca="false">IF(L312=1,M312*$B$22,0)</f>
        <v>0</v>
      </c>
      <c r="O312" s="58" t="n">
        <f aca="false">IF(L312=1,M312+N312-$B$26,M312)</f>
        <v>8.10541678220034E-009</v>
      </c>
      <c r="P312" s="56" t="n">
        <f aca="false">IF(L312=1,IF($B$26&lt;=N312,1,0),0)</f>
        <v>0</v>
      </c>
      <c r="Q312" s="58" t="n">
        <f aca="false">Q311+N312</f>
        <v>145877.630223336</v>
      </c>
      <c r="S312" s="56" t="n">
        <f aca="false">S311+1</f>
        <v>305</v>
      </c>
      <c r="T312" s="57" t="n">
        <f aca="false">IF(AND(S312&lt;=Assumptions!$C$42,T311=1,X311=0,W311&gt;Assumptions!$C$43),1,0)</f>
        <v>0</v>
      </c>
      <c r="U312" s="58" t="n">
        <f aca="false">W311</f>
        <v>-182.103705036234</v>
      </c>
      <c r="V312" s="58" t="n">
        <f aca="false">IF(T312=1,U312*$B$22,0)</f>
        <v>0</v>
      </c>
      <c r="W312" s="58" t="n">
        <f aca="false">IF(T312=1,U312+V312-$B$27,U312)</f>
        <v>-182.103705036234</v>
      </c>
      <c r="X312" s="56" t="n">
        <f aca="false">IF(T312=1,IF($B$27&lt;=V312,1,0),0)</f>
        <v>0</v>
      </c>
      <c r="Y312" s="58" t="n">
        <f aca="false">Y311+V312</f>
        <v>113000.408372882</v>
      </c>
    </row>
    <row r="313" customFormat="false" ht="15" hidden="false" customHeight="false" outlineLevel="0" collapsed="false">
      <c r="K313" s="56" t="n">
        <f aca="false">K312+1</f>
        <v>306</v>
      </c>
      <c r="L313" s="57" t="n">
        <f aca="false">IF(AND(K313&lt;=Assumptions!$C$42,L312=1,P312=0,O312&gt;Assumptions!$C$43),1,0)</f>
        <v>0</v>
      </c>
      <c r="M313" s="58" t="n">
        <f aca="false">O312</f>
        <v>8.10541678220034E-009</v>
      </c>
      <c r="N313" s="58" t="n">
        <f aca="false">IF(L313=1,M313*$B$22,0)</f>
        <v>0</v>
      </c>
      <c r="O313" s="58" t="n">
        <f aca="false">IF(L313=1,M313+N313-$B$26,M313)</f>
        <v>8.10541678220034E-009</v>
      </c>
      <c r="P313" s="56" t="n">
        <f aca="false">IF(L313=1,IF($B$26&lt;=N313,1,0),0)</f>
        <v>0</v>
      </c>
      <c r="Q313" s="58" t="n">
        <f aca="false">Q312+N313</f>
        <v>145877.630223336</v>
      </c>
      <c r="S313" s="56" t="n">
        <f aca="false">S312+1</f>
        <v>306</v>
      </c>
      <c r="T313" s="57" t="n">
        <f aca="false">IF(AND(S313&lt;=Assumptions!$C$42,T312=1,X312=0,W312&gt;Assumptions!$C$43),1,0)</f>
        <v>0</v>
      </c>
      <c r="U313" s="58" t="n">
        <f aca="false">W312</f>
        <v>-182.103705036234</v>
      </c>
      <c r="V313" s="58" t="n">
        <f aca="false">IF(T313=1,U313*$B$22,0)</f>
        <v>0</v>
      </c>
      <c r="W313" s="58" t="n">
        <f aca="false">IF(T313=1,U313+V313-$B$27,U313)</f>
        <v>-182.103705036234</v>
      </c>
      <c r="X313" s="56" t="n">
        <f aca="false">IF(T313=1,IF($B$27&lt;=V313,1,0),0)</f>
        <v>0</v>
      </c>
      <c r="Y313" s="58" t="n">
        <f aca="false">Y312+V313</f>
        <v>113000.408372882</v>
      </c>
    </row>
    <row r="314" customFormat="false" ht="15" hidden="false" customHeight="false" outlineLevel="0" collapsed="false">
      <c r="K314" s="56" t="n">
        <f aca="false">K313+1</f>
        <v>307</v>
      </c>
      <c r="L314" s="57" t="n">
        <f aca="false">IF(AND(K314&lt;=Assumptions!$C$42,L313=1,P313=0,O313&gt;Assumptions!$C$43),1,0)</f>
        <v>0</v>
      </c>
      <c r="M314" s="58" t="n">
        <f aca="false">O313</f>
        <v>8.10541678220034E-009</v>
      </c>
      <c r="N314" s="58" t="n">
        <f aca="false">IF(L314=1,M314*$B$22,0)</f>
        <v>0</v>
      </c>
      <c r="O314" s="58" t="n">
        <f aca="false">IF(L314=1,M314+N314-$B$26,M314)</f>
        <v>8.10541678220034E-009</v>
      </c>
      <c r="P314" s="56" t="n">
        <f aca="false">IF(L314=1,IF($B$26&lt;=N314,1,0),0)</f>
        <v>0</v>
      </c>
      <c r="Q314" s="58" t="n">
        <f aca="false">Q313+N314</f>
        <v>145877.630223336</v>
      </c>
      <c r="S314" s="56" t="n">
        <f aca="false">S313+1</f>
        <v>307</v>
      </c>
      <c r="T314" s="57" t="n">
        <f aca="false">IF(AND(S314&lt;=Assumptions!$C$42,T313=1,X313=0,W313&gt;Assumptions!$C$43),1,0)</f>
        <v>0</v>
      </c>
      <c r="U314" s="58" t="n">
        <f aca="false">W313</f>
        <v>-182.103705036234</v>
      </c>
      <c r="V314" s="58" t="n">
        <f aca="false">IF(T314=1,U314*$B$22,0)</f>
        <v>0</v>
      </c>
      <c r="W314" s="58" t="n">
        <f aca="false">IF(T314=1,U314+V314-$B$27,U314)</f>
        <v>-182.103705036234</v>
      </c>
      <c r="X314" s="56" t="n">
        <f aca="false">IF(T314=1,IF($B$27&lt;=V314,1,0),0)</f>
        <v>0</v>
      </c>
      <c r="Y314" s="58" t="n">
        <f aca="false">Y313+V314</f>
        <v>113000.408372882</v>
      </c>
    </row>
    <row r="315" customFormat="false" ht="15" hidden="false" customHeight="false" outlineLevel="0" collapsed="false">
      <c r="K315" s="56" t="n">
        <f aca="false">K314+1</f>
        <v>308</v>
      </c>
      <c r="L315" s="57" t="n">
        <f aca="false">IF(AND(K315&lt;=Assumptions!$C$42,L314=1,P314=0,O314&gt;Assumptions!$C$43),1,0)</f>
        <v>0</v>
      </c>
      <c r="M315" s="58" t="n">
        <f aca="false">O314</f>
        <v>8.10541678220034E-009</v>
      </c>
      <c r="N315" s="58" t="n">
        <f aca="false">IF(L315=1,M315*$B$22,0)</f>
        <v>0</v>
      </c>
      <c r="O315" s="58" t="n">
        <f aca="false">IF(L315=1,M315+N315-$B$26,M315)</f>
        <v>8.10541678220034E-009</v>
      </c>
      <c r="P315" s="56" t="n">
        <f aca="false">IF(L315=1,IF($B$26&lt;=N315,1,0),0)</f>
        <v>0</v>
      </c>
      <c r="Q315" s="58" t="n">
        <f aca="false">Q314+N315</f>
        <v>145877.630223336</v>
      </c>
      <c r="S315" s="56" t="n">
        <f aca="false">S314+1</f>
        <v>308</v>
      </c>
      <c r="T315" s="57" t="n">
        <f aca="false">IF(AND(S315&lt;=Assumptions!$C$42,T314=1,X314=0,W314&gt;Assumptions!$C$43),1,0)</f>
        <v>0</v>
      </c>
      <c r="U315" s="58" t="n">
        <f aca="false">W314</f>
        <v>-182.103705036234</v>
      </c>
      <c r="V315" s="58" t="n">
        <f aca="false">IF(T315=1,U315*$B$22,0)</f>
        <v>0</v>
      </c>
      <c r="W315" s="58" t="n">
        <f aca="false">IF(T315=1,U315+V315-$B$27,U315)</f>
        <v>-182.103705036234</v>
      </c>
      <c r="X315" s="56" t="n">
        <f aca="false">IF(T315=1,IF($B$27&lt;=V315,1,0),0)</f>
        <v>0</v>
      </c>
      <c r="Y315" s="58" t="n">
        <f aca="false">Y314+V315</f>
        <v>113000.408372882</v>
      </c>
    </row>
    <row r="316" customFormat="false" ht="15" hidden="false" customHeight="false" outlineLevel="0" collapsed="false">
      <c r="K316" s="56" t="n">
        <f aca="false">K315+1</f>
        <v>309</v>
      </c>
      <c r="L316" s="57" t="n">
        <f aca="false">IF(AND(K316&lt;=Assumptions!$C$42,L315=1,P315=0,O315&gt;Assumptions!$C$43),1,0)</f>
        <v>0</v>
      </c>
      <c r="M316" s="58" t="n">
        <f aca="false">O315</f>
        <v>8.10541678220034E-009</v>
      </c>
      <c r="N316" s="58" t="n">
        <f aca="false">IF(L316=1,M316*$B$22,0)</f>
        <v>0</v>
      </c>
      <c r="O316" s="58" t="n">
        <f aca="false">IF(L316=1,M316+N316-$B$26,M316)</f>
        <v>8.10541678220034E-009</v>
      </c>
      <c r="P316" s="56" t="n">
        <f aca="false">IF(L316=1,IF($B$26&lt;=N316,1,0),0)</f>
        <v>0</v>
      </c>
      <c r="Q316" s="58" t="n">
        <f aca="false">Q315+N316</f>
        <v>145877.630223336</v>
      </c>
      <c r="S316" s="56" t="n">
        <f aca="false">S315+1</f>
        <v>309</v>
      </c>
      <c r="T316" s="57" t="n">
        <f aca="false">IF(AND(S316&lt;=Assumptions!$C$42,T315=1,X315=0,W315&gt;Assumptions!$C$43),1,0)</f>
        <v>0</v>
      </c>
      <c r="U316" s="58" t="n">
        <f aca="false">W315</f>
        <v>-182.103705036234</v>
      </c>
      <c r="V316" s="58" t="n">
        <f aca="false">IF(T316=1,U316*$B$22,0)</f>
        <v>0</v>
      </c>
      <c r="W316" s="58" t="n">
        <f aca="false">IF(T316=1,U316+V316-$B$27,U316)</f>
        <v>-182.103705036234</v>
      </c>
      <c r="X316" s="56" t="n">
        <f aca="false">IF(T316=1,IF($B$27&lt;=V316,1,0),0)</f>
        <v>0</v>
      </c>
      <c r="Y316" s="58" t="n">
        <f aca="false">Y315+V316</f>
        <v>113000.408372882</v>
      </c>
    </row>
    <row r="317" customFormat="false" ht="15" hidden="false" customHeight="false" outlineLevel="0" collapsed="false">
      <c r="K317" s="56" t="n">
        <f aca="false">K316+1</f>
        <v>310</v>
      </c>
      <c r="L317" s="57" t="n">
        <f aca="false">IF(AND(K317&lt;=Assumptions!$C$42,L316=1,P316=0,O316&gt;Assumptions!$C$43),1,0)</f>
        <v>0</v>
      </c>
      <c r="M317" s="58" t="n">
        <f aca="false">O316</f>
        <v>8.10541678220034E-009</v>
      </c>
      <c r="N317" s="58" t="n">
        <f aca="false">IF(L317=1,M317*$B$22,0)</f>
        <v>0</v>
      </c>
      <c r="O317" s="58" t="n">
        <f aca="false">IF(L317=1,M317+N317-$B$26,M317)</f>
        <v>8.10541678220034E-009</v>
      </c>
      <c r="P317" s="56" t="n">
        <f aca="false">IF(L317=1,IF($B$26&lt;=N317,1,0),0)</f>
        <v>0</v>
      </c>
      <c r="Q317" s="58" t="n">
        <f aca="false">Q316+N317</f>
        <v>145877.630223336</v>
      </c>
      <c r="S317" s="56" t="n">
        <f aca="false">S316+1</f>
        <v>310</v>
      </c>
      <c r="T317" s="57" t="n">
        <f aca="false">IF(AND(S317&lt;=Assumptions!$C$42,T316=1,X316=0,W316&gt;Assumptions!$C$43),1,0)</f>
        <v>0</v>
      </c>
      <c r="U317" s="58" t="n">
        <f aca="false">W316</f>
        <v>-182.103705036234</v>
      </c>
      <c r="V317" s="58" t="n">
        <f aca="false">IF(T317=1,U317*$B$22,0)</f>
        <v>0</v>
      </c>
      <c r="W317" s="58" t="n">
        <f aca="false">IF(T317=1,U317+V317-$B$27,U317)</f>
        <v>-182.103705036234</v>
      </c>
      <c r="X317" s="56" t="n">
        <f aca="false">IF(T317=1,IF($B$27&lt;=V317,1,0),0)</f>
        <v>0</v>
      </c>
      <c r="Y317" s="58" t="n">
        <f aca="false">Y316+V317</f>
        <v>113000.408372882</v>
      </c>
    </row>
    <row r="318" customFormat="false" ht="15" hidden="false" customHeight="false" outlineLevel="0" collapsed="false">
      <c r="K318" s="56" t="n">
        <f aca="false">K317+1</f>
        <v>311</v>
      </c>
      <c r="L318" s="57" t="n">
        <f aca="false">IF(AND(K318&lt;=Assumptions!$C$42,L317=1,P317=0,O317&gt;Assumptions!$C$43),1,0)</f>
        <v>0</v>
      </c>
      <c r="M318" s="58" t="n">
        <f aca="false">O317</f>
        <v>8.10541678220034E-009</v>
      </c>
      <c r="N318" s="58" t="n">
        <f aca="false">IF(L318=1,M318*$B$22,0)</f>
        <v>0</v>
      </c>
      <c r="O318" s="58" t="n">
        <f aca="false">IF(L318=1,M318+N318-$B$26,M318)</f>
        <v>8.10541678220034E-009</v>
      </c>
      <c r="P318" s="56" t="n">
        <f aca="false">IF(L318=1,IF($B$26&lt;=N318,1,0),0)</f>
        <v>0</v>
      </c>
      <c r="Q318" s="58" t="n">
        <f aca="false">Q317+N318</f>
        <v>145877.630223336</v>
      </c>
      <c r="S318" s="56" t="n">
        <f aca="false">S317+1</f>
        <v>311</v>
      </c>
      <c r="T318" s="57" t="n">
        <f aca="false">IF(AND(S318&lt;=Assumptions!$C$42,T317=1,X317=0,W317&gt;Assumptions!$C$43),1,0)</f>
        <v>0</v>
      </c>
      <c r="U318" s="58" t="n">
        <f aca="false">W317</f>
        <v>-182.103705036234</v>
      </c>
      <c r="V318" s="58" t="n">
        <f aca="false">IF(T318=1,U318*$B$22,0)</f>
        <v>0</v>
      </c>
      <c r="W318" s="58" t="n">
        <f aca="false">IF(T318=1,U318+V318-$B$27,U318)</f>
        <v>-182.103705036234</v>
      </c>
      <c r="X318" s="56" t="n">
        <f aca="false">IF(T318=1,IF($B$27&lt;=V318,1,0),0)</f>
        <v>0</v>
      </c>
      <c r="Y318" s="58" t="n">
        <f aca="false">Y317+V318</f>
        <v>113000.408372882</v>
      </c>
    </row>
    <row r="319" customFormat="false" ht="15" hidden="false" customHeight="false" outlineLevel="0" collapsed="false">
      <c r="K319" s="56" t="n">
        <f aca="false">K318+1</f>
        <v>312</v>
      </c>
      <c r="L319" s="57" t="n">
        <f aca="false">IF(AND(K319&lt;=Assumptions!$C$42,L318=1,P318=0,O318&gt;Assumptions!$C$43),1,0)</f>
        <v>0</v>
      </c>
      <c r="M319" s="58" t="n">
        <f aca="false">O318</f>
        <v>8.10541678220034E-009</v>
      </c>
      <c r="N319" s="58" t="n">
        <f aca="false">IF(L319=1,M319*$B$22,0)</f>
        <v>0</v>
      </c>
      <c r="O319" s="58" t="n">
        <f aca="false">IF(L319=1,M319+N319-$B$26,M319)</f>
        <v>8.10541678220034E-009</v>
      </c>
      <c r="P319" s="56" t="n">
        <f aca="false">IF(L319=1,IF($B$26&lt;=N319,1,0),0)</f>
        <v>0</v>
      </c>
      <c r="Q319" s="58" t="n">
        <f aca="false">Q318+N319</f>
        <v>145877.630223336</v>
      </c>
      <c r="S319" s="56" t="n">
        <f aca="false">S318+1</f>
        <v>312</v>
      </c>
      <c r="T319" s="57" t="n">
        <f aca="false">IF(AND(S319&lt;=Assumptions!$C$42,T318=1,X318=0,W318&gt;Assumptions!$C$43),1,0)</f>
        <v>0</v>
      </c>
      <c r="U319" s="58" t="n">
        <f aca="false">W318</f>
        <v>-182.103705036234</v>
      </c>
      <c r="V319" s="58" t="n">
        <f aca="false">IF(T319=1,U319*$B$22,0)</f>
        <v>0</v>
      </c>
      <c r="W319" s="58" t="n">
        <f aca="false">IF(T319=1,U319+V319-$B$27,U319)</f>
        <v>-182.103705036234</v>
      </c>
      <c r="X319" s="56" t="n">
        <f aca="false">IF(T319=1,IF($B$27&lt;=V319,1,0),0)</f>
        <v>0</v>
      </c>
      <c r="Y319" s="58" t="n">
        <f aca="false">Y318+V319</f>
        <v>113000.408372882</v>
      </c>
    </row>
    <row r="320" customFormat="false" ht="15" hidden="false" customHeight="false" outlineLevel="0" collapsed="false">
      <c r="K320" s="56" t="n">
        <f aca="false">K319+1</f>
        <v>313</v>
      </c>
      <c r="L320" s="57" t="n">
        <f aca="false">IF(AND(K320&lt;=Assumptions!$C$42,L319=1,P319=0,O319&gt;Assumptions!$C$43),1,0)</f>
        <v>0</v>
      </c>
      <c r="M320" s="58" t="n">
        <f aca="false">O319</f>
        <v>8.10541678220034E-009</v>
      </c>
      <c r="N320" s="58" t="n">
        <f aca="false">IF(L320=1,M320*$B$22,0)</f>
        <v>0</v>
      </c>
      <c r="O320" s="58" t="n">
        <f aca="false">IF(L320=1,M320+N320-$B$26,M320)</f>
        <v>8.10541678220034E-009</v>
      </c>
      <c r="P320" s="56" t="n">
        <f aca="false">IF(L320=1,IF($B$26&lt;=N320,1,0),0)</f>
        <v>0</v>
      </c>
      <c r="Q320" s="58" t="n">
        <f aca="false">Q319+N320</f>
        <v>145877.630223336</v>
      </c>
      <c r="S320" s="56" t="n">
        <f aca="false">S319+1</f>
        <v>313</v>
      </c>
      <c r="T320" s="57" t="n">
        <f aca="false">IF(AND(S320&lt;=Assumptions!$C$42,T319=1,X319=0,W319&gt;Assumptions!$C$43),1,0)</f>
        <v>0</v>
      </c>
      <c r="U320" s="58" t="n">
        <f aca="false">W319</f>
        <v>-182.103705036234</v>
      </c>
      <c r="V320" s="58" t="n">
        <f aca="false">IF(T320=1,U320*$B$22,0)</f>
        <v>0</v>
      </c>
      <c r="W320" s="58" t="n">
        <f aca="false">IF(T320=1,U320+V320-$B$27,U320)</f>
        <v>-182.103705036234</v>
      </c>
      <c r="X320" s="56" t="n">
        <f aca="false">IF(T320=1,IF($B$27&lt;=V320,1,0),0)</f>
        <v>0</v>
      </c>
      <c r="Y320" s="58" t="n">
        <f aca="false">Y319+V320</f>
        <v>113000.408372882</v>
      </c>
    </row>
    <row r="321" customFormat="false" ht="15" hidden="false" customHeight="false" outlineLevel="0" collapsed="false">
      <c r="K321" s="56" t="n">
        <f aca="false">K320+1</f>
        <v>314</v>
      </c>
      <c r="L321" s="57" t="n">
        <f aca="false">IF(AND(K321&lt;=Assumptions!$C$42,L320=1,P320=0,O320&gt;Assumptions!$C$43),1,0)</f>
        <v>0</v>
      </c>
      <c r="M321" s="58" t="n">
        <f aca="false">O320</f>
        <v>8.10541678220034E-009</v>
      </c>
      <c r="N321" s="58" t="n">
        <f aca="false">IF(L321=1,M321*$B$22,0)</f>
        <v>0</v>
      </c>
      <c r="O321" s="58" t="n">
        <f aca="false">IF(L321=1,M321+N321-$B$26,M321)</f>
        <v>8.10541678220034E-009</v>
      </c>
      <c r="P321" s="56" t="n">
        <f aca="false">IF(L321=1,IF($B$26&lt;=N321,1,0),0)</f>
        <v>0</v>
      </c>
      <c r="Q321" s="58" t="n">
        <f aca="false">Q320+N321</f>
        <v>145877.630223336</v>
      </c>
      <c r="S321" s="56" t="n">
        <f aca="false">S320+1</f>
        <v>314</v>
      </c>
      <c r="T321" s="57" t="n">
        <f aca="false">IF(AND(S321&lt;=Assumptions!$C$42,T320=1,X320=0,W320&gt;Assumptions!$C$43),1,0)</f>
        <v>0</v>
      </c>
      <c r="U321" s="58" t="n">
        <f aca="false">W320</f>
        <v>-182.103705036234</v>
      </c>
      <c r="V321" s="58" t="n">
        <f aca="false">IF(T321=1,U321*$B$22,0)</f>
        <v>0</v>
      </c>
      <c r="W321" s="58" t="n">
        <f aca="false">IF(T321=1,U321+V321-$B$27,U321)</f>
        <v>-182.103705036234</v>
      </c>
      <c r="X321" s="56" t="n">
        <f aca="false">IF(T321=1,IF($B$27&lt;=V321,1,0),0)</f>
        <v>0</v>
      </c>
      <c r="Y321" s="58" t="n">
        <f aca="false">Y320+V321</f>
        <v>113000.408372882</v>
      </c>
    </row>
    <row r="322" customFormat="false" ht="15" hidden="false" customHeight="false" outlineLevel="0" collapsed="false">
      <c r="K322" s="56" t="n">
        <f aca="false">K321+1</f>
        <v>315</v>
      </c>
      <c r="L322" s="57" t="n">
        <f aca="false">IF(AND(K322&lt;=Assumptions!$C$42,L321=1,P321=0,O321&gt;Assumptions!$C$43),1,0)</f>
        <v>0</v>
      </c>
      <c r="M322" s="58" t="n">
        <f aca="false">O321</f>
        <v>8.10541678220034E-009</v>
      </c>
      <c r="N322" s="58" t="n">
        <f aca="false">IF(L322=1,M322*$B$22,0)</f>
        <v>0</v>
      </c>
      <c r="O322" s="58" t="n">
        <f aca="false">IF(L322=1,M322+N322-$B$26,M322)</f>
        <v>8.10541678220034E-009</v>
      </c>
      <c r="P322" s="56" t="n">
        <f aca="false">IF(L322=1,IF($B$26&lt;=N322,1,0),0)</f>
        <v>0</v>
      </c>
      <c r="Q322" s="58" t="n">
        <f aca="false">Q321+N322</f>
        <v>145877.630223336</v>
      </c>
      <c r="S322" s="56" t="n">
        <f aca="false">S321+1</f>
        <v>315</v>
      </c>
      <c r="T322" s="57" t="n">
        <f aca="false">IF(AND(S322&lt;=Assumptions!$C$42,T321=1,X321=0,W321&gt;Assumptions!$C$43),1,0)</f>
        <v>0</v>
      </c>
      <c r="U322" s="58" t="n">
        <f aca="false">W321</f>
        <v>-182.103705036234</v>
      </c>
      <c r="V322" s="58" t="n">
        <f aca="false">IF(T322=1,U322*$B$22,0)</f>
        <v>0</v>
      </c>
      <c r="W322" s="58" t="n">
        <f aca="false">IF(T322=1,U322+V322-$B$27,U322)</f>
        <v>-182.103705036234</v>
      </c>
      <c r="X322" s="56" t="n">
        <f aca="false">IF(T322=1,IF($B$27&lt;=V322,1,0),0)</f>
        <v>0</v>
      </c>
      <c r="Y322" s="58" t="n">
        <f aca="false">Y321+V322</f>
        <v>113000.408372882</v>
      </c>
    </row>
    <row r="323" customFormat="false" ht="15" hidden="false" customHeight="false" outlineLevel="0" collapsed="false">
      <c r="K323" s="56" t="n">
        <f aca="false">K322+1</f>
        <v>316</v>
      </c>
      <c r="L323" s="57" t="n">
        <f aca="false">IF(AND(K323&lt;=Assumptions!$C$42,L322=1,P322=0,O322&gt;Assumptions!$C$43),1,0)</f>
        <v>0</v>
      </c>
      <c r="M323" s="58" t="n">
        <f aca="false">O322</f>
        <v>8.10541678220034E-009</v>
      </c>
      <c r="N323" s="58" t="n">
        <f aca="false">IF(L323=1,M323*$B$22,0)</f>
        <v>0</v>
      </c>
      <c r="O323" s="58" t="n">
        <f aca="false">IF(L323=1,M323+N323-$B$26,M323)</f>
        <v>8.10541678220034E-009</v>
      </c>
      <c r="P323" s="56" t="n">
        <f aca="false">IF(L323=1,IF($B$26&lt;=N323,1,0),0)</f>
        <v>0</v>
      </c>
      <c r="Q323" s="58" t="n">
        <f aca="false">Q322+N323</f>
        <v>145877.630223336</v>
      </c>
      <c r="S323" s="56" t="n">
        <f aca="false">S322+1</f>
        <v>316</v>
      </c>
      <c r="T323" s="57" t="n">
        <f aca="false">IF(AND(S323&lt;=Assumptions!$C$42,T322=1,X322=0,W322&gt;Assumptions!$C$43),1,0)</f>
        <v>0</v>
      </c>
      <c r="U323" s="58" t="n">
        <f aca="false">W322</f>
        <v>-182.103705036234</v>
      </c>
      <c r="V323" s="58" t="n">
        <f aca="false">IF(T323=1,U323*$B$22,0)</f>
        <v>0</v>
      </c>
      <c r="W323" s="58" t="n">
        <f aca="false">IF(T323=1,U323+V323-$B$27,U323)</f>
        <v>-182.103705036234</v>
      </c>
      <c r="X323" s="56" t="n">
        <f aca="false">IF(T323=1,IF($B$27&lt;=V323,1,0),0)</f>
        <v>0</v>
      </c>
      <c r="Y323" s="58" t="n">
        <f aca="false">Y322+V323</f>
        <v>113000.408372882</v>
      </c>
    </row>
    <row r="324" customFormat="false" ht="15" hidden="false" customHeight="false" outlineLevel="0" collapsed="false">
      <c r="K324" s="56" t="n">
        <f aca="false">K323+1</f>
        <v>317</v>
      </c>
      <c r="L324" s="57" t="n">
        <f aca="false">IF(AND(K324&lt;=Assumptions!$C$42,L323=1,P323=0,O323&gt;Assumptions!$C$43),1,0)</f>
        <v>0</v>
      </c>
      <c r="M324" s="58" t="n">
        <f aca="false">O323</f>
        <v>8.10541678220034E-009</v>
      </c>
      <c r="N324" s="58" t="n">
        <f aca="false">IF(L324=1,M324*$B$22,0)</f>
        <v>0</v>
      </c>
      <c r="O324" s="58" t="n">
        <f aca="false">IF(L324=1,M324+N324-$B$26,M324)</f>
        <v>8.10541678220034E-009</v>
      </c>
      <c r="P324" s="56" t="n">
        <f aca="false">IF(L324=1,IF($B$26&lt;=N324,1,0),0)</f>
        <v>0</v>
      </c>
      <c r="Q324" s="58" t="n">
        <f aca="false">Q323+N324</f>
        <v>145877.630223336</v>
      </c>
      <c r="S324" s="56" t="n">
        <f aca="false">S323+1</f>
        <v>317</v>
      </c>
      <c r="T324" s="57" t="n">
        <f aca="false">IF(AND(S324&lt;=Assumptions!$C$42,T323=1,X323=0,W323&gt;Assumptions!$C$43),1,0)</f>
        <v>0</v>
      </c>
      <c r="U324" s="58" t="n">
        <f aca="false">W323</f>
        <v>-182.103705036234</v>
      </c>
      <c r="V324" s="58" t="n">
        <f aca="false">IF(T324=1,U324*$B$22,0)</f>
        <v>0</v>
      </c>
      <c r="W324" s="58" t="n">
        <f aca="false">IF(T324=1,U324+V324-$B$27,U324)</f>
        <v>-182.103705036234</v>
      </c>
      <c r="X324" s="56" t="n">
        <f aca="false">IF(T324=1,IF($B$27&lt;=V324,1,0),0)</f>
        <v>0</v>
      </c>
      <c r="Y324" s="58" t="n">
        <f aca="false">Y323+V324</f>
        <v>113000.408372882</v>
      </c>
    </row>
    <row r="325" customFormat="false" ht="15" hidden="false" customHeight="false" outlineLevel="0" collapsed="false">
      <c r="K325" s="56" t="n">
        <f aca="false">K324+1</f>
        <v>318</v>
      </c>
      <c r="L325" s="57" t="n">
        <f aca="false">IF(AND(K325&lt;=Assumptions!$C$42,L324=1,P324=0,O324&gt;Assumptions!$C$43),1,0)</f>
        <v>0</v>
      </c>
      <c r="M325" s="58" t="n">
        <f aca="false">O324</f>
        <v>8.10541678220034E-009</v>
      </c>
      <c r="N325" s="58" t="n">
        <f aca="false">IF(L325=1,M325*$B$22,0)</f>
        <v>0</v>
      </c>
      <c r="O325" s="58" t="n">
        <f aca="false">IF(L325=1,M325+N325-$B$26,M325)</f>
        <v>8.10541678220034E-009</v>
      </c>
      <c r="P325" s="56" t="n">
        <f aca="false">IF(L325=1,IF($B$26&lt;=N325,1,0),0)</f>
        <v>0</v>
      </c>
      <c r="Q325" s="58" t="n">
        <f aca="false">Q324+N325</f>
        <v>145877.630223336</v>
      </c>
      <c r="S325" s="56" t="n">
        <f aca="false">S324+1</f>
        <v>318</v>
      </c>
      <c r="T325" s="57" t="n">
        <f aca="false">IF(AND(S325&lt;=Assumptions!$C$42,T324=1,X324=0,W324&gt;Assumptions!$C$43),1,0)</f>
        <v>0</v>
      </c>
      <c r="U325" s="58" t="n">
        <f aca="false">W324</f>
        <v>-182.103705036234</v>
      </c>
      <c r="V325" s="58" t="n">
        <f aca="false">IF(T325=1,U325*$B$22,0)</f>
        <v>0</v>
      </c>
      <c r="W325" s="58" t="n">
        <f aca="false">IF(T325=1,U325+V325-$B$27,U325)</f>
        <v>-182.103705036234</v>
      </c>
      <c r="X325" s="56" t="n">
        <f aca="false">IF(T325=1,IF($B$27&lt;=V325,1,0),0)</f>
        <v>0</v>
      </c>
      <c r="Y325" s="58" t="n">
        <f aca="false">Y324+V325</f>
        <v>113000.408372882</v>
      </c>
    </row>
    <row r="326" customFormat="false" ht="15" hidden="false" customHeight="false" outlineLevel="0" collapsed="false">
      <c r="K326" s="56" t="n">
        <f aca="false">K325+1</f>
        <v>319</v>
      </c>
      <c r="L326" s="57" t="n">
        <f aca="false">IF(AND(K326&lt;=Assumptions!$C$42,L325=1,P325=0,O325&gt;Assumptions!$C$43),1,0)</f>
        <v>0</v>
      </c>
      <c r="M326" s="58" t="n">
        <f aca="false">O325</f>
        <v>8.10541678220034E-009</v>
      </c>
      <c r="N326" s="58" t="n">
        <f aca="false">IF(L326=1,M326*$B$22,0)</f>
        <v>0</v>
      </c>
      <c r="O326" s="58" t="n">
        <f aca="false">IF(L326=1,M326+N326-$B$26,M326)</f>
        <v>8.10541678220034E-009</v>
      </c>
      <c r="P326" s="56" t="n">
        <f aca="false">IF(L326=1,IF($B$26&lt;=N326,1,0),0)</f>
        <v>0</v>
      </c>
      <c r="Q326" s="58" t="n">
        <f aca="false">Q325+N326</f>
        <v>145877.630223336</v>
      </c>
      <c r="S326" s="56" t="n">
        <f aca="false">S325+1</f>
        <v>319</v>
      </c>
      <c r="T326" s="57" t="n">
        <f aca="false">IF(AND(S326&lt;=Assumptions!$C$42,T325=1,X325=0,W325&gt;Assumptions!$C$43),1,0)</f>
        <v>0</v>
      </c>
      <c r="U326" s="58" t="n">
        <f aca="false">W325</f>
        <v>-182.103705036234</v>
      </c>
      <c r="V326" s="58" t="n">
        <f aca="false">IF(T326=1,U326*$B$22,0)</f>
        <v>0</v>
      </c>
      <c r="W326" s="58" t="n">
        <f aca="false">IF(T326=1,U326+V326-$B$27,U326)</f>
        <v>-182.103705036234</v>
      </c>
      <c r="X326" s="56" t="n">
        <f aca="false">IF(T326=1,IF($B$27&lt;=V326,1,0),0)</f>
        <v>0</v>
      </c>
      <c r="Y326" s="58" t="n">
        <f aca="false">Y325+V326</f>
        <v>113000.408372882</v>
      </c>
    </row>
    <row r="327" customFormat="false" ht="15" hidden="false" customHeight="false" outlineLevel="0" collapsed="false">
      <c r="K327" s="56" t="n">
        <f aca="false">K326+1</f>
        <v>320</v>
      </c>
      <c r="L327" s="57" t="n">
        <f aca="false">IF(AND(K327&lt;=Assumptions!$C$42,L326=1,P326=0,O326&gt;Assumptions!$C$43),1,0)</f>
        <v>0</v>
      </c>
      <c r="M327" s="58" t="n">
        <f aca="false">O326</f>
        <v>8.10541678220034E-009</v>
      </c>
      <c r="N327" s="58" t="n">
        <f aca="false">IF(L327=1,M327*$B$22,0)</f>
        <v>0</v>
      </c>
      <c r="O327" s="58" t="n">
        <f aca="false">IF(L327=1,M327+N327-$B$26,M327)</f>
        <v>8.10541678220034E-009</v>
      </c>
      <c r="P327" s="56" t="n">
        <f aca="false">IF(L327=1,IF($B$26&lt;=N327,1,0),0)</f>
        <v>0</v>
      </c>
      <c r="Q327" s="58" t="n">
        <f aca="false">Q326+N327</f>
        <v>145877.630223336</v>
      </c>
      <c r="S327" s="56" t="n">
        <f aca="false">S326+1</f>
        <v>320</v>
      </c>
      <c r="T327" s="57" t="n">
        <f aca="false">IF(AND(S327&lt;=Assumptions!$C$42,T326=1,X326=0,W326&gt;Assumptions!$C$43),1,0)</f>
        <v>0</v>
      </c>
      <c r="U327" s="58" t="n">
        <f aca="false">W326</f>
        <v>-182.103705036234</v>
      </c>
      <c r="V327" s="58" t="n">
        <f aca="false">IF(T327=1,U327*$B$22,0)</f>
        <v>0</v>
      </c>
      <c r="W327" s="58" t="n">
        <f aca="false">IF(T327=1,U327+V327-$B$27,U327)</f>
        <v>-182.103705036234</v>
      </c>
      <c r="X327" s="56" t="n">
        <f aca="false">IF(T327=1,IF($B$27&lt;=V327,1,0),0)</f>
        <v>0</v>
      </c>
      <c r="Y327" s="58" t="n">
        <f aca="false">Y326+V327</f>
        <v>113000.408372882</v>
      </c>
    </row>
    <row r="328" customFormat="false" ht="15" hidden="false" customHeight="false" outlineLevel="0" collapsed="false">
      <c r="K328" s="56" t="n">
        <f aca="false">K327+1</f>
        <v>321</v>
      </c>
      <c r="L328" s="57" t="n">
        <f aca="false">IF(AND(K328&lt;=Assumptions!$C$42,L327=1,P327=0,O327&gt;Assumptions!$C$43),1,0)</f>
        <v>0</v>
      </c>
      <c r="M328" s="58" t="n">
        <f aca="false">O327</f>
        <v>8.10541678220034E-009</v>
      </c>
      <c r="N328" s="58" t="n">
        <f aca="false">IF(L328=1,M328*$B$22,0)</f>
        <v>0</v>
      </c>
      <c r="O328" s="58" t="n">
        <f aca="false">IF(L328=1,M328+N328-$B$26,M328)</f>
        <v>8.10541678220034E-009</v>
      </c>
      <c r="P328" s="56" t="n">
        <f aca="false">IF(L328=1,IF($B$26&lt;=N328,1,0),0)</f>
        <v>0</v>
      </c>
      <c r="Q328" s="58" t="n">
        <f aca="false">Q327+N328</f>
        <v>145877.630223336</v>
      </c>
      <c r="S328" s="56" t="n">
        <f aca="false">S327+1</f>
        <v>321</v>
      </c>
      <c r="T328" s="57" t="n">
        <f aca="false">IF(AND(S328&lt;=Assumptions!$C$42,T327=1,X327=0,W327&gt;Assumptions!$C$43),1,0)</f>
        <v>0</v>
      </c>
      <c r="U328" s="58" t="n">
        <f aca="false">W327</f>
        <v>-182.103705036234</v>
      </c>
      <c r="V328" s="58" t="n">
        <f aca="false">IF(T328=1,U328*$B$22,0)</f>
        <v>0</v>
      </c>
      <c r="W328" s="58" t="n">
        <f aca="false">IF(T328=1,U328+V328-$B$27,U328)</f>
        <v>-182.103705036234</v>
      </c>
      <c r="X328" s="56" t="n">
        <f aca="false">IF(T328=1,IF($B$27&lt;=V328,1,0),0)</f>
        <v>0</v>
      </c>
      <c r="Y328" s="58" t="n">
        <f aca="false">Y327+V328</f>
        <v>113000.408372882</v>
      </c>
    </row>
    <row r="329" customFormat="false" ht="15" hidden="false" customHeight="false" outlineLevel="0" collapsed="false">
      <c r="K329" s="56" t="n">
        <f aca="false">K328+1</f>
        <v>322</v>
      </c>
      <c r="L329" s="57" t="n">
        <f aca="false">IF(AND(K329&lt;=Assumptions!$C$42,L328=1,P328=0,O328&gt;Assumptions!$C$43),1,0)</f>
        <v>0</v>
      </c>
      <c r="M329" s="58" t="n">
        <f aca="false">O328</f>
        <v>8.10541678220034E-009</v>
      </c>
      <c r="N329" s="58" t="n">
        <f aca="false">IF(L329=1,M329*$B$22,0)</f>
        <v>0</v>
      </c>
      <c r="O329" s="58" t="n">
        <f aca="false">IF(L329=1,M329+N329-$B$26,M329)</f>
        <v>8.10541678220034E-009</v>
      </c>
      <c r="P329" s="56" t="n">
        <f aca="false">IF(L329=1,IF($B$26&lt;=N329,1,0),0)</f>
        <v>0</v>
      </c>
      <c r="Q329" s="58" t="n">
        <f aca="false">Q328+N329</f>
        <v>145877.630223336</v>
      </c>
      <c r="S329" s="56" t="n">
        <f aca="false">S328+1</f>
        <v>322</v>
      </c>
      <c r="T329" s="57" t="n">
        <f aca="false">IF(AND(S329&lt;=Assumptions!$C$42,T328=1,X328=0,W328&gt;Assumptions!$C$43),1,0)</f>
        <v>0</v>
      </c>
      <c r="U329" s="58" t="n">
        <f aca="false">W328</f>
        <v>-182.103705036234</v>
      </c>
      <c r="V329" s="58" t="n">
        <f aca="false">IF(T329=1,U329*$B$22,0)</f>
        <v>0</v>
      </c>
      <c r="W329" s="58" t="n">
        <f aca="false">IF(T329=1,U329+V329-$B$27,U329)</f>
        <v>-182.103705036234</v>
      </c>
      <c r="X329" s="56" t="n">
        <f aca="false">IF(T329=1,IF($B$27&lt;=V329,1,0),0)</f>
        <v>0</v>
      </c>
      <c r="Y329" s="58" t="n">
        <f aca="false">Y328+V329</f>
        <v>113000.408372882</v>
      </c>
    </row>
    <row r="330" customFormat="false" ht="15" hidden="false" customHeight="false" outlineLevel="0" collapsed="false">
      <c r="K330" s="56" t="n">
        <f aca="false">K329+1</f>
        <v>323</v>
      </c>
      <c r="L330" s="57" t="n">
        <f aca="false">IF(AND(K330&lt;=Assumptions!$C$42,L329=1,P329=0,O329&gt;Assumptions!$C$43),1,0)</f>
        <v>0</v>
      </c>
      <c r="M330" s="58" t="n">
        <f aca="false">O329</f>
        <v>8.10541678220034E-009</v>
      </c>
      <c r="N330" s="58" t="n">
        <f aca="false">IF(L330=1,M330*$B$22,0)</f>
        <v>0</v>
      </c>
      <c r="O330" s="58" t="n">
        <f aca="false">IF(L330=1,M330+N330-$B$26,M330)</f>
        <v>8.10541678220034E-009</v>
      </c>
      <c r="P330" s="56" t="n">
        <f aca="false">IF(L330=1,IF($B$26&lt;=N330,1,0),0)</f>
        <v>0</v>
      </c>
      <c r="Q330" s="58" t="n">
        <f aca="false">Q329+N330</f>
        <v>145877.630223336</v>
      </c>
      <c r="S330" s="56" t="n">
        <f aca="false">S329+1</f>
        <v>323</v>
      </c>
      <c r="T330" s="57" t="n">
        <f aca="false">IF(AND(S330&lt;=Assumptions!$C$42,T329=1,X329=0,W329&gt;Assumptions!$C$43),1,0)</f>
        <v>0</v>
      </c>
      <c r="U330" s="58" t="n">
        <f aca="false">W329</f>
        <v>-182.103705036234</v>
      </c>
      <c r="V330" s="58" t="n">
        <f aca="false">IF(T330=1,U330*$B$22,0)</f>
        <v>0</v>
      </c>
      <c r="W330" s="58" t="n">
        <f aca="false">IF(T330=1,U330+V330-$B$27,U330)</f>
        <v>-182.103705036234</v>
      </c>
      <c r="X330" s="56" t="n">
        <f aca="false">IF(T330=1,IF($B$27&lt;=V330,1,0),0)</f>
        <v>0</v>
      </c>
      <c r="Y330" s="58" t="n">
        <f aca="false">Y329+V330</f>
        <v>113000.408372882</v>
      </c>
    </row>
    <row r="331" customFormat="false" ht="15" hidden="false" customHeight="false" outlineLevel="0" collapsed="false">
      <c r="K331" s="56" t="n">
        <f aca="false">K330+1</f>
        <v>324</v>
      </c>
      <c r="L331" s="57" t="n">
        <f aca="false">IF(AND(K331&lt;=Assumptions!$C$42,L330=1,P330=0,O330&gt;Assumptions!$C$43),1,0)</f>
        <v>0</v>
      </c>
      <c r="M331" s="58" t="n">
        <f aca="false">O330</f>
        <v>8.10541678220034E-009</v>
      </c>
      <c r="N331" s="58" t="n">
        <f aca="false">IF(L331=1,M331*$B$22,0)</f>
        <v>0</v>
      </c>
      <c r="O331" s="58" t="n">
        <f aca="false">IF(L331=1,M331+N331-$B$26,M331)</f>
        <v>8.10541678220034E-009</v>
      </c>
      <c r="P331" s="56" t="n">
        <f aca="false">IF(L331=1,IF($B$26&lt;=N331,1,0),0)</f>
        <v>0</v>
      </c>
      <c r="Q331" s="58" t="n">
        <f aca="false">Q330+N331</f>
        <v>145877.630223336</v>
      </c>
      <c r="S331" s="56" t="n">
        <f aca="false">S330+1</f>
        <v>324</v>
      </c>
      <c r="T331" s="57" t="n">
        <f aca="false">IF(AND(S331&lt;=Assumptions!$C$42,T330=1,X330=0,W330&gt;Assumptions!$C$43),1,0)</f>
        <v>0</v>
      </c>
      <c r="U331" s="58" t="n">
        <f aca="false">W330</f>
        <v>-182.103705036234</v>
      </c>
      <c r="V331" s="58" t="n">
        <f aca="false">IF(T331=1,U331*$B$22,0)</f>
        <v>0</v>
      </c>
      <c r="W331" s="58" t="n">
        <f aca="false">IF(T331=1,U331+V331-$B$27,U331)</f>
        <v>-182.103705036234</v>
      </c>
      <c r="X331" s="56" t="n">
        <f aca="false">IF(T331=1,IF($B$27&lt;=V331,1,0),0)</f>
        <v>0</v>
      </c>
      <c r="Y331" s="58" t="n">
        <f aca="false">Y330+V331</f>
        <v>113000.408372882</v>
      </c>
    </row>
    <row r="332" customFormat="false" ht="15" hidden="false" customHeight="false" outlineLevel="0" collapsed="false">
      <c r="K332" s="56" t="n">
        <f aca="false">K331+1</f>
        <v>325</v>
      </c>
      <c r="L332" s="57" t="n">
        <f aca="false">IF(AND(K332&lt;=Assumptions!$C$42,L331=1,P331=0,O331&gt;Assumptions!$C$43),1,0)</f>
        <v>0</v>
      </c>
      <c r="M332" s="58" t="n">
        <f aca="false">O331</f>
        <v>8.10541678220034E-009</v>
      </c>
      <c r="N332" s="58" t="n">
        <f aca="false">IF(L332=1,M332*$B$22,0)</f>
        <v>0</v>
      </c>
      <c r="O332" s="58" t="n">
        <f aca="false">IF(L332=1,M332+N332-$B$26,M332)</f>
        <v>8.10541678220034E-009</v>
      </c>
      <c r="P332" s="56" t="n">
        <f aca="false">IF(L332=1,IF($B$26&lt;=N332,1,0),0)</f>
        <v>0</v>
      </c>
      <c r="Q332" s="58" t="n">
        <f aca="false">Q331+N332</f>
        <v>145877.630223336</v>
      </c>
      <c r="S332" s="56" t="n">
        <f aca="false">S331+1</f>
        <v>325</v>
      </c>
      <c r="T332" s="57" t="n">
        <f aca="false">IF(AND(S332&lt;=Assumptions!$C$42,T331=1,X331=0,W331&gt;Assumptions!$C$43),1,0)</f>
        <v>0</v>
      </c>
      <c r="U332" s="58" t="n">
        <f aca="false">W331</f>
        <v>-182.103705036234</v>
      </c>
      <c r="V332" s="58" t="n">
        <f aca="false">IF(T332=1,U332*$B$22,0)</f>
        <v>0</v>
      </c>
      <c r="W332" s="58" t="n">
        <f aca="false">IF(T332=1,U332+V332-$B$27,U332)</f>
        <v>-182.103705036234</v>
      </c>
      <c r="X332" s="56" t="n">
        <f aca="false">IF(T332=1,IF($B$27&lt;=V332,1,0),0)</f>
        <v>0</v>
      </c>
      <c r="Y332" s="58" t="n">
        <f aca="false">Y331+V332</f>
        <v>113000.408372882</v>
      </c>
    </row>
    <row r="333" customFormat="false" ht="15" hidden="false" customHeight="false" outlineLevel="0" collapsed="false">
      <c r="K333" s="56" t="n">
        <f aca="false">K332+1</f>
        <v>326</v>
      </c>
      <c r="L333" s="57" t="n">
        <f aca="false">IF(AND(K333&lt;=Assumptions!$C$42,L332=1,P332=0,O332&gt;Assumptions!$C$43),1,0)</f>
        <v>0</v>
      </c>
      <c r="M333" s="58" t="n">
        <f aca="false">O332</f>
        <v>8.10541678220034E-009</v>
      </c>
      <c r="N333" s="58" t="n">
        <f aca="false">IF(L333=1,M333*$B$22,0)</f>
        <v>0</v>
      </c>
      <c r="O333" s="58" t="n">
        <f aca="false">IF(L333=1,M333+N333-$B$26,M333)</f>
        <v>8.10541678220034E-009</v>
      </c>
      <c r="P333" s="56" t="n">
        <f aca="false">IF(L333=1,IF($B$26&lt;=N333,1,0),0)</f>
        <v>0</v>
      </c>
      <c r="Q333" s="58" t="n">
        <f aca="false">Q332+N333</f>
        <v>145877.630223336</v>
      </c>
      <c r="S333" s="56" t="n">
        <f aca="false">S332+1</f>
        <v>326</v>
      </c>
      <c r="T333" s="57" t="n">
        <f aca="false">IF(AND(S333&lt;=Assumptions!$C$42,T332=1,X332=0,W332&gt;Assumptions!$C$43),1,0)</f>
        <v>0</v>
      </c>
      <c r="U333" s="58" t="n">
        <f aca="false">W332</f>
        <v>-182.103705036234</v>
      </c>
      <c r="V333" s="58" t="n">
        <f aca="false">IF(T333=1,U333*$B$22,0)</f>
        <v>0</v>
      </c>
      <c r="W333" s="58" t="n">
        <f aca="false">IF(T333=1,U333+V333-$B$27,U333)</f>
        <v>-182.103705036234</v>
      </c>
      <c r="X333" s="56" t="n">
        <f aca="false">IF(T333=1,IF($B$27&lt;=V333,1,0),0)</f>
        <v>0</v>
      </c>
      <c r="Y333" s="58" t="n">
        <f aca="false">Y332+V333</f>
        <v>113000.408372882</v>
      </c>
    </row>
    <row r="334" customFormat="false" ht="15" hidden="false" customHeight="false" outlineLevel="0" collapsed="false">
      <c r="K334" s="56" t="n">
        <f aca="false">K333+1</f>
        <v>327</v>
      </c>
      <c r="L334" s="57" t="n">
        <f aca="false">IF(AND(K334&lt;=Assumptions!$C$42,L333=1,P333=0,O333&gt;Assumptions!$C$43),1,0)</f>
        <v>0</v>
      </c>
      <c r="M334" s="58" t="n">
        <f aca="false">O333</f>
        <v>8.10541678220034E-009</v>
      </c>
      <c r="N334" s="58" t="n">
        <f aca="false">IF(L334=1,M334*$B$22,0)</f>
        <v>0</v>
      </c>
      <c r="O334" s="58" t="n">
        <f aca="false">IF(L334=1,M334+N334-$B$26,M334)</f>
        <v>8.10541678220034E-009</v>
      </c>
      <c r="P334" s="56" t="n">
        <f aca="false">IF(L334=1,IF($B$26&lt;=N334,1,0),0)</f>
        <v>0</v>
      </c>
      <c r="Q334" s="58" t="n">
        <f aca="false">Q333+N334</f>
        <v>145877.630223336</v>
      </c>
      <c r="S334" s="56" t="n">
        <f aca="false">S333+1</f>
        <v>327</v>
      </c>
      <c r="T334" s="57" t="n">
        <f aca="false">IF(AND(S334&lt;=Assumptions!$C$42,T333=1,X333=0,W333&gt;Assumptions!$C$43),1,0)</f>
        <v>0</v>
      </c>
      <c r="U334" s="58" t="n">
        <f aca="false">W333</f>
        <v>-182.103705036234</v>
      </c>
      <c r="V334" s="58" t="n">
        <f aca="false">IF(T334=1,U334*$B$22,0)</f>
        <v>0</v>
      </c>
      <c r="W334" s="58" t="n">
        <f aca="false">IF(T334=1,U334+V334-$B$27,U334)</f>
        <v>-182.103705036234</v>
      </c>
      <c r="X334" s="56" t="n">
        <f aca="false">IF(T334=1,IF($B$27&lt;=V334,1,0),0)</f>
        <v>0</v>
      </c>
      <c r="Y334" s="58" t="n">
        <f aca="false">Y333+V334</f>
        <v>113000.408372882</v>
      </c>
    </row>
    <row r="335" customFormat="false" ht="15" hidden="false" customHeight="false" outlineLevel="0" collapsed="false">
      <c r="K335" s="56" t="n">
        <f aca="false">K334+1</f>
        <v>328</v>
      </c>
      <c r="L335" s="57" t="n">
        <f aca="false">IF(AND(K335&lt;=Assumptions!$C$42,L334=1,P334=0,O334&gt;Assumptions!$C$43),1,0)</f>
        <v>0</v>
      </c>
      <c r="M335" s="58" t="n">
        <f aca="false">O334</f>
        <v>8.10541678220034E-009</v>
      </c>
      <c r="N335" s="58" t="n">
        <f aca="false">IF(L335=1,M335*$B$22,0)</f>
        <v>0</v>
      </c>
      <c r="O335" s="58" t="n">
        <f aca="false">IF(L335=1,M335+N335-$B$26,M335)</f>
        <v>8.10541678220034E-009</v>
      </c>
      <c r="P335" s="56" t="n">
        <f aca="false">IF(L335=1,IF($B$26&lt;=N335,1,0),0)</f>
        <v>0</v>
      </c>
      <c r="Q335" s="58" t="n">
        <f aca="false">Q334+N335</f>
        <v>145877.630223336</v>
      </c>
      <c r="S335" s="56" t="n">
        <f aca="false">S334+1</f>
        <v>328</v>
      </c>
      <c r="T335" s="57" t="n">
        <f aca="false">IF(AND(S335&lt;=Assumptions!$C$42,T334=1,X334=0,W334&gt;Assumptions!$C$43),1,0)</f>
        <v>0</v>
      </c>
      <c r="U335" s="58" t="n">
        <f aca="false">W334</f>
        <v>-182.103705036234</v>
      </c>
      <c r="V335" s="58" t="n">
        <f aca="false">IF(T335=1,U335*$B$22,0)</f>
        <v>0</v>
      </c>
      <c r="W335" s="58" t="n">
        <f aca="false">IF(T335=1,U335+V335-$B$27,U335)</f>
        <v>-182.103705036234</v>
      </c>
      <c r="X335" s="56" t="n">
        <f aca="false">IF(T335=1,IF($B$27&lt;=V335,1,0),0)</f>
        <v>0</v>
      </c>
      <c r="Y335" s="58" t="n">
        <f aca="false">Y334+V335</f>
        <v>113000.408372882</v>
      </c>
    </row>
    <row r="336" customFormat="false" ht="15" hidden="false" customHeight="false" outlineLevel="0" collapsed="false">
      <c r="K336" s="56" t="n">
        <f aca="false">K335+1</f>
        <v>329</v>
      </c>
      <c r="L336" s="57" t="n">
        <f aca="false">IF(AND(K336&lt;=Assumptions!$C$42,L335=1,P335=0,O335&gt;Assumptions!$C$43),1,0)</f>
        <v>0</v>
      </c>
      <c r="M336" s="58" t="n">
        <f aca="false">O335</f>
        <v>8.10541678220034E-009</v>
      </c>
      <c r="N336" s="58" t="n">
        <f aca="false">IF(L336=1,M336*$B$22,0)</f>
        <v>0</v>
      </c>
      <c r="O336" s="58" t="n">
        <f aca="false">IF(L336=1,M336+N336-$B$26,M336)</f>
        <v>8.10541678220034E-009</v>
      </c>
      <c r="P336" s="56" t="n">
        <f aca="false">IF(L336=1,IF($B$26&lt;=N336,1,0),0)</f>
        <v>0</v>
      </c>
      <c r="Q336" s="58" t="n">
        <f aca="false">Q335+N336</f>
        <v>145877.630223336</v>
      </c>
      <c r="S336" s="56" t="n">
        <f aca="false">S335+1</f>
        <v>329</v>
      </c>
      <c r="T336" s="57" t="n">
        <f aca="false">IF(AND(S336&lt;=Assumptions!$C$42,T335=1,X335=0,W335&gt;Assumptions!$C$43),1,0)</f>
        <v>0</v>
      </c>
      <c r="U336" s="58" t="n">
        <f aca="false">W335</f>
        <v>-182.103705036234</v>
      </c>
      <c r="V336" s="58" t="n">
        <f aca="false">IF(T336=1,U336*$B$22,0)</f>
        <v>0</v>
      </c>
      <c r="W336" s="58" t="n">
        <f aca="false">IF(T336=1,U336+V336-$B$27,U336)</f>
        <v>-182.103705036234</v>
      </c>
      <c r="X336" s="56" t="n">
        <f aca="false">IF(T336=1,IF($B$27&lt;=V336,1,0),0)</f>
        <v>0</v>
      </c>
      <c r="Y336" s="58" t="n">
        <f aca="false">Y335+V336</f>
        <v>113000.408372882</v>
      </c>
    </row>
    <row r="337" customFormat="false" ht="15" hidden="false" customHeight="false" outlineLevel="0" collapsed="false">
      <c r="K337" s="56" t="n">
        <f aca="false">K336+1</f>
        <v>330</v>
      </c>
      <c r="L337" s="57" t="n">
        <f aca="false">IF(AND(K337&lt;=Assumptions!$C$42,L336=1,P336=0,O336&gt;Assumptions!$C$43),1,0)</f>
        <v>0</v>
      </c>
      <c r="M337" s="58" t="n">
        <f aca="false">O336</f>
        <v>8.10541678220034E-009</v>
      </c>
      <c r="N337" s="58" t="n">
        <f aca="false">IF(L337=1,M337*$B$22,0)</f>
        <v>0</v>
      </c>
      <c r="O337" s="58" t="n">
        <f aca="false">IF(L337=1,M337+N337-$B$26,M337)</f>
        <v>8.10541678220034E-009</v>
      </c>
      <c r="P337" s="56" t="n">
        <f aca="false">IF(L337=1,IF($B$26&lt;=N337,1,0),0)</f>
        <v>0</v>
      </c>
      <c r="Q337" s="58" t="n">
        <f aca="false">Q336+N337</f>
        <v>145877.630223336</v>
      </c>
      <c r="S337" s="56" t="n">
        <f aca="false">S336+1</f>
        <v>330</v>
      </c>
      <c r="T337" s="57" t="n">
        <f aca="false">IF(AND(S337&lt;=Assumptions!$C$42,T336=1,X336=0,W336&gt;Assumptions!$C$43),1,0)</f>
        <v>0</v>
      </c>
      <c r="U337" s="58" t="n">
        <f aca="false">W336</f>
        <v>-182.103705036234</v>
      </c>
      <c r="V337" s="58" t="n">
        <f aca="false">IF(T337=1,U337*$B$22,0)</f>
        <v>0</v>
      </c>
      <c r="W337" s="58" t="n">
        <f aca="false">IF(T337=1,U337+V337-$B$27,U337)</f>
        <v>-182.103705036234</v>
      </c>
      <c r="X337" s="56" t="n">
        <f aca="false">IF(T337=1,IF($B$27&lt;=V337,1,0),0)</f>
        <v>0</v>
      </c>
      <c r="Y337" s="58" t="n">
        <f aca="false">Y336+V337</f>
        <v>113000.408372882</v>
      </c>
    </row>
    <row r="338" customFormat="false" ht="15" hidden="false" customHeight="false" outlineLevel="0" collapsed="false">
      <c r="K338" s="56" t="n">
        <f aca="false">K337+1</f>
        <v>331</v>
      </c>
      <c r="L338" s="57" t="n">
        <f aca="false">IF(AND(K338&lt;=Assumptions!$C$42,L337=1,P337=0,O337&gt;Assumptions!$C$43),1,0)</f>
        <v>0</v>
      </c>
      <c r="M338" s="58" t="n">
        <f aca="false">O337</f>
        <v>8.10541678220034E-009</v>
      </c>
      <c r="N338" s="58" t="n">
        <f aca="false">IF(L338=1,M338*$B$22,0)</f>
        <v>0</v>
      </c>
      <c r="O338" s="58" t="n">
        <f aca="false">IF(L338=1,M338+N338-$B$26,M338)</f>
        <v>8.10541678220034E-009</v>
      </c>
      <c r="P338" s="56" t="n">
        <f aca="false">IF(L338=1,IF($B$26&lt;=N338,1,0),0)</f>
        <v>0</v>
      </c>
      <c r="Q338" s="58" t="n">
        <f aca="false">Q337+N338</f>
        <v>145877.630223336</v>
      </c>
      <c r="S338" s="56" t="n">
        <f aca="false">S337+1</f>
        <v>331</v>
      </c>
      <c r="T338" s="57" t="n">
        <f aca="false">IF(AND(S338&lt;=Assumptions!$C$42,T337=1,X337=0,W337&gt;Assumptions!$C$43),1,0)</f>
        <v>0</v>
      </c>
      <c r="U338" s="58" t="n">
        <f aca="false">W337</f>
        <v>-182.103705036234</v>
      </c>
      <c r="V338" s="58" t="n">
        <f aca="false">IF(T338=1,U338*$B$22,0)</f>
        <v>0</v>
      </c>
      <c r="W338" s="58" t="n">
        <f aca="false">IF(T338=1,U338+V338-$B$27,U338)</f>
        <v>-182.103705036234</v>
      </c>
      <c r="X338" s="56" t="n">
        <f aca="false">IF(T338=1,IF($B$27&lt;=V338,1,0),0)</f>
        <v>0</v>
      </c>
      <c r="Y338" s="58" t="n">
        <f aca="false">Y337+V338</f>
        <v>113000.408372882</v>
      </c>
    </row>
    <row r="339" customFormat="false" ht="15" hidden="false" customHeight="false" outlineLevel="0" collapsed="false">
      <c r="K339" s="56" t="n">
        <f aca="false">K338+1</f>
        <v>332</v>
      </c>
      <c r="L339" s="57" t="n">
        <f aca="false">IF(AND(K339&lt;=Assumptions!$C$42,L338=1,P338=0,O338&gt;Assumptions!$C$43),1,0)</f>
        <v>0</v>
      </c>
      <c r="M339" s="58" t="n">
        <f aca="false">O338</f>
        <v>8.10541678220034E-009</v>
      </c>
      <c r="N339" s="58" t="n">
        <f aca="false">IF(L339=1,M339*$B$22,0)</f>
        <v>0</v>
      </c>
      <c r="O339" s="58" t="n">
        <f aca="false">IF(L339=1,M339+N339-$B$26,M339)</f>
        <v>8.10541678220034E-009</v>
      </c>
      <c r="P339" s="56" t="n">
        <f aca="false">IF(L339=1,IF($B$26&lt;=N339,1,0),0)</f>
        <v>0</v>
      </c>
      <c r="Q339" s="58" t="n">
        <f aca="false">Q338+N339</f>
        <v>145877.630223336</v>
      </c>
      <c r="S339" s="56" t="n">
        <f aca="false">S338+1</f>
        <v>332</v>
      </c>
      <c r="T339" s="57" t="n">
        <f aca="false">IF(AND(S339&lt;=Assumptions!$C$42,T338=1,X338=0,W338&gt;Assumptions!$C$43),1,0)</f>
        <v>0</v>
      </c>
      <c r="U339" s="58" t="n">
        <f aca="false">W338</f>
        <v>-182.103705036234</v>
      </c>
      <c r="V339" s="58" t="n">
        <f aca="false">IF(T339=1,U339*$B$22,0)</f>
        <v>0</v>
      </c>
      <c r="W339" s="58" t="n">
        <f aca="false">IF(T339=1,U339+V339-$B$27,U339)</f>
        <v>-182.103705036234</v>
      </c>
      <c r="X339" s="56" t="n">
        <f aca="false">IF(T339=1,IF($B$27&lt;=V339,1,0),0)</f>
        <v>0</v>
      </c>
      <c r="Y339" s="58" t="n">
        <f aca="false">Y338+V339</f>
        <v>113000.408372882</v>
      </c>
    </row>
    <row r="340" customFormat="false" ht="15" hidden="false" customHeight="false" outlineLevel="0" collapsed="false">
      <c r="K340" s="56" t="n">
        <f aca="false">K339+1</f>
        <v>333</v>
      </c>
      <c r="L340" s="57" t="n">
        <f aca="false">IF(AND(K340&lt;=Assumptions!$C$42,L339=1,P339=0,O339&gt;Assumptions!$C$43),1,0)</f>
        <v>0</v>
      </c>
      <c r="M340" s="58" t="n">
        <f aca="false">O339</f>
        <v>8.10541678220034E-009</v>
      </c>
      <c r="N340" s="58" t="n">
        <f aca="false">IF(L340=1,M340*$B$22,0)</f>
        <v>0</v>
      </c>
      <c r="O340" s="58" t="n">
        <f aca="false">IF(L340=1,M340+N340-$B$26,M340)</f>
        <v>8.10541678220034E-009</v>
      </c>
      <c r="P340" s="56" t="n">
        <f aca="false">IF(L340=1,IF($B$26&lt;=N340,1,0),0)</f>
        <v>0</v>
      </c>
      <c r="Q340" s="58" t="n">
        <f aca="false">Q339+N340</f>
        <v>145877.630223336</v>
      </c>
      <c r="S340" s="56" t="n">
        <f aca="false">S339+1</f>
        <v>333</v>
      </c>
      <c r="T340" s="57" t="n">
        <f aca="false">IF(AND(S340&lt;=Assumptions!$C$42,T339=1,X339=0,W339&gt;Assumptions!$C$43),1,0)</f>
        <v>0</v>
      </c>
      <c r="U340" s="58" t="n">
        <f aca="false">W339</f>
        <v>-182.103705036234</v>
      </c>
      <c r="V340" s="58" t="n">
        <f aca="false">IF(T340=1,U340*$B$22,0)</f>
        <v>0</v>
      </c>
      <c r="W340" s="58" t="n">
        <f aca="false">IF(T340=1,U340+V340-$B$27,U340)</f>
        <v>-182.103705036234</v>
      </c>
      <c r="X340" s="56" t="n">
        <f aca="false">IF(T340=1,IF($B$27&lt;=V340,1,0),0)</f>
        <v>0</v>
      </c>
      <c r="Y340" s="58" t="n">
        <f aca="false">Y339+V340</f>
        <v>113000.408372882</v>
      </c>
    </row>
    <row r="341" customFormat="false" ht="15" hidden="false" customHeight="false" outlineLevel="0" collapsed="false">
      <c r="K341" s="56" t="n">
        <f aca="false">K340+1</f>
        <v>334</v>
      </c>
      <c r="L341" s="57" t="n">
        <f aca="false">IF(AND(K341&lt;=Assumptions!$C$42,L340=1,P340=0,O340&gt;Assumptions!$C$43),1,0)</f>
        <v>0</v>
      </c>
      <c r="M341" s="58" t="n">
        <f aca="false">O340</f>
        <v>8.10541678220034E-009</v>
      </c>
      <c r="N341" s="58" t="n">
        <f aca="false">IF(L341=1,M341*$B$22,0)</f>
        <v>0</v>
      </c>
      <c r="O341" s="58" t="n">
        <f aca="false">IF(L341=1,M341+N341-$B$26,M341)</f>
        <v>8.10541678220034E-009</v>
      </c>
      <c r="P341" s="56" t="n">
        <f aca="false">IF(L341=1,IF($B$26&lt;=N341,1,0),0)</f>
        <v>0</v>
      </c>
      <c r="Q341" s="58" t="n">
        <f aca="false">Q340+N341</f>
        <v>145877.630223336</v>
      </c>
      <c r="S341" s="56" t="n">
        <f aca="false">S340+1</f>
        <v>334</v>
      </c>
      <c r="T341" s="57" t="n">
        <f aca="false">IF(AND(S341&lt;=Assumptions!$C$42,T340=1,X340=0,W340&gt;Assumptions!$C$43),1,0)</f>
        <v>0</v>
      </c>
      <c r="U341" s="58" t="n">
        <f aca="false">W340</f>
        <v>-182.103705036234</v>
      </c>
      <c r="V341" s="58" t="n">
        <f aca="false">IF(T341=1,U341*$B$22,0)</f>
        <v>0</v>
      </c>
      <c r="W341" s="58" t="n">
        <f aca="false">IF(T341=1,U341+V341-$B$27,U341)</f>
        <v>-182.103705036234</v>
      </c>
      <c r="X341" s="56" t="n">
        <f aca="false">IF(T341=1,IF($B$27&lt;=V341,1,0),0)</f>
        <v>0</v>
      </c>
      <c r="Y341" s="58" t="n">
        <f aca="false">Y340+V341</f>
        <v>113000.408372882</v>
      </c>
    </row>
    <row r="342" customFormat="false" ht="15" hidden="false" customHeight="false" outlineLevel="0" collapsed="false">
      <c r="K342" s="56" t="n">
        <f aca="false">K341+1</f>
        <v>335</v>
      </c>
      <c r="L342" s="57" t="n">
        <f aca="false">IF(AND(K342&lt;=Assumptions!$C$42,L341=1,P341=0,O341&gt;Assumptions!$C$43),1,0)</f>
        <v>0</v>
      </c>
      <c r="M342" s="58" t="n">
        <f aca="false">O341</f>
        <v>8.10541678220034E-009</v>
      </c>
      <c r="N342" s="58" t="n">
        <f aca="false">IF(L342=1,M342*$B$22,0)</f>
        <v>0</v>
      </c>
      <c r="O342" s="58" t="n">
        <f aca="false">IF(L342=1,M342+N342-$B$26,M342)</f>
        <v>8.10541678220034E-009</v>
      </c>
      <c r="P342" s="56" t="n">
        <f aca="false">IF(L342=1,IF($B$26&lt;=N342,1,0),0)</f>
        <v>0</v>
      </c>
      <c r="Q342" s="58" t="n">
        <f aca="false">Q341+N342</f>
        <v>145877.630223336</v>
      </c>
      <c r="S342" s="56" t="n">
        <f aca="false">S341+1</f>
        <v>335</v>
      </c>
      <c r="T342" s="57" t="n">
        <f aca="false">IF(AND(S342&lt;=Assumptions!$C$42,T341=1,X341=0,W341&gt;Assumptions!$C$43),1,0)</f>
        <v>0</v>
      </c>
      <c r="U342" s="58" t="n">
        <f aca="false">W341</f>
        <v>-182.103705036234</v>
      </c>
      <c r="V342" s="58" t="n">
        <f aca="false">IF(T342=1,U342*$B$22,0)</f>
        <v>0</v>
      </c>
      <c r="W342" s="58" t="n">
        <f aca="false">IF(T342=1,U342+V342-$B$27,U342)</f>
        <v>-182.103705036234</v>
      </c>
      <c r="X342" s="56" t="n">
        <f aca="false">IF(T342=1,IF($B$27&lt;=V342,1,0),0)</f>
        <v>0</v>
      </c>
      <c r="Y342" s="58" t="n">
        <f aca="false">Y341+V342</f>
        <v>113000.408372882</v>
      </c>
    </row>
    <row r="343" customFormat="false" ht="15" hidden="false" customHeight="false" outlineLevel="0" collapsed="false">
      <c r="K343" s="56" t="n">
        <f aca="false">K342+1</f>
        <v>336</v>
      </c>
      <c r="L343" s="57" t="n">
        <f aca="false">IF(AND(K343&lt;=Assumptions!$C$42,L342=1,P342=0,O342&gt;Assumptions!$C$43),1,0)</f>
        <v>0</v>
      </c>
      <c r="M343" s="58" t="n">
        <f aca="false">O342</f>
        <v>8.10541678220034E-009</v>
      </c>
      <c r="N343" s="58" t="n">
        <f aca="false">IF(L343=1,M343*$B$22,0)</f>
        <v>0</v>
      </c>
      <c r="O343" s="58" t="n">
        <f aca="false">IF(L343=1,M343+N343-$B$26,M343)</f>
        <v>8.10541678220034E-009</v>
      </c>
      <c r="P343" s="56" t="n">
        <f aca="false">IF(L343=1,IF($B$26&lt;=N343,1,0),0)</f>
        <v>0</v>
      </c>
      <c r="Q343" s="58" t="n">
        <f aca="false">Q342+N343</f>
        <v>145877.630223336</v>
      </c>
      <c r="S343" s="56" t="n">
        <f aca="false">S342+1</f>
        <v>336</v>
      </c>
      <c r="T343" s="57" t="n">
        <f aca="false">IF(AND(S343&lt;=Assumptions!$C$42,T342=1,X342=0,W342&gt;Assumptions!$C$43),1,0)</f>
        <v>0</v>
      </c>
      <c r="U343" s="58" t="n">
        <f aca="false">W342</f>
        <v>-182.103705036234</v>
      </c>
      <c r="V343" s="58" t="n">
        <f aca="false">IF(T343=1,U343*$B$22,0)</f>
        <v>0</v>
      </c>
      <c r="W343" s="58" t="n">
        <f aca="false">IF(T343=1,U343+V343-$B$27,U343)</f>
        <v>-182.103705036234</v>
      </c>
      <c r="X343" s="56" t="n">
        <f aca="false">IF(T343=1,IF($B$27&lt;=V343,1,0),0)</f>
        <v>0</v>
      </c>
      <c r="Y343" s="58" t="n">
        <f aca="false">Y342+V343</f>
        <v>113000.408372882</v>
      </c>
    </row>
    <row r="344" customFormat="false" ht="15" hidden="false" customHeight="false" outlineLevel="0" collapsed="false">
      <c r="K344" s="56" t="n">
        <f aca="false">K343+1</f>
        <v>337</v>
      </c>
      <c r="L344" s="57" t="n">
        <f aca="false">IF(AND(K344&lt;=Assumptions!$C$42,L343=1,P343=0,O343&gt;Assumptions!$C$43),1,0)</f>
        <v>0</v>
      </c>
      <c r="M344" s="58" t="n">
        <f aca="false">O343</f>
        <v>8.10541678220034E-009</v>
      </c>
      <c r="N344" s="58" t="n">
        <f aca="false">IF(L344=1,M344*$B$22,0)</f>
        <v>0</v>
      </c>
      <c r="O344" s="58" t="n">
        <f aca="false">IF(L344=1,M344+N344-$B$26,M344)</f>
        <v>8.10541678220034E-009</v>
      </c>
      <c r="P344" s="56" t="n">
        <f aca="false">IF(L344=1,IF($B$26&lt;=N344,1,0),0)</f>
        <v>0</v>
      </c>
      <c r="Q344" s="58" t="n">
        <f aca="false">Q343+N344</f>
        <v>145877.630223336</v>
      </c>
      <c r="S344" s="56" t="n">
        <f aca="false">S343+1</f>
        <v>337</v>
      </c>
      <c r="T344" s="57" t="n">
        <f aca="false">IF(AND(S344&lt;=Assumptions!$C$42,T343=1,X343=0,W343&gt;Assumptions!$C$43),1,0)</f>
        <v>0</v>
      </c>
      <c r="U344" s="58" t="n">
        <f aca="false">W343</f>
        <v>-182.103705036234</v>
      </c>
      <c r="V344" s="58" t="n">
        <f aca="false">IF(T344=1,U344*$B$22,0)</f>
        <v>0</v>
      </c>
      <c r="W344" s="58" t="n">
        <f aca="false">IF(T344=1,U344+V344-$B$27,U344)</f>
        <v>-182.103705036234</v>
      </c>
      <c r="X344" s="56" t="n">
        <f aca="false">IF(T344=1,IF($B$27&lt;=V344,1,0),0)</f>
        <v>0</v>
      </c>
      <c r="Y344" s="58" t="n">
        <f aca="false">Y343+V344</f>
        <v>113000.408372882</v>
      </c>
    </row>
    <row r="345" customFormat="false" ht="15" hidden="false" customHeight="false" outlineLevel="0" collapsed="false">
      <c r="K345" s="56" t="n">
        <f aca="false">K344+1</f>
        <v>338</v>
      </c>
      <c r="L345" s="57" t="n">
        <f aca="false">IF(AND(K345&lt;=Assumptions!$C$42,L344=1,P344=0,O344&gt;Assumptions!$C$43),1,0)</f>
        <v>0</v>
      </c>
      <c r="M345" s="58" t="n">
        <f aca="false">O344</f>
        <v>8.10541678220034E-009</v>
      </c>
      <c r="N345" s="58" t="n">
        <f aca="false">IF(L345=1,M345*$B$22,0)</f>
        <v>0</v>
      </c>
      <c r="O345" s="58" t="n">
        <f aca="false">IF(L345=1,M345+N345-$B$26,M345)</f>
        <v>8.10541678220034E-009</v>
      </c>
      <c r="P345" s="56" t="n">
        <f aca="false">IF(L345=1,IF($B$26&lt;=N345,1,0),0)</f>
        <v>0</v>
      </c>
      <c r="Q345" s="58" t="n">
        <f aca="false">Q344+N345</f>
        <v>145877.630223336</v>
      </c>
      <c r="S345" s="56" t="n">
        <f aca="false">S344+1</f>
        <v>338</v>
      </c>
      <c r="T345" s="57" t="n">
        <f aca="false">IF(AND(S345&lt;=Assumptions!$C$42,T344=1,X344=0,W344&gt;Assumptions!$C$43),1,0)</f>
        <v>0</v>
      </c>
      <c r="U345" s="58" t="n">
        <f aca="false">W344</f>
        <v>-182.103705036234</v>
      </c>
      <c r="V345" s="58" t="n">
        <f aca="false">IF(T345=1,U345*$B$22,0)</f>
        <v>0</v>
      </c>
      <c r="W345" s="58" t="n">
        <f aca="false">IF(T345=1,U345+V345-$B$27,U345)</f>
        <v>-182.103705036234</v>
      </c>
      <c r="X345" s="56" t="n">
        <f aca="false">IF(T345=1,IF($B$27&lt;=V345,1,0),0)</f>
        <v>0</v>
      </c>
      <c r="Y345" s="58" t="n">
        <f aca="false">Y344+V345</f>
        <v>113000.408372882</v>
      </c>
    </row>
    <row r="346" customFormat="false" ht="15" hidden="false" customHeight="false" outlineLevel="0" collapsed="false">
      <c r="K346" s="56" t="n">
        <f aca="false">K345+1</f>
        <v>339</v>
      </c>
      <c r="L346" s="57" t="n">
        <f aca="false">IF(AND(K346&lt;=Assumptions!$C$42,L345=1,P345=0,O345&gt;Assumptions!$C$43),1,0)</f>
        <v>0</v>
      </c>
      <c r="M346" s="58" t="n">
        <f aca="false">O345</f>
        <v>8.10541678220034E-009</v>
      </c>
      <c r="N346" s="58" t="n">
        <f aca="false">IF(L346=1,M346*$B$22,0)</f>
        <v>0</v>
      </c>
      <c r="O346" s="58" t="n">
        <f aca="false">IF(L346=1,M346+N346-$B$26,M346)</f>
        <v>8.10541678220034E-009</v>
      </c>
      <c r="P346" s="56" t="n">
        <f aca="false">IF(L346=1,IF($B$26&lt;=N346,1,0),0)</f>
        <v>0</v>
      </c>
      <c r="Q346" s="58" t="n">
        <f aca="false">Q345+N346</f>
        <v>145877.630223336</v>
      </c>
      <c r="S346" s="56" t="n">
        <f aca="false">S345+1</f>
        <v>339</v>
      </c>
      <c r="T346" s="57" t="n">
        <f aca="false">IF(AND(S346&lt;=Assumptions!$C$42,T345=1,X345=0,W345&gt;Assumptions!$C$43),1,0)</f>
        <v>0</v>
      </c>
      <c r="U346" s="58" t="n">
        <f aca="false">W345</f>
        <v>-182.103705036234</v>
      </c>
      <c r="V346" s="58" t="n">
        <f aca="false">IF(T346=1,U346*$B$22,0)</f>
        <v>0</v>
      </c>
      <c r="W346" s="58" t="n">
        <f aca="false">IF(T346=1,U346+V346-$B$27,U346)</f>
        <v>-182.103705036234</v>
      </c>
      <c r="X346" s="56" t="n">
        <f aca="false">IF(T346=1,IF($B$27&lt;=V346,1,0),0)</f>
        <v>0</v>
      </c>
      <c r="Y346" s="58" t="n">
        <f aca="false">Y345+V346</f>
        <v>113000.408372882</v>
      </c>
    </row>
    <row r="347" customFormat="false" ht="15" hidden="false" customHeight="false" outlineLevel="0" collapsed="false">
      <c r="K347" s="56" t="n">
        <f aca="false">K346+1</f>
        <v>340</v>
      </c>
      <c r="L347" s="57" t="n">
        <f aca="false">IF(AND(K347&lt;=Assumptions!$C$42,L346=1,P346=0,O346&gt;Assumptions!$C$43),1,0)</f>
        <v>0</v>
      </c>
      <c r="M347" s="58" t="n">
        <f aca="false">O346</f>
        <v>8.10541678220034E-009</v>
      </c>
      <c r="N347" s="58" t="n">
        <f aca="false">IF(L347=1,M347*$B$22,0)</f>
        <v>0</v>
      </c>
      <c r="O347" s="58" t="n">
        <f aca="false">IF(L347=1,M347+N347-$B$26,M347)</f>
        <v>8.10541678220034E-009</v>
      </c>
      <c r="P347" s="56" t="n">
        <f aca="false">IF(L347=1,IF($B$26&lt;=N347,1,0),0)</f>
        <v>0</v>
      </c>
      <c r="Q347" s="58" t="n">
        <f aca="false">Q346+N347</f>
        <v>145877.630223336</v>
      </c>
      <c r="S347" s="56" t="n">
        <f aca="false">S346+1</f>
        <v>340</v>
      </c>
      <c r="T347" s="57" t="n">
        <f aca="false">IF(AND(S347&lt;=Assumptions!$C$42,T346=1,X346=0,W346&gt;Assumptions!$C$43),1,0)</f>
        <v>0</v>
      </c>
      <c r="U347" s="58" t="n">
        <f aca="false">W346</f>
        <v>-182.103705036234</v>
      </c>
      <c r="V347" s="58" t="n">
        <f aca="false">IF(T347=1,U347*$B$22,0)</f>
        <v>0</v>
      </c>
      <c r="W347" s="58" t="n">
        <f aca="false">IF(T347=1,U347+V347-$B$27,U347)</f>
        <v>-182.103705036234</v>
      </c>
      <c r="X347" s="56" t="n">
        <f aca="false">IF(T347=1,IF($B$27&lt;=V347,1,0),0)</f>
        <v>0</v>
      </c>
      <c r="Y347" s="58" t="n">
        <f aca="false">Y346+V347</f>
        <v>113000.408372882</v>
      </c>
    </row>
    <row r="348" customFormat="false" ht="15" hidden="false" customHeight="false" outlineLevel="0" collapsed="false">
      <c r="K348" s="56" t="n">
        <f aca="false">K347+1</f>
        <v>341</v>
      </c>
      <c r="L348" s="57" t="n">
        <f aca="false">IF(AND(K348&lt;=Assumptions!$C$42,L347=1,P347=0,O347&gt;Assumptions!$C$43),1,0)</f>
        <v>0</v>
      </c>
      <c r="M348" s="58" t="n">
        <f aca="false">O347</f>
        <v>8.10541678220034E-009</v>
      </c>
      <c r="N348" s="58" t="n">
        <f aca="false">IF(L348=1,M348*$B$22,0)</f>
        <v>0</v>
      </c>
      <c r="O348" s="58" t="n">
        <f aca="false">IF(L348=1,M348+N348-$B$26,M348)</f>
        <v>8.10541678220034E-009</v>
      </c>
      <c r="P348" s="56" t="n">
        <f aca="false">IF(L348=1,IF($B$26&lt;=N348,1,0),0)</f>
        <v>0</v>
      </c>
      <c r="Q348" s="58" t="n">
        <f aca="false">Q347+N348</f>
        <v>145877.630223336</v>
      </c>
      <c r="S348" s="56" t="n">
        <f aca="false">S347+1</f>
        <v>341</v>
      </c>
      <c r="T348" s="57" t="n">
        <f aca="false">IF(AND(S348&lt;=Assumptions!$C$42,T347=1,X347=0,W347&gt;Assumptions!$C$43),1,0)</f>
        <v>0</v>
      </c>
      <c r="U348" s="58" t="n">
        <f aca="false">W347</f>
        <v>-182.103705036234</v>
      </c>
      <c r="V348" s="58" t="n">
        <f aca="false">IF(T348=1,U348*$B$22,0)</f>
        <v>0</v>
      </c>
      <c r="W348" s="58" t="n">
        <f aca="false">IF(T348=1,U348+V348-$B$27,U348)</f>
        <v>-182.103705036234</v>
      </c>
      <c r="X348" s="56" t="n">
        <f aca="false">IF(T348=1,IF($B$27&lt;=V348,1,0),0)</f>
        <v>0</v>
      </c>
      <c r="Y348" s="58" t="n">
        <f aca="false">Y347+V348</f>
        <v>113000.408372882</v>
      </c>
    </row>
    <row r="349" customFormat="false" ht="15" hidden="false" customHeight="false" outlineLevel="0" collapsed="false">
      <c r="K349" s="56" t="n">
        <f aca="false">K348+1</f>
        <v>342</v>
      </c>
      <c r="L349" s="57" t="n">
        <f aca="false">IF(AND(K349&lt;=Assumptions!$C$42,L348=1,P348=0,O348&gt;Assumptions!$C$43),1,0)</f>
        <v>0</v>
      </c>
      <c r="M349" s="58" t="n">
        <f aca="false">O348</f>
        <v>8.10541678220034E-009</v>
      </c>
      <c r="N349" s="58" t="n">
        <f aca="false">IF(L349=1,M349*$B$22,0)</f>
        <v>0</v>
      </c>
      <c r="O349" s="58" t="n">
        <f aca="false">IF(L349=1,M349+N349-$B$26,M349)</f>
        <v>8.10541678220034E-009</v>
      </c>
      <c r="P349" s="56" t="n">
        <f aca="false">IF(L349=1,IF($B$26&lt;=N349,1,0),0)</f>
        <v>0</v>
      </c>
      <c r="Q349" s="58" t="n">
        <f aca="false">Q348+N349</f>
        <v>145877.630223336</v>
      </c>
      <c r="S349" s="56" t="n">
        <f aca="false">S348+1</f>
        <v>342</v>
      </c>
      <c r="T349" s="57" t="n">
        <f aca="false">IF(AND(S349&lt;=Assumptions!$C$42,T348=1,X348=0,W348&gt;Assumptions!$C$43),1,0)</f>
        <v>0</v>
      </c>
      <c r="U349" s="58" t="n">
        <f aca="false">W348</f>
        <v>-182.103705036234</v>
      </c>
      <c r="V349" s="58" t="n">
        <f aca="false">IF(T349=1,U349*$B$22,0)</f>
        <v>0</v>
      </c>
      <c r="W349" s="58" t="n">
        <f aca="false">IF(T349=1,U349+V349-$B$27,U349)</f>
        <v>-182.103705036234</v>
      </c>
      <c r="X349" s="56" t="n">
        <f aca="false">IF(T349=1,IF($B$27&lt;=V349,1,0),0)</f>
        <v>0</v>
      </c>
      <c r="Y349" s="58" t="n">
        <f aca="false">Y348+V349</f>
        <v>113000.408372882</v>
      </c>
    </row>
    <row r="350" customFormat="false" ht="15" hidden="false" customHeight="false" outlineLevel="0" collapsed="false">
      <c r="K350" s="56" t="n">
        <f aca="false">K349+1</f>
        <v>343</v>
      </c>
      <c r="L350" s="57" t="n">
        <f aca="false">IF(AND(K350&lt;=Assumptions!$C$42,L349=1,P349=0,O349&gt;Assumptions!$C$43),1,0)</f>
        <v>0</v>
      </c>
      <c r="M350" s="58" t="n">
        <f aca="false">O349</f>
        <v>8.10541678220034E-009</v>
      </c>
      <c r="N350" s="58" t="n">
        <f aca="false">IF(L350=1,M350*$B$22,0)</f>
        <v>0</v>
      </c>
      <c r="O350" s="58" t="n">
        <f aca="false">IF(L350=1,M350+N350-$B$26,M350)</f>
        <v>8.10541678220034E-009</v>
      </c>
      <c r="P350" s="56" t="n">
        <f aca="false">IF(L350=1,IF($B$26&lt;=N350,1,0),0)</f>
        <v>0</v>
      </c>
      <c r="Q350" s="58" t="n">
        <f aca="false">Q349+N350</f>
        <v>145877.630223336</v>
      </c>
      <c r="S350" s="56" t="n">
        <f aca="false">S349+1</f>
        <v>343</v>
      </c>
      <c r="T350" s="57" t="n">
        <f aca="false">IF(AND(S350&lt;=Assumptions!$C$42,T349=1,X349=0,W349&gt;Assumptions!$C$43),1,0)</f>
        <v>0</v>
      </c>
      <c r="U350" s="58" t="n">
        <f aca="false">W349</f>
        <v>-182.103705036234</v>
      </c>
      <c r="V350" s="58" t="n">
        <f aca="false">IF(T350=1,U350*$B$22,0)</f>
        <v>0</v>
      </c>
      <c r="W350" s="58" t="n">
        <f aca="false">IF(T350=1,U350+V350-$B$27,U350)</f>
        <v>-182.103705036234</v>
      </c>
      <c r="X350" s="56" t="n">
        <f aca="false">IF(T350=1,IF($B$27&lt;=V350,1,0),0)</f>
        <v>0</v>
      </c>
      <c r="Y350" s="58" t="n">
        <f aca="false">Y349+V350</f>
        <v>113000.408372882</v>
      </c>
    </row>
    <row r="351" customFormat="false" ht="15" hidden="false" customHeight="false" outlineLevel="0" collapsed="false">
      <c r="K351" s="56" t="n">
        <f aca="false">K350+1</f>
        <v>344</v>
      </c>
      <c r="L351" s="57" t="n">
        <f aca="false">IF(AND(K351&lt;=Assumptions!$C$42,L350=1,P350=0,O350&gt;Assumptions!$C$43),1,0)</f>
        <v>0</v>
      </c>
      <c r="M351" s="58" t="n">
        <f aca="false">O350</f>
        <v>8.10541678220034E-009</v>
      </c>
      <c r="N351" s="58" t="n">
        <f aca="false">IF(L351=1,M351*$B$22,0)</f>
        <v>0</v>
      </c>
      <c r="O351" s="58" t="n">
        <f aca="false">IF(L351=1,M351+N351-$B$26,M351)</f>
        <v>8.10541678220034E-009</v>
      </c>
      <c r="P351" s="56" t="n">
        <f aca="false">IF(L351=1,IF($B$26&lt;=N351,1,0),0)</f>
        <v>0</v>
      </c>
      <c r="Q351" s="58" t="n">
        <f aca="false">Q350+N351</f>
        <v>145877.630223336</v>
      </c>
      <c r="S351" s="56" t="n">
        <f aca="false">S350+1</f>
        <v>344</v>
      </c>
      <c r="T351" s="57" t="n">
        <f aca="false">IF(AND(S351&lt;=Assumptions!$C$42,T350=1,X350=0,W350&gt;Assumptions!$C$43),1,0)</f>
        <v>0</v>
      </c>
      <c r="U351" s="58" t="n">
        <f aca="false">W350</f>
        <v>-182.103705036234</v>
      </c>
      <c r="V351" s="58" t="n">
        <f aca="false">IF(T351=1,U351*$B$22,0)</f>
        <v>0</v>
      </c>
      <c r="W351" s="58" t="n">
        <f aca="false">IF(T351=1,U351+V351-$B$27,U351)</f>
        <v>-182.103705036234</v>
      </c>
      <c r="X351" s="56" t="n">
        <f aca="false">IF(T351=1,IF($B$27&lt;=V351,1,0),0)</f>
        <v>0</v>
      </c>
      <c r="Y351" s="58" t="n">
        <f aca="false">Y350+V351</f>
        <v>113000.408372882</v>
      </c>
    </row>
    <row r="352" customFormat="false" ht="15" hidden="false" customHeight="false" outlineLevel="0" collapsed="false">
      <c r="K352" s="56" t="n">
        <f aca="false">K351+1</f>
        <v>345</v>
      </c>
      <c r="L352" s="57" t="n">
        <f aca="false">IF(AND(K352&lt;=Assumptions!$C$42,L351=1,P351=0,O351&gt;Assumptions!$C$43),1,0)</f>
        <v>0</v>
      </c>
      <c r="M352" s="58" t="n">
        <f aca="false">O351</f>
        <v>8.10541678220034E-009</v>
      </c>
      <c r="N352" s="58" t="n">
        <f aca="false">IF(L352=1,M352*$B$22,0)</f>
        <v>0</v>
      </c>
      <c r="O352" s="58" t="n">
        <f aca="false">IF(L352=1,M352+N352-$B$26,M352)</f>
        <v>8.10541678220034E-009</v>
      </c>
      <c r="P352" s="56" t="n">
        <f aca="false">IF(L352=1,IF($B$26&lt;=N352,1,0),0)</f>
        <v>0</v>
      </c>
      <c r="Q352" s="58" t="n">
        <f aca="false">Q351+N352</f>
        <v>145877.630223336</v>
      </c>
      <c r="S352" s="56" t="n">
        <f aca="false">S351+1</f>
        <v>345</v>
      </c>
      <c r="T352" s="57" t="n">
        <f aca="false">IF(AND(S352&lt;=Assumptions!$C$42,T351=1,X351=0,W351&gt;Assumptions!$C$43),1,0)</f>
        <v>0</v>
      </c>
      <c r="U352" s="58" t="n">
        <f aca="false">W351</f>
        <v>-182.103705036234</v>
      </c>
      <c r="V352" s="58" t="n">
        <f aca="false">IF(T352=1,U352*$B$22,0)</f>
        <v>0</v>
      </c>
      <c r="W352" s="58" t="n">
        <f aca="false">IF(T352=1,U352+V352-$B$27,U352)</f>
        <v>-182.103705036234</v>
      </c>
      <c r="X352" s="56" t="n">
        <f aca="false">IF(T352=1,IF($B$27&lt;=V352,1,0),0)</f>
        <v>0</v>
      </c>
      <c r="Y352" s="58" t="n">
        <f aca="false">Y351+V352</f>
        <v>113000.408372882</v>
      </c>
    </row>
    <row r="353" customFormat="false" ht="15" hidden="false" customHeight="false" outlineLevel="0" collapsed="false">
      <c r="K353" s="56" t="n">
        <f aca="false">K352+1</f>
        <v>346</v>
      </c>
      <c r="L353" s="57" t="n">
        <f aca="false">IF(AND(K353&lt;=Assumptions!$C$42,L352=1,P352=0,O352&gt;Assumptions!$C$43),1,0)</f>
        <v>0</v>
      </c>
      <c r="M353" s="58" t="n">
        <f aca="false">O352</f>
        <v>8.10541678220034E-009</v>
      </c>
      <c r="N353" s="58" t="n">
        <f aca="false">IF(L353=1,M353*$B$22,0)</f>
        <v>0</v>
      </c>
      <c r="O353" s="58" t="n">
        <f aca="false">IF(L353=1,M353+N353-$B$26,M353)</f>
        <v>8.10541678220034E-009</v>
      </c>
      <c r="P353" s="56" t="n">
        <f aca="false">IF(L353=1,IF($B$26&lt;=N353,1,0),0)</f>
        <v>0</v>
      </c>
      <c r="Q353" s="58" t="n">
        <f aca="false">Q352+N353</f>
        <v>145877.630223336</v>
      </c>
      <c r="S353" s="56" t="n">
        <f aca="false">S352+1</f>
        <v>346</v>
      </c>
      <c r="T353" s="57" t="n">
        <f aca="false">IF(AND(S353&lt;=Assumptions!$C$42,T352=1,X352=0,W352&gt;Assumptions!$C$43),1,0)</f>
        <v>0</v>
      </c>
      <c r="U353" s="58" t="n">
        <f aca="false">W352</f>
        <v>-182.103705036234</v>
      </c>
      <c r="V353" s="58" t="n">
        <f aca="false">IF(T353=1,U353*$B$22,0)</f>
        <v>0</v>
      </c>
      <c r="W353" s="58" t="n">
        <f aca="false">IF(T353=1,U353+V353-$B$27,U353)</f>
        <v>-182.103705036234</v>
      </c>
      <c r="X353" s="56" t="n">
        <f aca="false">IF(T353=1,IF($B$27&lt;=V353,1,0),0)</f>
        <v>0</v>
      </c>
      <c r="Y353" s="58" t="n">
        <f aca="false">Y352+V353</f>
        <v>113000.408372882</v>
      </c>
    </row>
    <row r="354" customFormat="false" ht="15" hidden="false" customHeight="false" outlineLevel="0" collapsed="false">
      <c r="K354" s="56" t="n">
        <f aca="false">K353+1</f>
        <v>347</v>
      </c>
      <c r="L354" s="57" t="n">
        <f aca="false">IF(AND(K354&lt;=Assumptions!$C$42,L353=1,P353=0,O353&gt;Assumptions!$C$43),1,0)</f>
        <v>0</v>
      </c>
      <c r="M354" s="58" t="n">
        <f aca="false">O353</f>
        <v>8.10541678220034E-009</v>
      </c>
      <c r="N354" s="58" t="n">
        <f aca="false">IF(L354=1,M354*$B$22,0)</f>
        <v>0</v>
      </c>
      <c r="O354" s="58" t="n">
        <f aca="false">IF(L354=1,M354+N354-$B$26,M354)</f>
        <v>8.10541678220034E-009</v>
      </c>
      <c r="P354" s="56" t="n">
        <f aca="false">IF(L354=1,IF($B$26&lt;=N354,1,0),0)</f>
        <v>0</v>
      </c>
      <c r="Q354" s="58" t="n">
        <f aca="false">Q353+N354</f>
        <v>145877.630223336</v>
      </c>
      <c r="S354" s="56" t="n">
        <f aca="false">S353+1</f>
        <v>347</v>
      </c>
      <c r="T354" s="57" t="n">
        <f aca="false">IF(AND(S354&lt;=Assumptions!$C$42,T353=1,X353=0,W353&gt;Assumptions!$C$43),1,0)</f>
        <v>0</v>
      </c>
      <c r="U354" s="58" t="n">
        <f aca="false">W353</f>
        <v>-182.103705036234</v>
      </c>
      <c r="V354" s="58" t="n">
        <f aca="false">IF(T354=1,U354*$B$22,0)</f>
        <v>0</v>
      </c>
      <c r="W354" s="58" t="n">
        <f aca="false">IF(T354=1,U354+V354-$B$27,U354)</f>
        <v>-182.103705036234</v>
      </c>
      <c r="X354" s="56" t="n">
        <f aca="false">IF(T354=1,IF($B$27&lt;=V354,1,0),0)</f>
        <v>0</v>
      </c>
      <c r="Y354" s="58" t="n">
        <f aca="false">Y353+V354</f>
        <v>113000.408372882</v>
      </c>
    </row>
    <row r="355" customFormat="false" ht="15" hidden="false" customHeight="false" outlineLevel="0" collapsed="false">
      <c r="K355" s="56" t="n">
        <f aca="false">K354+1</f>
        <v>348</v>
      </c>
      <c r="L355" s="57" t="n">
        <f aca="false">IF(AND(K355&lt;=Assumptions!$C$42,L354=1,P354=0,O354&gt;Assumptions!$C$43),1,0)</f>
        <v>0</v>
      </c>
      <c r="M355" s="58" t="n">
        <f aca="false">O354</f>
        <v>8.10541678220034E-009</v>
      </c>
      <c r="N355" s="58" t="n">
        <f aca="false">IF(L355=1,M355*$B$22,0)</f>
        <v>0</v>
      </c>
      <c r="O355" s="58" t="n">
        <f aca="false">IF(L355=1,M355+N355-$B$26,M355)</f>
        <v>8.10541678220034E-009</v>
      </c>
      <c r="P355" s="56" t="n">
        <f aca="false">IF(L355=1,IF($B$26&lt;=N355,1,0),0)</f>
        <v>0</v>
      </c>
      <c r="Q355" s="58" t="n">
        <f aca="false">Q354+N355</f>
        <v>145877.630223336</v>
      </c>
      <c r="S355" s="56" t="n">
        <f aca="false">S354+1</f>
        <v>348</v>
      </c>
      <c r="T355" s="57" t="n">
        <f aca="false">IF(AND(S355&lt;=Assumptions!$C$42,T354=1,X354=0,W354&gt;Assumptions!$C$43),1,0)</f>
        <v>0</v>
      </c>
      <c r="U355" s="58" t="n">
        <f aca="false">W354</f>
        <v>-182.103705036234</v>
      </c>
      <c r="V355" s="58" t="n">
        <f aca="false">IF(T355=1,U355*$B$22,0)</f>
        <v>0</v>
      </c>
      <c r="W355" s="58" t="n">
        <f aca="false">IF(T355=1,U355+V355-$B$27,U355)</f>
        <v>-182.103705036234</v>
      </c>
      <c r="X355" s="56" t="n">
        <f aca="false">IF(T355=1,IF($B$27&lt;=V355,1,0),0)</f>
        <v>0</v>
      </c>
      <c r="Y355" s="58" t="n">
        <f aca="false">Y354+V355</f>
        <v>113000.408372882</v>
      </c>
    </row>
    <row r="356" customFormat="false" ht="15" hidden="false" customHeight="false" outlineLevel="0" collapsed="false">
      <c r="K356" s="56" t="n">
        <f aca="false">K355+1</f>
        <v>349</v>
      </c>
      <c r="L356" s="57" t="n">
        <f aca="false">IF(AND(K356&lt;=Assumptions!$C$42,L355=1,P355=0,O355&gt;Assumptions!$C$43),1,0)</f>
        <v>0</v>
      </c>
      <c r="M356" s="58" t="n">
        <f aca="false">O355</f>
        <v>8.10541678220034E-009</v>
      </c>
      <c r="N356" s="58" t="n">
        <f aca="false">IF(L356=1,M356*$B$22,0)</f>
        <v>0</v>
      </c>
      <c r="O356" s="58" t="n">
        <f aca="false">IF(L356=1,M356+N356-$B$26,M356)</f>
        <v>8.10541678220034E-009</v>
      </c>
      <c r="P356" s="56" t="n">
        <f aca="false">IF(L356=1,IF($B$26&lt;=N356,1,0),0)</f>
        <v>0</v>
      </c>
      <c r="Q356" s="58" t="n">
        <f aca="false">Q355+N356</f>
        <v>145877.630223336</v>
      </c>
      <c r="S356" s="56" t="n">
        <f aca="false">S355+1</f>
        <v>349</v>
      </c>
      <c r="T356" s="57" t="n">
        <f aca="false">IF(AND(S356&lt;=Assumptions!$C$42,T355=1,X355=0,W355&gt;Assumptions!$C$43),1,0)</f>
        <v>0</v>
      </c>
      <c r="U356" s="58" t="n">
        <f aca="false">W355</f>
        <v>-182.103705036234</v>
      </c>
      <c r="V356" s="58" t="n">
        <f aca="false">IF(T356=1,U356*$B$22,0)</f>
        <v>0</v>
      </c>
      <c r="W356" s="58" t="n">
        <f aca="false">IF(T356=1,U356+V356-$B$27,U356)</f>
        <v>-182.103705036234</v>
      </c>
      <c r="X356" s="56" t="n">
        <f aca="false">IF(T356=1,IF($B$27&lt;=V356,1,0),0)</f>
        <v>0</v>
      </c>
      <c r="Y356" s="58" t="n">
        <f aca="false">Y355+V356</f>
        <v>113000.408372882</v>
      </c>
    </row>
    <row r="357" customFormat="false" ht="15" hidden="false" customHeight="false" outlineLevel="0" collapsed="false">
      <c r="K357" s="56" t="n">
        <f aca="false">K356+1</f>
        <v>350</v>
      </c>
      <c r="L357" s="57" t="n">
        <f aca="false">IF(AND(K357&lt;=Assumptions!$C$42,L356=1,P356=0,O356&gt;Assumptions!$C$43),1,0)</f>
        <v>0</v>
      </c>
      <c r="M357" s="58" t="n">
        <f aca="false">O356</f>
        <v>8.10541678220034E-009</v>
      </c>
      <c r="N357" s="58" t="n">
        <f aca="false">IF(L357=1,M357*$B$22,0)</f>
        <v>0</v>
      </c>
      <c r="O357" s="58" t="n">
        <f aca="false">IF(L357=1,M357+N357-$B$26,M357)</f>
        <v>8.10541678220034E-009</v>
      </c>
      <c r="P357" s="56" t="n">
        <f aca="false">IF(L357=1,IF($B$26&lt;=N357,1,0),0)</f>
        <v>0</v>
      </c>
      <c r="Q357" s="58" t="n">
        <f aca="false">Q356+N357</f>
        <v>145877.630223336</v>
      </c>
      <c r="S357" s="56" t="n">
        <f aca="false">S356+1</f>
        <v>350</v>
      </c>
      <c r="T357" s="57" t="n">
        <f aca="false">IF(AND(S357&lt;=Assumptions!$C$42,T356=1,X356=0,W356&gt;Assumptions!$C$43),1,0)</f>
        <v>0</v>
      </c>
      <c r="U357" s="58" t="n">
        <f aca="false">W356</f>
        <v>-182.103705036234</v>
      </c>
      <c r="V357" s="58" t="n">
        <f aca="false">IF(T357=1,U357*$B$22,0)</f>
        <v>0</v>
      </c>
      <c r="W357" s="58" t="n">
        <f aca="false">IF(T357=1,U357+V357-$B$27,U357)</f>
        <v>-182.103705036234</v>
      </c>
      <c r="X357" s="56" t="n">
        <f aca="false">IF(T357=1,IF($B$27&lt;=V357,1,0),0)</f>
        <v>0</v>
      </c>
      <c r="Y357" s="58" t="n">
        <f aca="false">Y356+V357</f>
        <v>113000.408372882</v>
      </c>
    </row>
    <row r="358" customFormat="false" ht="15" hidden="false" customHeight="false" outlineLevel="0" collapsed="false">
      <c r="K358" s="56" t="n">
        <f aca="false">K357+1</f>
        <v>351</v>
      </c>
      <c r="L358" s="57" t="n">
        <f aca="false">IF(AND(K358&lt;=Assumptions!$C$42,L357=1,P357=0,O357&gt;Assumptions!$C$43),1,0)</f>
        <v>0</v>
      </c>
      <c r="M358" s="58" t="n">
        <f aca="false">O357</f>
        <v>8.10541678220034E-009</v>
      </c>
      <c r="N358" s="58" t="n">
        <f aca="false">IF(L358=1,M358*$B$22,0)</f>
        <v>0</v>
      </c>
      <c r="O358" s="58" t="n">
        <f aca="false">IF(L358=1,M358+N358-$B$26,M358)</f>
        <v>8.10541678220034E-009</v>
      </c>
      <c r="P358" s="56" t="n">
        <f aca="false">IF(L358=1,IF($B$26&lt;=N358,1,0),0)</f>
        <v>0</v>
      </c>
      <c r="Q358" s="58" t="n">
        <f aca="false">Q357+N358</f>
        <v>145877.630223336</v>
      </c>
      <c r="S358" s="56" t="n">
        <f aca="false">S357+1</f>
        <v>351</v>
      </c>
      <c r="T358" s="57" t="n">
        <f aca="false">IF(AND(S358&lt;=Assumptions!$C$42,T357=1,X357=0,W357&gt;Assumptions!$C$43),1,0)</f>
        <v>0</v>
      </c>
      <c r="U358" s="58" t="n">
        <f aca="false">W357</f>
        <v>-182.103705036234</v>
      </c>
      <c r="V358" s="58" t="n">
        <f aca="false">IF(T358=1,U358*$B$22,0)</f>
        <v>0</v>
      </c>
      <c r="W358" s="58" t="n">
        <f aca="false">IF(T358=1,U358+V358-$B$27,U358)</f>
        <v>-182.103705036234</v>
      </c>
      <c r="X358" s="56" t="n">
        <f aca="false">IF(T358=1,IF($B$27&lt;=V358,1,0),0)</f>
        <v>0</v>
      </c>
      <c r="Y358" s="58" t="n">
        <f aca="false">Y357+V358</f>
        <v>113000.408372882</v>
      </c>
    </row>
    <row r="359" customFormat="false" ht="15" hidden="false" customHeight="false" outlineLevel="0" collapsed="false">
      <c r="K359" s="56" t="n">
        <f aca="false">K358+1</f>
        <v>352</v>
      </c>
      <c r="L359" s="57" t="n">
        <f aca="false">IF(AND(K359&lt;=Assumptions!$C$42,L358=1,P358=0,O358&gt;Assumptions!$C$43),1,0)</f>
        <v>0</v>
      </c>
      <c r="M359" s="58" t="n">
        <f aca="false">O358</f>
        <v>8.10541678220034E-009</v>
      </c>
      <c r="N359" s="58" t="n">
        <f aca="false">IF(L359=1,M359*$B$22,0)</f>
        <v>0</v>
      </c>
      <c r="O359" s="58" t="n">
        <f aca="false">IF(L359=1,M359+N359-$B$26,M359)</f>
        <v>8.10541678220034E-009</v>
      </c>
      <c r="P359" s="56" t="n">
        <f aca="false">IF(L359=1,IF($B$26&lt;=N359,1,0),0)</f>
        <v>0</v>
      </c>
      <c r="Q359" s="58" t="n">
        <f aca="false">Q358+N359</f>
        <v>145877.630223336</v>
      </c>
      <c r="S359" s="56" t="n">
        <f aca="false">S358+1</f>
        <v>352</v>
      </c>
      <c r="T359" s="57" t="n">
        <f aca="false">IF(AND(S359&lt;=Assumptions!$C$42,T358=1,X358=0,W358&gt;Assumptions!$C$43),1,0)</f>
        <v>0</v>
      </c>
      <c r="U359" s="58" t="n">
        <f aca="false">W358</f>
        <v>-182.103705036234</v>
      </c>
      <c r="V359" s="58" t="n">
        <f aca="false">IF(T359=1,U359*$B$22,0)</f>
        <v>0</v>
      </c>
      <c r="W359" s="58" t="n">
        <f aca="false">IF(T359=1,U359+V359-$B$27,U359)</f>
        <v>-182.103705036234</v>
      </c>
      <c r="X359" s="56" t="n">
        <f aca="false">IF(T359=1,IF($B$27&lt;=V359,1,0),0)</f>
        <v>0</v>
      </c>
      <c r="Y359" s="58" t="n">
        <f aca="false">Y358+V359</f>
        <v>113000.408372882</v>
      </c>
    </row>
    <row r="360" customFormat="false" ht="15" hidden="false" customHeight="false" outlineLevel="0" collapsed="false">
      <c r="K360" s="56" t="n">
        <f aca="false">K359+1</f>
        <v>353</v>
      </c>
      <c r="L360" s="57" t="n">
        <f aca="false">IF(AND(K360&lt;=Assumptions!$C$42,L359=1,P359=0,O359&gt;Assumptions!$C$43),1,0)</f>
        <v>0</v>
      </c>
      <c r="M360" s="58" t="n">
        <f aca="false">O359</f>
        <v>8.10541678220034E-009</v>
      </c>
      <c r="N360" s="58" t="n">
        <f aca="false">IF(L360=1,M360*$B$22,0)</f>
        <v>0</v>
      </c>
      <c r="O360" s="58" t="n">
        <f aca="false">IF(L360=1,M360+N360-$B$26,M360)</f>
        <v>8.10541678220034E-009</v>
      </c>
      <c r="P360" s="56" t="n">
        <f aca="false">IF(L360=1,IF($B$26&lt;=N360,1,0),0)</f>
        <v>0</v>
      </c>
      <c r="Q360" s="58" t="n">
        <f aca="false">Q359+N360</f>
        <v>145877.630223336</v>
      </c>
      <c r="S360" s="56" t="n">
        <f aca="false">S359+1</f>
        <v>353</v>
      </c>
      <c r="T360" s="57" t="n">
        <f aca="false">IF(AND(S360&lt;=Assumptions!$C$42,T359=1,X359=0,W359&gt;Assumptions!$C$43),1,0)</f>
        <v>0</v>
      </c>
      <c r="U360" s="58" t="n">
        <f aca="false">W359</f>
        <v>-182.103705036234</v>
      </c>
      <c r="V360" s="58" t="n">
        <f aca="false">IF(T360=1,U360*$B$22,0)</f>
        <v>0</v>
      </c>
      <c r="W360" s="58" t="n">
        <f aca="false">IF(T360=1,U360+V360-$B$27,U360)</f>
        <v>-182.103705036234</v>
      </c>
      <c r="X360" s="56" t="n">
        <f aca="false">IF(T360=1,IF($B$27&lt;=V360,1,0),0)</f>
        <v>0</v>
      </c>
      <c r="Y360" s="58" t="n">
        <f aca="false">Y359+V360</f>
        <v>113000.408372882</v>
      </c>
    </row>
    <row r="361" customFormat="false" ht="15" hidden="false" customHeight="false" outlineLevel="0" collapsed="false">
      <c r="K361" s="56" t="n">
        <f aca="false">K360+1</f>
        <v>354</v>
      </c>
      <c r="L361" s="57" t="n">
        <f aca="false">IF(AND(K361&lt;=Assumptions!$C$42,L360=1,P360=0,O360&gt;Assumptions!$C$43),1,0)</f>
        <v>0</v>
      </c>
      <c r="M361" s="58" t="n">
        <f aca="false">O360</f>
        <v>8.10541678220034E-009</v>
      </c>
      <c r="N361" s="58" t="n">
        <f aca="false">IF(L361=1,M361*$B$22,0)</f>
        <v>0</v>
      </c>
      <c r="O361" s="58" t="n">
        <f aca="false">IF(L361=1,M361+N361-$B$26,M361)</f>
        <v>8.10541678220034E-009</v>
      </c>
      <c r="P361" s="56" t="n">
        <f aca="false">IF(L361=1,IF($B$26&lt;=N361,1,0),0)</f>
        <v>0</v>
      </c>
      <c r="Q361" s="58" t="n">
        <f aca="false">Q360+N361</f>
        <v>145877.630223336</v>
      </c>
      <c r="S361" s="56" t="n">
        <f aca="false">S360+1</f>
        <v>354</v>
      </c>
      <c r="T361" s="57" t="n">
        <f aca="false">IF(AND(S361&lt;=Assumptions!$C$42,T360=1,X360=0,W360&gt;Assumptions!$C$43),1,0)</f>
        <v>0</v>
      </c>
      <c r="U361" s="58" t="n">
        <f aca="false">W360</f>
        <v>-182.103705036234</v>
      </c>
      <c r="V361" s="58" t="n">
        <f aca="false">IF(T361=1,U361*$B$22,0)</f>
        <v>0</v>
      </c>
      <c r="W361" s="58" t="n">
        <f aca="false">IF(T361=1,U361+V361-$B$27,U361)</f>
        <v>-182.103705036234</v>
      </c>
      <c r="X361" s="56" t="n">
        <f aca="false">IF(T361=1,IF($B$27&lt;=V361,1,0),0)</f>
        <v>0</v>
      </c>
      <c r="Y361" s="58" t="n">
        <f aca="false">Y360+V361</f>
        <v>113000.408372882</v>
      </c>
    </row>
    <row r="362" customFormat="false" ht="15" hidden="false" customHeight="false" outlineLevel="0" collapsed="false">
      <c r="K362" s="56" t="n">
        <f aca="false">K361+1</f>
        <v>355</v>
      </c>
      <c r="L362" s="57" t="n">
        <f aca="false">IF(AND(K362&lt;=Assumptions!$C$42,L361=1,P361=0,O361&gt;Assumptions!$C$43),1,0)</f>
        <v>0</v>
      </c>
      <c r="M362" s="58" t="n">
        <f aca="false">O361</f>
        <v>8.10541678220034E-009</v>
      </c>
      <c r="N362" s="58" t="n">
        <f aca="false">IF(L362=1,M362*$B$22,0)</f>
        <v>0</v>
      </c>
      <c r="O362" s="58" t="n">
        <f aca="false">IF(L362=1,M362+N362-$B$26,M362)</f>
        <v>8.10541678220034E-009</v>
      </c>
      <c r="P362" s="56" t="n">
        <f aca="false">IF(L362=1,IF($B$26&lt;=N362,1,0),0)</f>
        <v>0</v>
      </c>
      <c r="Q362" s="58" t="n">
        <f aca="false">Q361+N362</f>
        <v>145877.630223336</v>
      </c>
      <c r="S362" s="56" t="n">
        <f aca="false">S361+1</f>
        <v>355</v>
      </c>
      <c r="T362" s="57" t="n">
        <f aca="false">IF(AND(S362&lt;=Assumptions!$C$42,T361=1,X361=0,W361&gt;Assumptions!$C$43),1,0)</f>
        <v>0</v>
      </c>
      <c r="U362" s="58" t="n">
        <f aca="false">W361</f>
        <v>-182.103705036234</v>
      </c>
      <c r="V362" s="58" t="n">
        <f aca="false">IF(T362=1,U362*$B$22,0)</f>
        <v>0</v>
      </c>
      <c r="W362" s="58" t="n">
        <f aca="false">IF(T362=1,U362+V362-$B$27,U362)</f>
        <v>-182.103705036234</v>
      </c>
      <c r="X362" s="56" t="n">
        <f aca="false">IF(T362=1,IF($B$27&lt;=V362,1,0),0)</f>
        <v>0</v>
      </c>
      <c r="Y362" s="58" t="n">
        <f aca="false">Y361+V362</f>
        <v>113000.408372882</v>
      </c>
    </row>
    <row r="363" customFormat="false" ht="15" hidden="false" customHeight="false" outlineLevel="0" collapsed="false">
      <c r="K363" s="56" t="n">
        <f aca="false">K362+1</f>
        <v>356</v>
      </c>
      <c r="L363" s="57" t="n">
        <f aca="false">IF(AND(K363&lt;=Assumptions!$C$42,L362=1,P362=0,O362&gt;Assumptions!$C$43),1,0)</f>
        <v>0</v>
      </c>
      <c r="M363" s="58" t="n">
        <f aca="false">O362</f>
        <v>8.10541678220034E-009</v>
      </c>
      <c r="N363" s="58" t="n">
        <f aca="false">IF(L363=1,M363*$B$22,0)</f>
        <v>0</v>
      </c>
      <c r="O363" s="58" t="n">
        <f aca="false">IF(L363=1,M363+N363-$B$26,M363)</f>
        <v>8.10541678220034E-009</v>
      </c>
      <c r="P363" s="56" t="n">
        <f aca="false">IF(L363=1,IF($B$26&lt;=N363,1,0),0)</f>
        <v>0</v>
      </c>
      <c r="Q363" s="58" t="n">
        <f aca="false">Q362+N363</f>
        <v>145877.630223336</v>
      </c>
      <c r="S363" s="56" t="n">
        <f aca="false">S362+1</f>
        <v>356</v>
      </c>
      <c r="T363" s="57" t="n">
        <f aca="false">IF(AND(S363&lt;=Assumptions!$C$42,T362=1,X362=0,W362&gt;Assumptions!$C$43),1,0)</f>
        <v>0</v>
      </c>
      <c r="U363" s="58" t="n">
        <f aca="false">W362</f>
        <v>-182.103705036234</v>
      </c>
      <c r="V363" s="58" t="n">
        <f aca="false">IF(T363=1,U363*$B$22,0)</f>
        <v>0</v>
      </c>
      <c r="W363" s="58" t="n">
        <f aca="false">IF(T363=1,U363+V363-$B$27,U363)</f>
        <v>-182.103705036234</v>
      </c>
      <c r="X363" s="56" t="n">
        <f aca="false">IF(T363=1,IF($B$27&lt;=V363,1,0),0)</f>
        <v>0</v>
      </c>
      <c r="Y363" s="58" t="n">
        <f aca="false">Y362+V363</f>
        <v>113000.408372882</v>
      </c>
    </row>
    <row r="364" customFormat="false" ht="15" hidden="false" customHeight="false" outlineLevel="0" collapsed="false">
      <c r="K364" s="56" t="n">
        <f aca="false">K363+1</f>
        <v>357</v>
      </c>
      <c r="L364" s="57" t="n">
        <f aca="false">IF(AND(K364&lt;=Assumptions!$C$42,L363=1,P363=0,O363&gt;Assumptions!$C$43),1,0)</f>
        <v>0</v>
      </c>
      <c r="M364" s="58" t="n">
        <f aca="false">O363</f>
        <v>8.10541678220034E-009</v>
      </c>
      <c r="N364" s="58" t="n">
        <f aca="false">IF(L364=1,M364*$B$22,0)</f>
        <v>0</v>
      </c>
      <c r="O364" s="58" t="n">
        <f aca="false">IF(L364=1,M364+N364-$B$26,M364)</f>
        <v>8.10541678220034E-009</v>
      </c>
      <c r="P364" s="56" t="n">
        <f aca="false">IF(L364=1,IF($B$26&lt;=N364,1,0),0)</f>
        <v>0</v>
      </c>
      <c r="Q364" s="58" t="n">
        <f aca="false">Q363+N364</f>
        <v>145877.630223336</v>
      </c>
      <c r="S364" s="56" t="n">
        <f aca="false">S363+1</f>
        <v>357</v>
      </c>
      <c r="T364" s="57" t="n">
        <f aca="false">IF(AND(S364&lt;=Assumptions!$C$42,T363=1,X363=0,W363&gt;Assumptions!$C$43),1,0)</f>
        <v>0</v>
      </c>
      <c r="U364" s="58" t="n">
        <f aca="false">W363</f>
        <v>-182.103705036234</v>
      </c>
      <c r="V364" s="58" t="n">
        <f aca="false">IF(T364=1,U364*$B$22,0)</f>
        <v>0</v>
      </c>
      <c r="W364" s="58" t="n">
        <f aca="false">IF(T364=1,U364+V364-$B$27,U364)</f>
        <v>-182.103705036234</v>
      </c>
      <c r="X364" s="56" t="n">
        <f aca="false">IF(T364=1,IF($B$27&lt;=V364,1,0),0)</f>
        <v>0</v>
      </c>
      <c r="Y364" s="58" t="n">
        <f aca="false">Y363+V364</f>
        <v>113000.408372882</v>
      </c>
    </row>
    <row r="365" customFormat="false" ht="15" hidden="false" customHeight="false" outlineLevel="0" collapsed="false">
      <c r="K365" s="56" t="n">
        <f aca="false">K364+1</f>
        <v>358</v>
      </c>
      <c r="L365" s="57" t="n">
        <f aca="false">IF(AND(K365&lt;=Assumptions!$C$42,L364=1,P364=0,O364&gt;Assumptions!$C$43),1,0)</f>
        <v>0</v>
      </c>
      <c r="M365" s="58" t="n">
        <f aca="false">O364</f>
        <v>8.10541678220034E-009</v>
      </c>
      <c r="N365" s="58" t="n">
        <f aca="false">IF(L365=1,M365*$B$22,0)</f>
        <v>0</v>
      </c>
      <c r="O365" s="58" t="n">
        <f aca="false">IF(L365=1,M365+N365-$B$26,M365)</f>
        <v>8.10541678220034E-009</v>
      </c>
      <c r="P365" s="56" t="n">
        <f aca="false">IF(L365=1,IF($B$26&lt;=N365,1,0),0)</f>
        <v>0</v>
      </c>
      <c r="Q365" s="58" t="n">
        <f aca="false">Q364+N365</f>
        <v>145877.630223336</v>
      </c>
      <c r="S365" s="56" t="n">
        <f aca="false">S364+1</f>
        <v>358</v>
      </c>
      <c r="T365" s="57" t="n">
        <f aca="false">IF(AND(S365&lt;=Assumptions!$C$42,T364=1,X364=0,W364&gt;Assumptions!$C$43),1,0)</f>
        <v>0</v>
      </c>
      <c r="U365" s="58" t="n">
        <f aca="false">W364</f>
        <v>-182.103705036234</v>
      </c>
      <c r="V365" s="58" t="n">
        <f aca="false">IF(T365=1,U365*$B$22,0)</f>
        <v>0</v>
      </c>
      <c r="W365" s="58" t="n">
        <f aca="false">IF(T365=1,U365+V365-$B$27,U365)</f>
        <v>-182.103705036234</v>
      </c>
      <c r="X365" s="56" t="n">
        <f aca="false">IF(T365=1,IF($B$27&lt;=V365,1,0),0)</f>
        <v>0</v>
      </c>
      <c r="Y365" s="58" t="n">
        <f aca="false">Y364+V365</f>
        <v>113000.408372882</v>
      </c>
    </row>
    <row r="366" customFormat="false" ht="15" hidden="false" customHeight="false" outlineLevel="0" collapsed="false">
      <c r="K366" s="56" t="n">
        <f aca="false">K365+1</f>
        <v>359</v>
      </c>
      <c r="L366" s="57" t="n">
        <f aca="false">IF(AND(K366&lt;=Assumptions!$C$42,L365=1,P365=0,O365&gt;Assumptions!$C$43),1,0)</f>
        <v>0</v>
      </c>
      <c r="M366" s="58" t="n">
        <f aca="false">O365</f>
        <v>8.10541678220034E-009</v>
      </c>
      <c r="N366" s="58" t="n">
        <f aca="false">IF(L366=1,M366*$B$22,0)</f>
        <v>0</v>
      </c>
      <c r="O366" s="58" t="n">
        <f aca="false">IF(L366=1,M366+N366-$B$26,M366)</f>
        <v>8.10541678220034E-009</v>
      </c>
      <c r="P366" s="56" t="n">
        <f aca="false">IF(L366=1,IF($B$26&lt;=N366,1,0),0)</f>
        <v>0</v>
      </c>
      <c r="Q366" s="58" t="n">
        <f aca="false">Q365+N366</f>
        <v>145877.630223336</v>
      </c>
      <c r="S366" s="56" t="n">
        <f aca="false">S365+1</f>
        <v>359</v>
      </c>
      <c r="T366" s="57" t="n">
        <f aca="false">IF(AND(S366&lt;=Assumptions!$C$42,T365=1,X365=0,W365&gt;Assumptions!$C$43),1,0)</f>
        <v>0</v>
      </c>
      <c r="U366" s="58" t="n">
        <f aca="false">W365</f>
        <v>-182.103705036234</v>
      </c>
      <c r="V366" s="58" t="n">
        <f aca="false">IF(T366=1,U366*$B$22,0)</f>
        <v>0</v>
      </c>
      <c r="W366" s="58" t="n">
        <f aca="false">IF(T366=1,U366+V366-$B$27,U366)</f>
        <v>-182.103705036234</v>
      </c>
      <c r="X366" s="56" t="n">
        <f aca="false">IF(T366=1,IF($B$27&lt;=V366,1,0),0)</f>
        <v>0</v>
      </c>
      <c r="Y366" s="58" t="n">
        <f aca="false">Y365+V366</f>
        <v>113000.408372882</v>
      </c>
    </row>
    <row r="367" customFormat="false" ht="15" hidden="false" customHeight="false" outlineLevel="0" collapsed="false">
      <c r="K367" s="56" t="n">
        <f aca="false">K366+1</f>
        <v>360</v>
      </c>
      <c r="L367" s="57" t="n">
        <f aca="false">IF(AND(K367&lt;=Assumptions!$C$42,L366=1,P366=0,O366&gt;Assumptions!$C$43),1,0)</f>
        <v>0</v>
      </c>
      <c r="M367" s="58" t="n">
        <f aca="false">O366</f>
        <v>8.10541678220034E-009</v>
      </c>
      <c r="N367" s="58" t="n">
        <f aca="false">IF(L367=1,M367*$B$22,0)</f>
        <v>0</v>
      </c>
      <c r="O367" s="58" t="n">
        <f aca="false">IF(L367=1,M367+N367-$B$26,M367)</f>
        <v>8.10541678220034E-009</v>
      </c>
      <c r="P367" s="56" t="n">
        <f aca="false">IF(L367=1,IF($B$26&lt;=N367,1,0),0)</f>
        <v>0</v>
      </c>
      <c r="Q367" s="58" t="n">
        <f aca="false">Q366+N367</f>
        <v>145877.630223336</v>
      </c>
      <c r="S367" s="56" t="n">
        <f aca="false">S366+1</f>
        <v>360</v>
      </c>
      <c r="T367" s="57" t="n">
        <f aca="false">IF(AND(S367&lt;=Assumptions!$C$42,T366=1,X366=0,W366&gt;Assumptions!$C$43),1,0)</f>
        <v>0</v>
      </c>
      <c r="U367" s="58" t="n">
        <f aca="false">W366</f>
        <v>-182.103705036234</v>
      </c>
      <c r="V367" s="58" t="n">
        <f aca="false">IF(T367=1,U367*$B$22,0)</f>
        <v>0</v>
      </c>
      <c r="W367" s="58" t="n">
        <f aca="false">IF(T367=1,U367+V367-$B$27,U367)</f>
        <v>-182.103705036234</v>
      </c>
      <c r="X367" s="56" t="n">
        <f aca="false">IF(T367=1,IF($B$27&lt;=V367,1,0),0)</f>
        <v>0</v>
      </c>
      <c r="Y367" s="58" t="n">
        <f aca="false">Y366+V367</f>
        <v>113000.408372882</v>
      </c>
    </row>
    <row r="368" customFormat="false" ht="15" hidden="false" customHeight="false" outlineLevel="0" collapsed="false">
      <c r="K368" s="56" t="n">
        <f aca="false">K367+1</f>
        <v>361</v>
      </c>
      <c r="L368" s="57" t="n">
        <f aca="false">IF(AND(K368&lt;=Assumptions!$C$42,L367=1,P367=0,O367&gt;Assumptions!$C$43),1,0)</f>
        <v>0</v>
      </c>
      <c r="M368" s="58" t="n">
        <f aca="false">O367</f>
        <v>8.10541678220034E-009</v>
      </c>
      <c r="N368" s="58" t="n">
        <f aca="false">IF(L368=1,M368*$B$22,0)</f>
        <v>0</v>
      </c>
      <c r="O368" s="58" t="n">
        <f aca="false">IF(L368=1,M368+N368-$B$26,M368)</f>
        <v>8.10541678220034E-009</v>
      </c>
      <c r="P368" s="56" t="n">
        <f aca="false">IF(L368=1,IF($B$26&lt;=N368,1,0),0)</f>
        <v>0</v>
      </c>
      <c r="Q368" s="58" t="n">
        <f aca="false">Q367+N368</f>
        <v>145877.630223336</v>
      </c>
      <c r="S368" s="56" t="n">
        <f aca="false">S367+1</f>
        <v>361</v>
      </c>
      <c r="T368" s="57" t="n">
        <f aca="false">IF(AND(S368&lt;=Assumptions!$C$42,T367=1,X367=0,W367&gt;Assumptions!$C$43),1,0)</f>
        <v>0</v>
      </c>
      <c r="U368" s="58" t="n">
        <f aca="false">W367</f>
        <v>-182.103705036234</v>
      </c>
      <c r="V368" s="58" t="n">
        <f aca="false">IF(T368=1,U368*$B$22,0)</f>
        <v>0</v>
      </c>
      <c r="W368" s="58" t="n">
        <f aca="false">IF(T368=1,U368+V368-$B$27,U368)</f>
        <v>-182.103705036234</v>
      </c>
      <c r="X368" s="56" t="n">
        <f aca="false">IF(T368=1,IF($B$27&lt;=V368,1,0),0)</f>
        <v>0</v>
      </c>
      <c r="Y368" s="58" t="n">
        <f aca="false">Y367+V368</f>
        <v>113000.408372882</v>
      </c>
    </row>
    <row r="369" customFormat="false" ht="15" hidden="false" customHeight="false" outlineLevel="0" collapsed="false">
      <c r="K369" s="56" t="n">
        <f aca="false">K368+1</f>
        <v>362</v>
      </c>
      <c r="L369" s="57" t="n">
        <f aca="false">IF(AND(K369&lt;=Assumptions!$C$42,L368=1,P368=0,O368&gt;Assumptions!$C$43),1,0)</f>
        <v>0</v>
      </c>
      <c r="M369" s="58" t="n">
        <f aca="false">O368</f>
        <v>8.10541678220034E-009</v>
      </c>
      <c r="N369" s="58" t="n">
        <f aca="false">IF(L369=1,M369*$B$22,0)</f>
        <v>0</v>
      </c>
      <c r="O369" s="58" t="n">
        <f aca="false">IF(L369=1,M369+N369-$B$26,M369)</f>
        <v>8.10541678220034E-009</v>
      </c>
      <c r="P369" s="56" t="n">
        <f aca="false">IF(L369=1,IF($B$26&lt;=N369,1,0),0)</f>
        <v>0</v>
      </c>
      <c r="Q369" s="58" t="n">
        <f aca="false">Q368+N369</f>
        <v>145877.630223336</v>
      </c>
      <c r="S369" s="56" t="n">
        <f aca="false">S368+1</f>
        <v>362</v>
      </c>
      <c r="T369" s="57" t="n">
        <f aca="false">IF(AND(S369&lt;=Assumptions!$C$42,T368=1,X368=0,W368&gt;Assumptions!$C$43),1,0)</f>
        <v>0</v>
      </c>
      <c r="U369" s="58" t="n">
        <f aca="false">W368</f>
        <v>-182.103705036234</v>
      </c>
      <c r="V369" s="58" t="n">
        <f aca="false">IF(T369=1,U369*$B$22,0)</f>
        <v>0</v>
      </c>
      <c r="W369" s="58" t="n">
        <f aca="false">IF(T369=1,U369+V369-$B$27,U369)</f>
        <v>-182.103705036234</v>
      </c>
      <c r="X369" s="56" t="n">
        <f aca="false">IF(T369=1,IF($B$27&lt;=V369,1,0),0)</f>
        <v>0</v>
      </c>
      <c r="Y369" s="58" t="n">
        <f aca="false">Y368+V369</f>
        <v>113000.408372882</v>
      </c>
    </row>
    <row r="370" customFormat="false" ht="15" hidden="false" customHeight="false" outlineLevel="0" collapsed="false">
      <c r="K370" s="56" t="n">
        <f aca="false">K369+1</f>
        <v>363</v>
      </c>
      <c r="L370" s="57" t="n">
        <f aca="false">IF(AND(K370&lt;=Assumptions!$C$42,L369=1,P369=0,O369&gt;Assumptions!$C$43),1,0)</f>
        <v>0</v>
      </c>
      <c r="M370" s="58" t="n">
        <f aca="false">O369</f>
        <v>8.10541678220034E-009</v>
      </c>
      <c r="N370" s="58" t="n">
        <f aca="false">IF(L370=1,M370*$B$22,0)</f>
        <v>0</v>
      </c>
      <c r="O370" s="58" t="n">
        <f aca="false">IF(L370=1,M370+N370-$B$26,M370)</f>
        <v>8.10541678220034E-009</v>
      </c>
      <c r="P370" s="56" t="n">
        <f aca="false">IF(L370=1,IF($B$26&lt;=N370,1,0),0)</f>
        <v>0</v>
      </c>
      <c r="Q370" s="58" t="n">
        <f aca="false">Q369+N370</f>
        <v>145877.630223336</v>
      </c>
      <c r="S370" s="56" t="n">
        <f aca="false">S369+1</f>
        <v>363</v>
      </c>
      <c r="T370" s="57" t="n">
        <f aca="false">IF(AND(S370&lt;=Assumptions!$C$42,T369=1,X369=0,W369&gt;Assumptions!$C$43),1,0)</f>
        <v>0</v>
      </c>
      <c r="U370" s="58" t="n">
        <f aca="false">W369</f>
        <v>-182.103705036234</v>
      </c>
      <c r="V370" s="58" t="n">
        <f aca="false">IF(T370=1,U370*$B$22,0)</f>
        <v>0</v>
      </c>
      <c r="W370" s="58" t="n">
        <f aca="false">IF(T370=1,U370+V370-$B$27,U370)</f>
        <v>-182.103705036234</v>
      </c>
      <c r="X370" s="56" t="n">
        <f aca="false">IF(T370=1,IF($B$27&lt;=V370,1,0),0)</f>
        <v>0</v>
      </c>
      <c r="Y370" s="58" t="n">
        <f aca="false">Y369+V370</f>
        <v>113000.408372882</v>
      </c>
    </row>
    <row r="371" customFormat="false" ht="15" hidden="false" customHeight="false" outlineLevel="0" collapsed="false">
      <c r="K371" s="56" t="n">
        <f aca="false">K370+1</f>
        <v>364</v>
      </c>
      <c r="L371" s="57" t="n">
        <f aca="false">IF(AND(K371&lt;=Assumptions!$C$42,L370=1,P370=0,O370&gt;Assumptions!$C$43),1,0)</f>
        <v>0</v>
      </c>
      <c r="M371" s="58" t="n">
        <f aca="false">O370</f>
        <v>8.10541678220034E-009</v>
      </c>
      <c r="N371" s="58" t="n">
        <f aca="false">IF(L371=1,M371*$B$22,0)</f>
        <v>0</v>
      </c>
      <c r="O371" s="58" t="n">
        <f aca="false">IF(L371=1,M371+N371-$B$26,M371)</f>
        <v>8.10541678220034E-009</v>
      </c>
      <c r="P371" s="56" t="n">
        <f aca="false">IF(L371=1,IF($B$26&lt;=N371,1,0),0)</f>
        <v>0</v>
      </c>
      <c r="Q371" s="58" t="n">
        <f aca="false">Q370+N371</f>
        <v>145877.630223336</v>
      </c>
      <c r="S371" s="56" t="n">
        <f aca="false">S370+1</f>
        <v>364</v>
      </c>
      <c r="T371" s="57" t="n">
        <f aca="false">IF(AND(S371&lt;=Assumptions!$C$42,T370=1,X370=0,W370&gt;Assumptions!$C$43),1,0)</f>
        <v>0</v>
      </c>
      <c r="U371" s="58" t="n">
        <f aca="false">W370</f>
        <v>-182.103705036234</v>
      </c>
      <c r="V371" s="58" t="n">
        <f aca="false">IF(T371=1,U371*$B$22,0)</f>
        <v>0</v>
      </c>
      <c r="W371" s="58" t="n">
        <f aca="false">IF(T371=1,U371+V371-$B$27,U371)</f>
        <v>-182.103705036234</v>
      </c>
      <c r="X371" s="56" t="n">
        <f aca="false">IF(T371=1,IF($B$27&lt;=V371,1,0),0)</f>
        <v>0</v>
      </c>
      <c r="Y371" s="58" t="n">
        <f aca="false">Y370+V371</f>
        <v>113000.408372882</v>
      </c>
    </row>
    <row r="372" customFormat="false" ht="15" hidden="false" customHeight="false" outlineLevel="0" collapsed="false">
      <c r="K372" s="56" t="n">
        <f aca="false">K371+1</f>
        <v>365</v>
      </c>
      <c r="L372" s="57" t="n">
        <f aca="false">IF(AND(K372&lt;=Assumptions!$C$42,L371=1,P371=0,O371&gt;Assumptions!$C$43),1,0)</f>
        <v>0</v>
      </c>
      <c r="M372" s="58" t="n">
        <f aca="false">O371</f>
        <v>8.10541678220034E-009</v>
      </c>
      <c r="N372" s="58" t="n">
        <f aca="false">IF(L372=1,M372*$B$22,0)</f>
        <v>0</v>
      </c>
      <c r="O372" s="58" t="n">
        <f aca="false">IF(L372=1,M372+N372-$B$26,M372)</f>
        <v>8.10541678220034E-009</v>
      </c>
      <c r="P372" s="56" t="n">
        <f aca="false">IF(L372=1,IF($B$26&lt;=N372,1,0),0)</f>
        <v>0</v>
      </c>
      <c r="Q372" s="58" t="n">
        <f aca="false">Q371+N372</f>
        <v>145877.630223336</v>
      </c>
      <c r="S372" s="56" t="n">
        <f aca="false">S371+1</f>
        <v>365</v>
      </c>
      <c r="T372" s="57" t="n">
        <f aca="false">IF(AND(S372&lt;=Assumptions!$C$42,T371=1,X371=0,W371&gt;Assumptions!$C$43),1,0)</f>
        <v>0</v>
      </c>
      <c r="U372" s="58" t="n">
        <f aca="false">W371</f>
        <v>-182.103705036234</v>
      </c>
      <c r="V372" s="58" t="n">
        <f aca="false">IF(T372=1,U372*$B$22,0)</f>
        <v>0</v>
      </c>
      <c r="W372" s="58" t="n">
        <f aca="false">IF(T372=1,U372+V372-$B$27,U372)</f>
        <v>-182.103705036234</v>
      </c>
      <c r="X372" s="56" t="n">
        <f aca="false">IF(T372=1,IF($B$27&lt;=V372,1,0),0)</f>
        <v>0</v>
      </c>
      <c r="Y372" s="58" t="n">
        <f aca="false">Y371+V372</f>
        <v>113000.408372882</v>
      </c>
    </row>
    <row r="373" customFormat="false" ht="15" hidden="false" customHeight="false" outlineLevel="0" collapsed="false">
      <c r="K373" s="56" t="n">
        <f aca="false">K372+1</f>
        <v>366</v>
      </c>
      <c r="L373" s="57" t="n">
        <f aca="false">IF(AND(K373&lt;=Assumptions!$C$42,L372=1,P372=0,O372&gt;Assumptions!$C$43),1,0)</f>
        <v>0</v>
      </c>
      <c r="M373" s="58" t="n">
        <f aca="false">O372</f>
        <v>8.10541678220034E-009</v>
      </c>
      <c r="N373" s="58" t="n">
        <f aca="false">IF(L373=1,M373*$B$22,0)</f>
        <v>0</v>
      </c>
      <c r="O373" s="58" t="n">
        <f aca="false">IF(L373=1,M373+N373-$B$26,M373)</f>
        <v>8.10541678220034E-009</v>
      </c>
      <c r="P373" s="56" t="n">
        <f aca="false">IF(L373=1,IF($B$26&lt;=N373,1,0),0)</f>
        <v>0</v>
      </c>
      <c r="Q373" s="58" t="n">
        <f aca="false">Q372+N373</f>
        <v>145877.630223336</v>
      </c>
      <c r="S373" s="56" t="n">
        <f aca="false">S372+1</f>
        <v>366</v>
      </c>
      <c r="T373" s="57" t="n">
        <f aca="false">IF(AND(S373&lt;=Assumptions!$C$42,T372=1,X372=0,W372&gt;Assumptions!$C$43),1,0)</f>
        <v>0</v>
      </c>
      <c r="U373" s="58" t="n">
        <f aca="false">W372</f>
        <v>-182.103705036234</v>
      </c>
      <c r="V373" s="58" t="n">
        <f aca="false">IF(T373=1,U373*$B$22,0)</f>
        <v>0</v>
      </c>
      <c r="W373" s="58" t="n">
        <f aca="false">IF(T373=1,U373+V373-$B$27,U373)</f>
        <v>-182.103705036234</v>
      </c>
      <c r="X373" s="56" t="n">
        <f aca="false">IF(T373=1,IF($B$27&lt;=V373,1,0),0)</f>
        <v>0</v>
      </c>
      <c r="Y373" s="58" t="n">
        <f aca="false">Y372+V373</f>
        <v>113000.408372882</v>
      </c>
    </row>
    <row r="374" customFormat="false" ht="15" hidden="false" customHeight="false" outlineLevel="0" collapsed="false">
      <c r="K374" s="56" t="n">
        <f aca="false">K373+1</f>
        <v>367</v>
      </c>
      <c r="L374" s="57" t="n">
        <f aca="false">IF(AND(K374&lt;=Assumptions!$C$42,L373=1,P373=0,O373&gt;Assumptions!$C$43),1,0)</f>
        <v>0</v>
      </c>
      <c r="M374" s="58" t="n">
        <f aca="false">O373</f>
        <v>8.10541678220034E-009</v>
      </c>
      <c r="N374" s="58" t="n">
        <f aca="false">IF(L374=1,M374*$B$22,0)</f>
        <v>0</v>
      </c>
      <c r="O374" s="58" t="n">
        <f aca="false">IF(L374=1,M374+N374-$B$26,M374)</f>
        <v>8.10541678220034E-009</v>
      </c>
      <c r="P374" s="56" t="n">
        <f aca="false">IF(L374=1,IF($B$26&lt;=N374,1,0),0)</f>
        <v>0</v>
      </c>
      <c r="Q374" s="58" t="n">
        <f aca="false">Q373+N374</f>
        <v>145877.630223336</v>
      </c>
      <c r="S374" s="56" t="n">
        <f aca="false">S373+1</f>
        <v>367</v>
      </c>
      <c r="T374" s="57" t="n">
        <f aca="false">IF(AND(S374&lt;=Assumptions!$C$42,T373=1,X373=0,W373&gt;Assumptions!$C$43),1,0)</f>
        <v>0</v>
      </c>
      <c r="U374" s="58" t="n">
        <f aca="false">W373</f>
        <v>-182.103705036234</v>
      </c>
      <c r="V374" s="58" t="n">
        <f aca="false">IF(T374=1,U374*$B$22,0)</f>
        <v>0</v>
      </c>
      <c r="W374" s="58" t="n">
        <f aca="false">IF(T374=1,U374+V374-$B$27,U374)</f>
        <v>-182.103705036234</v>
      </c>
      <c r="X374" s="56" t="n">
        <f aca="false">IF(T374=1,IF($B$27&lt;=V374,1,0),0)</f>
        <v>0</v>
      </c>
      <c r="Y374" s="58" t="n">
        <f aca="false">Y373+V374</f>
        <v>113000.408372882</v>
      </c>
    </row>
    <row r="375" customFormat="false" ht="15" hidden="false" customHeight="false" outlineLevel="0" collapsed="false">
      <c r="K375" s="56" t="n">
        <f aca="false">K374+1</f>
        <v>368</v>
      </c>
      <c r="L375" s="57" t="n">
        <f aca="false">IF(AND(K375&lt;=Assumptions!$C$42,L374=1,P374=0,O374&gt;Assumptions!$C$43),1,0)</f>
        <v>0</v>
      </c>
      <c r="M375" s="58" t="n">
        <f aca="false">O374</f>
        <v>8.10541678220034E-009</v>
      </c>
      <c r="N375" s="58" t="n">
        <f aca="false">IF(L375=1,M375*$B$22,0)</f>
        <v>0</v>
      </c>
      <c r="O375" s="58" t="n">
        <f aca="false">IF(L375=1,M375+N375-$B$26,M375)</f>
        <v>8.10541678220034E-009</v>
      </c>
      <c r="P375" s="56" t="n">
        <f aca="false">IF(L375=1,IF($B$26&lt;=N375,1,0),0)</f>
        <v>0</v>
      </c>
      <c r="Q375" s="58" t="n">
        <f aca="false">Q374+N375</f>
        <v>145877.630223336</v>
      </c>
      <c r="S375" s="56" t="n">
        <f aca="false">S374+1</f>
        <v>368</v>
      </c>
      <c r="T375" s="57" t="n">
        <f aca="false">IF(AND(S375&lt;=Assumptions!$C$42,T374=1,X374=0,W374&gt;Assumptions!$C$43),1,0)</f>
        <v>0</v>
      </c>
      <c r="U375" s="58" t="n">
        <f aca="false">W374</f>
        <v>-182.103705036234</v>
      </c>
      <c r="V375" s="58" t="n">
        <f aca="false">IF(T375=1,U375*$B$22,0)</f>
        <v>0</v>
      </c>
      <c r="W375" s="58" t="n">
        <f aca="false">IF(T375=1,U375+V375-$B$27,U375)</f>
        <v>-182.103705036234</v>
      </c>
      <c r="X375" s="56" t="n">
        <f aca="false">IF(T375=1,IF($B$27&lt;=V375,1,0),0)</f>
        <v>0</v>
      </c>
      <c r="Y375" s="58" t="n">
        <f aca="false">Y374+V375</f>
        <v>113000.408372882</v>
      </c>
    </row>
    <row r="376" customFormat="false" ht="15" hidden="false" customHeight="false" outlineLevel="0" collapsed="false">
      <c r="K376" s="56" t="n">
        <f aca="false">K375+1</f>
        <v>369</v>
      </c>
      <c r="L376" s="57" t="n">
        <f aca="false">IF(AND(K376&lt;=Assumptions!$C$42,L375=1,P375=0,O375&gt;Assumptions!$C$43),1,0)</f>
        <v>0</v>
      </c>
      <c r="M376" s="58" t="n">
        <f aca="false">O375</f>
        <v>8.10541678220034E-009</v>
      </c>
      <c r="N376" s="58" t="n">
        <f aca="false">IF(L376=1,M376*$B$22,0)</f>
        <v>0</v>
      </c>
      <c r="O376" s="58" t="n">
        <f aca="false">IF(L376=1,M376+N376-$B$26,M376)</f>
        <v>8.10541678220034E-009</v>
      </c>
      <c r="P376" s="56" t="n">
        <f aca="false">IF(L376=1,IF($B$26&lt;=N376,1,0),0)</f>
        <v>0</v>
      </c>
      <c r="Q376" s="58" t="n">
        <f aca="false">Q375+N376</f>
        <v>145877.630223336</v>
      </c>
      <c r="S376" s="56" t="n">
        <f aca="false">S375+1</f>
        <v>369</v>
      </c>
      <c r="T376" s="57" t="n">
        <f aca="false">IF(AND(S376&lt;=Assumptions!$C$42,T375=1,X375=0,W375&gt;Assumptions!$C$43),1,0)</f>
        <v>0</v>
      </c>
      <c r="U376" s="58" t="n">
        <f aca="false">W375</f>
        <v>-182.103705036234</v>
      </c>
      <c r="V376" s="58" t="n">
        <f aca="false">IF(T376=1,U376*$B$22,0)</f>
        <v>0</v>
      </c>
      <c r="W376" s="58" t="n">
        <f aca="false">IF(T376=1,U376+V376-$B$27,U376)</f>
        <v>-182.103705036234</v>
      </c>
      <c r="X376" s="56" t="n">
        <f aca="false">IF(T376=1,IF($B$27&lt;=V376,1,0),0)</f>
        <v>0</v>
      </c>
      <c r="Y376" s="58" t="n">
        <f aca="false">Y375+V376</f>
        <v>113000.408372882</v>
      </c>
    </row>
    <row r="377" customFormat="false" ht="15" hidden="false" customHeight="false" outlineLevel="0" collapsed="false">
      <c r="K377" s="56" t="n">
        <f aca="false">K376+1</f>
        <v>370</v>
      </c>
      <c r="L377" s="57" t="n">
        <f aca="false">IF(AND(K377&lt;=Assumptions!$C$42,L376=1,P376=0,O376&gt;Assumptions!$C$43),1,0)</f>
        <v>0</v>
      </c>
      <c r="M377" s="58" t="n">
        <f aca="false">O376</f>
        <v>8.10541678220034E-009</v>
      </c>
      <c r="N377" s="58" t="n">
        <f aca="false">IF(L377=1,M377*$B$22,0)</f>
        <v>0</v>
      </c>
      <c r="O377" s="58" t="n">
        <f aca="false">IF(L377=1,M377+N377-$B$26,M377)</f>
        <v>8.10541678220034E-009</v>
      </c>
      <c r="P377" s="56" t="n">
        <f aca="false">IF(L377=1,IF($B$26&lt;=N377,1,0),0)</f>
        <v>0</v>
      </c>
      <c r="Q377" s="58" t="n">
        <f aca="false">Q376+N377</f>
        <v>145877.630223336</v>
      </c>
      <c r="S377" s="56" t="n">
        <f aca="false">S376+1</f>
        <v>370</v>
      </c>
      <c r="T377" s="57" t="n">
        <f aca="false">IF(AND(S377&lt;=Assumptions!$C$42,T376=1,X376=0,W376&gt;Assumptions!$C$43),1,0)</f>
        <v>0</v>
      </c>
      <c r="U377" s="58" t="n">
        <f aca="false">W376</f>
        <v>-182.103705036234</v>
      </c>
      <c r="V377" s="58" t="n">
        <f aca="false">IF(T377=1,U377*$B$22,0)</f>
        <v>0</v>
      </c>
      <c r="W377" s="58" t="n">
        <f aca="false">IF(T377=1,U377+V377-$B$27,U377)</f>
        <v>-182.103705036234</v>
      </c>
      <c r="X377" s="56" t="n">
        <f aca="false">IF(T377=1,IF($B$27&lt;=V377,1,0),0)</f>
        <v>0</v>
      </c>
      <c r="Y377" s="58" t="n">
        <f aca="false">Y376+V377</f>
        <v>113000.408372882</v>
      </c>
    </row>
    <row r="378" customFormat="false" ht="15" hidden="false" customHeight="false" outlineLevel="0" collapsed="false">
      <c r="K378" s="56" t="n">
        <f aca="false">K377+1</f>
        <v>371</v>
      </c>
      <c r="L378" s="57" t="n">
        <f aca="false">IF(AND(K378&lt;=Assumptions!$C$42,L377=1,P377=0,O377&gt;Assumptions!$C$43),1,0)</f>
        <v>0</v>
      </c>
      <c r="M378" s="58" t="n">
        <f aca="false">O377</f>
        <v>8.10541678220034E-009</v>
      </c>
      <c r="N378" s="58" t="n">
        <f aca="false">IF(L378=1,M378*$B$22,0)</f>
        <v>0</v>
      </c>
      <c r="O378" s="58" t="n">
        <f aca="false">IF(L378=1,M378+N378-$B$26,M378)</f>
        <v>8.10541678220034E-009</v>
      </c>
      <c r="P378" s="56" t="n">
        <f aca="false">IF(L378=1,IF($B$26&lt;=N378,1,0),0)</f>
        <v>0</v>
      </c>
      <c r="Q378" s="58" t="n">
        <f aca="false">Q377+N378</f>
        <v>145877.630223336</v>
      </c>
      <c r="S378" s="56" t="n">
        <f aca="false">S377+1</f>
        <v>371</v>
      </c>
      <c r="T378" s="57" t="n">
        <f aca="false">IF(AND(S378&lt;=Assumptions!$C$42,T377=1,X377=0,W377&gt;Assumptions!$C$43),1,0)</f>
        <v>0</v>
      </c>
      <c r="U378" s="58" t="n">
        <f aca="false">W377</f>
        <v>-182.103705036234</v>
      </c>
      <c r="V378" s="58" t="n">
        <f aca="false">IF(T378=1,U378*$B$22,0)</f>
        <v>0</v>
      </c>
      <c r="W378" s="58" t="n">
        <f aca="false">IF(T378=1,U378+V378-$B$27,U378)</f>
        <v>-182.103705036234</v>
      </c>
      <c r="X378" s="56" t="n">
        <f aca="false">IF(T378=1,IF($B$27&lt;=V378,1,0),0)</f>
        <v>0</v>
      </c>
      <c r="Y378" s="58" t="n">
        <f aca="false">Y377+V378</f>
        <v>113000.408372882</v>
      </c>
    </row>
    <row r="379" customFormat="false" ht="15" hidden="false" customHeight="false" outlineLevel="0" collapsed="false">
      <c r="K379" s="56" t="n">
        <f aca="false">K378+1</f>
        <v>372</v>
      </c>
      <c r="L379" s="57" t="n">
        <f aca="false">IF(AND(K379&lt;=Assumptions!$C$42,L378=1,P378=0,O378&gt;Assumptions!$C$43),1,0)</f>
        <v>0</v>
      </c>
      <c r="M379" s="58" t="n">
        <f aca="false">O378</f>
        <v>8.10541678220034E-009</v>
      </c>
      <c r="N379" s="58" t="n">
        <f aca="false">IF(L379=1,M379*$B$22,0)</f>
        <v>0</v>
      </c>
      <c r="O379" s="58" t="n">
        <f aca="false">IF(L379=1,M379+N379-$B$26,M379)</f>
        <v>8.10541678220034E-009</v>
      </c>
      <c r="P379" s="56" t="n">
        <f aca="false">IF(L379=1,IF($B$26&lt;=N379,1,0),0)</f>
        <v>0</v>
      </c>
      <c r="Q379" s="58" t="n">
        <f aca="false">Q378+N379</f>
        <v>145877.630223336</v>
      </c>
      <c r="S379" s="56" t="n">
        <f aca="false">S378+1</f>
        <v>372</v>
      </c>
      <c r="T379" s="57" t="n">
        <f aca="false">IF(AND(S379&lt;=Assumptions!$C$42,T378=1,X378=0,W378&gt;Assumptions!$C$43),1,0)</f>
        <v>0</v>
      </c>
      <c r="U379" s="58" t="n">
        <f aca="false">W378</f>
        <v>-182.103705036234</v>
      </c>
      <c r="V379" s="58" t="n">
        <f aca="false">IF(T379=1,U379*$B$22,0)</f>
        <v>0</v>
      </c>
      <c r="W379" s="58" t="n">
        <f aca="false">IF(T379=1,U379+V379-$B$27,U379)</f>
        <v>-182.103705036234</v>
      </c>
      <c r="X379" s="56" t="n">
        <f aca="false">IF(T379=1,IF($B$27&lt;=V379,1,0),0)</f>
        <v>0</v>
      </c>
      <c r="Y379" s="58" t="n">
        <f aca="false">Y378+V379</f>
        <v>113000.408372882</v>
      </c>
    </row>
    <row r="380" customFormat="false" ht="15" hidden="false" customHeight="false" outlineLevel="0" collapsed="false">
      <c r="K380" s="56" t="n">
        <f aca="false">K379+1</f>
        <v>373</v>
      </c>
      <c r="L380" s="57" t="n">
        <f aca="false">IF(AND(K380&lt;=Assumptions!$C$42,L379=1,P379=0,O379&gt;Assumptions!$C$43),1,0)</f>
        <v>0</v>
      </c>
      <c r="M380" s="58" t="n">
        <f aca="false">O379</f>
        <v>8.10541678220034E-009</v>
      </c>
      <c r="N380" s="58" t="n">
        <f aca="false">IF(L380=1,M380*$B$22,0)</f>
        <v>0</v>
      </c>
      <c r="O380" s="58" t="n">
        <f aca="false">IF(L380=1,M380+N380-$B$26,M380)</f>
        <v>8.10541678220034E-009</v>
      </c>
      <c r="P380" s="56" t="n">
        <f aca="false">IF(L380=1,IF($B$26&lt;=N380,1,0),0)</f>
        <v>0</v>
      </c>
      <c r="Q380" s="58" t="n">
        <f aca="false">Q379+N380</f>
        <v>145877.630223336</v>
      </c>
      <c r="S380" s="56" t="n">
        <f aca="false">S379+1</f>
        <v>373</v>
      </c>
      <c r="T380" s="57" t="n">
        <f aca="false">IF(AND(S380&lt;=Assumptions!$C$42,T379=1,X379=0,W379&gt;Assumptions!$C$43),1,0)</f>
        <v>0</v>
      </c>
      <c r="U380" s="58" t="n">
        <f aca="false">W379</f>
        <v>-182.103705036234</v>
      </c>
      <c r="V380" s="58" t="n">
        <f aca="false">IF(T380=1,U380*$B$22,0)</f>
        <v>0</v>
      </c>
      <c r="W380" s="58" t="n">
        <f aca="false">IF(T380=1,U380+V380-$B$27,U380)</f>
        <v>-182.103705036234</v>
      </c>
      <c r="X380" s="56" t="n">
        <f aca="false">IF(T380=1,IF($B$27&lt;=V380,1,0),0)</f>
        <v>0</v>
      </c>
      <c r="Y380" s="58" t="n">
        <f aca="false">Y379+V380</f>
        <v>113000.408372882</v>
      </c>
    </row>
    <row r="381" customFormat="false" ht="15" hidden="false" customHeight="false" outlineLevel="0" collapsed="false">
      <c r="K381" s="56" t="n">
        <f aca="false">K380+1</f>
        <v>374</v>
      </c>
      <c r="L381" s="57" t="n">
        <f aca="false">IF(AND(K381&lt;=Assumptions!$C$42,L380=1,P380=0,O380&gt;Assumptions!$C$43),1,0)</f>
        <v>0</v>
      </c>
      <c r="M381" s="58" t="n">
        <f aca="false">O380</f>
        <v>8.10541678220034E-009</v>
      </c>
      <c r="N381" s="58" t="n">
        <f aca="false">IF(L381=1,M381*$B$22,0)</f>
        <v>0</v>
      </c>
      <c r="O381" s="58" t="n">
        <f aca="false">IF(L381=1,M381+N381-$B$26,M381)</f>
        <v>8.10541678220034E-009</v>
      </c>
      <c r="P381" s="56" t="n">
        <f aca="false">IF(L381=1,IF($B$26&lt;=N381,1,0),0)</f>
        <v>0</v>
      </c>
      <c r="Q381" s="58" t="n">
        <f aca="false">Q380+N381</f>
        <v>145877.630223336</v>
      </c>
      <c r="S381" s="56" t="n">
        <f aca="false">S380+1</f>
        <v>374</v>
      </c>
      <c r="T381" s="57" t="n">
        <f aca="false">IF(AND(S381&lt;=Assumptions!$C$42,T380=1,X380=0,W380&gt;Assumptions!$C$43),1,0)</f>
        <v>0</v>
      </c>
      <c r="U381" s="58" t="n">
        <f aca="false">W380</f>
        <v>-182.103705036234</v>
      </c>
      <c r="V381" s="58" t="n">
        <f aca="false">IF(T381=1,U381*$B$22,0)</f>
        <v>0</v>
      </c>
      <c r="W381" s="58" t="n">
        <f aca="false">IF(T381=1,U381+V381-$B$27,U381)</f>
        <v>-182.103705036234</v>
      </c>
      <c r="X381" s="56" t="n">
        <f aca="false">IF(T381=1,IF($B$27&lt;=V381,1,0),0)</f>
        <v>0</v>
      </c>
      <c r="Y381" s="58" t="n">
        <f aca="false">Y380+V381</f>
        <v>113000.408372882</v>
      </c>
    </row>
    <row r="382" customFormat="false" ht="15" hidden="false" customHeight="false" outlineLevel="0" collapsed="false">
      <c r="K382" s="56" t="n">
        <f aca="false">K381+1</f>
        <v>375</v>
      </c>
      <c r="L382" s="57" t="n">
        <f aca="false">IF(AND(K382&lt;=Assumptions!$C$42,L381=1,P381=0,O381&gt;Assumptions!$C$43),1,0)</f>
        <v>0</v>
      </c>
      <c r="M382" s="58" t="n">
        <f aca="false">O381</f>
        <v>8.10541678220034E-009</v>
      </c>
      <c r="N382" s="58" t="n">
        <f aca="false">IF(L382=1,M382*$B$22,0)</f>
        <v>0</v>
      </c>
      <c r="O382" s="58" t="n">
        <f aca="false">IF(L382=1,M382+N382-$B$26,M382)</f>
        <v>8.10541678220034E-009</v>
      </c>
      <c r="P382" s="56" t="n">
        <f aca="false">IF(L382=1,IF($B$26&lt;=N382,1,0),0)</f>
        <v>0</v>
      </c>
      <c r="Q382" s="58" t="n">
        <f aca="false">Q381+N382</f>
        <v>145877.630223336</v>
      </c>
      <c r="S382" s="56" t="n">
        <f aca="false">S381+1</f>
        <v>375</v>
      </c>
      <c r="T382" s="57" t="n">
        <f aca="false">IF(AND(S382&lt;=Assumptions!$C$42,T381=1,X381=0,W381&gt;Assumptions!$C$43),1,0)</f>
        <v>0</v>
      </c>
      <c r="U382" s="58" t="n">
        <f aca="false">W381</f>
        <v>-182.103705036234</v>
      </c>
      <c r="V382" s="58" t="n">
        <f aca="false">IF(T382=1,U382*$B$22,0)</f>
        <v>0</v>
      </c>
      <c r="W382" s="58" t="n">
        <f aca="false">IF(T382=1,U382+V382-$B$27,U382)</f>
        <v>-182.103705036234</v>
      </c>
      <c r="X382" s="56" t="n">
        <f aca="false">IF(T382=1,IF($B$27&lt;=V382,1,0),0)</f>
        <v>0</v>
      </c>
      <c r="Y382" s="58" t="n">
        <f aca="false">Y381+V382</f>
        <v>113000.408372882</v>
      </c>
    </row>
    <row r="383" customFormat="false" ht="15" hidden="false" customHeight="false" outlineLevel="0" collapsed="false">
      <c r="K383" s="56" t="n">
        <f aca="false">K382+1</f>
        <v>376</v>
      </c>
      <c r="L383" s="57" t="n">
        <f aca="false">IF(AND(K383&lt;=Assumptions!$C$42,L382=1,P382=0,O382&gt;Assumptions!$C$43),1,0)</f>
        <v>0</v>
      </c>
      <c r="M383" s="58" t="n">
        <f aca="false">O382</f>
        <v>8.10541678220034E-009</v>
      </c>
      <c r="N383" s="58" t="n">
        <f aca="false">IF(L383=1,M383*$B$22,0)</f>
        <v>0</v>
      </c>
      <c r="O383" s="58" t="n">
        <f aca="false">IF(L383=1,M383+N383-$B$26,M383)</f>
        <v>8.10541678220034E-009</v>
      </c>
      <c r="P383" s="56" t="n">
        <f aca="false">IF(L383=1,IF($B$26&lt;=N383,1,0),0)</f>
        <v>0</v>
      </c>
      <c r="Q383" s="58" t="n">
        <f aca="false">Q382+N383</f>
        <v>145877.630223336</v>
      </c>
      <c r="S383" s="56" t="n">
        <f aca="false">S382+1</f>
        <v>376</v>
      </c>
      <c r="T383" s="57" t="n">
        <f aca="false">IF(AND(S383&lt;=Assumptions!$C$42,T382=1,X382=0,W382&gt;Assumptions!$C$43),1,0)</f>
        <v>0</v>
      </c>
      <c r="U383" s="58" t="n">
        <f aca="false">W382</f>
        <v>-182.103705036234</v>
      </c>
      <c r="V383" s="58" t="n">
        <f aca="false">IF(T383=1,U383*$B$22,0)</f>
        <v>0</v>
      </c>
      <c r="W383" s="58" t="n">
        <f aca="false">IF(T383=1,U383+V383-$B$27,U383)</f>
        <v>-182.103705036234</v>
      </c>
      <c r="X383" s="56" t="n">
        <f aca="false">IF(T383=1,IF($B$27&lt;=V383,1,0),0)</f>
        <v>0</v>
      </c>
      <c r="Y383" s="58" t="n">
        <f aca="false">Y382+V383</f>
        <v>113000.408372882</v>
      </c>
    </row>
    <row r="384" customFormat="false" ht="15" hidden="false" customHeight="false" outlineLevel="0" collapsed="false">
      <c r="K384" s="56" t="n">
        <f aca="false">K383+1</f>
        <v>377</v>
      </c>
      <c r="L384" s="57" t="n">
        <f aca="false">IF(AND(K384&lt;=Assumptions!$C$42,L383=1,P383=0,O383&gt;Assumptions!$C$43),1,0)</f>
        <v>0</v>
      </c>
      <c r="M384" s="58" t="n">
        <f aca="false">O383</f>
        <v>8.10541678220034E-009</v>
      </c>
      <c r="N384" s="58" t="n">
        <f aca="false">IF(L384=1,M384*$B$22,0)</f>
        <v>0</v>
      </c>
      <c r="O384" s="58" t="n">
        <f aca="false">IF(L384=1,M384+N384-$B$26,M384)</f>
        <v>8.10541678220034E-009</v>
      </c>
      <c r="P384" s="56" t="n">
        <f aca="false">IF(L384=1,IF($B$26&lt;=N384,1,0),0)</f>
        <v>0</v>
      </c>
      <c r="Q384" s="58" t="n">
        <f aca="false">Q383+N384</f>
        <v>145877.630223336</v>
      </c>
      <c r="S384" s="56" t="n">
        <f aca="false">S383+1</f>
        <v>377</v>
      </c>
      <c r="T384" s="57" t="n">
        <f aca="false">IF(AND(S384&lt;=Assumptions!$C$42,T383=1,X383=0,W383&gt;Assumptions!$C$43),1,0)</f>
        <v>0</v>
      </c>
      <c r="U384" s="58" t="n">
        <f aca="false">W383</f>
        <v>-182.103705036234</v>
      </c>
      <c r="V384" s="58" t="n">
        <f aca="false">IF(T384=1,U384*$B$22,0)</f>
        <v>0</v>
      </c>
      <c r="W384" s="58" t="n">
        <f aca="false">IF(T384=1,U384+V384-$B$27,U384)</f>
        <v>-182.103705036234</v>
      </c>
      <c r="X384" s="56" t="n">
        <f aca="false">IF(T384=1,IF($B$27&lt;=V384,1,0),0)</f>
        <v>0</v>
      </c>
      <c r="Y384" s="58" t="n">
        <f aca="false">Y383+V384</f>
        <v>113000.408372882</v>
      </c>
    </row>
    <row r="385" customFormat="false" ht="15" hidden="false" customHeight="false" outlineLevel="0" collapsed="false">
      <c r="K385" s="56" t="n">
        <f aca="false">K384+1</f>
        <v>378</v>
      </c>
      <c r="L385" s="57" t="n">
        <f aca="false">IF(AND(K385&lt;=Assumptions!$C$42,L384=1,P384=0,O384&gt;Assumptions!$C$43),1,0)</f>
        <v>0</v>
      </c>
      <c r="M385" s="58" t="n">
        <f aca="false">O384</f>
        <v>8.10541678220034E-009</v>
      </c>
      <c r="N385" s="58" t="n">
        <f aca="false">IF(L385=1,M385*$B$22,0)</f>
        <v>0</v>
      </c>
      <c r="O385" s="58" t="n">
        <f aca="false">IF(L385=1,M385+N385-$B$26,M385)</f>
        <v>8.10541678220034E-009</v>
      </c>
      <c r="P385" s="56" t="n">
        <f aca="false">IF(L385=1,IF($B$26&lt;=N385,1,0),0)</f>
        <v>0</v>
      </c>
      <c r="Q385" s="58" t="n">
        <f aca="false">Q384+N385</f>
        <v>145877.630223336</v>
      </c>
      <c r="S385" s="56" t="n">
        <f aca="false">S384+1</f>
        <v>378</v>
      </c>
      <c r="T385" s="57" t="n">
        <f aca="false">IF(AND(S385&lt;=Assumptions!$C$42,T384=1,X384=0,W384&gt;Assumptions!$C$43),1,0)</f>
        <v>0</v>
      </c>
      <c r="U385" s="58" t="n">
        <f aca="false">W384</f>
        <v>-182.103705036234</v>
      </c>
      <c r="V385" s="58" t="n">
        <f aca="false">IF(T385=1,U385*$B$22,0)</f>
        <v>0</v>
      </c>
      <c r="W385" s="58" t="n">
        <f aca="false">IF(T385=1,U385+V385-$B$27,U385)</f>
        <v>-182.103705036234</v>
      </c>
      <c r="X385" s="56" t="n">
        <f aca="false">IF(T385=1,IF($B$27&lt;=V385,1,0),0)</f>
        <v>0</v>
      </c>
      <c r="Y385" s="58" t="n">
        <f aca="false">Y384+V385</f>
        <v>113000.408372882</v>
      </c>
    </row>
    <row r="386" customFormat="false" ht="15" hidden="false" customHeight="false" outlineLevel="0" collapsed="false">
      <c r="K386" s="56" t="n">
        <f aca="false">K385+1</f>
        <v>379</v>
      </c>
      <c r="L386" s="57" t="n">
        <f aca="false">IF(AND(K386&lt;=Assumptions!$C$42,L385=1,P385=0,O385&gt;Assumptions!$C$43),1,0)</f>
        <v>0</v>
      </c>
      <c r="M386" s="58" t="n">
        <f aca="false">O385</f>
        <v>8.10541678220034E-009</v>
      </c>
      <c r="N386" s="58" t="n">
        <f aca="false">IF(L386=1,M386*$B$22,0)</f>
        <v>0</v>
      </c>
      <c r="O386" s="58" t="n">
        <f aca="false">IF(L386=1,M386+N386-$B$26,M386)</f>
        <v>8.10541678220034E-009</v>
      </c>
      <c r="P386" s="56" t="n">
        <f aca="false">IF(L386=1,IF($B$26&lt;=N386,1,0),0)</f>
        <v>0</v>
      </c>
      <c r="Q386" s="58" t="n">
        <f aca="false">Q385+N386</f>
        <v>145877.630223336</v>
      </c>
      <c r="S386" s="56" t="n">
        <f aca="false">S385+1</f>
        <v>379</v>
      </c>
      <c r="T386" s="57" t="n">
        <f aca="false">IF(AND(S386&lt;=Assumptions!$C$42,T385=1,X385=0,W385&gt;Assumptions!$C$43),1,0)</f>
        <v>0</v>
      </c>
      <c r="U386" s="58" t="n">
        <f aca="false">W385</f>
        <v>-182.103705036234</v>
      </c>
      <c r="V386" s="58" t="n">
        <f aca="false">IF(T386=1,U386*$B$22,0)</f>
        <v>0</v>
      </c>
      <c r="W386" s="58" t="n">
        <f aca="false">IF(T386=1,U386+V386-$B$27,U386)</f>
        <v>-182.103705036234</v>
      </c>
      <c r="X386" s="56" t="n">
        <f aca="false">IF(T386=1,IF($B$27&lt;=V386,1,0),0)</f>
        <v>0</v>
      </c>
      <c r="Y386" s="58" t="n">
        <f aca="false">Y385+V386</f>
        <v>113000.408372882</v>
      </c>
    </row>
    <row r="387" customFormat="false" ht="15" hidden="false" customHeight="false" outlineLevel="0" collapsed="false">
      <c r="K387" s="56" t="n">
        <f aca="false">K386+1</f>
        <v>380</v>
      </c>
      <c r="L387" s="57" t="n">
        <f aca="false">IF(AND(K387&lt;=Assumptions!$C$42,L386=1,P386=0,O386&gt;Assumptions!$C$43),1,0)</f>
        <v>0</v>
      </c>
      <c r="M387" s="58" t="n">
        <f aca="false">O386</f>
        <v>8.10541678220034E-009</v>
      </c>
      <c r="N387" s="58" t="n">
        <f aca="false">IF(L387=1,M387*$B$22,0)</f>
        <v>0</v>
      </c>
      <c r="O387" s="58" t="n">
        <f aca="false">IF(L387=1,M387+N387-$B$26,M387)</f>
        <v>8.10541678220034E-009</v>
      </c>
      <c r="P387" s="56" t="n">
        <f aca="false">IF(L387=1,IF($B$26&lt;=N387,1,0),0)</f>
        <v>0</v>
      </c>
      <c r="Q387" s="58" t="n">
        <f aca="false">Q386+N387</f>
        <v>145877.630223336</v>
      </c>
      <c r="S387" s="56" t="n">
        <f aca="false">S386+1</f>
        <v>380</v>
      </c>
      <c r="T387" s="57" t="n">
        <f aca="false">IF(AND(S387&lt;=Assumptions!$C$42,T386=1,X386=0,W386&gt;Assumptions!$C$43),1,0)</f>
        <v>0</v>
      </c>
      <c r="U387" s="58" t="n">
        <f aca="false">W386</f>
        <v>-182.103705036234</v>
      </c>
      <c r="V387" s="58" t="n">
        <f aca="false">IF(T387=1,U387*$B$22,0)</f>
        <v>0</v>
      </c>
      <c r="W387" s="58" t="n">
        <f aca="false">IF(T387=1,U387+V387-$B$27,U387)</f>
        <v>-182.103705036234</v>
      </c>
      <c r="X387" s="56" t="n">
        <f aca="false">IF(T387=1,IF($B$27&lt;=V387,1,0),0)</f>
        <v>0</v>
      </c>
      <c r="Y387" s="58" t="n">
        <f aca="false">Y386+V387</f>
        <v>113000.408372882</v>
      </c>
    </row>
    <row r="388" customFormat="false" ht="15" hidden="false" customHeight="false" outlineLevel="0" collapsed="false">
      <c r="K388" s="56" t="n">
        <f aca="false">K387+1</f>
        <v>381</v>
      </c>
      <c r="L388" s="57" t="n">
        <f aca="false">IF(AND(K388&lt;=Assumptions!$C$42,L387=1,P387=0,O387&gt;Assumptions!$C$43),1,0)</f>
        <v>0</v>
      </c>
      <c r="M388" s="58" t="n">
        <f aca="false">O387</f>
        <v>8.10541678220034E-009</v>
      </c>
      <c r="N388" s="58" t="n">
        <f aca="false">IF(L388=1,M388*$B$22,0)</f>
        <v>0</v>
      </c>
      <c r="O388" s="58" t="n">
        <f aca="false">IF(L388=1,M388+N388-$B$26,M388)</f>
        <v>8.10541678220034E-009</v>
      </c>
      <c r="P388" s="56" t="n">
        <f aca="false">IF(L388=1,IF($B$26&lt;=N388,1,0),0)</f>
        <v>0</v>
      </c>
      <c r="Q388" s="58" t="n">
        <f aca="false">Q387+N388</f>
        <v>145877.630223336</v>
      </c>
      <c r="S388" s="56" t="n">
        <f aca="false">S387+1</f>
        <v>381</v>
      </c>
      <c r="T388" s="57" t="n">
        <f aca="false">IF(AND(S388&lt;=Assumptions!$C$42,T387=1,X387=0,W387&gt;Assumptions!$C$43),1,0)</f>
        <v>0</v>
      </c>
      <c r="U388" s="58" t="n">
        <f aca="false">W387</f>
        <v>-182.103705036234</v>
      </c>
      <c r="V388" s="58" t="n">
        <f aca="false">IF(T388=1,U388*$B$22,0)</f>
        <v>0</v>
      </c>
      <c r="W388" s="58" t="n">
        <f aca="false">IF(T388=1,U388+V388-$B$27,U388)</f>
        <v>-182.103705036234</v>
      </c>
      <c r="X388" s="56" t="n">
        <f aca="false">IF(T388=1,IF($B$27&lt;=V388,1,0),0)</f>
        <v>0</v>
      </c>
      <c r="Y388" s="58" t="n">
        <f aca="false">Y387+V388</f>
        <v>113000.408372882</v>
      </c>
    </row>
    <row r="389" customFormat="false" ht="15" hidden="false" customHeight="false" outlineLevel="0" collapsed="false">
      <c r="K389" s="56" t="n">
        <f aca="false">K388+1</f>
        <v>382</v>
      </c>
      <c r="L389" s="57" t="n">
        <f aca="false">IF(AND(K389&lt;=Assumptions!$C$42,L388=1,P388=0,O388&gt;Assumptions!$C$43),1,0)</f>
        <v>0</v>
      </c>
      <c r="M389" s="58" t="n">
        <f aca="false">O388</f>
        <v>8.10541678220034E-009</v>
      </c>
      <c r="N389" s="58" t="n">
        <f aca="false">IF(L389=1,M389*$B$22,0)</f>
        <v>0</v>
      </c>
      <c r="O389" s="58" t="n">
        <f aca="false">IF(L389=1,M389+N389-$B$26,M389)</f>
        <v>8.10541678220034E-009</v>
      </c>
      <c r="P389" s="56" t="n">
        <f aca="false">IF(L389=1,IF($B$26&lt;=N389,1,0),0)</f>
        <v>0</v>
      </c>
      <c r="Q389" s="58" t="n">
        <f aca="false">Q388+N389</f>
        <v>145877.630223336</v>
      </c>
      <c r="S389" s="56" t="n">
        <f aca="false">S388+1</f>
        <v>382</v>
      </c>
      <c r="T389" s="57" t="n">
        <f aca="false">IF(AND(S389&lt;=Assumptions!$C$42,T388=1,X388=0,W388&gt;Assumptions!$C$43),1,0)</f>
        <v>0</v>
      </c>
      <c r="U389" s="58" t="n">
        <f aca="false">W388</f>
        <v>-182.103705036234</v>
      </c>
      <c r="V389" s="58" t="n">
        <f aca="false">IF(T389=1,U389*$B$22,0)</f>
        <v>0</v>
      </c>
      <c r="W389" s="58" t="n">
        <f aca="false">IF(T389=1,U389+V389-$B$27,U389)</f>
        <v>-182.103705036234</v>
      </c>
      <c r="X389" s="56" t="n">
        <f aca="false">IF(T389=1,IF($B$27&lt;=V389,1,0),0)</f>
        <v>0</v>
      </c>
      <c r="Y389" s="58" t="n">
        <f aca="false">Y388+V389</f>
        <v>113000.408372882</v>
      </c>
    </row>
    <row r="390" customFormat="false" ht="15" hidden="false" customHeight="false" outlineLevel="0" collapsed="false">
      <c r="K390" s="56" t="n">
        <f aca="false">K389+1</f>
        <v>383</v>
      </c>
      <c r="L390" s="57" t="n">
        <f aca="false">IF(AND(K390&lt;=Assumptions!$C$42,L389=1,P389=0,O389&gt;Assumptions!$C$43),1,0)</f>
        <v>0</v>
      </c>
      <c r="M390" s="58" t="n">
        <f aca="false">O389</f>
        <v>8.10541678220034E-009</v>
      </c>
      <c r="N390" s="58" t="n">
        <f aca="false">IF(L390=1,M390*$B$22,0)</f>
        <v>0</v>
      </c>
      <c r="O390" s="58" t="n">
        <f aca="false">IF(L390=1,M390+N390-$B$26,M390)</f>
        <v>8.10541678220034E-009</v>
      </c>
      <c r="P390" s="56" t="n">
        <f aca="false">IF(L390=1,IF($B$26&lt;=N390,1,0),0)</f>
        <v>0</v>
      </c>
      <c r="Q390" s="58" t="n">
        <f aca="false">Q389+N390</f>
        <v>145877.630223336</v>
      </c>
      <c r="S390" s="56" t="n">
        <f aca="false">S389+1</f>
        <v>383</v>
      </c>
      <c r="T390" s="57" t="n">
        <f aca="false">IF(AND(S390&lt;=Assumptions!$C$42,T389=1,X389=0,W389&gt;Assumptions!$C$43),1,0)</f>
        <v>0</v>
      </c>
      <c r="U390" s="58" t="n">
        <f aca="false">W389</f>
        <v>-182.103705036234</v>
      </c>
      <c r="V390" s="58" t="n">
        <f aca="false">IF(T390=1,U390*$B$22,0)</f>
        <v>0</v>
      </c>
      <c r="W390" s="58" t="n">
        <f aca="false">IF(T390=1,U390+V390-$B$27,U390)</f>
        <v>-182.103705036234</v>
      </c>
      <c r="X390" s="56" t="n">
        <f aca="false">IF(T390=1,IF($B$27&lt;=V390,1,0),0)</f>
        <v>0</v>
      </c>
      <c r="Y390" s="58" t="n">
        <f aca="false">Y389+V390</f>
        <v>113000.408372882</v>
      </c>
    </row>
    <row r="391" customFormat="false" ht="15" hidden="false" customHeight="false" outlineLevel="0" collapsed="false">
      <c r="K391" s="56" t="n">
        <f aca="false">K390+1</f>
        <v>384</v>
      </c>
      <c r="L391" s="57" t="n">
        <f aca="false">IF(AND(K391&lt;=Assumptions!$C$42,L390=1,P390=0,O390&gt;Assumptions!$C$43),1,0)</f>
        <v>0</v>
      </c>
      <c r="M391" s="58" t="n">
        <f aca="false">O390</f>
        <v>8.10541678220034E-009</v>
      </c>
      <c r="N391" s="58" t="n">
        <f aca="false">IF(L391=1,M391*$B$22,0)</f>
        <v>0</v>
      </c>
      <c r="O391" s="58" t="n">
        <f aca="false">IF(L391=1,M391+N391-$B$26,M391)</f>
        <v>8.10541678220034E-009</v>
      </c>
      <c r="P391" s="56" t="n">
        <f aca="false">IF(L391=1,IF($B$26&lt;=N391,1,0),0)</f>
        <v>0</v>
      </c>
      <c r="Q391" s="58" t="n">
        <f aca="false">Q390+N391</f>
        <v>145877.630223336</v>
      </c>
      <c r="S391" s="56" t="n">
        <f aca="false">S390+1</f>
        <v>384</v>
      </c>
      <c r="T391" s="57" t="n">
        <f aca="false">IF(AND(S391&lt;=Assumptions!$C$42,T390=1,X390=0,W390&gt;Assumptions!$C$43),1,0)</f>
        <v>0</v>
      </c>
      <c r="U391" s="58" t="n">
        <f aca="false">W390</f>
        <v>-182.103705036234</v>
      </c>
      <c r="V391" s="58" t="n">
        <f aca="false">IF(T391=1,U391*$B$22,0)</f>
        <v>0</v>
      </c>
      <c r="W391" s="58" t="n">
        <f aca="false">IF(T391=1,U391+V391-$B$27,U391)</f>
        <v>-182.103705036234</v>
      </c>
      <c r="X391" s="56" t="n">
        <f aca="false">IF(T391=1,IF($B$27&lt;=V391,1,0),0)</f>
        <v>0</v>
      </c>
      <c r="Y391" s="58" t="n">
        <f aca="false">Y390+V391</f>
        <v>113000.408372882</v>
      </c>
    </row>
    <row r="392" customFormat="false" ht="15" hidden="false" customHeight="false" outlineLevel="0" collapsed="false">
      <c r="K392" s="56" t="n">
        <f aca="false">K391+1</f>
        <v>385</v>
      </c>
      <c r="L392" s="57" t="n">
        <f aca="false">IF(AND(K392&lt;=Assumptions!$C$42,L391=1,P391=0,O391&gt;Assumptions!$C$43),1,0)</f>
        <v>0</v>
      </c>
      <c r="M392" s="58" t="n">
        <f aca="false">O391</f>
        <v>8.10541678220034E-009</v>
      </c>
      <c r="N392" s="58" t="n">
        <f aca="false">IF(L392=1,M392*$B$22,0)</f>
        <v>0</v>
      </c>
      <c r="O392" s="58" t="n">
        <f aca="false">IF(L392=1,M392+N392-$B$26,M392)</f>
        <v>8.10541678220034E-009</v>
      </c>
      <c r="P392" s="56" t="n">
        <f aca="false">IF(L392=1,IF($B$26&lt;=N392,1,0),0)</f>
        <v>0</v>
      </c>
      <c r="Q392" s="58" t="n">
        <f aca="false">Q391+N392</f>
        <v>145877.630223336</v>
      </c>
      <c r="S392" s="56" t="n">
        <f aca="false">S391+1</f>
        <v>385</v>
      </c>
      <c r="T392" s="57" t="n">
        <f aca="false">IF(AND(S392&lt;=Assumptions!$C$42,T391=1,X391=0,W391&gt;Assumptions!$C$43),1,0)</f>
        <v>0</v>
      </c>
      <c r="U392" s="58" t="n">
        <f aca="false">W391</f>
        <v>-182.103705036234</v>
      </c>
      <c r="V392" s="58" t="n">
        <f aca="false">IF(T392=1,U392*$B$22,0)</f>
        <v>0</v>
      </c>
      <c r="W392" s="58" t="n">
        <f aca="false">IF(T392=1,U392+V392-$B$27,U392)</f>
        <v>-182.103705036234</v>
      </c>
      <c r="X392" s="56" t="n">
        <f aca="false">IF(T392=1,IF($B$27&lt;=V392,1,0),0)</f>
        <v>0</v>
      </c>
      <c r="Y392" s="58" t="n">
        <f aca="false">Y391+V392</f>
        <v>113000.408372882</v>
      </c>
    </row>
    <row r="393" customFormat="false" ht="15" hidden="false" customHeight="false" outlineLevel="0" collapsed="false">
      <c r="K393" s="56" t="n">
        <f aca="false">K392+1</f>
        <v>386</v>
      </c>
      <c r="L393" s="57" t="n">
        <f aca="false">IF(AND(K393&lt;=Assumptions!$C$42,L392=1,P392=0,O392&gt;Assumptions!$C$43),1,0)</f>
        <v>0</v>
      </c>
      <c r="M393" s="58" t="n">
        <f aca="false">O392</f>
        <v>8.10541678220034E-009</v>
      </c>
      <c r="N393" s="58" t="n">
        <f aca="false">IF(L393=1,M393*$B$22,0)</f>
        <v>0</v>
      </c>
      <c r="O393" s="58" t="n">
        <f aca="false">IF(L393=1,M393+N393-$B$26,M393)</f>
        <v>8.10541678220034E-009</v>
      </c>
      <c r="P393" s="56" t="n">
        <f aca="false">IF(L393=1,IF($B$26&lt;=N393,1,0),0)</f>
        <v>0</v>
      </c>
      <c r="Q393" s="58" t="n">
        <f aca="false">Q392+N393</f>
        <v>145877.630223336</v>
      </c>
      <c r="S393" s="56" t="n">
        <f aca="false">S392+1</f>
        <v>386</v>
      </c>
      <c r="T393" s="57" t="n">
        <f aca="false">IF(AND(S393&lt;=Assumptions!$C$42,T392=1,X392=0,W392&gt;Assumptions!$C$43),1,0)</f>
        <v>0</v>
      </c>
      <c r="U393" s="58" t="n">
        <f aca="false">W392</f>
        <v>-182.103705036234</v>
      </c>
      <c r="V393" s="58" t="n">
        <f aca="false">IF(T393=1,U393*$B$22,0)</f>
        <v>0</v>
      </c>
      <c r="W393" s="58" t="n">
        <f aca="false">IF(T393=1,U393+V393-$B$27,U393)</f>
        <v>-182.103705036234</v>
      </c>
      <c r="X393" s="56" t="n">
        <f aca="false">IF(T393=1,IF($B$27&lt;=V393,1,0),0)</f>
        <v>0</v>
      </c>
      <c r="Y393" s="58" t="n">
        <f aca="false">Y392+V393</f>
        <v>113000.408372882</v>
      </c>
    </row>
    <row r="394" customFormat="false" ht="15" hidden="false" customHeight="false" outlineLevel="0" collapsed="false">
      <c r="K394" s="56" t="n">
        <f aca="false">K393+1</f>
        <v>387</v>
      </c>
      <c r="L394" s="57" t="n">
        <f aca="false">IF(AND(K394&lt;=Assumptions!$C$42,L393=1,P393=0,O393&gt;Assumptions!$C$43),1,0)</f>
        <v>0</v>
      </c>
      <c r="M394" s="58" t="n">
        <f aca="false">O393</f>
        <v>8.10541678220034E-009</v>
      </c>
      <c r="N394" s="58" t="n">
        <f aca="false">IF(L394=1,M394*$B$22,0)</f>
        <v>0</v>
      </c>
      <c r="O394" s="58" t="n">
        <f aca="false">IF(L394=1,M394+N394-$B$26,M394)</f>
        <v>8.10541678220034E-009</v>
      </c>
      <c r="P394" s="56" t="n">
        <f aca="false">IF(L394=1,IF($B$26&lt;=N394,1,0),0)</f>
        <v>0</v>
      </c>
      <c r="Q394" s="58" t="n">
        <f aca="false">Q393+N394</f>
        <v>145877.630223336</v>
      </c>
      <c r="S394" s="56" t="n">
        <f aca="false">S393+1</f>
        <v>387</v>
      </c>
      <c r="T394" s="57" t="n">
        <f aca="false">IF(AND(S394&lt;=Assumptions!$C$42,T393=1,X393=0,W393&gt;Assumptions!$C$43),1,0)</f>
        <v>0</v>
      </c>
      <c r="U394" s="58" t="n">
        <f aca="false">W393</f>
        <v>-182.103705036234</v>
      </c>
      <c r="V394" s="58" t="n">
        <f aca="false">IF(T394=1,U394*$B$22,0)</f>
        <v>0</v>
      </c>
      <c r="W394" s="58" t="n">
        <f aca="false">IF(T394=1,U394+V394-$B$27,U394)</f>
        <v>-182.103705036234</v>
      </c>
      <c r="X394" s="56" t="n">
        <f aca="false">IF(T394=1,IF($B$27&lt;=V394,1,0),0)</f>
        <v>0</v>
      </c>
      <c r="Y394" s="58" t="n">
        <f aca="false">Y393+V394</f>
        <v>113000.408372882</v>
      </c>
    </row>
    <row r="395" customFormat="false" ht="15" hidden="false" customHeight="false" outlineLevel="0" collapsed="false">
      <c r="K395" s="56" t="n">
        <f aca="false">K394+1</f>
        <v>388</v>
      </c>
      <c r="L395" s="57" t="n">
        <f aca="false">IF(AND(K395&lt;=Assumptions!$C$42,L394=1,P394=0,O394&gt;Assumptions!$C$43),1,0)</f>
        <v>0</v>
      </c>
      <c r="M395" s="58" t="n">
        <f aca="false">O394</f>
        <v>8.10541678220034E-009</v>
      </c>
      <c r="N395" s="58" t="n">
        <f aca="false">IF(L395=1,M395*$B$22,0)</f>
        <v>0</v>
      </c>
      <c r="O395" s="58" t="n">
        <f aca="false">IF(L395=1,M395+N395-$B$26,M395)</f>
        <v>8.10541678220034E-009</v>
      </c>
      <c r="P395" s="56" t="n">
        <f aca="false">IF(L395=1,IF($B$26&lt;=N395,1,0),0)</f>
        <v>0</v>
      </c>
      <c r="Q395" s="58" t="n">
        <f aca="false">Q394+N395</f>
        <v>145877.630223336</v>
      </c>
      <c r="S395" s="56" t="n">
        <f aca="false">S394+1</f>
        <v>388</v>
      </c>
      <c r="T395" s="57" t="n">
        <f aca="false">IF(AND(S395&lt;=Assumptions!$C$42,T394=1,X394=0,W394&gt;Assumptions!$C$43),1,0)</f>
        <v>0</v>
      </c>
      <c r="U395" s="58" t="n">
        <f aca="false">W394</f>
        <v>-182.103705036234</v>
      </c>
      <c r="V395" s="58" t="n">
        <f aca="false">IF(T395=1,U395*$B$22,0)</f>
        <v>0</v>
      </c>
      <c r="W395" s="58" t="n">
        <f aca="false">IF(T395=1,U395+V395-$B$27,U395)</f>
        <v>-182.103705036234</v>
      </c>
      <c r="X395" s="56" t="n">
        <f aca="false">IF(T395=1,IF($B$27&lt;=V395,1,0),0)</f>
        <v>0</v>
      </c>
      <c r="Y395" s="58" t="n">
        <f aca="false">Y394+V395</f>
        <v>113000.408372882</v>
      </c>
    </row>
    <row r="396" customFormat="false" ht="15" hidden="false" customHeight="false" outlineLevel="0" collapsed="false">
      <c r="K396" s="56" t="n">
        <f aca="false">K395+1</f>
        <v>389</v>
      </c>
      <c r="L396" s="57" t="n">
        <f aca="false">IF(AND(K396&lt;=Assumptions!$C$42,L395=1,P395=0,O395&gt;Assumptions!$C$43),1,0)</f>
        <v>0</v>
      </c>
      <c r="M396" s="58" t="n">
        <f aca="false">O395</f>
        <v>8.10541678220034E-009</v>
      </c>
      <c r="N396" s="58" t="n">
        <f aca="false">IF(L396=1,M396*$B$22,0)</f>
        <v>0</v>
      </c>
      <c r="O396" s="58" t="n">
        <f aca="false">IF(L396=1,M396+N396-$B$26,M396)</f>
        <v>8.10541678220034E-009</v>
      </c>
      <c r="P396" s="56" t="n">
        <f aca="false">IF(L396=1,IF($B$26&lt;=N396,1,0),0)</f>
        <v>0</v>
      </c>
      <c r="Q396" s="58" t="n">
        <f aca="false">Q395+N396</f>
        <v>145877.630223336</v>
      </c>
      <c r="S396" s="56" t="n">
        <f aca="false">S395+1</f>
        <v>389</v>
      </c>
      <c r="T396" s="57" t="n">
        <f aca="false">IF(AND(S396&lt;=Assumptions!$C$42,T395=1,X395=0,W395&gt;Assumptions!$C$43),1,0)</f>
        <v>0</v>
      </c>
      <c r="U396" s="58" t="n">
        <f aca="false">W395</f>
        <v>-182.103705036234</v>
      </c>
      <c r="V396" s="58" t="n">
        <f aca="false">IF(T396=1,U396*$B$22,0)</f>
        <v>0</v>
      </c>
      <c r="W396" s="58" t="n">
        <f aca="false">IF(T396=1,U396+V396-$B$27,U396)</f>
        <v>-182.103705036234</v>
      </c>
      <c r="X396" s="56" t="n">
        <f aca="false">IF(T396=1,IF($B$27&lt;=V396,1,0),0)</f>
        <v>0</v>
      </c>
      <c r="Y396" s="58" t="n">
        <f aca="false">Y395+V396</f>
        <v>113000.408372882</v>
      </c>
    </row>
    <row r="397" customFormat="false" ht="15" hidden="false" customHeight="false" outlineLevel="0" collapsed="false">
      <c r="K397" s="56" t="n">
        <f aca="false">K396+1</f>
        <v>390</v>
      </c>
      <c r="L397" s="57" t="n">
        <f aca="false">IF(AND(K397&lt;=Assumptions!$C$42,L396=1,P396=0,O396&gt;Assumptions!$C$43),1,0)</f>
        <v>0</v>
      </c>
      <c r="M397" s="58" t="n">
        <f aca="false">O396</f>
        <v>8.10541678220034E-009</v>
      </c>
      <c r="N397" s="58" t="n">
        <f aca="false">IF(L397=1,M397*$B$22,0)</f>
        <v>0</v>
      </c>
      <c r="O397" s="58" t="n">
        <f aca="false">IF(L397=1,M397+N397-$B$26,M397)</f>
        <v>8.10541678220034E-009</v>
      </c>
      <c r="P397" s="56" t="n">
        <f aca="false">IF(L397=1,IF($B$26&lt;=N397,1,0),0)</f>
        <v>0</v>
      </c>
      <c r="Q397" s="58" t="n">
        <f aca="false">Q396+N397</f>
        <v>145877.630223336</v>
      </c>
      <c r="S397" s="56" t="n">
        <f aca="false">S396+1</f>
        <v>390</v>
      </c>
      <c r="T397" s="57" t="n">
        <f aca="false">IF(AND(S397&lt;=Assumptions!$C$42,T396=1,X396=0,W396&gt;Assumptions!$C$43),1,0)</f>
        <v>0</v>
      </c>
      <c r="U397" s="58" t="n">
        <f aca="false">W396</f>
        <v>-182.103705036234</v>
      </c>
      <c r="V397" s="58" t="n">
        <f aca="false">IF(T397=1,U397*$B$22,0)</f>
        <v>0</v>
      </c>
      <c r="W397" s="58" t="n">
        <f aca="false">IF(T397=1,U397+V397-$B$27,U397)</f>
        <v>-182.103705036234</v>
      </c>
      <c r="X397" s="56" t="n">
        <f aca="false">IF(T397=1,IF($B$27&lt;=V397,1,0),0)</f>
        <v>0</v>
      </c>
      <c r="Y397" s="58" t="n">
        <f aca="false">Y396+V397</f>
        <v>113000.408372882</v>
      </c>
    </row>
    <row r="398" customFormat="false" ht="15" hidden="false" customHeight="false" outlineLevel="0" collapsed="false">
      <c r="K398" s="56" t="n">
        <f aca="false">K397+1</f>
        <v>391</v>
      </c>
      <c r="L398" s="57" t="n">
        <f aca="false">IF(AND(K398&lt;=Assumptions!$C$42,L397=1,P397=0,O397&gt;Assumptions!$C$43),1,0)</f>
        <v>0</v>
      </c>
      <c r="M398" s="58" t="n">
        <f aca="false">O397</f>
        <v>8.10541678220034E-009</v>
      </c>
      <c r="N398" s="58" t="n">
        <f aca="false">IF(L398=1,M398*$B$22,0)</f>
        <v>0</v>
      </c>
      <c r="O398" s="58" t="n">
        <f aca="false">IF(L398=1,M398+N398-$B$26,M398)</f>
        <v>8.10541678220034E-009</v>
      </c>
      <c r="P398" s="56" t="n">
        <f aca="false">IF(L398=1,IF($B$26&lt;=N398,1,0),0)</f>
        <v>0</v>
      </c>
      <c r="Q398" s="58" t="n">
        <f aca="false">Q397+N398</f>
        <v>145877.630223336</v>
      </c>
      <c r="S398" s="56" t="n">
        <f aca="false">S397+1</f>
        <v>391</v>
      </c>
      <c r="T398" s="57" t="n">
        <f aca="false">IF(AND(S398&lt;=Assumptions!$C$42,T397=1,X397=0,W397&gt;Assumptions!$C$43),1,0)</f>
        <v>0</v>
      </c>
      <c r="U398" s="58" t="n">
        <f aca="false">W397</f>
        <v>-182.103705036234</v>
      </c>
      <c r="V398" s="58" t="n">
        <f aca="false">IF(T398=1,U398*$B$22,0)</f>
        <v>0</v>
      </c>
      <c r="W398" s="58" t="n">
        <f aca="false">IF(T398=1,U398+V398-$B$27,U398)</f>
        <v>-182.103705036234</v>
      </c>
      <c r="X398" s="56" t="n">
        <f aca="false">IF(T398=1,IF($B$27&lt;=V398,1,0),0)</f>
        <v>0</v>
      </c>
      <c r="Y398" s="58" t="n">
        <f aca="false">Y397+V398</f>
        <v>113000.408372882</v>
      </c>
    </row>
    <row r="399" customFormat="false" ht="15" hidden="false" customHeight="false" outlineLevel="0" collapsed="false">
      <c r="K399" s="56" t="n">
        <f aca="false">K398+1</f>
        <v>392</v>
      </c>
      <c r="L399" s="57" t="n">
        <f aca="false">IF(AND(K399&lt;=Assumptions!$C$42,L398=1,P398=0,O398&gt;Assumptions!$C$43),1,0)</f>
        <v>0</v>
      </c>
      <c r="M399" s="58" t="n">
        <f aca="false">O398</f>
        <v>8.10541678220034E-009</v>
      </c>
      <c r="N399" s="58" t="n">
        <f aca="false">IF(L399=1,M399*$B$22,0)</f>
        <v>0</v>
      </c>
      <c r="O399" s="58" t="n">
        <f aca="false">IF(L399=1,M399+N399-$B$26,M399)</f>
        <v>8.10541678220034E-009</v>
      </c>
      <c r="P399" s="56" t="n">
        <f aca="false">IF(L399=1,IF($B$26&lt;=N399,1,0),0)</f>
        <v>0</v>
      </c>
      <c r="Q399" s="58" t="n">
        <f aca="false">Q398+N399</f>
        <v>145877.630223336</v>
      </c>
      <c r="S399" s="56" t="n">
        <f aca="false">S398+1</f>
        <v>392</v>
      </c>
      <c r="T399" s="57" t="n">
        <f aca="false">IF(AND(S399&lt;=Assumptions!$C$42,T398=1,X398=0,W398&gt;Assumptions!$C$43),1,0)</f>
        <v>0</v>
      </c>
      <c r="U399" s="58" t="n">
        <f aca="false">W398</f>
        <v>-182.103705036234</v>
      </c>
      <c r="V399" s="58" t="n">
        <f aca="false">IF(T399=1,U399*$B$22,0)</f>
        <v>0</v>
      </c>
      <c r="W399" s="58" t="n">
        <f aca="false">IF(T399=1,U399+V399-$B$27,U399)</f>
        <v>-182.103705036234</v>
      </c>
      <c r="X399" s="56" t="n">
        <f aca="false">IF(T399=1,IF($B$27&lt;=V399,1,0),0)</f>
        <v>0</v>
      </c>
      <c r="Y399" s="58" t="n">
        <f aca="false">Y398+V399</f>
        <v>113000.408372882</v>
      </c>
    </row>
    <row r="400" customFormat="false" ht="15" hidden="false" customHeight="false" outlineLevel="0" collapsed="false">
      <c r="K400" s="56" t="n">
        <f aca="false">K399+1</f>
        <v>393</v>
      </c>
      <c r="L400" s="57" t="n">
        <f aca="false">IF(AND(K400&lt;=Assumptions!$C$42,L399=1,P399=0,O399&gt;Assumptions!$C$43),1,0)</f>
        <v>0</v>
      </c>
      <c r="M400" s="58" t="n">
        <f aca="false">O399</f>
        <v>8.10541678220034E-009</v>
      </c>
      <c r="N400" s="58" t="n">
        <f aca="false">IF(L400=1,M400*$B$22,0)</f>
        <v>0</v>
      </c>
      <c r="O400" s="58" t="n">
        <f aca="false">IF(L400=1,M400+N400-$B$26,M400)</f>
        <v>8.10541678220034E-009</v>
      </c>
      <c r="P400" s="56" t="n">
        <f aca="false">IF(L400=1,IF($B$26&lt;=N400,1,0),0)</f>
        <v>0</v>
      </c>
      <c r="Q400" s="58" t="n">
        <f aca="false">Q399+N400</f>
        <v>145877.630223336</v>
      </c>
      <c r="S400" s="56" t="n">
        <f aca="false">S399+1</f>
        <v>393</v>
      </c>
      <c r="T400" s="57" t="n">
        <f aca="false">IF(AND(S400&lt;=Assumptions!$C$42,T399=1,X399=0,W399&gt;Assumptions!$C$43),1,0)</f>
        <v>0</v>
      </c>
      <c r="U400" s="58" t="n">
        <f aca="false">W399</f>
        <v>-182.103705036234</v>
      </c>
      <c r="V400" s="58" t="n">
        <f aca="false">IF(T400=1,U400*$B$22,0)</f>
        <v>0</v>
      </c>
      <c r="W400" s="58" t="n">
        <f aca="false">IF(T400=1,U400+V400-$B$27,U400)</f>
        <v>-182.103705036234</v>
      </c>
      <c r="X400" s="56" t="n">
        <f aca="false">IF(T400=1,IF($B$27&lt;=V400,1,0),0)</f>
        <v>0</v>
      </c>
      <c r="Y400" s="58" t="n">
        <f aca="false">Y399+V400</f>
        <v>113000.408372882</v>
      </c>
    </row>
    <row r="401" customFormat="false" ht="15" hidden="false" customHeight="false" outlineLevel="0" collapsed="false">
      <c r="K401" s="56" t="n">
        <f aca="false">K400+1</f>
        <v>394</v>
      </c>
      <c r="L401" s="57" t="n">
        <f aca="false">IF(AND(K401&lt;=Assumptions!$C$42,L400=1,P400=0,O400&gt;Assumptions!$C$43),1,0)</f>
        <v>0</v>
      </c>
      <c r="M401" s="58" t="n">
        <f aca="false">O400</f>
        <v>8.10541678220034E-009</v>
      </c>
      <c r="N401" s="58" t="n">
        <f aca="false">IF(L401=1,M401*$B$22,0)</f>
        <v>0</v>
      </c>
      <c r="O401" s="58" t="n">
        <f aca="false">IF(L401=1,M401+N401-$B$26,M401)</f>
        <v>8.10541678220034E-009</v>
      </c>
      <c r="P401" s="56" t="n">
        <f aca="false">IF(L401=1,IF($B$26&lt;=N401,1,0),0)</f>
        <v>0</v>
      </c>
      <c r="Q401" s="58" t="n">
        <f aca="false">Q400+N401</f>
        <v>145877.630223336</v>
      </c>
      <c r="S401" s="56" t="n">
        <f aca="false">S400+1</f>
        <v>394</v>
      </c>
      <c r="T401" s="57" t="n">
        <f aca="false">IF(AND(S401&lt;=Assumptions!$C$42,T400=1,X400=0,W400&gt;Assumptions!$C$43),1,0)</f>
        <v>0</v>
      </c>
      <c r="U401" s="58" t="n">
        <f aca="false">W400</f>
        <v>-182.103705036234</v>
      </c>
      <c r="V401" s="58" t="n">
        <f aca="false">IF(T401=1,U401*$B$22,0)</f>
        <v>0</v>
      </c>
      <c r="W401" s="58" t="n">
        <f aca="false">IF(T401=1,U401+V401-$B$27,U401)</f>
        <v>-182.103705036234</v>
      </c>
      <c r="X401" s="56" t="n">
        <f aca="false">IF(T401=1,IF($B$27&lt;=V401,1,0),0)</f>
        <v>0</v>
      </c>
      <c r="Y401" s="58" t="n">
        <f aca="false">Y400+V401</f>
        <v>113000.408372882</v>
      </c>
    </row>
    <row r="402" customFormat="false" ht="15" hidden="false" customHeight="false" outlineLevel="0" collapsed="false">
      <c r="K402" s="56" t="n">
        <f aca="false">K401+1</f>
        <v>395</v>
      </c>
      <c r="L402" s="57" t="n">
        <f aca="false">IF(AND(K402&lt;=Assumptions!$C$42,L401=1,P401=0,O401&gt;Assumptions!$C$43),1,0)</f>
        <v>0</v>
      </c>
      <c r="M402" s="58" t="n">
        <f aca="false">O401</f>
        <v>8.10541678220034E-009</v>
      </c>
      <c r="N402" s="58" t="n">
        <f aca="false">IF(L402=1,M402*$B$22,0)</f>
        <v>0</v>
      </c>
      <c r="O402" s="58" t="n">
        <f aca="false">IF(L402=1,M402+N402-$B$26,M402)</f>
        <v>8.10541678220034E-009</v>
      </c>
      <c r="P402" s="56" t="n">
        <f aca="false">IF(L402=1,IF($B$26&lt;=N402,1,0),0)</f>
        <v>0</v>
      </c>
      <c r="Q402" s="58" t="n">
        <f aca="false">Q401+N402</f>
        <v>145877.630223336</v>
      </c>
      <c r="S402" s="56" t="n">
        <f aca="false">S401+1</f>
        <v>395</v>
      </c>
      <c r="T402" s="57" t="n">
        <f aca="false">IF(AND(S402&lt;=Assumptions!$C$42,T401=1,X401=0,W401&gt;Assumptions!$C$43),1,0)</f>
        <v>0</v>
      </c>
      <c r="U402" s="58" t="n">
        <f aca="false">W401</f>
        <v>-182.103705036234</v>
      </c>
      <c r="V402" s="58" t="n">
        <f aca="false">IF(T402=1,U402*$B$22,0)</f>
        <v>0</v>
      </c>
      <c r="W402" s="58" t="n">
        <f aca="false">IF(T402=1,U402+V402-$B$27,U402)</f>
        <v>-182.103705036234</v>
      </c>
      <c r="X402" s="56" t="n">
        <f aca="false">IF(T402=1,IF($B$27&lt;=V402,1,0),0)</f>
        <v>0</v>
      </c>
      <c r="Y402" s="58" t="n">
        <f aca="false">Y401+V402</f>
        <v>113000.408372882</v>
      </c>
    </row>
    <row r="403" customFormat="false" ht="15" hidden="false" customHeight="false" outlineLevel="0" collapsed="false">
      <c r="K403" s="56" t="n">
        <f aca="false">K402+1</f>
        <v>396</v>
      </c>
      <c r="L403" s="57" t="n">
        <f aca="false">IF(AND(K403&lt;=Assumptions!$C$42,L402=1,P402=0,O402&gt;Assumptions!$C$43),1,0)</f>
        <v>0</v>
      </c>
      <c r="M403" s="58" t="n">
        <f aca="false">O402</f>
        <v>8.10541678220034E-009</v>
      </c>
      <c r="N403" s="58" t="n">
        <f aca="false">IF(L403=1,M403*$B$22,0)</f>
        <v>0</v>
      </c>
      <c r="O403" s="58" t="n">
        <f aca="false">IF(L403=1,M403+N403-$B$26,M403)</f>
        <v>8.10541678220034E-009</v>
      </c>
      <c r="P403" s="56" t="n">
        <f aca="false">IF(L403=1,IF($B$26&lt;=N403,1,0),0)</f>
        <v>0</v>
      </c>
      <c r="Q403" s="58" t="n">
        <f aca="false">Q402+N403</f>
        <v>145877.630223336</v>
      </c>
      <c r="S403" s="56" t="n">
        <f aca="false">S402+1</f>
        <v>396</v>
      </c>
      <c r="T403" s="57" t="n">
        <f aca="false">IF(AND(S403&lt;=Assumptions!$C$42,T402=1,X402=0,W402&gt;Assumptions!$C$43),1,0)</f>
        <v>0</v>
      </c>
      <c r="U403" s="58" t="n">
        <f aca="false">W402</f>
        <v>-182.103705036234</v>
      </c>
      <c r="V403" s="58" t="n">
        <f aca="false">IF(T403=1,U403*$B$22,0)</f>
        <v>0</v>
      </c>
      <c r="W403" s="58" t="n">
        <f aca="false">IF(T403=1,U403+V403-$B$27,U403)</f>
        <v>-182.103705036234</v>
      </c>
      <c r="X403" s="56" t="n">
        <f aca="false">IF(T403=1,IF($B$27&lt;=V403,1,0),0)</f>
        <v>0</v>
      </c>
      <c r="Y403" s="58" t="n">
        <f aca="false">Y402+V403</f>
        <v>113000.408372882</v>
      </c>
    </row>
    <row r="404" customFormat="false" ht="15" hidden="false" customHeight="false" outlineLevel="0" collapsed="false">
      <c r="K404" s="56" t="n">
        <f aca="false">K403+1</f>
        <v>397</v>
      </c>
      <c r="L404" s="57" t="n">
        <f aca="false">IF(AND(K404&lt;=Assumptions!$C$42,L403=1,P403=0,O403&gt;Assumptions!$C$43),1,0)</f>
        <v>0</v>
      </c>
      <c r="M404" s="58" t="n">
        <f aca="false">O403</f>
        <v>8.10541678220034E-009</v>
      </c>
      <c r="N404" s="58" t="n">
        <f aca="false">IF(L404=1,M404*$B$22,0)</f>
        <v>0</v>
      </c>
      <c r="O404" s="58" t="n">
        <f aca="false">IF(L404=1,M404+N404-$B$26,M404)</f>
        <v>8.10541678220034E-009</v>
      </c>
      <c r="P404" s="56" t="n">
        <f aca="false">IF(L404=1,IF($B$26&lt;=N404,1,0),0)</f>
        <v>0</v>
      </c>
      <c r="Q404" s="58" t="n">
        <f aca="false">Q403+N404</f>
        <v>145877.630223336</v>
      </c>
      <c r="S404" s="56" t="n">
        <f aca="false">S403+1</f>
        <v>397</v>
      </c>
      <c r="T404" s="57" t="n">
        <f aca="false">IF(AND(S404&lt;=Assumptions!$C$42,T403=1,X403=0,W403&gt;Assumptions!$C$43),1,0)</f>
        <v>0</v>
      </c>
      <c r="U404" s="58" t="n">
        <f aca="false">W403</f>
        <v>-182.103705036234</v>
      </c>
      <c r="V404" s="58" t="n">
        <f aca="false">IF(T404=1,U404*$B$22,0)</f>
        <v>0</v>
      </c>
      <c r="W404" s="58" t="n">
        <f aca="false">IF(T404=1,U404+V404-$B$27,U404)</f>
        <v>-182.103705036234</v>
      </c>
      <c r="X404" s="56" t="n">
        <f aca="false">IF(T404=1,IF($B$27&lt;=V404,1,0),0)</f>
        <v>0</v>
      </c>
      <c r="Y404" s="58" t="n">
        <f aca="false">Y403+V404</f>
        <v>113000.408372882</v>
      </c>
    </row>
    <row r="405" customFormat="false" ht="15" hidden="false" customHeight="false" outlineLevel="0" collapsed="false">
      <c r="K405" s="56" t="n">
        <f aca="false">K404+1</f>
        <v>398</v>
      </c>
      <c r="L405" s="57" t="n">
        <f aca="false">IF(AND(K405&lt;=Assumptions!$C$42,L404=1,P404=0,O404&gt;Assumptions!$C$43),1,0)</f>
        <v>0</v>
      </c>
      <c r="M405" s="58" t="n">
        <f aca="false">O404</f>
        <v>8.10541678220034E-009</v>
      </c>
      <c r="N405" s="58" t="n">
        <f aca="false">IF(L405=1,M405*$B$22,0)</f>
        <v>0</v>
      </c>
      <c r="O405" s="58" t="n">
        <f aca="false">IF(L405=1,M405+N405-$B$26,M405)</f>
        <v>8.10541678220034E-009</v>
      </c>
      <c r="P405" s="56" t="n">
        <f aca="false">IF(L405=1,IF($B$26&lt;=N405,1,0),0)</f>
        <v>0</v>
      </c>
      <c r="Q405" s="58" t="n">
        <f aca="false">Q404+N405</f>
        <v>145877.630223336</v>
      </c>
      <c r="S405" s="56" t="n">
        <f aca="false">S404+1</f>
        <v>398</v>
      </c>
      <c r="T405" s="57" t="n">
        <f aca="false">IF(AND(S405&lt;=Assumptions!$C$42,T404=1,X404=0,W404&gt;Assumptions!$C$43),1,0)</f>
        <v>0</v>
      </c>
      <c r="U405" s="58" t="n">
        <f aca="false">W404</f>
        <v>-182.103705036234</v>
      </c>
      <c r="V405" s="58" t="n">
        <f aca="false">IF(T405=1,U405*$B$22,0)</f>
        <v>0</v>
      </c>
      <c r="W405" s="58" t="n">
        <f aca="false">IF(T405=1,U405+V405-$B$27,U405)</f>
        <v>-182.103705036234</v>
      </c>
      <c r="X405" s="56" t="n">
        <f aca="false">IF(T405=1,IF($B$27&lt;=V405,1,0),0)</f>
        <v>0</v>
      </c>
      <c r="Y405" s="58" t="n">
        <f aca="false">Y404+V405</f>
        <v>113000.408372882</v>
      </c>
    </row>
    <row r="406" customFormat="false" ht="15" hidden="false" customHeight="false" outlineLevel="0" collapsed="false">
      <c r="K406" s="56" t="n">
        <f aca="false">K405+1</f>
        <v>399</v>
      </c>
      <c r="L406" s="57" t="n">
        <f aca="false">IF(AND(K406&lt;=Assumptions!$C$42,L405=1,P405=0,O405&gt;Assumptions!$C$43),1,0)</f>
        <v>0</v>
      </c>
      <c r="M406" s="58" t="n">
        <f aca="false">O405</f>
        <v>8.10541678220034E-009</v>
      </c>
      <c r="N406" s="58" t="n">
        <f aca="false">IF(L406=1,M406*$B$22,0)</f>
        <v>0</v>
      </c>
      <c r="O406" s="58" t="n">
        <f aca="false">IF(L406=1,M406+N406-$B$26,M406)</f>
        <v>8.10541678220034E-009</v>
      </c>
      <c r="P406" s="56" t="n">
        <f aca="false">IF(L406=1,IF($B$26&lt;=N406,1,0),0)</f>
        <v>0</v>
      </c>
      <c r="Q406" s="58" t="n">
        <f aca="false">Q405+N406</f>
        <v>145877.630223336</v>
      </c>
      <c r="S406" s="56" t="n">
        <f aca="false">S405+1</f>
        <v>399</v>
      </c>
      <c r="T406" s="57" t="n">
        <f aca="false">IF(AND(S406&lt;=Assumptions!$C$42,T405=1,X405=0,W405&gt;Assumptions!$C$43),1,0)</f>
        <v>0</v>
      </c>
      <c r="U406" s="58" t="n">
        <f aca="false">W405</f>
        <v>-182.103705036234</v>
      </c>
      <c r="V406" s="58" t="n">
        <f aca="false">IF(T406=1,U406*$B$22,0)</f>
        <v>0</v>
      </c>
      <c r="W406" s="58" t="n">
        <f aca="false">IF(T406=1,U406+V406-$B$27,U406)</f>
        <v>-182.103705036234</v>
      </c>
      <c r="X406" s="56" t="n">
        <f aca="false">IF(T406=1,IF($B$27&lt;=V406,1,0),0)</f>
        <v>0</v>
      </c>
      <c r="Y406" s="58" t="n">
        <f aca="false">Y405+V406</f>
        <v>113000.408372882</v>
      </c>
    </row>
    <row r="407" customFormat="false" ht="15" hidden="false" customHeight="false" outlineLevel="0" collapsed="false">
      <c r="K407" s="56" t="n">
        <f aca="false">K406+1</f>
        <v>400</v>
      </c>
      <c r="L407" s="57" t="n">
        <f aca="false">IF(AND(K407&lt;=Assumptions!$C$42,L406=1,P406=0,O406&gt;Assumptions!$C$43),1,0)</f>
        <v>0</v>
      </c>
      <c r="M407" s="58" t="n">
        <f aca="false">O406</f>
        <v>8.10541678220034E-009</v>
      </c>
      <c r="N407" s="58" t="n">
        <f aca="false">IF(L407=1,M407*$B$22,0)</f>
        <v>0</v>
      </c>
      <c r="O407" s="58" t="n">
        <f aca="false">IF(L407=1,M407+N407-$B$26,M407)</f>
        <v>8.10541678220034E-009</v>
      </c>
      <c r="P407" s="56" t="n">
        <f aca="false">IF(L407=1,IF($B$26&lt;=N407,1,0),0)</f>
        <v>0</v>
      </c>
      <c r="Q407" s="58" t="n">
        <f aca="false">Q406+N407</f>
        <v>145877.630223336</v>
      </c>
      <c r="S407" s="56" t="n">
        <f aca="false">S406+1</f>
        <v>400</v>
      </c>
      <c r="T407" s="57" t="n">
        <f aca="false">IF(AND(S407&lt;=Assumptions!$C$42,T406=1,X406=0,W406&gt;Assumptions!$C$43),1,0)</f>
        <v>0</v>
      </c>
      <c r="U407" s="58" t="n">
        <f aca="false">W406</f>
        <v>-182.103705036234</v>
      </c>
      <c r="V407" s="58" t="n">
        <f aca="false">IF(T407=1,U407*$B$22,0)</f>
        <v>0</v>
      </c>
      <c r="W407" s="58" t="n">
        <f aca="false">IF(T407=1,U407+V407-$B$27,U407)</f>
        <v>-182.103705036234</v>
      </c>
      <c r="X407" s="56" t="n">
        <f aca="false">IF(T407=1,IF($B$27&lt;=V407,1,0),0)</f>
        <v>0</v>
      </c>
      <c r="Y407" s="58" t="n">
        <f aca="false">Y406+V407</f>
        <v>113000.408372882</v>
      </c>
    </row>
    <row r="408" customFormat="false" ht="15" hidden="false" customHeight="false" outlineLevel="0" collapsed="false">
      <c r="K408" s="56" t="n">
        <f aca="false">K407+1</f>
        <v>401</v>
      </c>
      <c r="L408" s="57" t="n">
        <f aca="false">IF(AND(K408&lt;=Assumptions!$C$42,L407=1,P407=0,O407&gt;Assumptions!$C$43),1,0)</f>
        <v>0</v>
      </c>
      <c r="M408" s="58" t="n">
        <f aca="false">O407</f>
        <v>8.10541678220034E-009</v>
      </c>
      <c r="N408" s="58" t="n">
        <f aca="false">IF(L408=1,M408*$B$22,0)</f>
        <v>0</v>
      </c>
      <c r="O408" s="58" t="n">
        <f aca="false">IF(L408=1,M408+N408-$B$26,M408)</f>
        <v>8.10541678220034E-009</v>
      </c>
      <c r="P408" s="56" t="n">
        <f aca="false">IF(L408=1,IF($B$26&lt;=N408,1,0),0)</f>
        <v>0</v>
      </c>
      <c r="Q408" s="58" t="n">
        <f aca="false">Q407+N408</f>
        <v>145877.630223336</v>
      </c>
      <c r="S408" s="56" t="n">
        <f aca="false">S407+1</f>
        <v>401</v>
      </c>
      <c r="T408" s="57" t="n">
        <f aca="false">IF(AND(S408&lt;=Assumptions!$C$42,T407=1,X407=0,W407&gt;Assumptions!$C$43),1,0)</f>
        <v>0</v>
      </c>
      <c r="U408" s="58" t="n">
        <f aca="false">W407</f>
        <v>-182.103705036234</v>
      </c>
      <c r="V408" s="58" t="n">
        <f aca="false">IF(T408=1,U408*$B$22,0)</f>
        <v>0</v>
      </c>
      <c r="W408" s="58" t="n">
        <f aca="false">IF(T408=1,U408+V408-$B$27,U408)</f>
        <v>-182.103705036234</v>
      </c>
      <c r="X408" s="56" t="n">
        <f aca="false">IF(T408=1,IF($B$27&lt;=V408,1,0),0)</f>
        <v>0</v>
      </c>
      <c r="Y408" s="58" t="n">
        <f aca="false">Y407+V408</f>
        <v>113000.408372882</v>
      </c>
    </row>
    <row r="409" customFormat="false" ht="15" hidden="false" customHeight="false" outlineLevel="0" collapsed="false">
      <c r="K409" s="56" t="n">
        <f aca="false">K408+1</f>
        <v>402</v>
      </c>
      <c r="L409" s="57" t="n">
        <f aca="false">IF(AND(K409&lt;=Assumptions!$C$42,L408=1,P408=0,O408&gt;Assumptions!$C$43),1,0)</f>
        <v>0</v>
      </c>
      <c r="M409" s="58" t="n">
        <f aca="false">O408</f>
        <v>8.10541678220034E-009</v>
      </c>
      <c r="N409" s="58" t="n">
        <f aca="false">IF(L409=1,M409*$B$22,0)</f>
        <v>0</v>
      </c>
      <c r="O409" s="58" t="n">
        <f aca="false">IF(L409=1,M409+N409-$B$26,M409)</f>
        <v>8.10541678220034E-009</v>
      </c>
      <c r="P409" s="56" t="n">
        <f aca="false">IF(L409=1,IF($B$26&lt;=N409,1,0),0)</f>
        <v>0</v>
      </c>
      <c r="Q409" s="58" t="n">
        <f aca="false">Q408+N409</f>
        <v>145877.630223336</v>
      </c>
      <c r="S409" s="56" t="n">
        <f aca="false">S408+1</f>
        <v>402</v>
      </c>
      <c r="T409" s="57" t="n">
        <f aca="false">IF(AND(S409&lt;=Assumptions!$C$42,T408=1,X408=0,W408&gt;Assumptions!$C$43),1,0)</f>
        <v>0</v>
      </c>
      <c r="U409" s="58" t="n">
        <f aca="false">W408</f>
        <v>-182.103705036234</v>
      </c>
      <c r="V409" s="58" t="n">
        <f aca="false">IF(T409=1,U409*$B$22,0)</f>
        <v>0</v>
      </c>
      <c r="W409" s="58" t="n">
        <f aca="false">IF(T409=1,U409+V409-$B$27,U409)</f>
        <v>-182.103705036234</v>
      </c>
      <c r="X409" s="56" t="n">
        <f aca="false">IF(T409=1,IF($B$27&lt;=V409,1,0),0)</f>
        <v>0</v>
      </c>
      <c r="Y409" s="58" t="n">
        <f aca="false">Y408+V409</f>
        <v>113000.408372882</v>
      </c>
    </row>
    <row r="410" customFormat="false" ht="15" hidden="false" customHeight="false" outlineLevel="0" collapsed="false">
      <c r="K410" s="56" t="n">
        <f aca="false">K409+1</f>
        <v>403</v>
      </c>
      <c r="L410" s="57" t="n">
        <f aca="false">IF(AND(K410&lt;=Assumptions!$C$42,L409=1,P409=0,O409&gt;Assumptions!$C$43),1,0)</f>
        <v>0</v>
      </c>
      <c r="M410" s="58" t="n">
        <f aca="false">O409</f>
        <v>8.10541678220034E-009</v>
      </c>
      <c r="N410" s="58" t="n">
        <f aca="false">IF(L410=1,M410*$B$22,0)</f>
        <v>0</v>
      </c>
      <c r="O410" s="58" t="n">
        <f aca="false">IF(L410=1,M410+N410-$B$26,M410)</f>
        <v>8.10541678220034E-009</v>
      </c>
      <c r="P410" s="56" t="n">
        <f aca="false">IF(L410=1,IF($B$26&lt;=N410,1,0),0)</f>
        <v>0</v>
      </c>
      <c r="Q410" s="58" t="n">
        <f aca="false">Q409+N410</f>
        <v>145877.630223336</v>
      </c>
      <c r="S410" s="56" t="n">
        <f aca="false">S409+1</f>
        <v>403</v>
      </c>
      <c r="T410" s="57" t="n">
        <f aca="false">IF(AND(S410&lt;=Assumptions!$C$42,T409=1,X409=0,W409&gt;Assumptions!$C$43),1,0)</f>
        <v>0</v>
      </c>
      <c r="U410" s="58" t="n">
        <f aca="false">W409</f>
        <v>-182.103705036234</v>
      </c>
      <c r="V410" s="58" t="n">
        <f aca="false">IF(T410=1,U410*$B$22,0)</f>
        <v>0</v>
      </c>
      <c r="W410" s="58" t="n">
        <f aca="false">IF(T410=1,U410+V410-$B$27,U410)</f>
        <v>-182.103705036234</v>
      </c>
      <c r="X410" s="56" t="n">
        <f aca="false">IF(T410=1,IF($B$27&lt;=V410,1,0),0)</f>
        <v>0</v>
      </c>
      <c r="Y410" s="58" t="n">
        <f aca="false">Y409+V410</f>
        <v>113000.408372882</v>
      </c>
    </row>
    <row r="411" customFormat="false" ht="15" hidden="false" customHeight="false" outlineLevel="0" collapsed="false">
      <c r="K411" s="56" t="n">
        <f aca="false">K410+1</f>
        <v>404</v>
      </c>
      <c r="L411" s="57" t="n">
        <f aca="false">IF(AND(K411&lt;=Assumptions!$C$42,L410=1,P410=0,O410&gt;Assumptions!$C$43),1,0)</f>
        <v>0</v>
      </c>
      <c r="M411" s="58" t="n">
        <f aca="false">O410</f>
        <v>8.10541678220034E-009</v>
      </c>
      <c r="N411" s="58" t="n">
        <f aca="false">IF(L411=1,M411*$B$22,0)</f>
        <v>0</v>
      </c>
      <c r="O411" s="58" t="n">
        <f aca="false">IF(L411=1,M411+N411-$B$26,M411)</f>
        <v>8.10541678220034E-009</v>
      </c>
      <c r="P411" s="56" t="n">
        <f aca="false">IF(L411=1,IF($B$26&lt;=N411,1,0),0)</f>
        <v>0</v>
      </c>
      <c r="Q411" s="58" t="n">
        <f aca="false">Q410+N411</f>
        <v>145877.630223336</v>
      </c>
      <c r="S411" s="56" t="n">
        <f aca="false">S410+1</f>
        <v>404</v>
      </c>
      <c r="T411" s="57" t="n">
        <f aca="false">IF(AND(S411&lt;=Assumptions!$C$42,T410=1,X410=0,W410&gt;Assumptions!$C$43),1,0)</f>
        <v>0</v>
      </c>
      <c r="U411" s="58" t="n">
        <f aca="false">W410</f>
        <v>-182.103705036234</v>
      </c>
      <c r="V411" s="58" t="n">
        <f aca="false">IF(T411=1,U411*$B$22,0)</f>
        <v>0</v>
      </c>
      <c r="W411" s="58" t="n">
        <f aca="false">IF(T411=1,U411+V411-$B$27,U411)</f>
        <v>-182.103705036234</v>
      </c>
      <c r="X411" s="56" t="n">
        <f aca="false">IF(T411=1,IF($B$27&lt;=V411,1,0),0)</f>
        <v>0</v>
      </c>
      <c r="Y411" s="58" t="n">
        <f aca="false">Y410+V411</f>
        <v>113000.408372882</v>
      </c>
    </row>
    <row r="412" customFormat="false" ht="15" hidden="false" customHeight="false" outlineLevel="0" collapsed="false">
      <c r="K412" s="56" t="n">
        <f aca="false">K411+1</f>
        <v>405</v>
      </c>
      <c r="L412" s="57" t="n">
        <f aca="false">IF(AND(K412&lt;=Assumptions!$C$42,L411=1,P411=0,O411&gt;Assumptions!$C$43),1,0)</f>
        <v>0</v>
      </c>
      <c r="M412" s="58" t="n">
        <f aca="false">O411</f>
        <v>8.10541678220034E-009</v>
      </c>
      <c r="N412" s="58" t="n">
        <f aca="false">IF(L412=1,M412*$B$22,0)</f>
        <v>0</v>
      </c>
      <c r="O412" s="58" t="n">
        <f aca="false">IF(L412=1,M412+N412-$B$26,M412)</f>
        <v>8.10541678220034E-009</v>
      </c>
      <c r="P412" s="56" t="n">
        <f aca="false">IF(L412=1,IF($B$26&lt;=N412,1,0),0)</f>
        <v>0</v>
      </c>
      <c r="Q412" s="58" t="n">
        <f aca="false">Q411+N412</f>
        <v>145877.630223336</v>
      </c>
      <c r="S412" s="56" t="n">
        <f aca="false">S411+1</f>
        <v>405</v>
      </c>
      <c r="T412" s="57" t="n">
        <f aca="false">IF(AND(S412&lt;=Assumptions!$C$42,T411=1,X411=0,W411&gt;Assumptions!$C$43),1,0)</f>
        <v>0</v>
      </c>
      <c r="U412" s="58" t="n">
        <f aca="false">W411</f>
        <v>-182.103705036234</v>
      </c>
      <c r="V412" s="58" t="n">
        <f aca="false">IF(T412=1,U412*$B$22,0)</f>
        <v>0</v>
      </c>
      <c r="W412" s="58" t="n">
        <f aca="false">IF(T412=1,U412+V412-$B$27,U412)</f>
        <v>-182.103705036234</v>
      </c>
      <c r="X412" s="56" t="n">
        <f aca="false">IF(T412=1,IF($B$27&lt;=V412,1,0),0)</f>
        <v>0</v>
      </c>
      <c r="Y412" s="58" t="n">
        <f aca="false">Y411+V412</f>
        <v>113000.408372882</v>
      </c>
    </row>
    <row r="413" customFormat="false" ht="15" hidden="false" customHeight="false" outlineLevel="0" collapsed="false">
      <c r="K413" s="56" t="n">
        <f aca="false">K412+1</f>
        <v>406</v>
      </c>
      <c r="L413" s="57" t="n">
        <f aca="false">IF(AND(K413&lt;=Assumptions!$C$42,L412=1,P412=0,O412&gt;Assumptions!$C$43),1,0)</f>
        <v>0</v>
      </c>
      <c r="M413" s="58" t="n">
        <f aca="false">O412</f>
        <v>8.10541678220034E-009</v>
      </c>
      <c r="N413" s="58" t="n">
        <f aca="false">IF(L413=1,M413*$B$22,0)</f>
        <v>0</v>
      </c>
      <c r="O413" s="58" t="n">
        <f aca="false">IF(L413=1,M413+N413-$B$26,M413)</f>
        <v>8.10541678220034E-009</v>
      </c>
      <c r="P413" s="56" t="n">
        <f aca="false">IF(L413=1,IF($B$26&lt;=N413,1,0),0)</f>
        <v>0</v>
      </c>
      <c r="Q413" s="58" t="n">
        <f aca="false">Q412+N413</f>
        <v>145877.630223336</v>
      </c>
      <c r="S413" s="56" t="n">
        <f aca="false">S412+1</f>
        <v>406</v>
      </c>
      <c r="T413" s="57" t="n">
        <f aca="false">IF(AND(S413&lt;=Assumptions!$C$42,T412=1,X412=0,W412&gt;Assumptions!$C$43),1,0)</f>
        <v>0</v>
      </c>
      <c r="U413" s="58" t="n">
        <f aca="false">W412</f>
        <v>-182.103705036234</v>
      </c>
      <c r="V413" s="58" t="n">
        <f aca="false">IF(T413=1,U413*$B$22,0)</f>
        <v>0</v>
      </c>
      <c r="W413" s="58" t="n">
        <f aca="false">IF(T413=1,U413+V413-$B$27,U413)</f>
        <v>-182.103705036234</v>
      </c>
      <c r="X413" s="56" t="n">
        <f aca="false">IF(T413=1,IF($B$27&lt;=V413,1,0),0)</f>
        <v>0</v>
      </c>
      <c r="Y413" s="58" t="n">
        <f aca="false">Y412+V413</f>
        <v>113000.408372882</v>
      </c>
    </row>
    <row r="414" customFormat="false" ht="15" hidden="false" customHeight="false" outlineLevel="0" collapsed="false">
      <c r="K414" s="56" t="n">
        <f aca="false">K413+1</f>
        <v>407</v>
      </c>
      <c r="L414" s="57" t="n">
        <f aca="false">IF(AND(K414&lt;=Assumptions!$C$42,L413=1,P413=0,O413&gt;Assumptions!$C$43),1,0)</f>
        <v>0</v>
      </c>
      <c r="M414" s="58" t="n">
        <f aca="false">O413</f>
        <v>8.10541678220034E-009</v>
      </c>
      <c r="N414" s="58" t="n">
        <f aca="false">IF(L414=1,M414*$B$22,0)</f>
        <v>0</v>
      </c>
      <c r="O414" s="58" t="n">
        <f aca="false">IF(L414=1,M414+N414-$B$26,M414)</f>
        <v>8.10541678220034E-009</v>
      </c>
      <c r="P414" s="56" t="n">
        <f aca="false">IF(L414=1,IF($B$26&lt;=N414,1,0),0)</f>
        <v>0</v>
      </c>
      <c r="Q414" s="58" t="n">
        <f aca="false">Q413+N414</f>
        <v>145877.630223336</v>
      </c>
      <c r="S414" s="56" t="n">
        <f aca="false">S413+1</f>
        <v>407</v>
      </c>
      <c r="T414" s="57" t="n">
        <f aca="false">IF(AND(S414&lt;=Assumptions!$C$42,T413=1,X413=0,W413&gt;Assumptions!$C$43),1,0)</f>
        <v>0</v>
      </c>
      <c r="U414" s="58" t="n">
        <f aca="false">W413</f>
        <v>-182.103705036234</v>
      </c>
      <c r="V414" s="58" t="n">
        <f aca="false">IF(T414=1,U414*$B$22,0)</f>
        <v>0</v>
      </c>
      <c r="W414" s="58" t="n">
        <f aca="false">IF(T414=1,U414+V414-$B$27,U414)</f>
        <v>-182.103705036234</v>
      </c>
      <c r="X414" s="56" t="n">
        <f aca="false">IF(T414=1,IF($B$27&lt;=V414,1,0),0)</f>
        <v>0</v>
      </c>
      <c r="Y414" s="58" t="n">
        <f aca="false">Y413+V414</f>
        <v>113000.408372882</v>
      </c>
    </row>
    <row r="415" customFormat="false" ht="15" hidden="false" customHeight="false" outlineLevel="0" collapsed="false">
      <c r="K415" s="56" t="n">
        <f aca="false">K414+1</f>
        <v>408</v>
      </c>
      <c r="L415" s="57" t="n">
        <f aca="false">IF(AND(K415&lt;=Assumptions!$C$42,L414=1,P414=0,O414&gt;Assumptions!$C$43),1,0)</f>
        <v>0</v>
      </c>
      <c r="M415" s="58" t="n">
        <f aca="false">O414</f>
        <v>8.10541678220034E-009</v>
      </c>
      <c r="N415" s="58" t="n">
        <f aca="false">IF(L415=1,M415*$B$22,0)</f>
        <v>0</v>
      </c>
      <c r="O415" s="58" t="n">
        <f aca="false">IF(L415=1,M415+N415-$B$26,M415)</f>
        <v>8.10541678220034E-009</v>
      </c>
      <c r="P415" s="56" t="n">
        <f aca="false">IF(L415=1,IF($B$26&lt;=N415,1,0),0)</f>
        <v>0</v>
      </c>
      <c r="Q415" s="58" t="n">
        <f aca="false">Q414+N415</f>
        <v>145877.630223336</v>
      </c>
      <c r="S415" s="56" t="n">
        <f aca="false">S414+1</f>
        <v>408</v>
      </c>
      <c r="T415" s="57" t="n">
        <f aca="false">IF(AND(S415&lt;=Assumptions!$C$42,T414=1,X414=0,W414&gt;Assumptions!$C$43),1,0)</f>
        <v>0</v>
      </c>
      <c r="U415" s="58" t="n">
        <f aca="false">W414</f>
        <v>-182.103705036234</v>
      </c>
      <c r="V415" s="58" t="n">
        <f aca="false">IF(T415=1,U415*$B$22,0)</f>
        <v>0</v>
      </c>
      <c r="W415" s="58" t="n">
        <f aca="false">IF(T415=1,U415+V415-$B$27,U415)</f>
        <v>-182.103705036234</v>
      </c>
      <c r="X415" s="56" t="n">
        <f aca="false">IF(T415=1,IF($B$27&lt;=V415,1,0),0)</f>
        <v>0</v>
      </c>
      <c r="Y415" s="58" t="n">
        <f aca="false">Y414+V415</f>
        <v>113000.408372882</v>
      </c>
    </row>
    <row r="416" customFormat="false" ht="15" hidden="false" customHeight="false" outlineLevel="0" collapsed="false">
      <c r="K416" s="56" t="n">
        <f aca="false">K415+1</f>
        <v>409</v>
      </c>
      <c r="L416" s="57" t="n">
        <f aca="false">IF(AND(K416&lt;=Assumptions!$C$42,L415=1,P415=0,O415&gt;Assumptions!$C$43),1,0)</f>
        <v>0</v>
      </c>
      <c r="M416" s="58" t="n">
        <f aca="false">O415</f>
        <v>8.10541678220034E-009</v>
      </c>
      <c r="N416" s="58" t="n">
        <f aca="false">IF(L416=1,M416*$B$22,0)</f>
        <v>0</v>
      </c>
      <c r="O416" s="58" t="n">
        <f aca="false">IF(L416=1,M416+N416-$B$26,M416)</f>
        <v>8.10541678220034E-009</v>
      </c>
      <c r="P416" s="56" t="n">
        <f aca="false">IF(L416=1,IF($B$26&lt;=N416,1,0),0)</f>
        <v>0</v>
      </c>
      <c r="Q416" s="58" t="n">
        <f aca="false">Q415+N416</f>
        <v>145877.630223336</v>
      </c>
      <c r="S416" s="56" t="n">
        <f aca="false">S415+1</f>
        <v>409</v>
      </c>
      <c r="T416" s="57" t="n">
        <f aca="false">IF(AND(S416&lt;=Assumptions!$C$42,T415=1,X415=0,W415&gt;Assumptions!$C$43),1,0)</f>
        <v>0</v>
      </c>
      <c r="U416" s="58" t="n">
        <f aca="false">W415</f>
        <v>-182.103705036234</v>
      </c>
      <c r="V416" s="58" t="n">
        <f aca="false">IF(T416=1,U416*$B$22,0)</f>
        <v>0</v>
      </c>
      <c r="W416" s="58" t="n">
        <f aca="false">IF(T416=1,U416+V416-$B$27,U416)</f>
        <v>-182.103705036234</v>
      </c>
      <c r="X416" s="56" t="n">
        <f aca="false">IF(T416=1,IF($B$27&lt;=V416,1,0),0)</f>
        <v>0</v>
      </c>
      <c r="Y416" s="58" t="n">
        <f aca="false">Y415+V416</f>
        <v>113000.408372882</v>
      </c>
    </row>
    <row r="417" customFormat="false" ht="15" hidden="false" customHeight="false" outlineLevel="0" collapsed="false">
      <c r="K417" s="56" t="n">
        <f aca="false">K416+1</f>
        <v>410</v>
      </c>
      <c r="L417" s="57" t="n">
        <f aca="false">IF(AND(K417&lt;=Assumptions!$C$42,L416=1,P416=0,O416&gt;Assumptions!$C$43),1,0)</f>
        <v>0</v>
      </c>
      <c r="M417" s="58" t="n">
        <f aca="false">O416</f>
        <v>8.10541678220034E-009</v>
      </c>
      <c r="N417" s="58" t="n">
        <f aca="false">IF(L417=1,M417*$B$22,0)</f>
        <v>0</v>
      </c>
      <c r="O417" s="58" t="n">
        <f aca="false">IF(L417=1,M417+N417-$B$26,M417)</f>
        <v>8.10541678220034E-009</v>
      </c>
      <c r="P417" s="56" t="n">
        <f aca="false">IF(L417=1,IF($B$26&lt;=N417,1,0),0)</f>
        <v>0</v>
      </c>
      <c r="Q417" s="58" t="n">
        <f aca="false">Q416+N417</f>
        <v>145877.630223336</v>
      </c>
      <c r="S417" s="56" t="n">
        <f aca="false">S416+1</f>
        <v>410</v>
      </c>
      <c r="T417" s="57" t="n">
        <f aca="false">IF(AND(S417&lt;=Assumptions!$C$42,T416=1,X416=0,W416&gt;Assumptions!$C$43),1,0)</f>
        <v>0</v>
      </c>
      <c r="U417" s="58" t="n">
        <f aca="false">W416</f>
        <v>-182.103705036234</v>
      </c>
      <c r="V417" s="58" t="n">
        <f aca="false">IF(T417=1,U417*$B$22,0)</f>
        <v>0</v>
      </c>
      <c r="W417" s="58" t="n">
        <f aca="false">IF(T417=1,U417+V417-$B$27,U417)</f>
        <v>-182.103705036234</v>
      </c>
      <c r="X417" s="56" t="n">
        <f aca="false">IF(T417=1,IF($B$27&lt;=V417,1,0),0)</f>
        <v>0</v>
      </c>
      <c r="Y417" s="58" t="n">
        <f aca="false">Y416+V417</f>
        <v>113000.408372882</v>
      </c>
    </row>
    <row r="418" customFormat="false" ht="15" hidden="false" customHeight="false" outlineLevel="0" collapsed="false">
      <c r="K418" s="56" t="n">
        <f aca="false">K417+1</f>
        <v>411</v>
      </c>
      <c r="L418" s="57" t="n">
        <f aca="false">IF(AND(K418&lt;=Assumptions!$C$42,L417=1,P417=0,O417&gt;Assumptions!$C$43),1,0)</f>
        <v>0</v>
      </c>
      <c r="M418" s="58" t="n">
        <f aca="false">O417</f>
        <v>8.10541678220034E-009</v>
      </c>
      <c r="N418" s="58" t="n">
        <f aca="false">IF(L418=1,M418*$B$22,0)</f>
        <v>0</v>
      </c>
      <c r="O418" s="58" t="n">
        <f aca="false">IF(L418=1,M418+N418-$B$26,M418)</f>
        <v>8.10541678220034E-009</v>
      </c>
      <c r="P418" s="56" t="n">
        <f aca="false">IF(L418=1,IF($B$26&lt;=N418,1,0),0)</f>
        <v>0</v>
      </c>
      <c r="Q418" s="58" t="n">
        <f aca="false">Q417+N418</f>
        <v>145877.630223336</v>
      </c>
      <c r="S418" s="56" t="n">
        <f aca="false">S417+1</f>
        <v>411</v>
      </c>
      <c r="T418" s="57" t="n">
        <f aca="false">IF(AND(S418&lt;=Assumptions!$C$42,T417=1,X417=0,W417&gt;Assumptions!$C$43),1,0)</f>
        <v>0</v>
      </c>
      <c r="U418" s="58" t="n">
        <f aca="false">W417</f>
        <v>-182.103705036234</v>
      </c>
      <c r="V418" s="58" t="n">
        <f aca="false">IF(T418=1,U418*$B$22,0)</f>
        <v>0</v>
      </c>
      <c r="W418" s="58" t="n">
        <f aca="false">IF(T418=1,U418+V418-$B$27,U418)</f>
        <v>-182.103705036234</v>
      </c>
      <c r="X418" s="56" t="n">
        <f aca="false">IF(T418=1,IF($B$27&lt;=V418,1,0),0)</f>
        <v>0</v>
      </c>
      <c r="Y418" s="58" t="n">
        <f aca="false">Y417+V418</f>
        <v>113000.408372882</v>
      </c>
    </row>
    <row r="419" customFormat="false" ht="15" hidden="false" customHeight="false" outlineLevel="0" collapsed="false">
      <c r="K419" s="56" t="n">
        <f aca="false">K418+1</f>
        <v>412</v>
      </c>
      <c r="L419" s="57" t="n">
        <f aca="false">IF(AND(K419&lt;=Assumptions!$C$42,L418=1,P418=0,O418&gt;Assumptions!$C$43),1,0)</f>
        <v>0</v>
      </c>
      <c r="M419" s="58" t="n">
        <f aca="false">O418</f>
        <v>8.10541678220034E-009</v>
      </c>
      <c r="N419" s="58" t="n">
        <f aca="false">IF(L419=1,M419*$B$22,0)</f>
        <v>0</v>
      </c>
      <c r="O419" s="58" t="n">
        <f aca="false">IF(L419=1,M419+N419-$B$26,M419)</f>
        <v>8.10541678220034E-009</v>
      </c>
      <c r="P419" s="56" t="n">
        <f aca="false">IF(L419=1,IF($B$26&lt;=N419,1,0),0)</f>
        <v>0</v>
      </c>
      <c r="Q419" s="58" t="n">
        <f aca="false">Q418+N419</f>
        <v>145877.630223336</v>
      </c>
      <c r="S419" s="56" t="n">
        <f aca="false">S418+1</f>
        <v>412</v>
      </c>
      <c r="T419" s="57" t="n">
        <f aca="false">IF(AND(S419&lt;=Assumptions!$C$42,T418=1,X418=0,W418&gt;Assumptions!$C$43),1,0)</f>
        <v>0</v>
      </c>
      <c r="U419" s="58" t="n">
        <f aca="false">W418</f>
        <v>-182.103705036234</v>
      </c>
      <c r="V419" s="58" t="n">
        <f aca="false">IF(T419=1,U419*$B$22,0)</f>
        <v>0</v>
      </c>
      <c r="W419" s="58" t="n">
        <f aca="false">IF(T419=1,U419+V419-$B$27,U419)</f>
        <v>-182.103705036234</v>
      </c>
      <c r="X419" s="56" t="n">
        <f aca="false">IF(T419=1,IF($B$27&lt;=V419,1,0),0)</f>
        <v>0</v>
      </c>
      <c r="Y419" s="58" t="n">
        <f aca="false">Y418+V419</f>
        <v>113000.408372882</v>
      </c>
    </row>
    <row r="420" customFormat="false" ht="15" hidden="false" customHeight="false" outlineLevel="0" collapsed="false">
      <c r="K420" s="56" t="n">
        <f aca="false">K419+1</f>
        <v>413</v>
      </c>
      <c r="L420" s="57" t="n">
        <f aca="false">IF(AND(K420&lt;=Assumptions!$C$42,L419=1,P419=0,O419&gt;Assumptions!$C$43),1,0)</f>
        <v>0</v>
      </c>
      <c r="M420" s="58" t="n">
        <f aca="false">O419</f>
        <v>8.10541678220034E-009</v>
      </c>
      <c r="N420" s="58" t="n">
        <f aca="false">IF(L420=1,M420*$B$22,0)</f>
        <v>0</v>
      </c>
      <c r="O420" s="58" t="n">
        <f aca="false">IF(L420=1,M420+N420-$B$26,M420)</f>
        <v>8.10541678220034E-009</v>
      </c>
      <c r="P420" s="56" t="n">
        <f aca="false">IF(L420=1,IF($B$26&lt;=N420,1,0),0)</f>
        <v>0</v>
      </c>
      <c r="Q420" s="58" t="n">
        <f aca="false">Q419+N420</f>
        <v>145877.630223336</v>
      </c>
      <c r="S420" s="56" t="n">
        <f aca="false">S419+1</f>
        <v>413</v>
      </c>
      <c r="T420" s="57" t="n">
        <f aca="false">IF(AND(S420&lt;=Assumptions!$C$42,T419=1,X419=0,W419&gt;Assumptions!$C$43),1,0)</f>
        <v>0</v>
      </c>
      <c r="U420" s="58" t="n">
        <f aca="false">W419</f>
        <v>-182.103705036234</v>
      </c>
      <c r="V420" s="58" t="n">
        <f aca="false">IF(T420=1,U420*$B$22,0)</f>
        <v>0</v>
      </c>
      <c r="W420" s="58" t="n">
        <f aca="false">IF(T420=1,U420+V420-$B$27,U420)</f>
        <v>-182.103705036234</v>
      </c>
      <c r="X420" s="56" t="n">
        <f aca="false">IF(T420=1,IF($B$27&lt;=V420,1,0),0)</f>
        <v>0</v>
      </c>
      <c r="Y420" s="58" t="n">
        <f aca="false">Y419+V420</f>
        <v>113000.408372882</v>
      </c>
    </row>
    <row r="421" customFormat="false" ht="15" hidden="false" customHeight="false" outlineLevel="0" collapsed="false">
      <c r="K421" s="56" t="n">
        <f aca="false">K420+1</f>
        <v>414</v>
      </c>
      <c r="L421" s="57" t="n">
        <f aca="false">IF(AND(K421&lt;=Assumptions!$C$42,L420=1,P420=0,O420&gt;Assumptions!$C$43),1,0)</f>
        <v>0</v>
      </c>
      <c r="M421" s="58" t="n">
        <f aca="false">O420</f>
        <v>8.10541678220034E-009</v>
      </c>
      <c r="N421" s="58" t="n">
        <f aca="false">IF(L421=1,M421*$B$22,0)</f>
        <v>0</v>
      </c>
      <c r="O421" s="58" t="n">
        <f aca="false">IF(L421=1,M421+N421-$B$26,M421)</f>
        <v>8.10541678220034E-009</v>
      </c>
      <c r="P421" s="56" t="n">
        <f aca="false">IF(L421=1,IF($B$26&lt;=N421,1,0),0)</f>
        <v>0</v>
      </c>
      <c r="Q421" s="58" t="n">
        <f aca="false">Q420+N421</f>
        <v>145877.630223336</v>
      </c>
      <c r="S421" s="56" t="n">
        <f aca="false">S420+1</f>
        <v>414</v>
      </c>
      <c r="T421" s="57" t="n">
        <f aca="false">IF(AND(S421&lt;=Assumptions!$C$42,T420=1,X420=0,W420&gt;Assumptions!$C$43),1,0)</f>
        <v>0</v>
      </c>
      <c r="U421" s="58" t="n">
        <f aca="false">W420</f>
        <v>-182.103705036234</v>
      </c>
      <c r="V421" s="58" t="n">
        <f aca="false">IF(T421=1,U421*$B$22,0)</f>
        <v>0</v>
      </c>
      <c r="W421" s="58" t="n">
        <f aca="false">IF(T421=1,U421+V421-$B$27,U421)</f>
        <v>-182.103705036234</v>
      </c>
      <c r="X421" s="56" t="n">
        <f aca="false">IF(T421=1,IF($B$27&lt;=V421,1,0),0)</f>
        <v>0</v>
      </c>
      <c r="Y421" s="58" t="n">
        <f aca="false">Y420+V421</f>
        <v>113000.408372882</v>
      </c>
    </row>
    <row r="422" customFormat="false" ht="15" hidden="false" customHeight="false" outlineLevel="0" collapsed="false">
      <c r="K422" s="56" t="n">
        <f aca="false">K421+1</f>
        <v>415</v>
      </c>
      <c r="L422" s="57" t="n">
        <f aca="false">IF(AND(K422&lt;=Assumptions!$C$42,L421=1,P421=0,O421&gt;Assumptions!$C$43),1,0)</f>
        <v>0</v>
      </c>
      <c r="M422" s="58" t="n">
        <f aca="false">O421</f>
        <v>8.10541678220034E-009</v>
      </c>
      <c r="N422" s="58" t="n">
        <f aca="false">IF(L422=1,M422*$B$22,0)</f>
        <v>0</v>
      </c>
      <c r="O422" s="58" t="n">
        <f aca="false">IF(L422=1,M422+N422-$B$26,M422)</f>
        <v>8.10541678220034E-009</v>
      </c>
      <c r="P422" s="56" t="n">
        <f aca="false">IF(L422=1,IF($B$26&lt;=N422,1,0),0)</f>
        <v>0</v>
      </c>
      <c r="Q422" s="58" t="n">
        <f aca="false">Q421+N422</f>
        <v>145877.630223336</v>
      </c>
      <c r="S422" s="56" t="n">
        <f aca="false">S421+1</f>
        <v>415</v>
      </c>
      <c r="T422" s="57" t="n">
        <f aca="false">IF(AND(S422&lt;=Assumptions!$C$42,T421=1,X421=0,W421&gt;Assumptions!$C$43),1,0)</f>
        <v>0</v>
      </c>
      <c r="U422" s="58" t="n">
        <f aca="false">W421</f>
        <v>-182.103705036234</v>
      </c>
      <c r="V422" s="58" t="n">
        <f aca="false">IF(T422=1,U422*$B$22,0)</f>
        <v>0</v>
      </c>
      <c r="W422" s="58" t="n">
        <f aca="false">IF(T422=1,U422+V422-$B$27,U422)</f>
        <v>-182.103705036234</v>
      </c>
      <c r="X422" s="56" t="n">
        <f aca="false">IF(T422=1,IF($B$27&lt;=V422,1,0),0)</f>
        <v>0</v>
      </c>
      <c r="Y422" s="58" t="n">
        <f aca="false">Y421+V422</f>
        <v>113000.408372882</v>
      </c>
    </row>
    <row r="423" customFormat="false" ht="15" hidden="false" customHeight="false" outlineLevel="0" collapsed="false">
      <c r="K423" s="56" t="n">
        <f aca="false">K422+1</f>
        <v>416</v>
      </c>
      <c r="L423" s="57" t="n">
        <f aca="false">IF(AND(K423&lt;=Assumptions!$C$42,L422=1,P422=0,O422&gt;Assumptions!$C$43),1,0)</f>
        <v>0</v>
      </c>
      <c r="M423" s="58" t="n">
        <f aca="false">O422</f>
        <v>8.10541678220034E-009</v>
      </c>
      <c r="N423" s="58" t="n">
        <f aca="false">IF(L423=1,M423*$B$22,0)</f>
        <v>0</v>
      </c>
      <c r="O423" s="58" t="n">
        <f aca="false">IF(L423=1,M423+N423-$B$26,M423)</f>
        <v>8.10541678220034E-009</v>
      </c>
      <c r="P423" s="56" t="n">
        <f aca="false">IF(L423=1,IF($B$26&lt;=N423,1,0),0)</f>
        <v>0</v>
      </c>
      <c r="Q423" s="58" t="n">
        <f aca="false">Q422+N423</f>
        <v>145877.630223336</v>
      </c>
      <c r="S423" s="56" t="n">
        <f aca="false">S422+1</f>
        <v>416</v>
      </c>
      <c r="T423" s="57" t="n">
        <f aca="false">IF(AND(S423&lt;=Assumptions!$C$42,T422=1,X422=0,W422&gt;Assumptions!$C$43),1,0)</f>
        <v>0</v>
      </c>
      <c r="U423" s="58" t="n">
        <f aca="false">W422</f>
        <v>-182.103705036234</v>
      </c>
      <c r="V423" s="58" t="n">
        <f aca="false">IF(T423=1,U423*$B$22,0)</f>
        <v>0</v>
      </c>
      <c r="W423" s="58" t="n">
        <f aca="false">IF(T423=1,U423+V423-$B$27,U423)</f>
        <v>-182.103705036234</v>
      </c>
      <c r="X423" s="56" t="n">
        <f aca="false">IF(T423=1,IF($B$27&lt;=V423,1,0),0)</f>
        <v>0</v>
      </c>
      <c r="Y423" s="58" t="n">
        <f aca="false">Y422+V423</f>
        <v>113000.408372882</v>
      </c>
    </row>
    <row r="424" customFormat="false" ht="15" hidden="false" customHeight="false" outlineLevel="0" collapsed="false">
      <c r="K424" s="56" t="n">
        <f aca="false">K423+1</f>
        <v>417</v>
      </c>
      <c r="L424" s="57" t="n">
        <f aca="false">IF(AND(K424&lt;=Assumptions!$C$42,L423=1,P423=0,O423&gt;Assumptions!$C$43),1,0)</f>
        <v>0</v>
      </c>
      <c r="M424" s="58" t="n">
        <f aca="false">O423</f>
        <v>8.10541678220034E-009</v>
      </c>
      <c r="N424" s="58" t="n">
        <f aca="false">IF(L424=1,M424*$B$22,0)</f>
        <v>0</v>
      </c>
      <c r="O424" s="58" t="n">
        <f aca="false">IF(L424=1,M424+N424-$B$26,M424)</f>
        <v>8.10541678220034E-009</v>
      </c>
      <c r="P424" s="56" t="n">
        <f aca="false">IF(L424=1,IF($B$26&lt;=N424,1,0),0)</f>
        <v>0</v>
      </c>
      <c r="Q424" s="58" t="n">
        <f aca="false">Q423+N424</f>
        <v>145877.630223336</v>
      </c>
      <c r="S424" s="56" t="n">
        <f aca="false">S423+1</f>
        <v>417</v>
      </c>
      <c r="T424" s="57" t="n">
        <f aca="false">IF(AND(S424&lt;=Assumptions!$C$42,T423=1,X423=0,W423&gt;Assumptions!$C$43),1,0)</f>
        <v>0</v>
      </c>
      <c r="U424" s="58" t="n">
        <f aca="false">W423</f>
        <v>-182.103705036234</v>
      </c>
      <c r="V424" s="58" t="n">
        <f aca="false">IF(T424=1,U424*$B$22,0)</f>
        <v>0</v>
      </c>
      <c r="W424" s="58" t="n">
        <f aca="false">IF(T424=1,U424+V424-$B$27,U424)</f>
        <v>-182.103705036234</v>
      </c>
      <c r="X424" s="56" t="n">
        <f aca="false">IF(T424=1,IF($B$27&lt;=V424,1,0),0)</f>
        <v>0</v>
      </c>
      <c r="Y424" s="58" t="n">
        <f aca="false">Y423+V424</f>
        <v>113000.408372882</v>
      </c>
    </row>
    <row r="425" customFormat="false" ht="15" hidden="false" customHeight="false" outlineLevel="0" collapsed="false">
      <c r="K425" s="56" t="n">
        <f aca="false">K424+1</f>
        <v>418</v>
      </c>
      <c r="L425" s="57" t="n">
        <f aca="false">IF(AND(K425&lt;=Assumptions!$C$42,L424=1,P424=0,O424&gt;Assumptions!$C$43),1,0)</f>
        <v>0</v>
      </c>
      <c r="M425" s="58" t="n">
        <f aca="false">O424</f>
        <v>8.10541678220034E-009</v>
      </c>
      <c r="N425" s="58" t="n">
        <f aca="false">IF(L425=1,M425*$B$22,0)</f>
        <v>0</v>
      </c>
      <c r="O425" s="58" t="n">
        <f aca="false">IF(L425=1,M425+N425-$B$26,M425)</f>
        <v>8.10541678220034E-009</v>
      </c>
      <c r="P425" s="56" t="n">
        <f aca="false">IF(L425=1,IF($B$26&lt;=N425,1,0),0)</f>
        <v>0</v>
      </c>
      <c r="Q425" s="58" t="n">
        <f aca="false">Q424+N425</f>
        <v>145877.630223336</v>
      </c>
      <c r="S425" s="56" t="n">
        <f aca="false">S424+1</f>
        <v>418</v>
      </c>
      <c r="T425" s="57" t="n">
        <f aca="false">IF(AND(S425&lt;=Assumptions!$C$42,T424=1,X424=0,W424&gt;Assumptions!$C$43),1,0)</f>
        <v>0</v>
      </c>
      <c r="U425" s="58" t="n">
        <f aca="false">W424</f>
        <v>-182.103705036234</v>
      </c>
      <c r="V425" s="58" t="n">
        <f aca="false">IF(T425=1,U425*$B$22,0)</f>
        <v>0</v>
      </c>
      <c r="W425" s="58" t="n">
        <f aca="false">IF(T425=1,U425+V425-$B$27,U425)</f>
        <v>-182.103705036234</v>
      </c>
      <c r="X425" s="56" t="n">
        <f aca="false">IF(T425=1,IF($B$27&lt;=V425,1,0),0)</f>
        <v>0</v>
      </c>
      <c r="Y425" s="58" t="n">
        <f aca="false">Y424+V425</f>
        <v>113000.408372882</v>
      </c>
    </row>
    <row r="426" customFormat="false" ht="15" hidden="false" customHeight="false" outlineLevel="0" collapsed="false">
      <c r="K426" s="56" t="n">
        <f aca="false">K425+1</f>
        <v>419</v>
      </c>
      <c r="L426" s="57" t="n">
        <f aca="false">IF(AND(K426&lt;=Assumptions!$C$42,L425=1,P425=0,O425&gt;Assumptions!$C$43),1,0)</f>
        <v>0</v>
      </c>
      <c r="M426" s="58" t="n">
        <f aca="false">O425</f>
        <v>8.10541678220034E-009</v>
      </c>
      <c r="N426" s="58" t="n">
        <f aca="false">IF(L426=1,M426*$B$22,0)</f>
        <v>0</v>
      </c>
      <c r="O426" s="58" t="n">
        <f aca="false">IF(L426=1,M426+N426-$B$26,M426)</f>
        <v>8.10541678220034E-009</v>
      </c>
      <c r="P426" s="56" t="n">
        <f aca="false">IF(L426=1,IF($B$26&lt;=N426,1,0),0)</f>
        <v>0</v>
      </c>
      <c r="Q426" s="58" t="n">
        <f aca="false">Q425+N426</f>
        <v>145877.630223336</v>
      </c>
      <c r="S426" s="56" t="n">
        <f aca="false">S425+1</f>
        <v>419</v>
      </c>
      <c r="T426" s="57" t="n">
        <f aca="false">IF(AND(S426&lt;=Assumptions!$C$42,T425=1,X425=0,W425&gt;Assumptions!$C$43),1,0)</f>
        <v>0</v>
      </c>
      <c r="U426" s="58" t="n">
        <f aca="false">W425</f>
        <v>-182.103705036234</v>
      </c>
      <c r="V426" s="58" t="n">
        <f aca="false">IF(T426=1,U426*$B$22,0)</f>
        <v>0</v>
      </c>
      <c r="W426" s="58" t="n">
        <f aca="false">IF(T426=1,U426+V426-$B$27,U426)</f>
        <v>-182.103705036234</v>
      </c>
      <c r="X426" s="56" t="n">
        <f aca="false">IF(T426=1,IF($B$27&lt;=V426,1,0),0)</f>
        <v>0</v>
      </c>
      <c r="Y426" s="58" t="n">
        <f aca="false">Y425+V426</f>
        <v>113000.408372882</v>
      </c>
    </row>
    <row r="427" customFormat="false" ht="15" hidden="false" customHeight="false" outlineLevel="0" collapsed="false">
      <c r="K427" s="56" t="n">
        <f aca="false">K426+1</f>
        <v>420</v>
      </c>
      <c r="L427" s="57" t="n">
        <f aca="false">IF(AND(K427&lt;=Assumptions!$C$42,L426=1,P426=0,O426&gt;Assumptions!$C$43),1,0)</f>
        <v>0</v>
      </c>
      <c r="M427" s="58" t="n">
        <f aca="false">O426</f>
        <v>8.10541678220034E-009</v>
      </c>
      <c r="N427" s="58" t="n">
        <f aca="false">IF(L427=1,M427*$B$22,0)</f>
        <v>0</v>
      </c>
      <c r="O427" s="58" t="n">
        <f aca="false">IF(L427=1,M427+N427-$B$26,M427)</f>
        <v>8.10541678220034E-009</v>
      </c>
      <c r="P427" s="56" t="n">
        <f aca="false">IF(L427=1,IF($B$26&lt;=N427,1,0),0)</f>
        <v>0</v>
      </c>
      <c r="Q427" s="58" t="n">
        <f aca="false">Q426+N427</f>
        <v>145877.630223336</v>
      </c>
      <c r="S427" s="56" t="n">
        <f aca="false">S426+1</f>
        <v>420</v>
      </c>
      <c r="T427" s="57" t="n">
        <f aca="false">IF(AND(S427&lt;=Assumptions!$C$42,T426=1,X426=0,W426&gt;Assumptions!$C$43),1,0)</f>
        <v>0</v>
      </c>
      <c r="U427" s="58" t="n">
        <f aca="false">W426</f>
        <v>-182.103705036234</v>
      </c>
      <c r="V427" s="58" t="n">
        <f aca="false">IF(T427=1,U427*$B$22,0)</f>
        <v>0</v>
      </c>
      <c r="W427" s="58" t="n">
        <f aca="false">IF(T427=1,U427+V427-$B$27,U427)</f>
        <v>-182.103705036234</v>
      </c>
      <c r="X427" s="56" t="n">
        <f aca="false">IF(T427=1,IF($B$27&lt;=V427,1,0),0)</f>
        <v>0</v>
      </c>
      <c r="Y427" s="58" t="n">
        <f aca="false">Y426+V427</f>
        <v>113000.408372882</v>
      </c>
    </row>
    <row r="428" customFormat="false" ht="15" hidden="false" customHeight="false" outlineLevel="0" collapsed="false">
      <c r="K428" s="56" t="n">
        <f aca="false">K427+1</f>
        <v>421</v>
      </c>
      <c r="L428" s="57" t="n">
        <f aca="false">IF(AND(K428&lt;=Assumptions!$C$42,L427=1,P427=0,O427&gt;Assumptions!$C$43),1,0)</f>
        <v>0</v>
      </c>
      <c r="M428" s="58" t="n">
        <f aca="false">O427</f>
        <v>8.10541678220034E-009</v>
      </c>
      <c r="N428" s="58" t="n">
        <f aca="false">IF(L428=1,M428*$B$22,0)</f>
        <v>0</v>
      </c>
      <c r="O428" s="58" t="n">
        <f aca="false">IF(L428=1,M428+N428-$B$26,M428)</f>
        <v>8.10541678220034E-009</v>
      </c>
      <c r="P428" s="56" t="n">
        <f aca="false">IF(L428=1,IF($B$26&lt;=N428,1,0),0)</f>
        <v>0</v>
      </c>
      <c r="Q428" s="58" t="n">
        <f aca="false">Q427+N428</f>
        <v>145877.630223336</v>
      </c>
      <c r="S428" s="56" t="n">
        <f aca="false">S427+1</f>
        <v>421</v>
      </c>
      <c r="T428" s="57" t="n">
        <f aca="false">IF(AND(S428&lt;=Assumptions!$C$42,T427=1,X427=0,W427&gt;Assumptions!$C$43),1,0)</f>
        <v>0</v>
      </c>
      <c r="U428" s="58" t="n">
        <f aca="false">W427</f>
        <v>-182.103705036234</v>
      </c>
      <c r="V428" s="58" t="n">
        <f aca="false">IF(T428=1,U428*$B$22,0)</f>
        <v>0</v>
      </c>
      <c r="W428" s="58" t="n">
        <f aca="false">IF(T428=1,U428+V428-$B$27,U428)</f>
        <v>-182.103705036234</v>
      </c>
      <c r="X428" s="56" t="n">
        <f aca="false">IF(T428=1,IF($B$27&lt;=V428,1,0),0)</f>
        <v>0</v>
      </c>
      <c r="Y428" s="58" t="n">
        <f aca="false">Y427+V428</f>
        <v>113000.408372882</v>
      </c>
    </row>
    <row r="429" customFormat="false" ht="15" hidden="false" customHeight="false" outlineLevel="0" collapsed="false">
      <c r="K429" s="56" t="n">
        <f aca="false">K428+1</f>
        <v>422</v>
      </c>
      <c r="L429" s="57" t="n">
        <f aca="false">IF(AND(K429&lt;=Assumptions!$C$42,L428=1,P428=0,O428&gt;Assumptions!$C$43),1,0)</f>
        <v>0</v>
      </c>
      <c r="M429" s="58" t="n">
        <f aca="false">O428</f>
        <v>8.10541678220034E-009</v>
      </c>
      <c r="N429" s="58" t="n">
        <f aca="false">IF(L429=1,M429*$B$22,0)</f>
        <v>0</v>
      </c>
      <c r="O429" s="58" t="n">
        <f aca="false">IF(L429=1,M429+N429-$B$26,M429)</f>
        <v>8.10541678220034E-009</v>
      </c>
      <c r="P429" s="56" t="n">
        <f aca="false">IF(L429=1,IF($B$26&lt;=N429,1,0),0)</f>
        <v>0</v>
      </c>
      <c r="Q429" s="58" t="n">
        <f aca="false">Q428+N429</f>
        <v>145877.630223336</v>
      </c>
      <c r="S429" s="56" t="n">
        <f aca="false">S428+1</f>
        <v>422</v>
      </c>
      <c r="T429" s="57" t="n">
        <f aca="false">IF(AND(S429&lt;=Assumptions!$C$42,T428=1,X428=0,W428&gt;Assumptions!$C$43),1,0)</f>
        <v>0</v>
      </c>
      <c r="U429" s="58" t="n">
        <f aca="false">W428</f>
        <v>-182.103705036234</v>
      </c>
      <c r="V429" s="58" t="n">
        <f aca="false">IF(T429=1,U429*$B$22,0)</f>
        <v>0</v>
      </c>
      <c r="W429" s="58" t="n">
        <f aca="false">IF(T429=1,U429+V429-$B$27,U429)</f>
        <v>-182.103705036234</v>
      </c>
      <c r="X429" s="56" t="n">
        <f aca="false">IF(T429=1,IF($B$27&lt;=V429,1,0),0)</f>
        <v>0</v>
      </c>
      <c r="Y429" s="58" t="n">
        <f aca="false">Y428+V429</f>
        <v>113000.408372882</v>
      </c>
    </row>
    <row r="430" customFormat="false" ht="15" hidden="false" customHeight="false" outlineLevel="0" collapsed="false">
      <c r="K430" s="56" t="n">
        <f aca="false">K429+1</f>
        <v>423</v>
      </c>
      <c r="L430" s="57" t="n">
        <f aca="false">IF(AND(K430&lt;=Assumptions!$C$42,L429=1,P429=0,O429&gt;Assumptions!$C$43),1,0)</f>
        <v>0</v>
      </c>
      <c r="M430" s="58" t="n">
        <f aca="false">O429</f>
        <v>8.10541678220034E-009</v>
      </c>
      <c r="N430" s="58" t="n">
        <f aca="false">IF(L430=1,M430*$B$22,0)</f>
        <v>0</v>
      </c>
      <c r="O430" s="58" t="n">
        <f aca="false">IF(L430=1,M430+N430-$B$26,M430)</f>
        <v>8.10541678220034E-009</v>
      </c>
      <c r="P430" s="56" t="n">
        <f aca="false">IF(L430=1,IF($B$26&lt;=N430,1,0),0)</f>
        <v>0</v>
      </c>
      <c r="Q430" s="58" t="n">
        <f aca="false">Q429+N430</f>
        <v>145877.630223336</v>
      </c>
      <c r="S430" s="56" t="n">
        <f aca="false">S429+1</f>
        <v>423</v>
      </c>
      <c r="T430" s="57" t="n">
        <f aca="false">IF(AND(S430&lt;=Assumptions!$C$42,T429=1,X429=0,W429&gt;Assumptions!$C$43),1,0)</f>
        <v>0</v>
      </c>
      <c r="U430" s="58" t="n">
        <f aca="false">W429</f>
        <v>-182.103705036234</v>
      </c>
      <c r="V430" s="58" t="n">
        <f aca="false">IF(T430=1,U430*$B$22,0)</f>
        <v>0</v>
      </c>
      <c r="W430" s="58" t="n">
        <f aca="false">IF(T430=1,U430+V430-$B$27,U430)</f>
        <v>-182.103705036234</v>
      </c>
      <c r="X430" s="56" t="n">
        <f aca="false">IF(T430=1,IF($B$27&lt;=V430,1,0),0)</f>
        <v>0</v>
      </c>
      <c r="Y430" s="58" t="n">
        <f aca="false">Y429+V430</f>
        <v>113000.408372882</v>
      </c>
    </row>
    <row r="431" customFormat="false" ht="15" hidden="false" customHeight="false" outlineLevel="0" collapsed="false">
      <c r="K431" s="56" t="n">
        <f aca="false">K430+1</f>
        <v>424</v>
      </c>
      <c r="L431" s="57" t="n">
        <f aca="false">IF(AND(K431&lt;=Assumptions!$C$42,L430=1,P430=0,O430&gt;Assumptions!$C$43),1,0)</f>
        <v>0</v>
      </c>
      <c r="M431" s="58" t="n">
        <f aca="false">O430</f>
        <v>8.10541678220034E-009</v>
      </c>
      <c r="N431" s="58" t="n">
        <f aca="false">IF(L431=1,M431*$B$22,0)</f>
        <v>0</v>
      </c>
      <c r="O431" s="58" t="n">
        <f aca="false">IF(L431=1,M431+N431-$B$26,M431)</f>
        <v>8.10541678220034E-009</v>
      </c>
      <c r="P431" s="56" t="n">
        <f aca="false">IF(L431=1,IF($B$26&lt;=N431,1,0),0)</f>
        <v>0</v>
      </c>
      <c r="Q431" s="58" t="n">
        <f aca="false">Q430+N431</f>
        <v>145877.630223336</v>
      </c>
      <c r="S431" s="56" t="n">
        <f aca="false">S430+1</f>
        <v>424</v>
      </c>
      <c r="T431" s="57" t="n">
        <f aca="false">IF(AND(S431&lt;=Assumptions!$C$42,T430=1,X430=0,W430&gt;Assumptions!$C$43),1,0)</f>
        <v>0</v>
      </c>
      <c r="U431" s="58" t="n">
        <f aca="false">W430</f>
        <v>-182.103705036234</v>
      </c>
      <c r="V431" s="58" t="n">
        <f aca="false">IF(T431=1,U431*$B$22,0)</f>
        <v>0</v>
      </c>
      <c r="W431" s="58" t="n">
        <f aca="false">IF(T431=1,U431+V431-$B$27,U431)</f>
        <v>-182.103705036234</v>
      </c>
      <c r="X431" s="56" t="n">
        <f aca="false">IF(T431=1,IF($B$27&lt;=V431,1,0),0)</f>
        <v>0</v>
      </c>
      <c r="Y431" s="58" t="n">
        <f aca="false">Y430+V431</f>
        <v>113000.408372882</v>
      </c>
    </row>
    <row r="432" customFormat="false" ht="15" hidden="false" customHeight="false" outlineLevel="0" collapsed="false">
      <c r="K432" s="56" t="n">
        <f aca="false">K431+1</f>
        <v>425</v>
      </c>
      <c r="L432" s="57" t="n">
        <f aca="false">IF(AND(K432&lt;=Assumptions!$C$42,L431=1,P431=0,O431&gt;Assumptions!$C$43),1,0)</f>
        <v>0</v>
      </c>
      <c r="M432" s="58" t="n">
        <f aca="false">O431</f>
        <v>8.10541678220034E-009</v>
      </c>
      <c r="N432" s="58" t="n">
        <f aca="false">IF(L432=1,M432*$B$22,0)</f>
        <v>0</v>
      </c>
      <c r="O432" s="58" t="n">
        <f aca="false">IF(L432=1,M432+N432-$B$26,M432)</f>
        <v>8.10541678220034E-009</v>
      </c>
      <c r="P432" s="56" t="n">
        <f aca="false">IF(L432=1,IF($B$26&lt;=N432,1,0),0)</f>
        <v>0</v>
      </c>
      <c r="Q432" s="58" t="n">
        <f aca="false">Q431+N432</f>
        <v>145877.630223336</v>
      </c>
      <c r="S432" s="56" t="n">
        <f aca="false">S431+1</f>
        <v>425</v>
      </c>
      <c r="T432" s="57" t="n">
        <f aca="false">IF(AND(S432&lt;=Assumptions!$C$42,T431=1,X431=0,W431&gt;Assumptions!$C$43),1,0)</f>
        <v>0</v>
      </c>
      <c r="U432" s="58" t="n">
        <f aca="false">W431</f>
        <v>-182.103705036234</v>
      </c>
      <c r="V432" s="58" t="n">
        <f aca="false">IF(T432=1,U432*$B$22,0)</f>
        <v>0</v>
      </c>
      <c r="W432" s="58" t="n">
        <f aca="false">IF(T432=1,U432+V432-$B$27,U432)</f>
        <v>-182.103705036234</v>
      </c>
      <c r="X432" s="56" t="n">
        <f aca="false">IF(T432=1,IF($B$27&lt;=V432,1,0),0)</f>
        <v>0</v>
      </c>
      <c r="Y432" s="58" t="n">
        <f aca="false">Y431+V432</f>
        <v>113000.408372882</v>
      </c>
    </row>
    <row r="433" customFormat="false" ht="15" hidden="false" customHeight="false" outlineLevel="0" collapsed="false">
      <c r="K433" s="56" t="n">
        <f aca="false">K432+1</f>
        <v>426</v>
      </c>
      <c r="L433" s="57" t="n">
        <f aca="false">IF(AND(K433&lt;=Assumptions!$C$42,L432=1,P432=0,O432&gt;Assumptions!$C$43),1,0)</f>
        <v>0</v>
      </c>
      <c r="M433" s="58" t="n">
        <f aca="false">O432</f>
        <v>8.10541678220034E-009</v>
      </c>
      <c r="N433" s="58" t="n">
        <f aca="false">IF(L433=1,M433*$B$22,0)</f>
        <v>0</v>
      </c>
      <c r="O433" s="58" t="n">
        <f aca="false">IF(L433=1,M433+N433-$B$26,M433)</f>
        <v>8.10541678220034E-009</v>
      </c>
      <c r="P433" s="56" t="n">
        <f aca="false">IF(L433=1,IF($B$26&lt;=N433,1,0),0)</f>
        <v>0</v>
      </c>
      <c r="Q433" s="58" t="n">
        <f aca="false">Q432+N433</f>
        <v>145877.630223336</v>
      </c>
      <c r="S433" s="56" t="n">
        <f aca="false">S432+1</f>
        <v>426</v>
      </c>
      <c r="T433" s="57" t="n">
        <f aca="false">IF(AND(S433&lt;=Assumptions!$C$42,T432=1,X432=0,W432&gt;Assumptions!$C$43),1,0)</f>
        <v>0</v>
      </c>
      <c r="U433" s="58" t="n">
        <f aca="false">W432</f>
        <v>-182.103705036234</v>
      </c>
      <c r="V433" s="58" t="n">
        <f aca="false">IF(T433=1,U433*$B$22,0)</f>
        <v>0</v>
      </c>
      <c r="W433" s="58" t="n">
        <f aca="false">IF(T433=1,U433+V433-$B$27,U433)</f>
        <v>-182.103705036234</v>
      </c>
      <c r="X433" s="56" t="n">
        <f aca="false">IF(T433=1,IF($B$27&lt;=V433,1,0),0)</f>
        <v>0</v>
      </c>
      <c r="Y433" s="58" t="n">
        <f aca="false">Y432+V433</f>
        <v>113000.408372882</v>
      </c>
    </row>
    <row r="434" customFormat="false" ht="15" hidden="false" customHeight="false" outlineLevel="0" collapsed="false">
      <c r="K434" s="56" t="n">
        <f aca="false">K433+1</f>
        <v>427</v>
      </c>
      <c r="L434" s="57" t="n">
        <f aca="false">IF(AND(K434&lt;=Assumptions!$C$42,L433=1,P433=0,O433&gt;Assumptions!$C$43),1,0)</f>
        <v>0</v>
      </c>
      <c r="M434" s="58" t="n">
        <f aca="false">O433</f>
        <v>8.10541678220034E-009</v>
      </c>
      <c r="N434" s="58" t="n">
        <f aca="false">IF(L434=1,M434*$B$22,0)</f>
        <v>0</v>
      </c>
      <c r="O434" s="58" t="n">
        <f aca="false">IF(L434=1,M434+N434-$B$26,M434)</f>
        <v>8.10541678220034E-009</v>
      </c>
      <c r="P434" s="56" t="n">
        <f aca="false">IF(L434=1,IF($B$26&lt;=N434,1,0),0)</f>
        <v>0</v>
      </c>
      <c r="Q434" s="58" t="n">
        <f aca="false">Q433+N434</f>
        <v>145877.630223336</v>
      </c>
      <c r="S434" s="56" t="n">
        <f aca="false">S433+1</f>
        <v>427</v>
      </c>
      <c r="T434" s="57" t="n">
        <f aca="false">IF(AND(S434&lt;=Assumptions!$C$42,T433=1,X433=0,W433&gt;Assumptions!$C$43),1,0)</f>
        <v>0</v>
      </c>
      <c r="U434" s="58" t="n">
        <f aca="false">W433</f>
        <v>-182.103705036234</v>
      </c>
      <c r="V434" s="58" t="n">
        <f aca="false">IF(T434=1,U434*$B$22,0)</f>
        <v>0</v>
      </c>
      <c r="W434" s="58" t="n">
        <f aca="false">IF(T434=1,U434+V434-$B$27,U434)</f>
        <v>-182.103705036234</v>
      </c>
      <c r="X434" s="56" t="n">
        <f aca="false">IF(T434=1,IF($B$27&lt;=V434,1,0),0)</f>
        <v>0</v>
      </c>
      <c r="Y434" s="58" t="n">
        <f aca="false">Y433+V434</f>
        <v>113000.408372882</v>
      </c>
    </row>
    <row r="435" customFormat="false" ht="15" hidden="false" customHeight="false" outlineLevel="0" collapsed="false">
      <c r="K435" s="56" t="n">
        <f aca="false">K434+1</f>
        <v>428</v>
      </c>
      <c r="L435" s="57" t="n">
        <f aca="false">IF(AND(K435&lt;=Assumptions!$C$42,L434=1,P434=0,O434&gt;Assumptions!$C$43),1,0)</f>
        <v>0</v>
      </c>
      <c r="M435" s="58" t="n">
        <f aca="false">O434</f>
        <v>8.10541678220034E-009</v>
      </c>
      <c r="N435" s="58" t="n">
        <f aca="false">IF(L435=1,M435*$B$22,0)</f>
        <v>0</v>
      </c>
      <c r="O435" s="58" t="n">
        <f aca="false">IF(L435=1,M435+N435-$B$26,M435)</f>
        <v>8.10541678220034E-009</v>
      </c>
      <c r="P435" s="56" t="n">
        <f aca="false">IF(L435=1,IF($B$26&lt;=N435,1,0),0)</f>
        <v>0</v>
      </c>
      <c r="Q435" s="58" t="n">
        <f aca="false">Q434+N435</f>
        <v>145877.630223336</v>
      </c>
      <c r="S435" s="56" t="n">
        <f aca="false">S434+1</f>
        <v>428</v>
      </c>
      <c r="T435" s="57" t="n">
        <f aca="false">IF(AND(S435&lt;=Assumptions!$C$42,T434=1,X434=0,W434&gt;Assumptions!$C$43),1,0)</f>
        <v>0</v>
      </c>
      <c r="U435" s="58" t="n">
        <f aca="false">W434</f>
        <v>-182.103705036234</v>
      </c>
      <c r="V435" s="58" t="n">
        <f aca="false">IF(T435=1,U435*$B$22,0)</f>
        <v>0</v>
      </c>
      <c r="W435" s="58" t="n">
        <f aca="false">IF(T435=1,U435+V435-$B$27,U435)</f>
        <v>-182.103705036234</v>
      </c>
      <c r="X435" s="56" t="n">
        <f aca="false">IF(T435=1,IF($B$27&lt;=V435,1,0),0)</f>
        <v>0</v>
      </c>
      <c r="Y435" s="58" t="n">
        <f aca="false">Y434+V435</f>
        <v>113000.408372882</v>
      </c>
    </row>
    <row r="436" customFormat="false" ht="15" hidden="false" customHeight="false" outlineLevel="0" collapsed="false">
      <c r="K436" s="56" t="n">
        <f aca="false">K435+1</f>
        <v>429</v>
      </c>
      <c r="L436" s="57" t="n">
        <f aca="false">IF(AND(K436&lt;=Assumptions!$C$42,L435=1,P435=0,O435&gt;Assumptions!$C$43),1,0)</f>
        <v>0</v>
      </c>
      <c r="M436" s="58" t="n">
        <f aca="false">O435</f>
        <v>8.10541678220034E-009</v>
      </c>
      <c r="N436" s="58" t="n">
        <f aca="false">IF(L436=1,M436*$B$22,0)</f>
        <v>0</v>
      </c>
      <c r="O436" s="58" t="n">
        <f aca="false">IF(L436=1,M436+N436-$B$26,M436)</f>
        <v>8.10541678220034E-009</v>
      </c>
      <c r="P436" s="56" t="n">
        <f aca="false">IF(L436=1,IF($B$26&lt;=N436,1,0),0)</f>
        <v>0</v>
      </c>
      <c r="Q436" s="58" t="n">
        <f aca="false">Q435+N436</f>
        <v>145877.630223336</v>
      </c>
      <c r="S436" s="56" t="n">
        <f aca="false">S435+1</f>
        <v>429</v>
      </c>
      <c r="T436" s="57" t="n">
        <f aca="false">IF(AND(S436&lt;=Assumptions!$C$42,T435=1,X435=0,W435&gt;Assumptions!$C$43),1,0)</f>
        <v>0</v>
      </c>
      <c r="U436" s="58" t="n">
        <f aca="false">W435</f>
        <v>-182.103705036234</v>
      </c>
      <c r="V436" s="58" t="n">
        <f aca="false">IF(T436=1,U436*$B$22,0)</f>
        <v>0</v>
      </c>
      <c r="W436" s="58" t="n">
        <f aca="false">IF(T436=1,U436+V436-$B$27,U436)</f>
        <v>-182.103705036234</v>
      </c>
      <c r="X436" s="56" t="n">
        <f aca="false">IF(T436=1,IF($B$27&lt;=V436,1,0),0)</f>
        <v>0</v>
      </c>
      <c r="Y436" s="58" t="n">
        <f aca="false">Y435+V436</f>
        <v>113000.408372882</v>
      </c>
    </row>
    <row r="437" customFormat="false" ht="15" hidden="false" customHeight="false" outlineLevel="0" collapsed="false">
      <c r="K437" s="56" t="n">
        <f aca="false">K436+1</f>
        <v>430</v>
      </c>
      <c r="L437" s="57" t="n">
        <f aca="false">IF(AND(K437&lt;=Assumptions!$C$42,L436=1,P436=0,O436&gt;Assumptions!$C$43),1,0)</f>
        <v>0</v>
      </c>
      <c r="M437" s="58" t="n">
        <f aca="false">O436</f>
        <v>8.10541678220034E-009</v>
      </c>
      <c r="N437" s="58" t="n">
        <f aca="false">IF(L437=1,M437*$B$22,0)</f>
        <v>0</v>
      </c>
      <c r="O437" s="58" t="n">
        <f aca="false">IF(L437=1,M437+N437-$B$26,M437)</f>
        <v>8.10541678220034E-009</v>
      </c>
      <c r="P437" s="56" t="n">
        <f aca="false">IF(L437=1,IF($B$26&lt;=N437,1,0),0)</f>
        <v>0</v>
      </c>
      <c r="Q437" s="58" t="n">
        <f aca="false">Q436+N437</f>
        <v>145877.630223336</v>
      </c>
      <c r="S437" s="56" t="n">
        <f aca="false">S436+1</f>
        <v>430</v>
      </c>
      <c r="T437" s="57" t="n">
        <f aca="false">IF(AND(S437&lt;=Assumptions!$C$42,T436=1,X436=0,W436&gt;Assumptions!$C$43),1,0)</f>
        <v>0</v>
      </c>
      <c r="U437" s="58" t="n">
        <f aca="false">W436</f>
        <v>-182.103705036234</v>
      </c>
      <c r="V437" s="58" t="n">
        <f aca="false">IF(T437=1,U437*$B$22,0)</f>
        <v>0</v>
      </c>
      <c r="W437" s="58" t="n">
        <f aca="false">IF(T437=1,U437+V437-$B$27,U437)</f>
        <v>-182.103705036234</v>
      </c>
      <c r="X437" s="56" t="n">
        <f aca="false">IF(T437=1,IF($B$27&lt;=V437,1,0),0)</f>
        <v>0</v>
      </c>
      <c r="Y437" s="58" t="n">
        <f aca="false">Y436+V437</f>
        <v>113000.408372882</v>
      </c>
    </row>
    <row r="438" customFormat="false" ht="15" hidden="false" customHeight="false" outlineLevel="0" collapsed="false">
      <c r="K438" s="56" t="n">
        <f aca="false">K437+1</f>
        <v>431</v>
      </c>
      <c r="L438" s="57" t="n">
        <f aca="false">IF(AND(K438&lt;=Assumptions!$C$42,L437=1,P437=0,O437&gt;Assumptions!$C$43),1,0)</f>
        <v>0</v>
      </c>
      <c r="M438" s="58" t="n">
        <f aca="false">O437</f>
        <v>8.10541678220034E-009</v>
      </c>
      <c r="N438" s="58" t="n">
        <f aca="false">IF(L438=1,M438*$B$22,0)</f>
        <v>0</v>
      </c>
      <c r="O438" s="58" t="n">
        <f aca="false">IF(L438=1,M438+N438-$B$26,M438)</f>
        <v>8.10541678220034E-009</v>
      </c>
      <c r="P438" s="56" t="n">
        <f aca="false">IF(L438=1,IF($B$26&lt;=N438,1,0),0)</f>
        <v>0</v>
      </c>
      <c r="Q438" s="58" t="n">
        <f aca="false">Q437+N438</f>
        <v>145877.630223336</v>
      </c>
      <c r="S438" s="56" t="n">
        <f aca="false">S437+1</f>
        <v>431</v>
      </c>
      <c r="T438" s="57" t="n">
        <f aca="false">IF(AND(S438&lt;=Assumptions!$C$42,T437=1,X437=0,W437&gt;Assumptions!$C$43),1,0)</f>
        <v>0</v>
      </c>
      <c r="U438" s="58" t="n">
        <f aca="false">W437</f>
        <v>-182.103705036234</v>
      </c>
      <c r="V438" s="58" t="n">
        <f aca="false">IF(T438=1,U438*$B$22,0)</f>
        <v>0</v>
      </c>
      <c r="W438" s="58" t="n">
        <f aca="false">IF(T438=1,U438+V438-$B$27,U438)</f>
        <v>-182.103705036234</v>
      </c>
      <c r="X438" s="56" t="n">
        <f aca="false">IF(T438=1,IF($B$27&lt;=V438,1,0),0)</f>
        <v>0</v>
      </c>
      <c r="Y438" s="58" t="n">
        <f aca="false">Y437+V438</f>
        <v>113000.408372882</v>
      </c>
    </row>
    <row r="439" customFormat="false" ht="15" hidden="false" customHeight="false" outlineLevel="0" collapsed="false">
      <c r="K439" s="56" t="n">
        <f aca="false">K438+1</f>
        <v>432</v>
      </c>
      <c r="L439" s="57" t="n">
        <f aca="false">IF(AND(K439&lt;=Assumptions!$C$42,L438=1,P438=0,O438&gt;Assumptions!$C$43),1,0)</f>
        <v>0</v>
      </c>
      <c r="M439" s="58" t="n">
        <f aca="false">O438</f>
        <v>8.10541678220034E-009</v>
      </c>
      <c r="N439" s="58" t="n">
        <f aca="false">IF(L439=1,M439*$B$22,0)</f>
        <v>0</v>
      </c>
      <c r="O439" s="58" t="n">
        <f aca="false">IF(L439=1,M439+N439-$B$26,M439)</f>
        <v>8.10541678220034E-009</v>
      </c>
      <c r="P439" s="56" t="n">
        <f aca="false">IF(L439=1,IF($B$26&lt;=N439,1,0),0)</f>
        <v>0</v>
      </c>
      <c r="Q439" s="58" t="n">
        <f aca="false">Q438+N439</f>
        <v>145877.630223336</v>
      </c>
      <c r="S439" s="56" t="n">
        <f aca="false">S438+1</f>
        <v>432</v>
      </c>
      <c r="T439" s="57" t="n">
        <f aca="false">IF(AND(S439&lt;=Assumptions!$C$42,T438=1,X438=0,W438&gt;Assumptions!$C$43),1,0)</f>
        <v>0</v>
      </c>
      <c r="U439" s="58" t="n">
        <f aca="false">W438</f>
        <v>-182.103705036234</v>
      </c>
      <c r="V439" s="58" t="n">
        <f aca="false">IF(T439=1,U439*$B$22,0)</f>
        <v>0</v>
      </c>
      <c r="W439" s="58" t="n">
        <f aca="false">IF(T439=1,U439+V439-$B$27,U439)</f>
        <v>-182.103705036234</v>
      </c>
      <c r="X439" s="56" t="n">
        <f aca="false">IF(T439=1,IF($B$27&lt;=V439,1,0),0)</f>
        <v>0</v>
      </c>
      <c r="Y439" s="58" t="n">
        <f aca="false">Y438+V439</f>
        <v>113000.408372882</v>
      </c>
    </row>
    <row r="440" customFormat="false" ht="15" hidden="false" customHeight="false" outlineLevel="0" collapsed="false">
      <c r="K440" s="56" t="n">
        <f aca="false">K439+1</f>
        <v>433</v>
      </c>
      <c r="L440" s="57" t="n">
        <f aca="false">IF(AND(K440&lt;=Assumptions!$C$42,L439=1,P439=0,O439&gt;Assumptions!$C$43),1,0)</f>
        <v>0</v>
      </c>
      <c r="M440" s="58" t="n">
        <f aca="false">O439</f>
        <v>8.10541678220034E-009</v>
      </c>
      <c r="N440" s="58" t="n">
        <f aca="false">IF(L440=1,M440*$B$22,0)</f>
        <v>0</v>
      </c>
      <c r="O440" s="58" t="n">
        <f aca="false">IF(L440=1,M440+N440-$B$26,M440)</f>
        <v>8.10541678220034E-009</v>
      </c>
      <c r="P440" s="56" t="n">
        <f aca="false">IF(L440=1,IF($B$26&lt;=N440,1,0),0)</f>
        <v>0</v>
      </c>
      <c r="Q440" s="58" t="n">
        <f aca="false">Q439+N440</f>
        <v>145877.630223336</v>
      </c>
      <c r="S440" s="56" t="n">
        <f aca="false">S439+1</f>
        <v>433</v>
      </c>
      <c r="T440" s="57" t="n">
        <f aca="false">IF(AND(S440&lt;=Assumptions!$C$42,T439=1,X439=0,W439&gt;Assumptions!$C$43),1,0)</f>
        <v>0</v>
      </c>
      <c r="U440" s="58" t="n">
        <f aca="false">W439</f>
        <v>-182.103705036234</v>
      </c>
      <c r="V440" s="58" t="n">
        <f aca="false">IF(T440=1,U440*$B$22,0)</f>
        <v>0</v>
      </c>
      <c r="W440" s="58" t="n">
        <f aca="false">IF(T440=1,U440+V440-$B$27,U440)</f>
        <v>-182.103705036234</v>
      </c>
      <c r="X440" s="56" t="n">
        <f aca="false">IF(T440=1,IF($B$27&lt;=V440,1,0),0)</f>
        <v>0</v>
      </c>
      <c r="Y440" s="58" t="n">
        <f aca="false">Y439+V440</f>
        <v>113000.408372882</v>
      </c>
    </row>
    <row r="441" customFormat="false" ht="15" hidden="false" customHeight="false" outlineLevel="0" collapsed="false">
      <c r="K441" s="56" t="n">
        <f aca="false">K440+1</f>
        <v>434</v>
      </c>
      <c r="L441" s="57" t="n">
        <f aca="false">IF(AND(K441&lt;=Assumptions!$C$42,L440=1,P440=0,O440&gt;Assumptions!$C$43),1,0)</f>
        <v>0</v>
      </c>
      <c r="M441" s="58" t="n">
        <f aca="false">O440</f>
        <v>8.10541678220034E-009</v>
      </c>
      <c r="N441" s="58" t="n">
        <f aca="false">IF(L441=1,M441*$B$22,0)</f>
        <v>0</v>
      </c>
      <c r="O441" s="58" t="n">
        <f aca="false">IF(L441=1,M441+N441-$B$26,M441)</f>
        <v>8.10541678220034E-009</v>
      </c>
      <c r="P441" s="56" t="n">
        <f aca="false">IF(L441=1,IF($B$26&lt;=N441,1,0),0)</f>
        <v>0</v>
      </c>
      <c r="Q441" s="58" t="n">
        <f aca="false">Q440+N441</f>
        <v>145877.630223336</v>
      </c>
      <c r="S441" s="56" t="n">
        <f aca="false">S440+1</f>
        <v>434</v>
      </c>
      <c r="T441" s="57" t="n">
        <f aca="false">IF(AND(S441&lt;=Assumptions!$C$42,T440=1,X440=0,W440&gt;Assumptions!$C$43),1,0)</f>
        <v>0</v>
      </c>
      <c r="U441" s="58" t="n">
        <f aca="false">W440</f>
        <v>-182.103705036234</v>
      </c>
      <c r="V441" s="58" t="n">
        <f aca="false">IF(T441=1,U441*$B$22,0)</f>
        <v>0</v>
      </c>
      <c r="W441" s="58" t="n">
        <f aca="false">IF(T441=1,U441+V441-$B$27,U441)</f>
        <v>-182.103705036234</v>
      </c>
      <c r="X441" s="56" t="n">
        <f aca="false">IF(T441=1,IF($B$27&lt;=V441,1,0),0)</f>
        <v>0</v>
      </c>
      <c r="Y441" s="58" t="n">
        <f aca="false">Y440+V441</f>
        <v>113000.408372882</v>
      </c>
    </row>
    <row r="442" customFormat="false" ht="15" hidden="false" customHeight="false" outlineLevel="0" collapsed="false">
      <c r="K442" s="56" t="n">
        <f aca="false">K441+1</f>
        <v>435</v>
      </c>
      <c r="L442" s="57" t="n">
        <f aca="false">IF(AND(K442&lt;=Assumptions!$C$42,L441=1,P441=0,O441&gt;Assumptions!$C$43),1,0)</f>
        <v>0</v>
      </c>
      <c r="M442" s="58" t="n">
        <f aca="false">O441</f>
        <v>8.10541678220034E-009</v>
      </c>
      <c r="N442" s="58" t="n">
        <f aca="false">IF(L442=1,M442*$B$22,0)</f>
        <v>0</v>
      </c>
      <c r="O442" s="58" t="n">
        <f aca="false">IF(L442=1,M442+N442-$B$26,M442)</f>
        <v>8.10541678220034E-009</v>
      </c>
      <c r="P442" s="56" t="n">
        <f aca="false">IF(L442=1,IF($B$26&lt;=N442,1,0),0)</f>
        <v>0</v>
      </c>
      <c r="Q442" s="58" t="n">
        <f aca="false">Q441+N442</f>
        <v>145877.630223336</v>
      </c>
      <c r="S442" s="56" t="n">
        <f aca="false">S441+1</f>
        <v>435</v>
      </c>
      <c r="T442" s="57" t="n">
        <f aca="false">IF(AND(S442&lt;=Assumptions!$C$42,T441=1,X441=0,W441&gt;Assumptions!$C$43),1,0)</f>
        <v>0</v>
      </c>
      <c r="U442" s="58" t="n">
        <f aca="false">W441</f>
        <v>-182.103705036234</v>
      </c>
      <c r="V442" s="58" t="n">
        <f aca="false">IF(T442=1,U442*$B$22,0)</f>
        <v>0</v>
      </c>
      <c r="W442" s="58" t="n">
        <f aca="false">IF(T442=1,U442+V442-$B$27,U442)</f>
        <v>-182.103705036234</v>
      </c>
      <c r="X442" s="56" t="n">
        <f aca="false">IF(T442=1,IF($B$27&lt;=V442,1,0),0)</f>
        <v>0</v>
      </c>
      <c r="Y442" s="58" t="n">
        <f aca="false">Y441+V442</f>
        <v>113000.408372882</v>
      </c>
    </row>
    <row r="443" customFormat="false" ht="15" hidden="false" customHeight="false" outlineLevel="0" collapsed="false">
      <c r="K443" s="56" t="n">
        <f aca="false">K442+1</f>
        <v>436</v>
      </c>
      <c r="L443" s="57" t="n">
        <f aca="false">IF(AND(K443&lt;=Assumptions!$C$42,L442=1,P442=0,O442&gt;Assumptions!$C$43),1,0)</f>
        <v>0</v>
      </c>
      <c r="M443" s="58" t="n">
        <f aca="false">O442</f>
        <v>8.10541678220034E-009</v>
      </c>
      <c r="N443" s="58" t="n">
        <f aca="false">IF(L443=1,M443*$B$22,0)</f>
        <v>0</v>
      </c>
      <c r="O443" s="58" t="n">
        <f aca="false">IF(L443=1,M443+N443-$B$26,M443)</f>
        <v>8.10541678220034E-009</v>
      </c>
      <c r="P443" s="56" t="n">
        <f aca="false">IF(L443=1,IF($B$26&lt;=N443,1,0),0)</f>
        <v>0</v>
      </c>
      <c r="Q443" s="58" t="n">
        <f aca="false">Q442+N443</f>
        <v>145877.630223336</v>
      </c>
      <c r="S443" s="56" t="n">
        <f aca="false">S442+1</f>
        <v>436</v>
      </c>
      <c r="T443" s="57" t="n">
        <f aca="false">IF(AND(S443&lt;=Assumptions!$C$42,T442=1,X442=0,W442&gt;Assumptions!$C$43),1,0)</f>
        <v>0</v>
      </c>
      <c r="U443" s="58" t="n">
        <f aca="false">W442</f>
        <v>-182.103705036234</v>
      </c>
      <c r="V443" s="58" t="n">
        <f aca="false">IF(T443=1,U443*$B$22,0)</f>
        <v>0</v>
      </c>
      <c r="W443" s="58" t="n">
        <f aca="false">IF(T443=1,U443+V443-$B$27,U443)</f>
        <v>-182.103705036234</v>
      </c>
      <c r="X443" s="56" t="n">
        <f aca="false">IF(T443=1,IF($B$27&lt;=V443,1,0),0)</f>
        <v>0</v>
      </c>
      <c r="Y443" s="58" t="n">
        <f aca="false">Y442+V443</f>
        <v>113000.408372882</v>
      </c>
    </row>
    <row r="444" customFormat="false" ht="15" hidden="false" customHeight="false" outlineLevel="0" collapsed="false">
      <c r="K444" s="56" t="n">
        <f aca="false">K443+1</f>
        <v>437</v>
      </c>
      <c r="L444" s="57" t="n">
        <f aca="false">IF(AND(K444&lt;=Assumptions!$C$42,L443=1,P443=0,O443&gt;Assumptions!$C$43),1,0)</f>
        <v>0</v>
      </c>
      <c r="M444" s="58" t="n">
        <f aca="false">O443</f>
        <v>8.10541678220034E-009</v>
      </c>
      <c r="N444" s="58" t="n">
        <f aca="false">IF(L444=1,M444*$B$22,0)</f>
        <v>0</v>
      </c>
      <c r="O444" s="58" t="n">
        <f aca="false">IF(L444=1,M444+N444-$B$26,M444)</f>
        <v>8.10541678220034E-009</v>
      </c>
      <c r="P444" s="56" t="n">
        <f aca="false">IF(L444=1,IF($B$26&lt;=N444,1,0),0)</f>
        <v>0</v>
      </c>
      <c r="Q444" s="58" t="n">
        <f aca="false">Q443+N444</f>
        <v>145877.630223336</v>
      </c>
      <c r="S444" s="56" t="n">
        <f aca="false">S443+1</f>
        <v>437</v>
      </c>
      <c r="T444" s="57" t="n">
        <f aca="false">IF(AND(S444&lt;=Assumptions!$C$42,T443=1,X443=0,W443&gt;Assumptions!$C$43),1,0)</f>
        <v>0</v>
      </c>
      <c r="U444" s="58" t="n">
        <f aca="false">W443</f>
        <v>-182.103705036234</v>
      </c>
      <c r="V444" s="58" t="n">
        <f aca="false">IF(T444=1,U444*$B$22,0)</f>
        <v>0</v>
      </c>
      <c r="W444" s="58" t="n">
        <f aca="false">IF(T444=1,U444+V444-$B$27,U444)</f>
        <v>-182.103705036234</v>
      </c>
      <c r="X444" s="56" t="n">
        <f aca="false">IF(T444=1,IF($B$27&lt;=V444,1,0),0)</f>
        <v>0</v>
      </c>
      <c r="Y444" s="58" t="n">
        <f aca="false">Y443+V444</f>
        <v>113000.408372882</v>
      </c>
    </row>
    <row r="445" customFormat="false" ht="15" hidden="false" customHeight="false" outlineLevel="0" collapsed="false">
      <c r="K445" s="56" t="n">
        <f aca="false">K444+1</f>
        <v>438</v>
      </c>
      <c r="L445" s="57" t="n">
        <f aca="false">IF(AND(K445&lt;=Assumptions!$C$42,L444=1,P444=0,O444&gt;Assumptions!$C$43),1,0)</f>
        <v>0</v>
      </c>
      <c r="M445" s="58" t="n">
        <f aca="false">O444</f>
        <v>8.10541678220034E-009</v>
      </c>
      <c r="N445" s="58" t="n">
        <f aca="false">IF(L445=1,M445*$B$22,0)</f>
        <v>0</v>
      </c>
      <c r="O445" s="58" t="n">
        <f aca="false">IF(L445=1,M445+N445-$B$26,M445)</f>
        <v>8.10541678220034E-009</v>
      </c>
      <c r="P445" s="56" t="n">
        <f aca="false">IF(L445=1,IF($B$26&lt;=N445,1,0),0)</f>
        <v>0</v>
      </c>
      <c r="Q445" s="58" t="n">
        <f aca="false">Q444+N445</f>
        <v>145877.630223336</v>
      </c>
      <c r="S445" s="56" t="n">
        <f aca="false">S444+1</f>
        <v>438</v>
      </c>
      <c r="T445" s="57" t="n">
        <f aca="false">IF(AND(S445&lt;=Assumptions!$C$42,T444=1,X444=0,W444&gt;Assumptions!$C$43),1,0)</f>
        <v>0</v>
      </c>
      <c r="U445" s="58" t="n">
        <f aca="false">W444</f>
        <v>-182.103705036234</v>
      </c>
      <c r="V445" s="58" t="n">
        <f aca="false">IF(T445=1,U445*$B$22,0)</f>
        <v>0</v>
      </c>
      <c r="W445" s="58" t="n">
        <f aca="false">IF(T445=1,U445+V445-$B$27,U445)</f>
        <v>-182.103705036234</v>
      </c>
      <c r="X445" s="56" t="n">
        <f aca="false">IF(T445=1,IF($B$27&lt;=V445,1,0),0)</f>
        <v>0</v>
      </c>
      <c r="Y445" s="58" t="n">
        <f aca="false">Y444+V445</f>
        <v>113000.408372882</v>
      </c>
    </row>
    <row r="446" customFormat="false" ht="15" hidden="false" customHeight="false" outlineLevel="0" collapsed="false">
      <c r="K446" s="56" t="n">
        <f aca="false">K445+1</f>
        <v>439</v>
      </c>
      <c r="L446" s="57" t="n">
        <f aca="false">IF(AND(K446&lt;=Assumptions!$C$42,L445=1,P445=0,O445&gt;Assumptions!$C$43),1,0)</f>
        <v>0</v>
      </c>
      <c r="M446" s="58" t="n">
        <f aca="false">O445</f>
        <v>8.10541678220034E-009</v>
      </c>
      <c r="N446" s="58" t="n">
        <f aca="false">IF(L446=1,M446*$B$22,0)</f>
        <v>0</v>
      </c>
      <c r="O446" s="58" t="n">
        <f aca="false">IF(L446=1,M446+N446-$B$26,M446)</f>
        <v>8.10541678220034E-009</v>
      </c>
      <c r="P446" s="56" t="n">
        <f aca="false">IF(L446=1,IF($B$26&lt;=N446,1,0),0)</f>
        <v>0</v>
      </c>
      <c r="Q446" s="58" t="n">
        <f aca="false">Q445+N446</f>
        <v>145877.630223336</v>
      </c>
      <c r="S446" s="56" t="n">
        <f aca="false">S445+1</f>
        <v>439</v>
      </c>
      <c r="T446" s="57" t="n">
        <f aca="false">IF(AND(S446&lt;=Assumptions!$C$42,T445=1,X445=0,W445&gt;Assumptions!$C$43),1,0)</f>
        <v>0</v>
      </c>
      <c r="U446" s="58" t="n">
        <f aca="false">W445</f>
        <v>-182.103705036234</v>
      </c>
      <c r="V446" s="58" t="n">
        <f aca="false">IF(T446=1,U446*$B$22,0)</f>
        <v>0</v>
      </c>
      <c r="W446" s="58" t="n">
        <f aca="false">IF(T446=1,U446+V446-$B$27,U446)</f>
        <v>-182.103705036234</v>
      </c>
      <c r="X446" s="56" t="n">
        <f aca="false">IF(T446=1,IF($B$27&lt;=V446,1,0),0)</f>
        <v>0</v>
      </c>
      <c r="Y446" s="58" t="n">
        <f aca="false">Y445+V446</f>
        <v>113000.408372882</v>
      </c>
    </row>
    <row r="447" customFormat="false" ht="15" hidden="false" customHeight="false" outlineLevel="0" collapsed="false">
      <c r="K447" s="56" t="n">
        <f aca="false">K446+1</f>
        <v>440</v>
      </c>
      <c r="L447" s="57" t="n">
        <f aca="false">IF(AND(K447&lt;=Assumptions!$C$42,L446=1,P446=0,O446&gt;Assumptions!$C$43),1,0)</f>
        <v>0</v>
      </c>
      <c r="M447" s="58" t="n">
        <f aca="false">O446</f>
        <v>8.10541678220034E-009</v>
      </c>
      <c r="N447" s="58" t="n">
        <f aca="false">IF(L447=1,M447*$B$22,0)</f>
        <v>0</v>
      </c>
      <c r="O447" s="58" t="n">
        <f aca="false">IF(L447=1,M447+N447-$B$26,M447)</f>
        <v>8.10541678220034E-009</v>
      </c>
      <c r="P447" s="56" t="n">
        <f aca="false">IF(L447=1,IF($B$26&lt;=N447,1,0),0)</f>
        <v>0</v>
      </c>
      <c r="Q447" s="58" t="n">
        <f aca="false">Q446+N447</f>
        <v>145877.630223336</v>
      </c>
      <c r="S447" s="56" t="n">
        <f aca="false">S446+1</f>
        <v>440</v>
      </c>
      <c r="T447" s="57" t="n">
        <f aca="false">IF(AND(S447&lt;=Assumptions!$C$42,T446=1,X446=0,W446&gt;Assumptions!$C$43),1,0)</f>
        <v>0</v>
      </c>
      <c r="U447" s="58" t="n">
        <f aca="false">W446</f>
        <v>-182.103705036234</v>
      </c>
      <c r="V447" s="58" t="n">
        <f aca="false">IF(T447=1,U447*$B$22,0)</f>
        <v>0</v>
      </c>
      <c r="W447" s="58" t="n">
        <f aca="false">IF(T447=1,U447+V447-$B$27,U447)</f>
        <v>-182.103705036234</v>
      </c>
      <c r="X447" s="56" t="n">
        <f aca="false">IF(T447=1,IF($B$27&lt;=V447,1,0),0)</f>
        <v>0</v>
      </c>
      <c r="Y447" s="58" t="n">
        <f aca="false">Y446+V447</f>
        <v>113000.408372882</v>
      </c>
    </row>
    <row r="448" customFormat="false" ht="15" hidden="false" customHeight="false" outlineLevel="0" collapsed="false">
      <c r="K448" s="56" t="n">
        <f aca="false">K447+1</f>
        <v>441</v>
      </c>
      <c r="L448" s="57" t="n">
        <f aca="false">IF(AND(K448&lt;=Assumptions!$C$42,L447=1,P447=0,O447&gt;Assumptions!$C$43),1,0)</f>
        <v>0</v>
      </c>
      <c r="M448" s="58" t="n">
        <f aca="false">O447</f>
        <v>8.10541678220034E-009</v>
      </c>
      <c r="N448" s="58" t="n">
        <f aca="false">IF(L448=1,M448*$B$22,0)</f>
        <v>0</v>
      </c>
      <c r="O448" s="58" t="n">
        <f aca="false">IF(L448=1,M448+N448-$B$26,M448)</f>
        <v>8.10541678220034E-009</v>
      </c>
      <c r="P448" s="56" t="n">
        <f aca="false">IF(L448=1,IF($B$26&lt;=N448,1,0),0)</f>
        <v>0</v>
      </c>
      <c r="Q448" s="58" t="n">
        <f aca="false">Q447+N448</f>
        <v>145877.630223336</v>
      </c>
      <c r="S448" s="56" t="n">
        <f aca="false">S447+1</f>
        <v>441</v>
      </c>
      <c r="T448" s="57" t="n">
        <f aca="false">IF(AND(S448&lt;=Assumptions!$C$42,T447=1,X447=0,W447&gt;Assumptions!$C$43),1,0)</f>
        <v>0</v>
      </c>
      <c r="U448" s="58" t="n">
        <f aca="false">W447</f>
        <v>-182.103705036234</v>
      </c>
      <c r="V448" s="58" t="n">
        <f aca="false">IF(T448=1,U448*$B$22,0)</f>
        <v>0</v>
      </c>
      <c r="W448" s="58" t="n">
        <f aca="false">IF(T448=1,U448+V448-$B$27,U448)</f>
        <v>-182.103705036234</v>
      </c>
      <c r="X448" s="56" t="n">
        <f aca="false">IF(T448=1,IF($B$27&lt;=V448,1,0),0)</f>
        <v>0</v>
      </c>
      <c r="Y448" s="58" t="n">
        <f aca="false">Y447+V448</f>
        <v>113000.408372882</v>
      </c>
    </row>
    <row r="449" customFormat="false" ht="15" hidden="false" customHeight="false" outlineLevel="0" collapsed="false">
      <c r="K449" s="56" t="n">
        <f aca="false">K448+1</f>
        <v>442</v>
      </c>
      <c r="L449" s="57" t="n">
        <f aca="false">IF(AND(K449&lt;=Assumptions!$C$42,L448=1,P448=0,O448&gt;Assumptions!$C$43),1,0)</f>
        <v>0</v>
      </c>
      <c r="M449" s="58" t="n">
        <f aca="false">O448</f>
        <v>8.10541678220034E-009</v>
      </c>
      <c r="N449" s="58" t="n">
        <f aca="false">IF(L449=1,M449*$B$22,0)</f>
        <v>0</v>
      </c>
      <c r="O449" s="58" t="n">
        <f aca="false">IF(L449=1,M449+N449-$B$26,M449)</f>
        <v>8.10541678220034E-009</v>
      </c>
      <c r="P449" s="56" t="n">
        <f aca="false">IF(L449=1,IF($B$26&lt;=N449,1,0),0)</f>
        <v>0</v>
      </c>
      <c r="Q449" s="58" t="n">
        <f aca="false">Q448+N449</f>
        <v>145877.630223336</v>
      </c>
      <c r="S449" s="56" t="n">
        <f aca="false">S448+1</f>
        <v>442</v>
      </c>
      <c r="T449" s="57" t="n">
        <f aca="false">IF(AND(S449&lt;=Assumptions!$C$42,T448=1,X448=0,W448&gt;Assumptions!$C$43),1,0)</f>
        <v>0</v>
      </c>
      <c r="U449" s="58" t="n">
        <f aca="false">W448</f>
        <v>-182.103705036234</v>
      </c>
      <c r="V449" s="58" t="n">
        <f aca="false">IF(T449=1,U449*$B$22,0)</f>
        <v>0</v>
      </c>
      <c r="W449" s="58" t="n">
        <f aca="false">IF(T449=1,U449+V449-$B$27,U449)</f>
        <v>-182.103705036234</v>
      </c>
      <c r="X449" s="56" t="n">
        <f aca="false">IF(T449=1,IF($B$27&lt;=V449,1,0),0)</f>
        <v>0</v>
      </c>
      <c r="Y449" s="58" t="n">
        <f aca="false">Y448+V449</f>
        <v>113000.408372882</v>
      </c>
    </row>
    <row r="450" customFormat="false" ht="15" hidden="false" customHeight="false" outlineLevel="0" collapsed="false">
      <c r="K450" s="56" t="n">
        <f aca="false">K449+1</f>
        <v>443</v>
      </c>
      <c r="L450" s="57" t="n">
        <f aca="false">IF(AND(K450&lt;=Assumptions!$C$42,L449=1,P449=0,O449&gt;Assumptions!$C$43),1,0)</f>
        <v>0</v>
      </c>
      <c r="M450" s="58" t="n">
        <f aca="false">O449</f>
        <v>8.10541678220034E-009</v>
      </c>
      <c r="N450" s="58" t="n">
        <f aca="false">IF(L450=1,M450*$B$22,0)</f>
        <v>0</v>
      </c>
      <c r="O450" s="58" t="n">
        <f aca="false">IF(L450=1,M450+N450-$B$26,M450)</f>
        <v>8.10541678220034E-009</v>
      </c>
      <c r="P450" s="56" t="n">
        <f aca="false">IF(L450=1,IF($B$26&lt;=N450,1,0),0)</f>
        <v>0</v>
      </c>
      <c r="Q450" s="58" t="n">
        <f aca="false">Q449+N450</f>
        <v>145877.630223336</v>
      </c>
      <c r="S450" s="56" t="n">
        <f aca="false">S449+1</f>
        <v>443</v>
      </c>
      <c r="T450" s="57" t="n">
        <f aca="false">IF(AND(S450&lt;=Assumptions!$C$42,T449=1,X449=0,W449&gt;Assumptions!$C$43),1,0)</f>
        <v>0</v>
      </c>
      <c r="U450" s="58" t="n">
        <f aca="false">W449</f>
        <v>-182.103705036234</v>
      </c>
      <c r="V450" s="58" t="n">
        <f aca="false">IF(T450=1,U450*$B$22,0)</f>
        <v>0</v>
      </c>
      <c r="W450" s="58" t="n">
        <f aca="false">IF(T450=1,U450+V450-$B$27,U450)</f>
        <v>-182.103705036234</v>
      </c>
      <c r="X450" s="56" t="n">
        <f aca="false">IF(T450=1,IF($B$27&lt;=V450,1,0),0)</f>
        <v>0</v>
      </c>
      <c r="Y450" s="58" t="n">
        <f aca="false">Y449+V450</f>
        <v>113000.408372882</v>
      </c>
    </row>
    <row r="451" customFormat="false" ht="15" hidden="false" customHeight="false" outlineLevel="0" collapsed="false">
      <c r="K451" s="56" t="n">
        <f aca="false">K450+1</f>
        <v>444</v>
      </c>
      <c r="L451" s="57" t="n">
        <f aca="false">IF(AND(K451&lt;=Assumptions!$C$42,L450=1,P450=0,O450&gt;Assumptions!$C$43),1,0)</f>
        <v>0</v>
      </c>
      <c r="M451" s="58" t="n">
        <f aca="false">O450</f>
        <v>8.10541678220034E-009</v>
      </c>
      <c r="N451" s="58" t="n">
        <f aca="false">IF(L451=1,M451*$B$22,0)</f>
        <v>0</v>
      </c>
      <c r="O451" s="58" t="n">
        <f aca="false">IF(L451=1,M451+N451-$B$26,M451)</f>
        <v>8.10541678220034E-009</v>
      </c>
      <c r="P451" s="56" t="n">
        <f aca="false">IF(L451=1,IF($B$26&lt;=N451,1,0),0)</f>
        <v>0</v>
      </c>
      <c r="Q451" s="58" t="n">
        <f aca="false">Q450+N451</f>
        <v>145877.630223336</v>
      </c>
      <c r="S451" s="56" t="n">
        <f aca="false">S450+1</f>
        <v>444</v>
      </c>
      <c r="T451" s="57" t="n">
        <f aca="false">IF(AND(S451&lt;=Assumptions!$C$42,T450=1,X450=0,W450&gt;Assumptions!$C$43),1,0)</f>
        <v>0</v>
      </c>
      <c r="U451" s="58" t="n">
        <f aca="false">W450</f>
        <v>-182.103705036234</v>
      </c>
      <c r="V451" s="58" t="n">
        <f aca="false">IF(T451=1,U451*$B$22,0)</f>
        <v>0</v>
      </c>
      <c r="W451" s="58" t="n">
        <f aca="false">IF(T451=1,U451+V451-$B$27,U451)</f>
        <v>-182.103705036234</v>
      </c>
      <c r="X451" s="56" t="n">
        <f aca="false">IF(T451=1,IF($B$27&lt;=V451,1,0),0)</f>
        <v>0</v>
      </c>
      <c r="Y451" s="58" t="n">
        <f aca="false">Y450+V451</f>
        <v>113000.408372882</v>
      </c>
    </row>
    <row r="452" customFormat="false" ht="15" hidden="false" customHeight="false" outlineLevel="0" collapsed="false">
      <c r="K452" s="56" t="n">
        <f aca="false">K451+1</f>
        <v>445</v>
      </c>
      <c r="L452" s="57" t="n">
        <f aca="false">IF(AND(K452&lt;=Assumptions!$C$42,L451=1,P451=0,O451&gt;Assumptions!$C$43),1,0)</f>
        <v>0</v>
      </c>
      <c r="M452" s="58" t="n">
        <f aca="false">O451</f>
        <v>8.10541678220034E-009</v>
      </c>
      <c r="N452" s="58" t="n">
        <f aca="false">IF(L452=1,M452*$B$22,0)</f>
        <v>0</v>
      </c>
      <c r="O452" s="58" t="n">
        <f aca="false">IF(L452=1,M452+N452-$B$26,M452)</f>
        <v>8.10541678220034E-009</v>
      </c>
      <c r="P452" s="56" t="n">
        <f aca="false">IF(L452=1,IF($B$26&lt;=N452,1,0),0)</f>
        <v>0</v>
      </c>
      <c r="Q452" s="58" t="n">
        <f aca="false">Q451+N452</f>
        <v>145877.630223336</v>
      </c>
      <c r="S452" s="56" t="n">
        <f aca="false">S451+1</f>
        <v>445</v>
      </c>
      <c r="T452" s="57" t="n">
        <f aca="false">IF(AND(S452&lt;=Assumptions!$C$42,T451=1,X451=0,W451&gt;Assumptions!$C$43),1,0)</f>
        <v>0</v>
      </c>
      <c r="U452" s="58" t="n">
        <f aca="false">W451</f>
        <v>-182.103705036234</v>
      </c>
      <c r="V452" s="58" t="n">
        <f aca="false">IF(T452=1,U452*$B$22,0)</f>
        <v>0</v>
      </c>
      <c r="W452" s="58" t="n">
        <f aca="false">IF(T452=1,U452+V452-$B$27,U452)</f>
        <v>-182.103705036234</v>
      </c>
      <c r="X452" s="56" t="n">
        <f aca="false">IF(T452=1,IF($B$27&lt;=V452,1,0),0)</f>
        <v>0</v>
      </c>
      <c r="Y452" s="58" t="n">
        <f aca="false">Y451+V452</f>
        <v>113000.408372882</v>
      </c>
    </row>
    <row r="453" customFormat="false" ht="15" hidden="false" customHeight="false" outlineLevel="0" collapsed="false">
      <c r="K453" s="56" t="n">
        <f aca="false">K452+1</f>
        <v>446</v>
      </c>
      <c r="L453" s="57" t="n">
        <f aca="false">IF(AND(K453&lt;=Assumptions!$C$42,L452=1,P452=0,O452&gt;Assumptions!$C$43),1,0)</f>
        <v>0</v>
      </c>
      <c r="M453" s="58" t="n">
        <f aca="false">O452</f>
        <v>8.10541678220034E-009</v>
      </c>
      <c r="N453" s="58" t="n">
        <f aca="false">IF(L453=1,M453*$B$22,0)</f>
        <v>0</v>
      </c>
      <c r="O453" s="58" t="n">
        <f aca="false">IF(L453=1,M453+N453-$B$26,M453)</f>
        <v>8.10541678220034E-009</v>
      </c>
      <c r="P453" s="56" t="n">
        <f aca="false">IF(L453=1,IF($B$26&lt;=N453,1,0),0)</f>
        <v>0</v>
      </c>
      <c r="Q453" s="58" t="n">
        <f aca="false">Q452+N453</f>
        <v>145877.630223336</v>
      </c>
      <c r="S453" s="56" t="n">
        <f aca="false">S452+1</f>
        <v>446</v>
      </c>
      <c r="T453" s="57" t="n">
        <f aca="false">IF(AND(S453&lt;=Assumptions!$C$42,T452=1,X452=0,W452&gt;Assumptions!$C$43),1,0)</f>
        <v>0</v>
      </c>
      <c r="U453" s="58" t="n">
        <f aca="false">W452</f>
        <v>-182.103705036234</v>
      </c>
      <c r="V453" s="58" t="n">
        <f aca="false">IF(T453=1,U453*$B$22,0)</f>
        <v>0</v>
      </c>
      <c r="W453" s="58" t="n">
        <f aca="false">IF(T453=1,U453+V453-$B$27,U453)</f>
        <v>-182.103705036234</v>
      </c>
      <c r="X453" s="56" t="n">
        <f aca="false">IF(T453=1,IF($B$27&lt;=V453,1,0),0)</f>
        <v>0</v>
      </c>
      <c r="Y453" s="58" t="n">
        <f aca="false">Y452+V453</f>
        <v>113000.408372882</v>
      </c>
    </row>
    <row r="454" customFormat="false" ht="15" hidden="false" customHeight="false" outlineLevel="0" collapsed="false">
      <c r="K454" s="56" t="n">
        <f aca="false">K453+1</f>
        <v>447</v>
      </c>
      <c r="L454" s="57" t="n">
        <f aca="false">IF(AND(K454&lt;=Assumptions!$C$42,L453=1,P453=0,O453&gt;Assumptions!$C$43),1,0)</f>
        <v>0</v>
      </c>
      <c r="M454" s="58" t="n">
        <f aca="false">O453</f>
        <v>8.10541678220034E-009</v>
      </c>
      <c r="N454" s="58" t="n">
        <f aca="false">IF(L454=1,M454*$B$22,0)</f>
        <v>0</v>
      </c>
      <c r="O454" s="58" t="n">
        <f aca="false">IF(L454=1,M454+N454-$B$26,M454)</f>
        <v>8.10541678220034E-009</v>
      </c>
      <c r="P454" s="56" t="n">
        <f aca="false">IF(L454=1,IF($B$26&lt;=N454,1,0),0)</f>
        <v>0</v>
      </c>
      <c r="Q454" s="58" t="n">
        <f aca="false">Q453+N454</f>
        <v>145877.630223336</v>
      </c>
      <c r="S454" s="56" t="n">
        <f aca="false">S453+1</f>
        <v>447</v>
      </c>
      <c r="T454" s="57" t="n">
        <f aca="false">IF(AND(S454&lt;=Assumptions!$C$42,T453=1,X453=0,W453&gt;Assumptions!$C$43),1,0)</f>
        <v>0</v>
      </c>
      <c r="U454" s="58" t="n">
        <f aca="false">W453</f>
        <v>-182.103705036234</v>
      </c>
      <c r="V454" s="58" t="n">
        <f aca="false">IF(T454=1,U454*$B$22,0)</f>
        <v>0</v>
      </c>
      <c r="W454" s="58" t="n">
        <f aca="false">IF(T454=1,U454+V454-$B$27,U454)</f>
        <v>-182.103705036234</v>
      </c>
      <c r="X454" s="56" t="n">
        <f aca="false">IF(T454=1,IF($B$27&lt;=V454,1,0),0)</f>
        <v>0</v>
      </c>
      <c r="Y454" s="58" t="n">
        <f aca="false">Y453+V454</f>
        <v>113000.408372882</v>
      </c>
    </row>
    <row r="455" customFormat="false" ht="15" hidden="false" customHeight="false" outlineLevel="0" collapsed="false">
      <c r="K455" s="56" t="n">
        <f aca="false">K454+1</f>
        <v>448</v>
      </c>
      <c r="L455" s="57" t="n">
        <f aca="false">IF(AND(K455&lt;=Assumptions!$C$42,L454=1,P454=0,O454&gt;Assumptions!$C$43),1,0)</f>
        <v>0</v>
      </c>
      <c r="M455" s="58" t="n">
        <f aca="false">O454</f>
        <v>8.10541678220034E-009</v>
      </c>
      <c r="N455" s="58" t="n">
        <f aca="false">IF(L455=1,M455*$B$22,0)</f>
        <v>0</v>
      </c>
      <c r="O455" s="58" t="n">
        <f aca="false">IF(L455=1,M455+N455-$B$26,M455)</f>
        <v>8.10541678220034E-009</v>
      </c>
      <c r="P455" s="56" t="n">
        <f aca="false">IF(L455=1,IF($B$26&lt;=N455,1,0),0)</f>
        <v>0</v>
      </c>
      <c r="Q455" s="58" t="n">
        <f aca="false">Q454+N455</f>
        <v>145877.630223336</v>
      </c>
      <c r="S455" s="56" t="n">
        <f aca="false">S454+1</f>
        <v>448</v>
      </c>
      <c r="T455" s="57" t="n">
        <f aca="false">IF(AND(S455&lt;=Assumptions!$C$42,T454=1,X454=0,W454&gt;Assumptions!$C$43),1,0)</f>
        <v>0</v>
      </c>
      <c r="U455" s="58" t="n">
        <f aca="false">W454</f>
        <v>-182.103705036234</v>
      </c>
      <c r="V455" s="58" t="n">
        <f aca="false">IF(T455=1,U455*$B$22,0)</f>
        <v>0</v>
      </c>
      <c r="W455" s="58" t="n">
        <f aca="false">IF(T455=1,U455+V455-$B$27,U455)</f>
        <v>-182.103705036234</v>
      </c>
      <c r="X455" s="56" t="n">
        <f aca="false">IF(T455=1,IF($B$27&lt;=V455,1,0),0)</f>
        <v>0</v>
      </c>
      <c r="Y455" s="58" t="n">
        <f aca="false">Y454+V455</f>
        <v>113000.408372882</v>
      </c>
    </row>
    <row r="456" customFormat="false" ht="15" hidden="false" customHeight="false" outlineLevel="0" collapsed="false">
      <c r="K456" s="56" t="n">
        <f aca="false">K455+1</f>
        <v>449</v>
      </c>
      <c r="L456" s="57" t="n">
        <f aca="false">IF(AND(K456&lt;=Assumptions!$C$42,L455=1,P455=0,O455&gt;Assumptions!$C$43),1,0)</f>
        <v>0</v>
      </c>
      <c r="M456" s="58" t="n">
        <f aca="false">O455</f>
        <v>8.10541678220034E-009</v>
      </c>
      <c r="N456" s="58" t="n">
        <f aca="false">IF(L456=1,M456*$B$22,0)</f>
        <v>0</v>
      </c>
      <c r="O456" s="58" t="n">
        <f aca="false">IF(L456=1,M456+N456-$B$26,M456)</f>
        <v>8.10541678220034E-009</v>
      </c>
      <c r="P456" s="56" t="n">
        <f aca="false">IF(L456=1,IF($B$26&lt;=N456,1,0),0)</f>
        <v>0</v>
      </c>
      <c r="Q456" s="58" t="n">
        <f aca="false">Q455+N456</f>
        <v>145877.630223336</v>
      </c>
      <c r="S456" s="56" t="n">
        <f aca="false">S455+1</f>
        <v>449</v>
      </c>
      <c r="T456" s="57" t="n">
        <f aca="false">IF(AND(S456&lt;=Assumptions!$C$42,T455=1,X455=0,W455&gt;Assumptions!$C$43),1,0)</f>
        <v>0</v>
      </c>
      <c r="U456" s="58" t="n">
        <f aca="false">W455</f>
        <v>-182.103705036234</v>
      </c>
      <c r="V456" s="58" t="n">
        <f aca="false">IF(T456=1,U456*$B$22,0)</f>
        <v>0</v>
      </c>
      <c r="W456" s="58" t="n">
        <f aca="false">IF(T456=1,U456+V456-$B$27,U456)</f>
        <v>-182.103705036234</v>
      </c>
      <c r="X456" s="56" t="n">
        <f aca="false">IF(T456=1,IF($B$27&lt;=V456,1,0),0)</f>
        <v>0</v>
      </c>
      <c r="Y456" s="58" t="n">
        <f aca="false">Y455+V456</f>
        <v>113000.408372882</v>
      </c>
    </row>
    <row r="457" customFormat="false" ht="15" hidden="false" customHeight="false" outlineLevel="0" collapsed="false">
      <c r="K457" s="56" t="n">
        <f aca="false">K456+1</f>
        <v>450</v>
      </c>
      <c r="L457" s="57" t="n">
        <f aca="false">IF(AND(K457&lt;=Assumptions!$C$42,L456=1,P456=0,O456&gt;Assumptions!$C$43),1,0)</f>
        <v>0</v>
      </c>
      <c r="M457" s="58" t="n">
        <f aca="false">O456</f>
        <v>8.10541678220034E-009</v>
      </c>
      <c r="N457" s="58" t="n">
        <f aca="false">IF(L457=1,M457*$B$22,0)</f>
        <v>0</v>
      </c>
      <c r="O457" s="58" t="n">
        <f aca="false">IF(L457=1,M457+N457-$B$26,M457)</f>
        <v>8.10541678220034E-009</v>
      </c>
      <c r="P457" s="56" t="n">
        <f aca="false">IF(L457=1,IF($B$26&lt;=N457,1,0),0)</f>
        <v>0</v>
      </c>
      <c r="Q457" s="58" t="n">
        <f aca="false">Q456+N457</f>
        <v>145877.630223336</v>
      </c>
      <c r="S457" s="56" t="n">
        <f aca="false">S456+1</f>
        <v>450</v>
      </c>
      <c r="T457" s="57" t="n">
        <f aca="false">IF(AND(S457&lt;=Assumptions!$C$42,T456=1,X456=0,W456&gt;Assumptions!$C$43),1,0)</f>
        <v>0</v>
      </c>
      <c r="U457" s="58" t="n">
        <f aca="false">W456</f>
        <v>-182.103705036234</v>
      </c>
      <c r="V457" s="58" t="n">
        <f aca="false">IF(T457=1,U457*$B$22,0)</f>
        <v>0</v>
      </c>
      <c r="W457" s="58" t="n">
        <f aca="false">IF(T457=1,U457+V457-$B$27,U457)</f>
        <v>-182.103705036234</v>
      </c>
      <c r="X457" s="56" t="n">
        <f aca="false">IF(T457=1,IF($B$27&lt;=V457,1,0),0)</f>
        <v>0</v>
      </c>
      <c r="Y457" s="58" t="n">
        <f aca="false">Y456+V457</f>
        <v>113000.408372882</v>
      </c>
    </row>
    <row r="458" customFormat="false" ht="15" hidden="false" customHeight="false" outlineLevel="0" collapsed="false">
      <c r="K458" s="56" t="n">
        <f aca="false">K457+1</f>
        <v>451</v>
      </c>
      <c r="L458" s="57" t="n">
        <f aca="false">IF(AND(K458&lt;=Assumptions!$C$42,L457=1,P457=0,O457&gt;Assumptions!$C$43),1,0)</f>
        <v>0</v>
      </c>
      <c r="M458" s="58" t="n">
        <f aca="false">O457</f>
        <v>8.10541678220034E-009</v>
      </c>
      <c r="N458" s="58" t="n">
        <f aca="false">IF(L458=1,M458*$B$22,0)</f>
        <v>0</v>
      </c>
      <c r="O458" s="58" t="n">
        <f aca="false">IF(L458=1,M458+N458-$B$26,M458)</f>
        <v>8.10541678220034E-009</v>
      </c>
      <c r="P458" s="56" t="n">
        <f aca="false">IF(L458=1,IF($B$26&lt;=N458,1,0),0)</f>
        <v>0</v>
      </c>
      <c r="Q458" s="58" t="n">
        <f aca="false">Q457+N458</f>
        <v>145877.630223336</v>
      </c>
      <c r="S458" s="56" t="n">
        <f aca="false">S457+1</f>
        <v>451</v>
      </c>
      <c r="T458" s="57" t="n">
        <f aca="false">IF(AND(S458&lt;=Assumptions!$C$42,T457=1,X457=0,W457&gt;Assumptions!$C$43),1,0)</f>
        <v>0</v>
      </c>
      <c r="U458" s="58" t="n">
        <f aca="false">W457</f>
        <v>-182.103705036234</v>
      </c>
      <c r="V458" s="58" t="n">
        <f aca="false">IF(T458=1,U458*$B$22,0)</f>
        <v>0</v>
      </c>
      <c r="W458" s="58" t="n">
        <f aca="false">IF(T458=1,U458+V458-$B$27,U458)</f>
        <v>-182.103705036234</v>
      </c>
      <c r="X458" s="56" t="n">
        <f aca="false">IF(T458=1,IF($B$27&lt;=V458,1,0),0)</f>
        <v>0</v>
      </c>
      <c r="Y458" s="58" t="n">
        <f aca="false">Y457+V458</f>
        <v>113000.408372882</v>
      </c>
    </row>
    <row r="459" customFormat="false" ht="15" hidden="false" customHeight="false" outlineLevel="0" collapsed="false">
      <c r="K459" s="56" t="n">
        <f aca="false">K458+1</f>
        <v>452</v>
      </c>
      <c r="L459" s="57" t="n">
        <f aca="false">IF(AND(K459&lt;=Assumptions!$C$42,L458=1,P458=0,O458&gt;Assumptions!$C$43),1,0)</f>
        <v>0</v>
      </c>
      <c r="M459" s="58" t="n">
        <f aca="false">O458</f>
        <v>8.10541678220034E-009</v>
      </c>
      <c r="N459" s="58" t="n">
        <f aca="false">IF(L459=1,M459*$B$22,0)</f>
        <v>0</v>
      </c>
      <c r="O459" s="58" t="n">
        <f aca="false">IF(L459=1,M459+N459-$B$26,M459)</f>
        <v>8.10541678220034E-009</v>
      </c>
      <c r="P459" s="56" t="n">
        <f aca="false">IF(L459=1,IF($B$26&lt;=N459,1,0),0)</f>
        <v>0</v>
      </c>
      <c r="Q459" s="58" t="n">
        <f aca="false">Q458+N459</f>
        <v>145877.630223336</v>
      </c>
      <c r="S459" s="56" t="n">
        <f aca="false">S458+1</f>
        <v>452</v>
      </c>
      <c r="T459" s="57" t="n">
        <f aca="false">IF(AND(S459&lt;=Assumptions!$C$42,T458=1,X458=0,W458&gt;Assumptions!$C$43),1,0)</f>
        <v>0</v>
      </c>
      <c r="U459" s="58" t="n">
        <f aca="false">W458</f>
        <v>-182.103705036234</v>
      </c>
      <c r="V459" s="58" t="n">
        <f aca="false">IF(T459=1,U459*$B$22,0)</f>
        <v>0</v>
      </c>
      <c r="W459" s="58" t="n">
        <f aca="false">IF(T459=1,U459+V459-$B$27,U459)</f>
        <v>-182.103705036234</v>
      </c>
      <c r="X459" s="56" t="n">
        <f aca="false">IF(T459=1,IF($B$27&lt;=V459,1,0),0)</f>
        <v>0</v>
      </c>
      <c r="Y459" s="58" t="n">
        <f aca="false">Y458+V459</f>
        <v>113000.408372882</v>
      </c>
    </row>
    <row r="460" customFormat="false" ht="15" hidden="false" customHeight="false" outlineLevel="0" collapsed="false">
      <c r="K460" s="56" t="n">
        <f aca="false">K459+1</f>
        <v>453</v>
      </c>
      <c r="L460" s="57" t="n">
        <f aca="false">IF(AND(K460&lt;=Assumptions!$C$42,L459=1,P459=0,O459&gt;Assumptions!$C$43),1,0)</f>
        <v>0</v>
      </c>
      <c r="M460" s="58" t="n">
        <f aca="false">O459</f>
        <v>8.10541678220034E-009</v>
      </c>
      <c r="N460" s="58" t="n">
        <f aca="false">IF(L460=1,M460*$B$22,0)</f>
        <v>0</v>
      </c>
      <c r="O460" s="58" t="n">
        <f aca="false">IF(L460=1,M460+N460-$B$26,M460)</f>
        <v>8.10541678220034E-009</v>
      </c>
      <c r="P460" s="56" t="n">
        <f aca="false">IF(L460=1,IF($B$26&lt;=N460,1,0),0)</f>
        <v>0</v>
      </c>
      <c r="Q460" s="58" t="n">
        <f aca="false">Q459+N460</f>
        <v>145877.630223336</v>
      </c>
      <c r="S460" s="56" t="n">
        <f aca="false">S459+1</f>
        <v>453</v>
      </c>
      <c r="T460" s="57" t="n">
        <f aca="false">IF(AND(S460&lt;=Assumptions!$C$42,T459=1,X459=0,W459&gt;Assumptions!$C$43),1,0)</f>
        <v>0</v>
      </c>
      <c r="U460" s="58" t="n">
        <f aca="false">W459</f>
        <v>-182.103705036234</v>
      </c>
      <c r="V460" s="58" t="n">
        <f aca="false">IF(T460=1,U460*$B$22,0)</f>
        <v>0</v>
      </c>
      <c r="W460" s="58" t="n">
        <f aca="false">IF(T460=1,U460+V460-$B$27,U460)</f>
        <v>-182.103705036234</v>
      </c>
      <c r="X460" s="56" t="n">
        <f aca="false">IF(T460=1,IF($B$27&lt;=V460,1,0),0)</f>
        <v>0</v>
      </c>
      <c r="Y460" s="58" t="n">
        <f aca="false">Y459+V460</f>
        <v>113000.408372882</v>
      </c>
    </row>
    <row r="461" customFormat="false" ht="15" hidden="false" customHeight="false" outlineLevel="0" collapsed="false">
      <c r="K461" s="56" t="n">
        <f aca="false">K460+1</f>
        <v>454</v>
      </c>
      <c r="L461" s="57" t="n">
        <f aca="false">IF(AND(K461&lt;=Assumptions!$C$42,L460=1,P460=0,O460&gt;Assumptions!$C$43),1,0)</f>
        <v>0</v>
      </c>
      <c r="M461" s="58" t="n">
        <f aca="false">O460</f>
        <v>8.10541678220034E-009</v>
      </c>
      <c r="N461" s="58" t="n">
        <f aca="false">IF(L461=1,M461*$B$22,0)</f>
        <v>0</v>
      </c>
      <c r="O461" s="58" t="n">
        <f aca="false">IF(L461=1,M461+N461-$B$26,M461)</f>
        <v>8.10541678220034E-009</v>
      </c>
      <c r="P461" s="56" t="n">
        <f aca="false">IF(L461=1,IF($B$26&lt;=N461,1,0),0)</f>
        <v>0</v>
      </c>
      <c r="Q461" s="58" t="n">
        <f aca="false">Q460+N461</f>
        <v>145877.630223336</v>
      </c>
      <c r="S461" s="56" t="n">
        <f aca="false">S460+1</f>
        <v>454</v>
      </c>
      <c r="T461" s="57" t="n">
        <f aca="false">IF(AND(S461&lt;=Assumptions!$C$42,T460=1,X460=0,W460&gt;Assumptions!$C$43),1,0)</f>
        <v>0</v>
      </c>
      <c r="U461" s="58" t="n">
        <f aca="false">W460</f>
        <v>-182.103705036234</v>
      </c>
      <c r="V461" s="58" t="n">
        <f aca="false">IF(T461=1,U461*$B$22,0)</f>
        <v>0</v>
      </c>
      <c r="W461" s="58" t="n">
        <f aca="false">IF(T461=1,U461+V461-$B$27,U461)</f>
        <v>-182.103705036234</v>
      </c>
      <c r="X461" s="56" t="n">
        <f aca="false">IF(T461=1,IF($B$27&lt;=V461,1,0),0)</f>
        <v>0</v>
      </c>
      <c r="Y461" s="58" t="n">
        <f aca="false">Y460+V461</f>
        <v>113000.408372882</v>
      </c>
    </row>
    <row r="462" customFormat="false" ht="15" hidden="false" customHeight="false" outlineLevel="0" collapsed="false">
      <c r="K462" s="56" t="n">
        <f aca="false">K461+1</f>
        <v>455</v>
      </c>
      <c r="L462" s="57" t="n">
        <f aca="false">IF(AND(K462&lt;=Assumptions!$C$42,L461=1,P461=0,O461&gt;Assumptions!$C$43),1,0)</f>
        <v>0</v>
      </c>
      <c r="M462" s="58" t="n">
        <f aca="false">O461</f>
        <v>8.10541678220034E-009</v>
      </c>
      <c r="N462" s="58" t="n">
        <f aca="false">IF(L462=1,M462*$B$22,0)</f>
        <v>0</v>
      </c>
      <c r="O462" s="58" t="n">
        <f aca="false">IF(L462=1,M462+N462-$B$26,M462)</f>
        <v>8.10541678220034E-009</v>
      </c>
      <c r="P462" s="56" t="n">
        <f aca="false">IF(L462=1,IF($B$26&lt;=N462,1,0),0)</f>
        <v>0</v>
      </c>
      <c r="Q462" s="58" t="n">
        <f aca="false">Q461+N462</f>
        <v>145877.630223336</v>
      </c>
      <c r="S462" s="56" t="n">
        <f aca="false">S461+1</f>
        <v>455</v>
      </c>
      <c r="T462" s="57" t="n">
        <f aca="false">IF(AND(S462&lt;=Assumptions!$C$42,T461=1,X461=0,W461&gt;Assumptions!$C$43),1,0)</f>
        <v>0</v>
      </c>
      <c r="U462" s="58" t="n">
        <f aca="false">W461</f>
        <v>-182.103705036234</v>
      </c>
      <c r="V462" s="58" t="n">
        <f aca="false">IF(T462=1,U462*$B$22,0)</f>
        <v>0</v>
      </c>
      <c r="W462" s="58" t="n">
        <f aca="false">IF(T462=1,U462+V462-$B$27,U462)</f>
        <v>-182.103705036234</v>
      </c>
      <c r="X462" s="56" t="n">
        <f aca="false">IF(T462=1,IF($B$27&lt;=V462,1,0),0)</f>
        <v>0</v>
      </c>
      <c r="Y462" s="58" t="n">
        <f aca="false">Y461+V462</f>
        <v>113000.408372882</v>
      </c>
    </row>
    <row r="463" customFormat="false" ht="15" hidden="false" customHeight="false" outlineLevel="0" collapsed="false">
      <c r="K463" s="56" t="n">
        <f aca="false">K462+1</f>
        <v>456</v>
      </c>
      <c r="L463" s="57" t="n">
        <f aca="false">IF(AND(K463&lt;=Assumptions!$C$42,L462=1,P462=0,O462&gt;Assumptions!$C$43),1,0)</f>
        <v>0</v>
      </c>
      <c r="M463" s="58" t="n">
        <f aca="false">O462</f>
        <v>8.10541678220034E-009</v>
      </c>
      <c r="N463" s="58" t="n">
        <f aca="false">IF(L463=1,M463*$B$22,0)</f>
        <v>0</v>
      </c>
      <c r="O463" s="58" t="n">
        <f aca="false">IF(L463=1,M463+N463-$B$26,M463)</f>
        <v>8.10541678220034E-009</v>
      </c>
      <c r="P463" s="56" t="n">
        <f aca="false">IF(L463=1,IF($B$26&lt;=N463,1,0),0)</f>
        <v>0</v>
      </c>
      <c r="Q463" s="58" t="n">
        <f aca="false">Q462+N463</f>
        <v>145877.630223336</v>
      </c>
      <c r="S463" s="56" t="n">
        <f aca="false">S462+1</f>
        <v>456</v>
      </c>
      <c r="T463" s="57" t="n">
        <f aca="false">IF(AND(S463&lt;=Assumptions!$C$42,T462=1,X462=0,W462&gt;Assumptions!$C$43),1,0)</f>
        <v>0</v>
      </c>
      <c r="U463" s="58" t="n">
        <f aca="false">W462</f>
        <v>-182.103705036234</v>
      </c>
      <c r="V463" s="58" t="n">
        <f aca="false">IF(T463=1,U463*$B$22,0)</f>
        <v>0</v>
      </c>
      <c r="W463" s="58" t="n">
        <f aca="false">IF(T463=1,U463+V463-$B$27,U463)</f>
        <v>-182.103705036234</v>
      </c>
      <c r="X463" s="56" t="n">
        <f aca="false">IF(T463=1,IF($B$27&lt;=V463,1,0),0)</f>
        <v>0</v>
      </c>
      <c r="Y463" s="58" t="n">
        <f aca="false">Y462+V463</f>
        <v>113000.408372882</v>
      </c>
    </row>
    <row r="464" customFormat="false" ht="15" hidden="false" customHeight="false" outlineLevel="0" collapsed="false">
      <c r="K464" s="56" t="n">
        <f aca="false">K463+1</f>
        <v>457</v>
      </c>
      <c r="L464" s="57" t="n">
        <f aca="false">IF(AND(K464&lt;=Assumptions!$C$42,L463=1,P463=0,O463&gt;Assumptions!$C$43),1,0)</f>
        <v>0</v>
      </c>
      <c r="M464" s="58" t="n">
        <f aca="false">O463</f>
        <v>8.10541678220034E-009</v>
      </c>
      <c r="N464" s="58" t="n">
        <f aca="false">IF(L464=1,M464*$B$22,0)</f>
        <v>0</v>
      </c>
      <c r="O464" s="58" t="n">
        <f aca="false">IF(L464=1,M464+N464-$B$26,M464)</f>
        <v>8.10541678220034E-009</v>
      </c>
      <c r="P464" s="56" t="n">
        <f aca="false">IF(L464=1,IF($B$26&lt;=N464,1,0),0)</f>
        <v>0</v>
      </c>
      <c r="Q464" s="58" t="n">
        <f aca="false">Q463+N464</f>
        <v>145877.630223336</v>
      </c>
      <c r="S464" s="56" t="n">
        <f aca="false">S463+1</f>
        <v>457</v>
      </c>
      <c r="T464" s="57" t="n">
        <f aca="false">IF(AND(S464&lt;=Assumptions!$C$42,T463=1,X463=0,W463&gt;Assumptions!$C$43),1,0)</f>
        <v>0</v>
      </c>
      <c r="U464" s="58" t="n">
        <f aca="false">W463</f>
        <v>-182.103705036234</v>
      </c>
      <c r="V464" s="58" t="n">
        <f aca="false">IF(T464=1,U464*$B$22,0)</f>
        <v>0</v>
      </c>
      <c r="W464" s="58" t="n">
        <f aca="false">IF(T464=1,U464+V464-$B$27,U464)</f>
        <v>-182.103705036234</v>
      </c>
      <c r="X464" s="56" t="n">
        <f aca="false">IF(T464=1,IF($B$27&lt;=V464,1,0),0)</f>
        <v>0</v>
      </c>
      <c r="Y464" s="58" t="n">
        <f aca="false">Y463+V464</f>
        <v>113000.408372882</v>
      </c>
    </row>
    <row r="465" customFormat="false" ht="15" hidden="false" customHeight="false" outlineLevel="0" collapsed="false">
      <c r="K465" s="56" t="n">
        <f aca="false">K464+1</f>
        <v>458</v>
      </c>
      <c r="L465" s="57" t="n">
        <f aca="false">IF(AND(K465&lt;=Assumptions!$C$42,L464=1,P464=0,O464&gt;Assumptions!$C$43),1,0)</f>
        <v>0</v>
      </c>
      <c r="M465" s="58" t="n">
        <f aca="false">O464</f>
        <v>8.10541678220034E-009</v>
      </c>
      <c r="N465" s="58" t="n">
        <f aca="false">IF(L465=1,M465*$B$22,0)</f>
        <v>0</v>
      </c>
      <c r="O465" s="58" t="n">
        <f aca="false">IF(L465=1,M465+N465-$B$26,M465)</f>
        <v>8.10541678220034E-009</v>
      </c>
      <c r="P465" s="56" t="n">
        <f aca="false">IF(L465=1,IF($B$26&lt;=N465,1,0),0)</f>
        <v>0</v>
      </c>
      <c r="Q465" s="58" t="n">
        <f aca="false">Q464+N465</f>
        <v>145877.630223336</v>
      </c>
      <c r="S465" s="56" t="n">
        <f aca="false">S464+1</f>
        <v>458</v>
      </c>
      <c r="T465" s="57" t="n">
        <f aca="false">IF(AND(S465&lt;=Assumptions!$C$42,T464=1,X464=0,W464&gt;Assumptions!$C$43),1,0)</f>
        <v>0</v>
      </c>
      <c r="U465" s="58" t="n">
        <f aca="false">W464</f>
        <v>-182.103705036234</v>
      </c>
      <c r="V465" s="58" t="n">
        <f aca="false">IF(T465=1,U465*$B$22,0)</f>
        <v>0</v>
      </c>
      <c r="W465" s="58" t="n">
        <f aca="false">IF(T465=1,U465+V465-$B$27,U465)</f>
        <v>-182.103705036234</v>
      </c>
      <c r="X465" s="56" t="n">
        <f aca="false">IF(T465=1,IF($B$27&lt;=V465,1,0),0)</f>
        <v>0</v>
      </c>
      <c r="Y465" s="58" t="n">
        <f aca="false">Y464+V465</f>
        <v>113000.408372882</v>
      </c>
    </row>
    <row r="466" customFormat="false" ht="15" hidden="false" customHeight="false" outlineLevel="0" collapsed="false">
      <c r="K466" s="56" t="n">
        <f aca="false">K465+1</f>
        <v>459</v>
      </c>
      <c r="L466" s="57" t="n">
        <f aca="false">IF(AND(K466&lt;=Assumptions!$C$42,L465=1,P465=0,O465&gt;Assumptions!$C$43),1,0)</f>
        <v>0</v>
      </c>
      <c r="M466" s="58" t="n">
        <f aca="false">O465</f>
        <v>8.10541678220034E-009</v>
      </c>
      <c r="N466" s="58" t="n">
        <f aca="false">IF(L466=1,M466*$B$22,0)</f>
        <v>0</v>
      </c>
      <c r="O466" s="58" t="n">
        <f aca="false">IF(L466=1,M466+N466-$B$26,M466)</f>
        <v>8.10541678220034E-009</v>
      </c>
      <c r="P466" s="56" t="n">
        <f aca="false">IF(L466=1,IF($B$26&lt;=N466,1,0),0)</f>
        <v>0</v>
      </c>
      <c r="Q466" s="58" t="n">
        <f aca="false">Q465+N466</f>
        <v>145877.630223336</v>
      </c>
      <c r="S466" s="56" t="n">
        <f aca="false">S465+1</f>
        <v>459</v>
      </c>
      <c r="T466" s="57" t="n">
        <f aca="false">IF(AND(S466&lt;=Assumptions!$C$42,T465=1,X465=0,W465&gt;Assumptions!$C$43),1,0)</f>
        <v>0</v>
      </c>
      <c r="U466" s="58" t="n">
        <f aca="false">W465</f>
        <v>-182.103705036234</v>
      </c>
      <c r="V466" s="58" t="n">
        <f aca="false">IF(T466=1,U466*$B$22,0)</f>
        <v>0</v>
      </c>
      <c r="W466" s="58" t="n">
        <f aca="false">IF(T466=1,U466+V466-$B$27,U466)</f>
        <v>-182.103705036234</v>
      </c>
      <c r="X466" s="56" t="n">
        <f aca="false">IF(T466=1,IF($B$27&lt;=V466,1,0),0)</f>
        <v>0</v>
      </c>
      <c r="Y466" s="58" t="n">
        <f aca="false">Y465+V466</f>
        <v>113000.408372882</v>
      </c>
    </row>
    <row r="467" customFormat="false" ht="15" hidden="false" customHeight="false" outlineLevel="0" collapsed="false">
      <c r="K467" s="56" t="n">
        <f aca="false">K466+1</f>
        <v>460</v>
      </c>
      <c r="L467" s="57" t="n">
        <f aca="false">IF(AND(K467&lt;=Assumptions!$C$42,L466=1,P466=0,O466&gt;Assumptions!$C$43),1,0)</f>
        <v>0</v>
      </c>
      <c r="M467" s="58" t="n">
        <f aca="false">O466</f>
        <v>8.10541678220034E-009</v>
      </c>
      <c r="N467" s="58" t="n">
        <f aca="false">IF(L467=1,M467*$B$22,0)</f>
        <v>0</v>
      </c>
      <c r="O467" s="58" t="n">
        <f aca="false">IF(L467=1,M467+N467-$B$26,M467)</f>
        <v>8.10541678220034E-009</v>
      </c>
      <c r="P467" s="56" t="n">
        <f aca="false">IF(L467=1,IF($B$26&lt;=N467,1,0),0)</f>
        <v>0</v>
      </c>
      <c r="Q467" s="58" t="n">
        <f aca="false">Q466+N467</f>
        <v>145877.630223336</v>
      </c>
      <c r="S467" s="56" t="n">
        <f aca="false">S466+1</f>
        <v>460</v>
      </c>
      <c r="T467" s="57" t="n">
        <f aca="false">IF(AND(S467&lt;=Assumptions!$C$42,T466=1,X466=0,W466&gt;Assumptions!$C$43),1,0)</f>
        <v>0</v>
      </c>
      <c r="U467" s="58" t="n">
        <f aca="false">W466</f>
        <v>-182.103705036234</v>
      </c>
      <c r="V467" s="58" t="n">
        <f aca="false">IF(T467=1,U467*$B$22,0)</f>
        <v>0</v>
      </c>
      <c r="W467" s="58" t="n">
        <f aca="false">IF(T467=1,U467+V467-$B$27,U467)</f>
        <v>-182.103705036234</v>
      </c>
      <c r="X467" s="56" t="n">
        <f aca="false">IF(T467=1,IF($B$27&lt;=V467,1,0),0)</f>
        <v>0</v>
      </c>
      <c r="Y467" s="58" t="n">
        <f aca="false">Y466+V467</f>
        <v>113000.408372882</v>
      </c>
    </row>
    <row r="468" customFormat="false" ht="15" hidden="false" customHeight="false" outlineLevel="0" collapsed="false">
      <c r="K468" s="56" t="n">
        <f aca="false">K467+1</f>
        <v>461</v>
      </c>
      <c r="L468" s="57" t="n">
        <f aca="false">IF(AND(K468&lt;=Assumptions!$C$42,L467=1,P467=0,O467&gt;Assumptions!$C$43),1,0)</f>
        <v>0</v>
      </c>
      <c r="M468" s="58" t="n">
        <f aca="false">O467</f>
        <v>8.10541678220034E-009</v>
      </c>
      <c r="N468" s="58" t="n">
        <f aca="false">IF(L468=1,M468*$B$22,0)</f>
        <v>0</v>
      </c>
      <c r="O468" s="58" t="n">
        <f aca="false">IF(L468=1,M468+N468-$B$26,M468)</f>
        <v>8.10541678220034E-009</v>
      </c>
      <c r="P468" s="56" t="n">
        <f aca="false">IF(L468=1,IF($B$26&lt;=N468,1,0),0)</f>
        <v>0</v>
      </c>
      <c r="Q468" s="58" t="n">
        <f aca="false">Q467+N468</f>
        <v>145877.630223336</v>
      </c>
      <c r="S468" s="56" t="n">
        <f aca="false">S467+1</f>
        <v>461</v>
      </c>
      <c r="T468" s="57" t="n">
        <f aca="false">IF(AND(S468&lt;=Assumptions!$C$42,T467=1,X467=0,W467&gt;Assumptions!$C$43),1,0)</f>
        <v>0</v>
      </c>
      <c r="U468" s="58" t="n">
        <f aca="false">W467</f>
        <v>-182.103705036234</v>
      </c>
      <c r="V468" s="58" t="n">
        <f aca="false">IF(T468=1,U468*$B$22,0)</f>
        <v>0</v>
      </c>
      <c r="W468" s="58" t="n">
        <f aca="false">IF(T468=1,U468+V468-$B$27,U468)</f>
        <v>-182.103705036234</v>
      </c>
      <c r="X468" s="56" t="n">
        <f aca="false">IF(T468=1,IF($B$27&lt;=V468,1,0),0)</f>
        <v>0</v>
      </c>
      <c r="Y468" s="58" t="n">
        <f aca="false">Y467+V468</f>
        <v>113000.408372882</v>
      </c>
    </row>
    <row r="469" customFormat="false" ht="15" hidden="false" customHeight="false" outlineLevel="0" collapsed="false">
      <c r="K469" s="56" t="n">
        <f aca="false">K468+1</f>
        <v>462</v>
      </c>
      <c r="L469" s="57" t="n">
        <f aca="false">IF(AND(K469&lt;=Assumptions!$C$42,L468=1,P468=0,O468&gt;Assumptions!$C$43),1,0)</f>
        <v>0</v>
      </c>
      <c r="M469" s="58" t="n">
        <f aca="false">O468</f>
        <v>8.10541678220034E-009</v>
      </c>
      <c r="N469" s="58" t="n">
        <f aca="false">IF(L469=1,M469*$B$22,0)</f>
        <v>0</v>
      </c>
      <c r="O469" s="58" t="n">
        <f aca="false">IF(L469=1,M469+N469-$B$26,M469)</f>
        <v>8.10541678220034E-009</v>
      </c>
      <c r="P469" s="56" t="n">
        <f aca="false">IF(L469=1,IF($B$26&lt;=N469,1,0),0)</f>
        <v>0</v>
      </c>
      <c r="Q469" s="58" t="n">
        <f aca="false">Q468+N469</f>
        <v>145877.630223336</v>
      </c>
      <c r="S469" s="56" t="n">
        <f aca="false">S468+1</f>
        <v>462</v>
      </c>
      <c r="T469" s="57" t="n">
        <f aca="false">IF(AND(S469&lt;=Assumptions!$C$42,T468=1,X468=0,W468&gt;Assumptions!$C$43),1,0)</f>
        <v>0</v>
      </c>
      <c r="U469" s="58" t="n">
        <f aca="false">W468</f>
        <v>-182.103705036234</v>
      </c>
      <c r="V469" s="58" t="n">
        <f aca="false">IF(T469=1,U469*$B$22,0)</f>
        <v>0</v>
      </c>
      <c r="W469" s="58" t="n">
        <f aca="false">IF(T469=1,U469+V469-$B$27,U469)</f>
        <v>-182.103705036234</v>
      </c>
      <c r="X469" s="56" t="n">
        <f aca="false">IF(T469=1,IF($B$27&lt;=V469,1,0),0)</f>
        <v>0</v>
      </c>
      <c r="Y469" s="58" t="n">
        <f aca="false">Y468+V469</f>
        <v>113000.408372882</v>
      </c>
    </row>
    <row r="470" customFormat="false" ht="15" hidden="false" customHeight="false" outlineLevel="0" collapsed="false">
      <c r="K470" s="56" t="n">
        <f aca="false">K469+1</f>
        <v>463</v>
      </c>
      <c r="L470" s="57" t="n">
        <f aca="false">IF(AND(K470&lt;=Assumptions!$C$42,L469=1,P469=0,O469&gt;Assumptions!$C$43),1,0)</f>
        <v>0</v>
      </c>
      <c r="M470" s="58" t="n">
        <f aca="false">O469</f>
        <v>8.10541678220034E-009</v>
      </c>
      <c r="N470" s="58" t="n">
        <f aca="false">IF(L470=1,M470*$B$22,0)</f>
        <v>0</v>
      </c>
      <c r="O470" s="58" t="n">
        <f aca="false">IF(L470=1,M470+N470-$B$26,M470)</f>
        <v>8.10541678220034E-009</v>
      </c>
      <c r="P470" s="56" t="n">
        <f aca="false">IF(L470=1,IF($B$26&lt;=N470,1,0),0)</f>
        <v>0</v>
      </c>
      <c r="Q470" s="58" t="n">
        <f aca="false">Q469+N470</f>
        <v>145877.630223336</v>
      </c>
      <c r="S470" s="56" t="n">
        <f aca="false">S469+1</f>
        <v>463</v>
      </c>
      <c r="T470" s="57" t="n">
        <f aca="false">IF(AND(S470&lt;=Assumptions!$C$42,T469=1,X469=0,W469&gt;Assumptions!$C$43),1,0)</f>
        <v>0</v>
      </c>
      <c r="U470" s="58" t="n">
        <f aca="false">W469</f>
        <v>-182.103705036234</v>
      </c>
      <c r="V470" s="58" t="n">
        <f aca="false">IF(T470=1,U470*$B$22,0)</f>
        <v>0</v>
      </c>
      <c r="W470" s="58" t="n">
        <f aca="false">IF(T470=1,U470+V470-$B$27,U470)</f>
        <v>-182.103705036234</v>
      </c>
      <c r="X470" s="56" t="n">
        <f aca="false">IF(T470=1,IF($B$27&lt;=V470,1,0),0)</f>
        <v>0</v>
      </c>
      <c r="Y470" s="58" t="n">
        <f aca="false">Y469+V470</f>
        <v>113000.408372882</v>
      </c>
    </row>
    <row r="471" customFormat="false" ht="15" hidden="false" customHeight="false" outlineLevel="0" collapsed="false">
      <c r="K471" s="56" t="n">
        <f aca="false">K470+1</f>
        <v>464</v>
      </c>
      <c r="L471" s="57" t="n">
        <f aca="false">IF(AND(K471&lt;=Assumptions!$C$42,L470=1,P470=0,O470&gt;Assumptions!$C$43),1,0)</f>
        <v>0</v>
      </c>
      <c r="M471" s="58" t="n">
        <f aca="false">O470</f>
        <v>8.10541678220034E-009</v>
      </c>
      <c r="N471" s="58" t="n">
        <f aca="false">IF(L471=1,M471*$B$22,0)</f>
        <v>0</v>
      </c>
      <c r="O471" s="58" t="n">
        <f aca="false">IF(L471=1,M471+N471-$B$26,M471)</f>
        <v>8.10541678220034E-009</v>
      </c>
      <c r="P471" s="56" t="n">
        <f aca="false">IF(L471=1,IF($B$26&lt;=N471,1,0),0)</f>
        <v>0</v>
      </c>
      <c r="Q471" s="58" t="n">
        <f aca="false">Q470+N471</f>
        <v>145877.630223336</v>
      </c>
      <c r="S471" s="56" t="n">
        <f aca="false">S470+1</f>
        <v>464</v>
      </c>
      <c r="T471" s="57" t="n">
        <f aca="false">IF(AND(S471&lt;=Assumptions!$C$42,T470=1,X470=0,W470&gt;Assumptions!$C$43),1,0)</f>
        <v>0</v>
      </c>
      <c r="U471" s="58" t="n">
        <f aca="false">W470</f>
        <v>-182.103705036234</v>
      </c>
      <c r="V471" s="58" t="n">
        <f aca="false">IF(T471=1,U471*$B$22,0)</f>
        <v>0</v>
      </c>
      <c r="W471" s="58" t="n">
        <f aca="false">IF(T471=1,U471+V471-$B$27,U471)</f>
        <v>-182.103705036234</v>
      </c>
      <c r="X471" s="56" t="n">
        <f aca="false">IF(T471=1,IF($B$27&lt;=V471,1,0),0)</f>
        <v>0</v>
      </c>
      <c r="Y471" s="58" t="n">
        <f aca="false">Y470+V471</f>
        <v>113000.408372882</v>
      </c>
    </row>
    <row r="472" customFormat="false" ht="15" hidden="false" customHeight="false" outlineLevel="0" collapsed="false">
      <c r="K472" s="56" t="n">
        <f aca="false">K471+1</f>
        <v>465</v>
      </c>
      <c r="L472" s="57" t="n">
        <f aca="false">IF(AND(K472&lt;=Assumptions!$C$42,L471=1,P471=0,O471&gt;Assumptions!$C$43),1,0)</f>
        <v>0</v>
      </c>
      <c r="M472" s="58" t="n">
        <f aca="false">O471</f>
        <v>8.10541678220034E-009</v>
      </c>
      <c r="N472" s="58" t="n">
        <f aca="false">IF(L472=1,M472*$B$22,0)</f>
        <v>0</v>
      </c>
      <c r="O472" s="58" t="n">
        <f aca="false">IF(L472=1,M472+N472-$B$26,M472)</f>
        <v>8.10541678220034E-009</v>
      </c>
      <c r="P472" s="56" t="n">
        <f aca="false">IF(L472=1,IF($B$26&lt;=N472,1,0),0)</f>
        <v>0</v>
      </c>
      <c r="Q472" s="58" t="n">
        <f aca="false">Q471+N472</f>
        <v>145877.630223336</v>
      </c>
      <c r="S472" s="56" t="n">
        <f aca="false">S471+1</f>
        <v>465</v>
      </c>
      <c r="T472" s="57" t="n">
        <f aca="false">IF(AND(S472&lt;=Assumptions!$C$42,T471=1,X471=0,W471&gt;Assumptions!$C$43),1,0)</f>
        <v>0</v>
      </c>
      <c r="U472" s="58" t="n">
        <f aca="false">W471</f>
        <v>-182.103705036234</v>
      </c>
      <c r="V472" s="58" t="n">
        <f aca="false">IF(T472=1,U472*$B$22,0)</f>
        <v>0</v>
      </c>
      <c r="W472" s="58" t="n">
        <f aca="false">IF(T472=1,U472+V472-$B$27,U472)</f>
        <v>-182.103705036234</v>
      </c>
      <c r="X472" s="56" t="n">
        <f aca="false">IF(T472=1,IF($B$27&lt;=V472,1,0),0)</f>
        <v>0</v>
      </c>
      <c r="Y472" s="58" t="n">
        <f aca="false">Y471+V472</f>
        <v>113000.408372882</v>
      </c>
    </row>
    <row r="473" customFormat="false" ht="15" hidden="false" customHeight="false" outlineLevel="0" collapsed="false">
      <c r="K473" s="56" t="n">
        <f aca="false">K472+1</f>
        <v>466</v>
      </c>
      <c r="L473" s="57" t="n">
        <f aca="false">IF(AND(K473&lt;=Assumptions!$C$42,L472=1,P472=0,O472&gt;Assumptions!$C$43),1,0)</f>
        <v>0</v>
      </c>
      <c r="M473" s="58" t="n">
        <f aca="false">O472</f>
        <v>8.10541678220034E-009</v>
      </c>
      <c r="N473" s="58" t="n">
        <f aca="false">IF(L473=1,M473*$B$22,0)</f>
        <v>0</v>
      </c>
      <c r="O473" s="58" t="n">
        <f aca="false">IF(L473=1,M473+N473-$B$26,M473)</f>
        <v>8.10541678220034E-009</v>
      </c>
      <c r="P473" s="56" t="n">
        <f aca="false">IF(L473=1,IF($B$26&lt;=N473,1,0),0)</f>
        <v>0</v>
      </c>
      <c r="Q473" s="58" t="n">
        <f aca="false">Q472+N473</f>
        <v>145877.630223336</v>
      </c>
      <c r="S473" s="56" t="n">
        <f aca="false">S472+1</f>
        <v>466</v>
      </c>
      <c r="T473" s="57" t="n">
        <f aca="false">IF(AND(S473&lt;=Assumptions!$C$42,T472=1,X472=0,W472&gt;Assumptions!$C$43),1,0)</f>
        <v>0</v>
      </c>
      <c r="U473" s="58" t="n">
        <f aca="false">W472</f>
        <v>-182.103705036234</v>
      </c>
      <c r="V473" s="58" t="n">
        <f aca="false">IF(T473=1,U473*$B$22,0)</f>
        <v>0</v>
      </c>
      <c r="W473" s="58" t="n">
        <f aca="false">IF(T473=1,U473+V473-$B$27,U473)</f>
        <v>-182.103705036234</v>
      </c>
      <c r="X473" s="56" t="n">
        <f aca="false">IF(T473=1,IF($B$27&lt;=V473,1,0),0)</f>
        <v>0</v>
      </c>
      <c r="Y473" s="58" t="n">
        <f aca="false">Y472+V473</f>
        <v>113000.408372882</v>
      </c>
    </row>
    <row r="474" customFormat="false" ht="15" hidden="false" customHeight="false" outlineLevel="0" collapsed="false">
      <c r="K474" s="56" t="n">
        <f aca="false">K473+1</f>
        <v>467</v>
      </c>
      <c r="L474" s="57" t="n">
        <f aca="false">IF(AND(K474&lt;=Assumptions!$C$42,L473=1,P473=0,O473&gt;Assumptions!$C$43),1,0)</f>
        <v>0</v>
      </c>
      <c r="M474" s="58" t="n">
        <f aca="false">O473</f>
        <v>8.10541678220034E-009</v>
      </c>
      <c r="N474" s="58" t="n">
        <f aca="false">IF(L474=1,M474*$B$22,0)</f>
        <v>0</v>
      </c>
      <c r="O474" s="58" t="n">
        <f aca="false">IF(L474=1,M474+N474-$B$26,M474)</f>
        <v>8.10541678220034E-009</v>
      </c>
      <c r="P474" s="56" t="n">
        <f aca="false">IF(L474=1,IF($B$26&lt;=N474,1,0),0)</f>
        <v>0</v>
      </c>
      <c r="Q474" s="58" t="n">
        <f aca="false">Q473+N474</f>
        <v>145877.630223336</v>
      </c>
      <c r="S474" s="56" t="n">
        <f aca="false">S473+1</f>
        <v>467</v>
      </c>
      <c r="T474" s="57" t="n">
        <f aca="false">IF(AND(S474&lt;=Assumptions!$C$42,T473=1,X473=0,W473&gt;Assumptions!$C$43),1,0)</f>
        <v>0</v>
      </c>
      <c r="U474" s="58" t="n">
        <f aca="false">W473</f>
        <v>-182.103705036234</v>
      </c>
      <c r="V474" s="58" t="n">
        <f aca="false">IF(T474=1,U474*$B$22,0)</f>
        <v>0</v>
      </c>
      <c r="W474" s="58" t="n">
        <f aca="false">IF(T474=1,U474+V474-$B$27,U474)</f>
        <v>-182.103705036234</v>
      </c>
      <c r="X474" s="56" t="n">
        <f aca="false">IF(T474=1,IF($B$27&lt;=V474,1,0),0)</f>
        <v>0</v>
      </c>
      <c r="Y474" s="58" t="n">
        <f aca="false">Y473+V474</f>
        <v>113000.408372882</v>
      </c>
    </row>
    <row r="475" customFormat="false" ht="15" hidden="false" customHeight="false" outlineLevel="0" collapsed="false">
      <c r="K475" s="56" t="n">
        <f aca="false">K474+1</f>
        <v>468</v>
      </c>
      <c r="L475" s="57" t="n">
        <f aca="false">IF(AND(K475&lt;=Assumptions!$C$42,L474=1,P474=0,O474&gt;Assumptions!$C$43),1,0)</f>
        <v>0</v>
      </c>
      <c r="M475" s="58" t="n">
        <f aca="false">O474</f>
        <v>8.10541678220034E-009</v>
      </c>
      <c r="N475" s="58" t="n">
        <f aca="false">IF(L475=1,M475*$B$22,0)</f>
        <v>0</v>
      </c>
      <c r="O475" s="58" t="n">
        <f aca="false">IF(L475=1,M475+N475-$B$26,M475)</f>
        <v>8.10541678220034E-009</v>
      </c>
      <c r="P475" s="56" t="n">
        <f aca="false">IF(L475=1,IF($B$26&lt;=N475,1,0),0)</f>
        <v>0</v>
      </c>
      <c r="Q475" s="58" t="n">
        <f aca="false">Q474+N475</f>
        <v>145877.630223336</v>
      </c>
      <c r="S475" s="56" t="n">
        <f aca="false">S474+1</f>
        <v>468</v>
      </c>
      <c r="T475" s="57" t="n">
        <f aca="false">IF(AND(S475&lt;=Assumptions!$C$42,T474=1,X474=0,W474&gt;Assumptions!$C$43),1,0)</f>
        <v>0</v>
      </c>
      <c r="U475" s="58" t="n">
        <f aca="false">W474</f>
        <v>-182.103705036234</v>
      </c>
      <c r="V475" s="58" t="n">
        <f aca="false">IF(T475=1,U475*$B$22,0)</f>
        <v>0</v>
      </c>
      <c r="W475" s="58" t="n">
        <f aca="false">IF(T475=1,U475+V475-$B$27,U475)</f>
        <v>-182.103705036234</v>
      </c>
      <c r="X475" s="56" t="n">
        <f aca="false">IF(T475=1,IF($B$27&lt;=V475,1,0),0)</f>
        <v>0</v>
      </c>
      <c r="Y475" s="58" t="n">
        <f aca="false">Y474+V475</f>
        <v>113000.408372882</v>
      </c>
    </row>
    <row r="476" customFormat="false" ht="15" hidden="false" customHeight="false" outlineLevel="0" collapsed="false">
      <c r="K476" s="56" t="n">
        <f aca="false">K475+1</f>
        <v>469</v>
      </c>
      <c r="L476" s="57" t="n">
        <f aca="false">IF(AND(K476&lt;=Assumptions!$C$42,L475=1,P475=0,O475&gt;Assumptions!$C$43),1,0)</f>
        <v>0</v>
      </c>
      <c r="M476" s="58" t="n">
        <f aca="false">O475</f>
        <v>8.10541678220034E-009</v>
      </c>
      <c r="N476" s="58" t="n">
        <f aca="false">IF(L476=1,M476*$B$22,0)</f>
        <v>0</v>
      </c>
      <c r="O476" s="58" t="n">
        <f aca="false">IF(L476=1,M476+N476-$B$26,M476)</f>
        <v>8.10541678220034E-009</v>
      </c>
      <c r="P476" s="56" t="n">
        <f aca="false">IF(L476=1,IF($B$26&lt;=N476,1,0),0)</f>
        <v>0</v>
      </c>
      <c r="Q476" s="58" t="n">
        <f aca="false">Q475+N476</f>
        <v>145877.630223336</v>
      </c>
      <c r="S476" s="56" t="n">
        <f aca="false">S475+1</f>
        <v>469</v>
      </c>
      <c r="T476" s="57" t="n">
        <f aca="false">IF(AND(S476&lt;=Assumptions!$C$42,T475=1,X475=0,W475&gt;Assumptions!$C$43),1,0)</f>
        <v>0</v>
      </c>
      <c r="U476" s="58" t="n">
        <f aca="false">W475</f>
        <v>-182.103705036234</v>
      </c>
      <c r="V476" s="58" t="n">
        <f aca="false">IF(T476=1,U476*$B$22,0)</f>
        <v>0</v>
      </c>
      <c r="W476" s="58" t="n">
        <f aca="false">IF(T476=1,U476+V476-$B$27,U476)</f>
        <v>-182.103705036234</v>
      </c>
      <c r="X476" s="56" t="n">
        <f aca="false">IF(T476=1,IF($B$27&lt;=V476,1,0),0)</f>
        <v>0</v>
      </c>
      <c r="Y476" s="58" t="n">
        <f aca="false">Y475+V476</f>
        <v>113000.408372882</v>
      </c>
    </row>
    <row r="477" customFormat="false" ht="15" hidden="false" customHeight="false" outlineLevel="0" collapsed="false">
      <c r="K477" s="56" t="n">
        <f aca="false">K476+1</f>
        <v>470</v>
      </c>
      <c r="L477" s="57" t="n">
        <f aca="false">IF(AND(K477&lt;=Assumptions!$C$42,L476=1,P476=0,O476&gt;Assumptions!$C$43),1,0)</f>
        <v>0</v>
      </c>
      <c r="M477" s="58" t="n">
        <f aca="false">O476</f>
        <v>8.10541678220034E-009</v>
      </c>
      <c r="N477" s="58" t="n">
        <f aca="false">IF(L477=1,M477*$B$22,0)</f>
        <v>0</v>
      </c>
      <c r="O477" s="58" t="n">
        <f aca="false">IF(L477=1,M477+N477-$B$26,M477)</f>
        <v>8.10541678220034E-009</v>
      </c>
      <c r="P477" s="56" t="n">
        <f aca="false">IF(L477=1,IF($B$26&lt;=N477,1,0),0)</f>
        <v>0</v>
      </c>
      <c r="Q477" s="58" t="n">
        <f aca="false">Q476+N477</f>
        <v>145877.630223336</v>
      </c>
      <c r="S477" s="56" t="n">
        <f aca="false">S476+1</f>
        <v>470</v>
      </c>
      <c r="T477" s="57" t="n">
        <f aca="false">IF(AND(S477&lt;=Assumptions!$C$42,T476=1,X476=0,W476&gt;Assumptions!$C$43),1,0)</f>
        <v>0</v>
      </c>
      <c r="U477" s="58" t="n">
        <f aca="false">W476</f>
        <v>-182.103705036234</v>
      </c>
      <c r="V477" s="58" t="n">
        <f aca="false">IF(T477=1,U477*$B$22,0)</f>
        <v>0</v>
      </c>
      <c r="W477" s="58" t="n">
        <f aca="false">IF(T477=1,U477+V477-$B$27,U477)</f>
        <v>-182.103705036234</v>
      </c>
      <c r="X477" s="56" t="n">
        <f aca="false">IF(T477=1,IF($B$27&lt;=V477,1,0),0)</f>
        <v>0</v>
      </c>
      <c r="Y477" s="58" t="n">
        <f aca="false">Y476+V477</f>
        <v>113000.408372882</v>
      </c>
    </row>
    <row r="478" customFormat="false" ht="15" hidden="false" customHeight="false" outlineLevel="0" collapsed="false">
      <c r="K478" s="56" t="n">
        <f aca="false">K477+1</f>
        <v>471</v>
      </c>
      <c r="L478" s="57" t="n">
        <f aca="false">IF(AND(K478&lt;=Assumptions!$C$42,L477=1,P477=0,O477&gt;Assumptions!$C$43),1,0)</f>
        <v>0</v>
      </c>
      <c r="M478" s="58" t="n">
        <f aca="false">O477</f>
        <v>8.10541678220034E-009</v>
      </c>
      <c r="N478" s="58" t="n">
        <f aca="false">IF(L478=1,M478*$B$22,0)</f>
        <v>0</v>
      </c>
      <c r="O478" s="58" t="n">
        <f aca="false">IF(L478=1,M478+N478-$B$26,M478)</f>
        <v>8.10541678220034E-009</v>
      </c>
      <c r="P478" s="56" t="n">
        <f aca="false">IF(L478=1,IF($B$26&lt;=N478,1,0),0)</f>
        <v>0</v>
      </c>
      <c r="Q478" s="58" t="n">
        <f aca="false">Q477+N478</f>
        <v>145877.630223336</v>
      </c>
      <c r="S478" s="56" t="n">
        <f aca="false">S477+1</f>
        <v>471</v>
      </c>
      <c r="T478" s="57" t="n">
        <f aca="false">IF(AND(S478&lt;=Assumptions!$C$42,T477=1,X477=0,W477&gt;Assumptions!$C$43),1,0)</f>
        <v>0</v>
      </c>
      <c r="U478" s="58" t="n">
        <f aca="false">W477</f>
        <v>-182.103705036234</v>
      </c>
      <c r="V478" s="58" t="n">
        <f aca="false">IF(T478=1,U478*$B$22,0)</f>
        <v>0</v>
      </c>
      <c r="W478" s="58" t="n">
        <f aca="false">IF(T478=1,U478+V478-$B$27,U478)</f>
        <v>-182.103705036234</v>
      </c>
      <c r="X478" s="56" t="n">
        <f aca="false">IF(T478=1,IF($B$27&lt;=V478,1,0),0)</f>
        <v>0</v>
      </c>
      <c r="Y478" s="58" t="n">
        <f aca="false">Y477+V478</f>
        <v>113000.408372882</v>
      </c>
    </row>
    <row r="479" customFormat="false" ht="15" hidden="false" customHeight="false" outlineLevel="0" collapsed="false">
      <c r="K479" s="56" t="n">
        <f aca="false">K478+1</f>
        <v>472</v>
      </c>
      <c r="L479" s="57" t="n">
        <f aca="false">IF(AND(K479&lt;=Assumptions!$C$42,L478=1,P478=0,O478&gt;Assumptions!$C$43),1,0)</f>
        <v>0</v>
      </c>
      <c r="M479" s="58" t="n">
        <f aca="false">O478</f>
        <v>8.10541678220034E-009</v>
      </c>
      <c r="N479" s="58" t="n">
        <f aca="false">IF(L479=1,M479*$B$22,0)</f>
        <v>0</v>
      </c>
      <c r="O479" s="58" t="n">
        <f aca="false">IF(L479=1,M479+N479-$B$26,M479)</f>
        <v>8.10541678220034E-009</v>
      </c>
      <c r="P479" s="56" t="n">
        <f aca="false">IF(L479=1,IF($B$26&lt;=N479,1,0),0)</f>
        <v>0</v>
      </c>
      <c r="Q479" s="58" t="n">
        <f aca="false">Q478+N479</f>
        <v>145877.630223336</v>
      </c>
      <c r="S479" s="56" t="n">
        <f aca="false">S478+1</f>
        <v>472</v>
      </c>
      <c r="T479" s="57" t="n">
        <f aca="false">IF(AND(S479&lt;=Assumptions!$C$42,T478=1,X478=0,W478&gt;Assumptions!$C$43),1,0)</f>
        <v>0</v>
      </c>
      <c r="U479" s="58" t="n">
        <f aca="false">W478</f>
        <v>-182.103705036234</v>
      </c>
      <c r="V479" s="58" t="n">
        <f aca="false">IF(T479=1,U479*$B$22,0)</f>
        <v>0</v>
      </c>
      <c r="W479" s="58" t="n">
        <f aca="false">IF(T479=1,U479+V479-$B$27,U479)</f>
        <v>-182.103705036234</v>
      </c>
      <c r="X479" s="56" t="n">
        <f aca="false">IF(T479=1,IF($B$27&lt;=V479,1,0),0)</f>
        <v>0</v>
      </c>
      <c r="Y479" s="58" t="n">
        <f aca="false">Y478+V479</f>
        <v>113000.408372882</v>
      </c>
    </row>
    <row r="480" customFormat="false" ht="15" hidden="false" customHeight="false" outlineLevel="0" collapsed="false">
      <c r="K480" s="56" t="n">
        <f aca="false">K479+1</f>
        <v>473</v>
      </c>
      <c r="L480" s="57" t="n">
        <f aca="false">IF(AND(K480&lt;=Assumptions!$C$42,L479=1,P479=0,O479&gt;Assumptions!$C$43),1,0)</f>
        <v>0</v>
      </c>
      <c r="M480" s="58" t="n">
        <f aca="false">O479</f>
        <v>8.10541678220034E-009</v>
      </c>
      <c r="N480" s="58" t="n">
        <f aca="false">IF(L480=1,M480*$B$22,0)</f>
        <v>0</v>
      </c>
      <c r="O480" s="58" t="n">
        <f aca="false">IF(L480=1,M480+N480-$B$26,M480)</f>
        <v>8.10541678220034E-009</v>
      </c>
      <c r="P480" s="56" t="n">
        <f aca="false">IF(L480=1,IF($B$26&lt;=N480,1,0),0)</f>
        <v>0</v>
      </c>
      <c r="Q480" s="58" t="n">
        <f aca="false">Q479+N480</f>
        <v>145877.630223336</v>
      </c>
      <c r="S480" s="56" t="n">
        <f aca="false">S479+1</f>
        <v>473</v>
      </c>
      <c r="T480" s="57" t="n">
        <f aca="false">IF(AND(S480&lt;=Assumptions!$C$42,T479=1,X479=0,W479&gt;Assumptions!$C$43),1,0)</f>
        <v>0</v>
      </c>
      <c r="U480" s="58" t="n">
        <f aca="false">W479</f>
        <v>-182.103705036234</v>
      </c>
      <c r="V480" s="58" t="n">
        <f aca="false">IF(T480=1,U480*$B$22,0)</f>
        <v>0</v>
      </c>
      <c r="W480" s="58" t="n">
        <f aca="false">IF(T480=1,U480+V480-$B$27,U480)</f>
        <v>-182.103705036234</v>
      </c>
      <c r="X480" s="56" t="n">
        <f aca="false">IF(T480=1,IF($B$27&lt;=V480,1,0),0)</f>
        <v>0</v>
      </c>
      <c r="Y480" s="58" t="n">
        <f aca="false">Y479+V480</f>
        <v>113000.408372882</v>
      </c>
    </row>
    <row r="481" customFormat="false" ht="15" hidden="false" customHeight="false" outlineLevel="0" collapsed="false">
      <c r="K481" s="56" t="n">
        <f aca="false">K480+1</f>
        <v>474</v>
      </c>
      <c r="L481" s="57" t="n">
        <f aca="false">IF(AND(K481&lt;=Assumptions!$C$42,L480=1,P480=0,O480&gt;Assumptions!$C$43),1,0)</f>
        <v>0</v>
      </c>
      <c r="M481" s="58" t="n">
        <f aca="false">O480</f>
        <v>8.10541678220034E-009</v>
      </c>
      <c r="N481" s="58" t="n">
        <f aca="false">IF(L481=1,M481*$B$22,0)</f>
        <v>0</v>
      </c>
      <c r="O481" s="58" t="n">
        <f aca="false">IF(L481=1,M481+N481-$B$26,M481)</f>
        <v>8.10541678220034E-009</v>
      </c>
      <c r="P481" s="56" t="n">
        <f aca="false">IF(L481=1,IF($B$26&lt;=N481,1,0),0)</f>
        <v>0</v>
      </c>
      <c r="Q481" s="58" t="n">
        <f aca="false">Q480+N481</f>
        <v>145877.630223336</v>
      </c>
      <c r="S481" s="56" t="n">
        <f aca="false">S480+1</f>
        <v>474</v>
      </c>
      <c r="T481" s="57" t="n">
        <f aca="false">IF(AND(S481&lt;=Assumptions!$C$42,T480=1,X480=0,W480&gt;Assumptions!$C$43),1,0)</f>
        <v>0</v>
      </c>
      <c r="U481" s="58" t="n">
        <f aca="false">W480</f>
        <v>-182.103705036234</v>
      </c>
      <c r="V481" s="58" t="n">
        <f aca="false">IF(T481=1,U481*$B$22,0)</f>
        <v>0</v>
      </c>
      <c r="W481" s="58" t="n">
        <f aca="false">IF(T481=1,U481+V481-$B$27,U481)</f>
        <v>-182.103705036234</v>
      </c>
      <c r="X481" s="56" t="n">
        <f aca="false">IF(T481=1,IF($B$27&lt;=V481,1,0),0)</f>
        <v>0</v>
      </c>
      <c r="Y481" s="58" t="n">
        <f aca="false">Y480+V481</f>
        <v>113000.408372882</v>
      </c>
    </row>
    <row r="482" customFormat="false" ht="15" hidden="false" customHeight="false" outlineLevel="0" collapsed="false">
      <c r="K482" s="56" t="n">
        <f aca="false">K481+1</f>
        <v>475</v>
      </c>
      <c r="L482" s="57" t="n">
        <f aca="false">IF(AND(K482&lt;=Assumptions!$C$42,L481=1,P481=0,O481&gt;Assumptions!$C$43),1,0)</f>
        <v>0</v>
      </c>
      <c r="M482" s="58" t="n">
        <f aca="false">O481</f>
        <v>8.10541678220034E-009</v>
      </c>
      <c r="N482" s="58" t="n">
        <f aca="false">IF(L482=1,M482*$B$22,0)</f>
        <v>0</v>
      </c>
      <c r="O482" s="58" t="n">
        <f aca="false">IF(L482=1,M482+N482-$B$26,M482)</f>
        <v>8.10541678220034E-009</v>
      </c>
      <c r="P482" s="56" t="n">
        <f aca="false">IF(L482=1,IF($B$26&lt;=N482,1,0),0)</f>
        <v>0</v>
      </c>
      <c r="Q482" s="58" t="n">
        <f aca="false">Q481+N482</f>
        <v>145877.630223336</v>
      </c>
      <c r="S482" s="56" t="n">
        <f aca="false">S481+1</f>
        <v>475</v>
      </c>
      <c r="T482" s="57" t="n">
        <f aca="false">IF(AND(S482&lt;=Assumptions!$C$42,T481=1,X481=0,W481&gt;Assumptions!$C$43),1,0)</f>
        <v>0</v>
      </c>
      <c r="U482" s="58" t="n">
        <f aca="false">W481</f>
        <v>-182.103705036234</v>
      </c>
      <c r="V482" s="58" t="n">
        <f aca="false">IF(T482=1,U482*$B$22,0)</f>
        <v>0</v>
      </c>
      <c r="W482" s="58" t="n">
        <f aca="false">IF(T482=1,U482+V482-$B$27,U482)</f>
        <v>-182.103705036234</v>
      </c>
      <c r="X482" s="56" t="n">
        <f aca="false">IF(T482=1,IF($B$27&lt;=V482,1,0),0)</f>
        <v>0</v>
      </c>
      <c r="Y482" s="58" t="n">
        <f aca="false">Y481+V482</f>
        <v>113000.408372882</v>
      </c>
    </row>
    <row r="483" customFormat="false" ht="15" hidden="false" customHeight="false" outlineLevel="0" collapsed="false">
      <c r="K483" s="56" t="n">
        <f aca="false">K482+1</f>
        <v>476</v>
      </c>
      <c r="L483" s="57" t="n">
        <f aca="false">IF(AND(K483&lt;=Assumptions!$C$42,L482=1,P482=0,O482&gt;Assumptions!$C$43),1,0)</f>
        <v>0</v>
      </c>
      <c r="M483" s="58" t="n">
        <f aca="false">O482</f>
        <v>8.10541678220034E-009</v>
      </c>
      <c r="N483" s="58" t="n">
        <f aca="false">IF(L483=1,M483*$B$22,0)</f>
        <v>0</v>
      </c>
      <c r="O483" s="58" t="n">
        <f aca="false">IF(L483=1,M483+N483-$B$26,M483)</f>
        <v>8.10541678220034E-009</v>
      </c>
      <c r="P483" s="56" t="n">
        <f aca="false">IF(L483=1,IF($B$26&lt;=N483,1,0),0)</f>
        <v>0</v>
      </c>
      <c r="Q483" s="58" t="n">
        <f aca="false">Q482+N483</f>
        <v>145877.630223336</v>
      </c>
      <c r="S483" s="56" t="n">
        <f aca="false">S482+1</f>
        <v>476</v>
      </c>
      <c r="T483" s="57" t="n">
        <f aca="false">IF(AND(S483&lt;=Assumptions!$C$42,T482=1,X482=0,W482&gt;Assumptions!$C$43),1,0)</f>
        <v>0</v>
      </c>
      <c r="U483" s="58" t="n">
        <f aca="false">W482</f>
        <v>-182.103705036234</v>
      </c>
      <c r="V483" s="58" t="n">
        <f aca="false">IF(T483=1,U483*$B$22,0)</f>
        <v>0</v>
      </c>
      <c r="W483" s="58" t="n">
        <f aca="false">IF(T483=1,U483+V483-$B$27,U483)</f>
        <v>-182.103705036234</v>
      </c>
      <c r="X483" s="56" t="n">
        <f aca="false">IF(T483=1,IF($B$27&lt;=V483,1,0),0)</f>
        <v>0</v>
      </c>
      <c r="Y483" s="58" t="n">
        <f aca="false">Y482+V483</f>
        <v>113000.408372882</v>
      </c>
    </row>
    <row r="484" customFormat="false" ht="15" hidden="false" customHeight="false" outlineLevel="0" collapsed="false">
      <c r="K484" s="56" t="n">
        <f aca="false">K483+1</f>
        <v>477</v>
      </c>
      <c r="L484" s="57" t="n">
        <f aca="false">IF(AND(K484&lt;=Assumptions!$C$42,L483=1,P483=0,O483&gt;Assumptions!$C$43),1,0)</f>
        <v>0</v>
      </c>
      <c r="M484" s="58" t="n">
        <f aca="false">O483</f>
        <v>8.10541678220034E-009</v>
      </c>
      <c r="N484" s="58" t="n">
        <f aca="false">IF(L484=1,M484*$B$22,0)</f>
        <v>0</v>
      </c>
      <c r="O484" s="58" t="n">
        <f aca="false">IF(L484=1,M484+N484-$B$26,M484)</f>
        <v>8.10541678220034E-009</v>
      </c>
      <c r="P484" s="56" t="n">
        <f aca="false">IF(L484=1,IF($B$26&lt;=N484,1,0),0)</f>
        <v>0</v>
      </c>
      <c r="Q484" s="58" t="n">
        <f aca="false">Q483+N484</f>
        <v>145877.630223336</v>
      </c>
      <c r="S484" s="56" t="n">
        <f aca="false">S483+1</f>
        <v>477</v>
      </c>
      <c r="T484" s="57" t="n">
        <f aca="false">IF(AND(S484&lt;=Assumptions!$C$42,T483=1,X483=0,W483&gt;Assumptions!$C$43),1,0)</f>
        <v>0</v>
      </c>
      <c r="U484" s="58" t="n">
        <f aca="false">W483</f>
        <v>-182.103705036234</v>
      </c>
      <c r="V484" s="58" t="n">
        <f aca="false">IF(T484=1,U484*$B$22,0)</f>
        <v>0</v>
      </c>
      <c r="W484" s="58" t="n">
        <f aca="false">IF(T484=1,U484+V484-$B$27,U484)</f>
        <v>-182.103705036234</v>
      </c>
      <c r="X484" s="56" t="n">
        <f aca="false">IF(T484=1,IF($B$27&lt;=V484,1,0),0)</f>
        <v>0</v>
      </c>
      <c r="Y484" s="58" t="n">
        <f aca="false">Y483+V484</f>
        <v>113000.408372882</v>
      </c>
    </row>
    <row r="485" customFormat="false" ht="15" hidden="false" customHeight="false" outlineLevel="0" collapsed="false">
      <c r="K485" s="56" t="n">
        <f aca="false">K484+1</f>
        <v>478</v>
      </c>
      <c r="L485" s="57" t="n">
        <f aca="false">IF(AND(K485&lt;=Assumptions!$C$42,L484=1,P484=0,O484&gt;Assumptions!$C$43),1,0)</f>
        <v>0</v>
      </c>
      <c r="M485" s="58" t="n">
        <f aca="false">O484</f>
        <v>8.10541678220034E-009</v>
      </c>
      <c r="N485" s="58" t="n">
        <f aca="false">IF(L485=1,M485*$B$22,0)</f>
        <v>0</v>
      </c>
      <c r="O485" s="58" t="n">
        <f aca="false">IF(L485=1,M485+N485-$B$26,M485)</f>
        <v>8.10541678220034E-009</v>
      </c>
      <c r="P485" s="56" t="n">
        <f aca="false">IF(L485=1,IF($B$26&lt;=N485,1,0),0)</f>
        <v>0</v>
      </c>
      <c r="Q485" s="58" t="n">
        <f aca="false">Q484+N485</f>
        <v>145877.630223336</v>
      </c>
      <c r="S485" s="56" t="n">
        <f aca="false">S484+1</f>
        <v>478</v>
      </c>
      <c r="T485" s="57" t="n">
        <f aca="false">IF(AND(S485&lt;=Assumptions!$C$42,T484=1,X484=0,W484&gt;Assumptions!$C$43),1,0)</f>
        <v>0</v>
      </c>
      <c r="U485" s="58" t="n">
        <f aca="false">W484</f>
        <v>-182.103705036234</v>
      </c>
      <c r="V485" s="58" t="n">
        <f aca="false">IF(T485=1,U485*$B$22,0)</f>
        <v>0</v>
      </c>
      <c r="W485" s="58" t="n">
        <f aca="false">IF(T485=1,U485+V485-$B$27,U485)</f>
        <v>-182.103705036234</v>
      </c>
      <c r="X485" s="56" t="n">
        <f aca="false">IF(T485=1,IF($B$27&lt;=V485,1,0),0)</f>
        <v>0</v>
      </c>
      <c r="Y485" s="58" t="n">
        <f aca="false">Y484+V485</f>
        <v>113000.408372882</v>
      </c>
    </row>
    <row r="486" customFormat="false" ht="15" hidden="false" customHeight="false" outlineLevel="0" collapsed="false">
      <c r="K486" s="56" t="n">
        <f aca="false">K485+1</f>
        <v>479</v>
      </c>
      <c r="L486" s="57" t="n">
        <f aca="false">IF(AND(K486&lt;=Assumptions!$C$42,L485=1,P485=0,O485&gt;Assumptions!$C$43),1,0)</f>
        <v>0</v>
      </c>
      <c r="M486" s="58" t="n">
        <f aca="false">O485</f>
        <v>8.10541678220034E-009</v>
      </c>
      <c r="N486" s="58" t="n">
        <f aca="false">IF(L486=1,M486*$B$22,0)</f>
        <v>0</v>
      </c>
      <c r="O486" s="58" t="n">
        <f aca="false">IF(L486=1,M486+N486-$B$26,M486)</f>
        <v>8.10541678220034E-009</v>
      </c>
      <c r="P486" s="56" t="n">
        <f aca="false">IF(L486=1,IF($B$26&lt;=N486,1,0),0)</f>
        <v>0</v>
      </c>
      <c r="Q486" s="58" t="n">
        <f aca="false">Q485+N486</f>
        <v>145877.630223336</v>
      </c>
      <c r="S486" s="56" t="n">
        <f aca="false">S485+1</f>
        <v>479</v>
      </c>
      <c r="T486" s="57" t="n">
        <f aca="false">IF(AND(S486&lt;=Assumptions!$C$42,T485=1,X485=0,W485&gt;Assumptions!$C$43),1,0)</f>
        <v>0</v>
      </c>
      <c r="U486" s="58" t="n">
        <f aca="false">W485</f>
        <v>-182.103705036234</v>
      </c>
      <c r="V486" s="58" t="n">
        <f aca="false">IF(T486=1,U486*$B$22,0)</f>
        <v>0</v>
      </c>
      <c r="W486" s="58" t="n">
        <f aca="false">IF(T486=1,U486+V486-$B$27,U486)</f>
        <v>-182.103705036234</v>
      </c>
      <c r="X486" s="56" t="n">
        <f aca="false">IF(T486=1,IF($B$27&lt;=V486,1,0),0)</f>
        <v>0</v>
      </c>
      <c r="Y486" s="58" t="n">
        <f aca="false">Y485+V486</f>
        <v>113000.408372882</v>
      </c>
    </row>
    <row r="487" customFormat="false" ht="15" hidden="false" customHeight="false" outlineLevel="0" collapsed="false">
      <c r="K487" s="56" t="n">
        <f aca="false">K486+1</f>
        <v>480</v>
      </c>
      <c r="L487" s="57" t="n">
        <f aca="false">IF(AND(K487&lt;=Assumptions!$C$42,L486=1,P486=0,O486&gt;Assumptions!$C$43),1,0)</f>
        <v>0</v>
      </c>
      <c r="M487" s="58" t="n">
        <f aca="false">O486</f>
        <v>8.10541678220034E-009</v>
      </c>
      <c r="N487" s="58" t="n">
        <f aca="false">IF(L487=1,M487*$B$22,0)</f>
        <v>0</v>
      </c>
      <c r="O487" s="58" t="n">
        <f aca="false">IF(L487=1,M487+N487-$B$26,M487)</f>
        <v>8.10541678220034E-009</v>
      </c>
      <c r="P487" s="56" t="n">
        <f aca="false">IF(L487=1,IF($B$26&lt;=N487,1,0),0)</f>
        <v>0</v>
      </c>
      <c r="Q487" s="58" t="n">
        <f aca="false">Q486+N487</f>
        <v>145877.630223336</v>
      </c>
      <c r="S487" s="56" t="n">
        <f aca="false">S486+1</f>
        <v>480</v>
      </c>
      <c r="T487" s="57" t="n">
        <f aca="false">IF(AND(S487&lt;=Assumptions!$C$42,T486=1,X486=0,W486&gt;Assumptions!$C$43),1,0)</f>
        <v>0</v>
      </c>
      <c r="U487" s="58" t="n">
        <f aca="false">W486</f>
        <v>-182.103705036234</v>
      </c>
      <c r="V487" s="58" t="n">
        <f aca="false">IF(T487=1,U487*$B$22,0)</f>
        <v>0</v>
      </c>
      <c r="W487" s="58" t="n">
        <f aca="false">IF(T487=1,U487+V487-$B$27,U487)</f>
        <v>-182.103705036234</v>
      </c>
      <c r="X487" s="56" t="n">
        <f aca="false">IF(T487=1,IF($B$27&lt;=V487,1,0),0)</f>
        <v>0</v>
      </c>
      <c r="Y487" s="58" t="n">
        <f aca="false">Y486+V487</f>
        <v>113000.408372882</v>
      </c>
    </row>
    <row r="488" customFormat="false" ht="15" hidden="false" customHeight="false" outlineLevel="0" collapsed="false">
      <c r="K488" s="56" t="n">
        <f aca="false">K487+1</f>
        <v>481</v>
      </c>
      <c r="L488" s="57" t="n">
        <f aca="false">IF(AND(K488&lt;=Assumptions!$C$42,L487=1,P487=0,O487&gt;Assumptions!$C$43),1,0)</f>
        <v>0</v>
      </c>
      <c r="M488" s="58" t="n">
        <f aca="false">O487</f>
        <v>8.10541678220034E-009</v>
      </c>
      <c r="N488" s="58" t="n">
        <f aca="false">IF(L488=1,M488*$B$22,0)</f>
        <v>0</v>
      </c>
      <c r="O488" s="58" t="n">
        <f aca="false">IF(L488=1,M488+N488-$B$26,M488)</f>
        <v>8.10541678220034E-009</v>
      </c>
      <c r="P488" s="56" t="n">
        <f aca="false">IF(L488=1,IF($B$26&lt;=N488,1,0),0)</f>
        <v>0</v>
      </c>
      <c r="Q488" s="58" t="n">
        <f aca="false">Q487+N488</f>
        <v>145877.630223336</v>
      </c>
      <c r="S488" s="56" t="n">
        <f aca="false">S487+1</f>
        <v>481</v>
      </c>
      <c r="T488" s="57" t="n">
        <f aca="false">IF(AND(S488&lt;=Assumptions!$C$42,T487=1,X487=0,W487&gt;Assumptions!$C$43),1,0)</f>
        <v>0</v>
      </c>
      <c r="U488" s="58" t="n">
        <f aca="false">W487</f>
        <v>-182.103705036234</v>
      </c>
      <c r="V488" s="58" t="n">
        <f aca="false">IF(T488=1,U488*$B$22,0)</f>
        <v>0</v>
      </c>
      <c r="W488" s="58" t="n">
        <f aca="false">IF(T488=1,U488+V488-$B$27,U488)</f>
        <v>-182.103705036234</v>
      </c>
      <c r="X488" s="56" t="n">
        <f aca="false">IF(T488=1,IF($B$27&lt;=V488,1,0),0)</f>
        <v>0</v>
      </c>
      <c r="Y488" s="58" t="n">
        <f aca="false">Y487+V488</f>
        <v>113000.408372882</v>
      </c>
    </row>
    <row r="489" customFormat="false" ht="15" hidden="false" customHeight="false" outlineLevel="0" collapsed="false">
      <c r="K489" s="56" t="n">
        <f aca="false">K488+1</f>
        <v>482</v>
      </c>
      <c r="L489" s="57" t="n">
        <f aca="false">IF(AND(K489&lt;=Assumptions!$C$42,L488=1,P488=0,O488&gt;Assumptions!$C$43),1,0)</f>
        <v>0</v>
      </c>
      <c r="M489" s="58" t="n">
        <f aca="false">O488</f>
        <v>8.10541678220034E-009</v>
      </c>
      <c r="N489" s="58" t="n">
        <f aca="false">IF(L489=1,M489*$B$22,0)</f>
        <v>0</v>
      </c>
      <c r="O489" s="58" t="n">
        <f aca="false">IF(L489=1,M489+N489-$B$26,M489)</f>
        <v>8.10541678220034E-009</v>
      </c>
      <c r="P489" s="56" t="n">
        <f aca="false">IF(L489=1,IF($B$26&lt;=N489,1,0),0)</f>
        <v>0</v>
      </c>
      <c r="Q489" s="58" t="n">
        <f aca="false">Q488+N489</f>
        <v>145877.630223336</v>
      </c>
      <c r="S489" s="56" t="n">
        <f aca="false">S488+1</f>
        <v>482</v>
      </c>
      <c r="T489" s="57" t="n">
        <f aca="false">IF(AND(S489&lt;=Assumptions!$C$42,T488=1,X488=0,W488&gt;Assumptions!$C$43),1,0)</f>
        <v>0</v>
      </c>
      <c r="U489" s="58" t="n">
        <f aca="false">W488</f>
        <v>-182.103705036234</v>
      </c>
      <c r="V489" s="58" t="n">
        <f aca="false">IF(T489=1,U489*$B$22,0)</f>
        <v>0</v>
      </c>
      <c r="W489" s="58" t="n">
        <f aca="false">IF(T489=1,U489+V489-$B$27,U489)</f>
        <v>-182.103705036234</v>
      </c>
      <c r="X489" s="56" t="n">
        <f aca="false">IF(T489=1,IF($B$27&lt;=V489,1,0),0)</f>
        <v>0</v>
      </c>
      <c r="Y489" s="58" t="n">
        <f aca="false">Y488+V489</f>
        <v>113000.408372882</v>
      </c>
    </row>
    <row r="490" customFormat="false" ht="15" hidden="false" customHeight="false" outlineLevel="0" collapsed="false">
      <c r="K490" s="56" t="n">
        <f aca="false">K489+1</f>
        <v>483</v>
      </c>
      <c r="L490" s="57" t="n">
        <f aca="false">IF(AND(K490&lt;=Assumptions!$C$42,L489=1,P489=0,O489&gt;Assumptions!$C$43),1,0)</f>
        <v>0</v>
      </c>
      <c r="M490" s="58" t="n">
        <f aca="false">O489</f>
        <v>8.10541678220034E-009</v>
      </c>
      <c r="N490" s="58" t="n">
        <f aca="false">IF(L490=1,M490*$B$22,0)</f>
        <v>0</v>
      </c>
      <c r="O490" s="58" t="n">
        <f aca="false">IF(L490=1,M490+N490-$B$26,M490)</f>
        <v>8.10541678220034E-009</v>
      </c>
      <c r="P490" s="56" t="n">
        <f aca="false">IF(L490=1,IF($B$26&lt;=N490,1,0),0)</f>
        <v>0</v>
      </c>
      <c r="Q490" s="58" t="n">
        <f aca="false">Q489+N490</f>
        <v>145877.630223336</v>
      </c>
      <c r="S490" s="56" t="n">
        <f aca="false">S489+1</f>
        <v>483</v>
      </c>
      <c r="T490" s="57" t="n">
        <f aca="false">IF(AND(S490&lt;=Assumptions!$C$42,T489=1,X489=0,W489&gt;Assumptions!$C$43),1,0)</f>
        <v>0</v>
      </c>
      <c r="U490" s="58" t="n">
        <f aca="false">W489</f>
        <v>-182.103705036234</v>
      </c>
      <c r="V490" s="58" t="n">
        <f aca="false">IF(T490=1,U490*$B$22,0)</f>
        <v>0</v>
      </c>
      <c r="W490" s="58" t="n">
        <f aca="false">IF(T490=1,U490+V490-$B$27,U490)</f>
        <v>-182.103705036234</v>
      </c>
      <c r="X490" s="56" t="n">
        <f aca="false">IF(T490=1,IF($B$27&lt;=V490,1,0),0)</f>
        <v>0</v>
      </c>
      <c r="Y490" s="58" t="n">
        <f aca="false">Y489+V490</f>
        <v>113000.408372882</v>
      </c>
    </row>
    <row r="491" customFormat="false" ht="15" hidden="false" customHeight="false" outlineLevel="0" collapsed="false">
      <c r="K491" s="56" t="n">
        <f aca="false">K490+1</f>
        <v>484</v>
      </c>
      <c r="L491" s="57" t="n">
        <f aca="false">IF(AND(K491&lt;=Assumptions!$C$42,L490=1,P490=0,O490&gt;Assumptions!$C$43),1,0)</f>
        <v>0</v>
      </c>
      <c r="M491" s="58" t="n">
        <f aca="false">O490</f>
        <v>8.10541678220034E-009</v>
      </c>
      <c r="N491" s="58" t="n">
        <f aca="false">IF(L491=1,M491*$B$22,0)</f>
        <v>0</v>
      </c>
      <c r="O491" s="58" t="n">
        <f aca="false">IF(L491=1,M491+N491-$B$26,M491)</f>
        <v>8.10541678220034E-009</v>
      </c>
      <c r="P491" s="56" t="n">
        <f aca="false">IF(L491=1,IF($B$26&lt;=N491,1,0),0)</f>
        <v>0</v>
      </c>
      <c r="Q491" s="58" t="n">
        <f aca="false">Q490+N491</f>
        <v>145877.630223336</v>
      </c>
      <c r="S491" s="56" t="n">
        <f aca="false">S490+1</f>
        <v>484</v>
      </c>
      <c r="T491" s="57" t="n">
        <f aca="false">IF(AND(S491&lt;=Assumptions!$C$42,T490=1,X490=0,W490&gt;Assumptions!$C$43),1,0)</f>
        <v>0</v>
      </c>
      <c r="U491" s="58" t="n">
        <f aca="false">W490</f>
        <v>-182.103705036234</v>
      </c>
      <c r="V491" s="58" t="n">
        <f aca="false">IF(T491=1,U491*$B$22,0)</f>
        <v>0</v>
      </c>
      <c r="W491" s="58" t="n">
        <f aca="false">IF(T491=1,U491+V491-$B$27,U491)</f>
        <v>-182.103705036234</v>
      </c>
      <c r="X491" s="56" t="n">
        <f aca="false">IF(T491=1,IF($B$27&lt;=V491,1,0),0)</f>
        <v>0</v>
      </c>
      <c r="Y491" s="58" t="n">
        <f aca="false">Y490+V491</f>
        <v>113000.408372882</v>
      </c>
    </row>
    <row r="492" customFormat="false" ht="15" hidden="false" customHeight="false" outlineLevel="0" collapsed="false">
      <c r="K492" s="56" t="n">
        <f aca="false">K491+1</f>
        <v>485</v>
      </c>
      <c r="L492" s="57" t="n">
        <f aca="false">IF(AND(K492&lt;=Assumptions!$C$42,L491=1,P491=0,O491&gt;Assumptions!$C$43),1,0)</f>
        <v>0</v>
      </c>
      <c r="M492" s="58" t="n">
        <f aca="false">O491</f>
        <v>8.10541678220034E-009</v>
      </c>
      <c r="N492" s="58" t="n">
        <f aca="false">IF(L492=1,M492*$B$22,0)</f>
        <v>0</v>
      </c>
      <c r="O492" s="58" t="n">
        <f aca="false">IF(L492=1,M492+N492-$B$26,M492)</f>
        <v>8.10541678220034E-009</v>
      </c>
      <c r="P492" s="56" t="n">
        <f aca="false">IF(L492=1,IF($B$26&lt;=N492,1,0),0)</f>
        <v>0</v>
      </c>
      <c r="Q492" s="58" t="n">
        <f aca="false">Q491+N492</f>
        <v>145877.630223336</v>
      </c>
      <c r="S492" s="56" t="n">
        <f aca="false">S491+1</f>
        <v>485</v>
      </c>
      <c r="T492" s="57" t="n">
        <f aca="false">IF(AND(S492&lt;=Assumptions!$C$42,T491=1,X491=0,W491&gt;Assumptions!$C$43),1,0)</f>
        <v>0</v>
      </c>
      <c r="U492" s="58" t="n">
        <f aca="false">W491</f>
        <v>-182.103705036234</v>
      </c>
      <c r="V492" s="58" t="n">
        <f aca="false">IF(T492=1,U492*$B$22,0)</f>
        <v>0</v>
      </c>
      <c r="W492" s="58" t="n">
        <f aca="false">IF(T492=1,U492+V492-$B$27,U492)</f>
        <v>-182.103705036234</v>
      </c>
      <c r="X492" s="56" t="n">
        <f aca="false">IF(T492=1,IF($B$27&lt;=V492,1,0),0)</f>
        <v>0</v>
      </c>
      <c r="Y492" s="58" t="n">
        <f aca="false">Y491+V492</f>
        <v>113000.408372882</v>
      </c>
    </row>
    <row r="493" customFormat="false" ht="15" hidden="false" customHeight="false" outlineLevel="0" collapsed="false">
      <c r="K493" s="56" t="n">
        <f aca="false">K492+1</f>
        <v>486</v>
      </c>
      <c r="L493" s="57" t="n">
        <f aca="false">IF(AND(K493&lt;=Assumptions!$C$42,L492=1,P492=0,O492&gt;Assumptions!$C$43),1,0)</f>
        <v>0</v>
      </c>
      <c r="M493" s="58" t="n">
        <f aca="false">O492</f>
        <v>8.10541678220034E-009</v>
      </c>
      <c r="N493" s="58" t="n">
        <f aca="false">IF(L493=1,M493*$B$22,0)</f>
        <v>0</v>
      </c>
      <c r="O493" s="58" t="n">
        <f aca="false">IF(L493=1,M493+N493-$B$26,M493)</f>
        <v>8.10541678220034E-009</v>
      </c>
      <c r="P493" s="56" t="n">
        <f aca="false">IF(L493=1,IF($B$26&lt;=N493,1,0),0)</f>
        <v>0</v>
      </c>
      <c r="Q493" s="58" t="n">
        <f aca="false">Q492+N493</f>
        <v>145877.630223336</v>
      </c>
      <c r="S493" s="56" t="n">
        <f aca="false">S492+1</f>
        <v>486</v>
      </c>
      <c r="T493" s="57" t="n">
        <f aca="false">IF(AND(S493&lt;=Assumptions!$C$42,T492=1,X492=0,W492&gt;Assumptions!$C$43),1,0)</f>
        <v>0</v>
      </c>
      <c r="U493" s="58" t="n">
        <f aca="false">W492</f>
        <v>-182.103705036234</v>
      </c>
      <c r="V493" s="58" t="n">
        <f aca="false">IF(T493=1,U493*$B$22,0)</f>
        <v>0</v>
      </c>
      <c r="W493" s="58" t="n">
        <f aca="false">IF(T493=1,U493+V493-$B$27,U493)</f>
        <v>-182.103705036234</v>
      </c>
      <c r="X493" s="56" t="n">
        <f aca="false">IF(T493=1,IF($B$27&lt;=V493,1,0),0)</f>
        <v>0</v>
      </c>
      <c r="Y493" s="58" t="n">
        <f aca="false">Y492+V493</f>
        <v>113000.408372882</v>
      </c>
    </row>
    <row r="494" customFormat="false" ht="15" hidden="false" customHeight="false" outlineLevel="0" collapsed="false">
      <c r="K494" s="56" t="n">
        <f aca="false">K493+1</f>
        <v>487</v>
      </c>
      <c r="L494" s="57" t="n">
        <f aca="false">IF(AND(K494&lt;=Assumptions!$C$42,L493=1,P493=0,O493&gt;Assumptions!$C$43),1,0)</f>
        <v>0</v>
      </c>
      <c r="M494" s="58" t="n">
        <f aca="false">O493</f>
        <v>8.10541678220034E-009</v>
      </c>
      <c r="N494" s="58" t="n">
        <f aca="false">IF(L494=1,M494*$B$22,0)</f>
        <v>0</v>
      </c>
      <c r="O494" s="58" t="n">
        <f aca="false">IF(L494=1,M494+N494-$B$26,M494)</f>
        <v>8.10541678220034E-009</v>
      </c>
      <c r="P494" s="56" t="n">
        <f aca="false">IF(L494=1,IF($B$26&lt;=N494,1,0),0)</f>
        <v>0</v>
      </c>
      <c r="Q494" s="58" t="n">
        <f aca="false">Q493+N494</f>
        <v>145877.630223336</v>
      </c>
      <c r="S494" s="56" t="n">
        <f aca="false">S493+1</f>
        <v>487</v>
      </c>
      <c r="T494" s="57" t="n">
        <f aca="false">IF(AND(S494&lt;=Assumptions!$C$42,T493=1,X493=0,W493&gt;Assumptions!$C$43),1,0)</f>
        <v>0</v>
      </c>
      <c r="U494" s="58" t="n">
        <f aca="false">W493</f>
        <v>-182.103705036234</v>
      </c>
      <c r="V494" s="58" t="n">
        <f aca="false">IF(T494=1,U494*$B$22,0)</f>
        <v>0</v>
      </c>
      <c r="W494" s="58" t="n">
        <f aca="false">IF(T494=1,U494+V494-$B$27,U494)</f>
        <v>-182.103705036234</v>
      </c>
      <c r="X494" s="56" t="n">
        <f aca="false">IF(T494=1,IF($B$27&lt;=V494,1,0),0)</f>
        <v>0</v>
      </c>
      <c r="Y494" s="58" t="n">
        <f aca="false">Y493+V494</f>
        <v>113000.408372882</v>
      </c>
    </row>
    <row r="495" customFormat="false" ht="15" hidden="false" customHeight="false" outlineLevel="0" collapsed="false">
      <c r="K495" s="56" t="n">
        <f aca="false">K494+1</f>
        <v>488</v>
      </c>
      <c r="L495" s="57" t="n">
        <f aca="false">IF(AND(K495&lt;=Assumptions!$C$42,L494=1,P494=0,O494&gt;Assumptions!$C$43),1,0)</f>
        <v>0</v>
      </c>
      <c r="M495" s="58" t="n">
        <f aca="false">O494</f>
        <v>8.10541678220034E-009</v>
      </c>
      <c r="N495" s="58" t="n">
        <f aca="false">IF(L495=1,M495*$B$22,0)</f>
        <v>0</v>
      </c>
      <c r="O495" s="58" t="n">
        <f aca="false">IF(L495=1,M495+N495-$B$26,M495)</f>
        <v>8.10541678220034E-009</v>
      </c>
      <c r="P495" s="56" t="n">
        <f aca="false">IF(L495=1,IF($B$26&lt;=N495,1,0),0)</f>
        <v>0</v>
      </c>
      <c r="Q495" s="58" t="n">
        <f aca="false">Q494+N495</f>
        <v>145877.630223336</v>
      </c>
      <c r="S495" s="56" t="n">
        <f aca="false">S494+1</f>
        <v>488</v>
      </c>
      <c r="T495" s="57" t="n">
        <f aca="false">IF(AND(S495&lt;=Assumptions!$C$42,T494=1,X494=0,W494&gt;Assumptions!$C$43),1,0)</f>
        <v>0</v>
      </c>
      <c r="U495" s="58" t="n">
        <f aca="false">W494</f>
        <v>-182.103705036234</v>
      </c>
      <c r="V495" s="58" t="n">
        <f aca="false">IF(T495=1,U495*$B$22,0)</f>
        <v>0</v>
      </c>
      <c r="W495" s="58" t="n">
        <f aca="false">IF(T495=1,U495+V495-$B$27,U495)</f>
        <v>-182.103705036234</v>
      </c>
      <c r="X495" s="56" t="n">
        <f aca="false">IF(T495=1,IF($B$27&lt;=V495,1,0),0)</f>
        <v>0</v>
      </c>
      <c r="Y495" s="58" t="n">
        <f aca="false">Y494+V495</f>
        <v>113000.408372882</v>
      </c>
    </row>
    <row r="496" customFormat="false" ht="15" hidden="false" customHeight="false" outlineLevel="0" collapsed="false">
      <c r="K496" s="56" t="n">
        <f aca="false">K495+1</f>
        <v>489</v>
      </c>
      <c r="L496" s="57" t="n">
        <f aca="false">IF(AND(K496&lt;=Assumptions!$C$42,L495=1,P495=0,O495&gt;Assumptions!$C$43),1,0)</f>
        <v>0</v>
      </c>
      <c r="M496" s="58" t="n">
        <f aca="false">O495</f>
        <v>8.10541678220034E-009</v>
      </c>
      <c r="N496" s="58" t="n">
        <f aca="false">IF(L496=1,M496*$B$22,0)</f>
        <v>0</v>
      </c>
      <c r="O496" s="58" t="n">
        <f aca="false">IF(L496=1,M496+N496-$B$26,M496)</f>
        <v>8.10541678220034E-009</v>
      </c>
      <c r="P496" s="56" t="n">
        <f aca="false">IF(L496=1,IF($B$26&lt;=N496,1,0),0)</f>
        <v>0</v>
      </c>
      <c r="Q496" s="58" t="n">
        <f aca="false">Q495+N496</f>
        <v>145877.630223336</v>
      </c>
      <c r="S496" s="56" t="n">
        <f aca="false">S495+1</f>
        <v>489</v>
      </c>
      <c r="T496" s="57" t="n">
        <f aca="false">IF(AND(S496&lt;=Assumptions!$C$42,T495=1,X495=0,W495&gt;Assumptions!$C$43),1,0)</f>
        <v>0</v>
      </c>
      <c r="U496" s="58" t="n">
        <f aca="false">W495</f>
        <v>-182.103705036234</v>
      </c>
      <c r="V496" s="58" t="n">
        <f aca="false">IF(T496=1,U496*$B$22,0)</f>
        <v>0</v>
      </c>
      <c r="W496" s="58" t="n">
        <f aca="false">IF(T496=1,U496+V496-$B$27,U496)</f>
        <v>-182.103705036234</v>
      </c>
      <c r="X496" s="56" t="n">
        <f aca="false">IF(T496=1,IF($B$27&lt;=V496,1,0),0)</f>
        <v>0</v>
      </c>
      <c r="Y496" s="58" t="n">
        <f aca="false">Y495+V496</f>
        <v>113000.408372882</v>
      </c>
    </row>
    <row r="497" customFormat="false" ht="15" hidden="false" customHeight="false" outlineLevel="0" collapsed="false">
      <c r="K497" s="56" t="n">
        <f aca="false">K496+1</f>
        <v>490</v>
      </c>
      <c r="L497" s="57" t="n">
        <f aca="false">IF(AND(K497&lt;=Assumptions!$C$42,L496=1,P496=0,O496&gt;Assumptions!$C$43),1,0)</f>
        <v>0</v>
      </c>
      <c r="M497" s="58" t="n">
        <f aca="false">O496</f>
        <v>8.10541678220034E-009</v>
      </c>
      <c r="N497" s="58" t="n">
        <f aca="false">IF(L497=1,M497*$B$22,0)</f>
        <v>0</v>
      </c>
      <c r="O497" s="58" t="n">
        <f aca="false">IF(L497=1,M497+N497-$B$26,M497)</f>
        <v>8.10541678220034E-009</v>
      </c>
      <c r="P497" s="56" t="n">
        <f aca="false">IF(L497=1,IF($B$26&lt;=N497,1,0),0)</f>
        <v>0</v>
      </c>
      <c r="Q497" s="58" t="n">
        <f aca="false">Q496+N497</f>
        <v>145877.630223336</v>
      </c>
      <c r="S497" s="56" t="n">
        <f aca="false">S496+1</f>
        <v>490</v>
      </c>
      <c r="T497" s="57" t="n">
        <f aca="false">IF(AND(S497&lt;=Assumptions!$C$42,T496=1,X496=0,W496&gt;Assumptions!$C$43),1,0)</f>
        <v>0</v>
      </c>
      <c r="U497" s="58" t="n">
        <f aca="false">W496</f>
        <v>-182.103705036234</v>
      </c>
      <c r="V497" s="58" t="n">
        <f aca="false">IF(T497=1,U497*$B$22,0)</f>
        <v>0</v>
      </c>
      <c r="W497" s="58" t="n">
        <f aca="false">IF(T497=1,U497+V497-$B$27,U497)</f>
        <v>-182.103705036234</v>
      </c>
      <c r="X497" s="56" t="n">
        <f aca="false">IF(T497=1,IF($B$27&lt;=V497,1,0),0)</f>
        <v>0</v>
      </c>
      <c r="Y497" s="58" t="n">
        <f aca="false">Y496+V497</f>
        <v>113000.408372882</v>
      </c>
    </row>
    <row r="498" customFormat="false" ht="15" hidden="false" customHeight="false" outlineLevel="0" collapsed="false">
      <c r="K498" s="56" t="n">
        <f aca="false">K497+1</f>
        <v>491</v>
      </c>
      <c r="L498" s="57" t="n">
        <f aca="false">IF(AND(K498&lt;=Assumptions!$C$42,L497=1,P497=0,O497&gt;Assumptions!$C$43),1,0)</f>
        <v>0</v>
      </c>
      <c r="M498" s="58" t="n">
        <f aca="false">O497</f>
        <v>8.10541678220034E-009</v>
      </c>
      <c r="N498" s="58" t="n">
        <f aca="false">IF(L498=1,M498*$B$22,0)</f>
        <v>0</v>
      </c>
      <c r="O498" s="58" t="n">
        <f aca="false">IF(L498=1,M498+N498-$B$26,M498)</f>
        <v>8.10541678220034E-009</v>
      </c>
      <c r="P498" s="56" t="n">
        <f aca="false">IF(L498=1,IF($B$26&lt;=N498,1,0),0)</f>
        <v>0</v>
      </c>
      <c r="Q498" s="58" t="n">
        <f aca="false">Q497+N498</f>
        <v>145877.630223336</v>
      </c>
      <c r="S498" s="56" t="n">
        <f aca="false">S497+1</f>
        <v>491</v>
      </c>
      <c r="T498" s="57" t="n">
        <f aca="false">IF(AND(S498&lt;=Assumptions!$C$42,T497=1,X497=0,W497&gt;Assumptions!$C$43),1,0)</f>
        <v>0</v>
      </c>
      <c r="U498" s="58" t="n">
        <f aca="false">W497</f>
        <v>-182.103705036234</v>
      </c>
      <c r="V498" s="58" t="n">
        <f aca="false">IF(T498=1,U498*$B$22,0)</f>
        <v>0</v>
      </c>
      <c r="W498" s="58" t="n">
        <f aca="false">IF(T498=1,U498+V498-$B$27,U498)</f>
        <v>-182.103705036234</v>
      </c>
      <c r="X498" s="56" t="n">
        <f aca="false">IF(T498=1,IF($B$27&lt;=V498,1,0),0)</f>
        <v>0</v>
      </c>
      <c r="Y498" s="58" t="n">
        <f aca="false">Y497+V498</f>
        <v>113000.408372882</v>
      </c>
    </row>
    <row r="499" customFormat="false" ht="15" hidden="false" customHeight="false" outlineLevel="0" collapsed="false">
      <c r="K499" s="56" t="n">
        <f aca="false">K498+1</f>
        <v>492</v>
      </c>
      <c r="L499" s="57" t="n">
        <f aca="false">IF(AND(K499&lt;=Assumptions!$C$42,L498=1,P498=0,O498&gt;Assumptions!$C$43),1,0)</f>
        <v>0</v>
      </c>
      <c r="M499" s="58" t="n">
        <f aca="false">O498</f>
        <v>8.10541678220034E-009</v>
      </c>
      <c r="N499" s="58" t="n">
        <f aca="false">IF(L499=1,M499*$B$22,0)</f>
        <v>0</v>
      </c>
      <c r="O499" s="58" t="n">
        <f aca="false">IF(L499=1,M499+N499-$B$26,M499)</f>
        <v>8.10541678220034E-009</v>
      </c>
      <c r="P499" s="56" t="n">
        <f aca="false">IF(L499=1,IF($B$26&lt;=N499,1,0),0)</f>
        <v>0</v>
      </c>
      <c r="Q499" s="58" t="n">
        <f aca="false">Q498+N499</f>
        <v>145877.630223336</v>
      </c>
      <c r="S499" s="56" t="n">
        <f aca="false">S498+1</f>
        <v>492</v>
      </c>
      <c r="T499" s="57" t="n">
        <f aca="false">IF(AND(S499&lt;=Assumptions!$C$42,T498=1,X498=0,W498&gt;Assumptions!$C$43),1,0)</f>
        <v>0</v>
      </c>
      <c r="U499" s="58" t="n">
        <f aca="false">W498</f>
        <v>-182.103705036234</v>
      </c>
      <c r="V499" s="58" t="n">
        <f aca="false">IF(T499=1,U499*$B$22,0)</f>
        <v>0</v>
      </c>
      <c r="W499" s="58" t="n">
        <f aca="false">IF(T499=1,U499+V499-$B$27,U499)</f>
        <v>-182.103705036234</v>
      </c>
      <c r="X499" s="56" t="n">
        <f aca="false">IF(T499=1,IF($B$27&lt;=V499,1,0),0)</f>
        <v>0</v>
      </c>
      <c r="Y499" s="58" t="n">
        <f aca="false">Y498+V499</f>
        <v>113000.408372882</v>
      </c>
    </row>
    <row r="500" customFormat="false" ht="15" hidden="false" customHeight="false" outlineLevel="0" collapsed="false">
      <c r="K500" s="56" t="n">
        <f aca="false">K499+1</f>
        <v>493</v>
      </c>
      <c r="L500" s="57" t="n">
        <f aca="false">IF(AND(K500&lt;=Assumptions!$C$42,L499=1,P499=0,O499&gt;Assumptions!$C$43),1,0)</f>
        <v>0</v>
      </c>
      <c r="M500" s="58" t="n">
        <f aca="false">O499</f>
        <v>8.10541678220034E-009</v>
      </c>
      <c r="N500" s="58" t="n">
        <f aca="false">IF(L500=1,M500*$B$22,0)</f>
        <v>0</v>
      </c>
      <c r="O500" s="58" t="n">
        <f aca="false">IF(L500=1,M500+N500-$B$26,M500)</f>
        <v>8.10541678220034E-009</v>
      </c>
      <c r="P500" s="56" t="n">
        <f aca="false">IF(L500=1,IF($B$26&lt;=N500,1,0),0)</f>
        <v>0</v>
      </c>
      <c r="Q500" s="58" t="n">
        <f aca="false">Q499+N500</f>
        <v>145877.630223336</v>
      </c>
      <c r="S500" s="56" t="n">
        <f aca="false">S499+1</f>
        <v>493</v>
      </c>
      <c r="T500" s="57" t="n">
        <f aca="false">IF(AND(S500&lt;=Assumptions!$C$42,T499=1,X499=0,W499&gt;Assumptions!$C$43),1,0)</f>
        <v>0</v>
      </c>
      <c r="U500" s="58" t="n">
        <f aca="false">W499</f>
        <v>-182.103705036234</v>
      </c>
      <c r="V500" s="58" t="n">
        <f aca="false">IF(T500=1,U500*$B$22,0)</f>
        <v>0</v>
      </c>
      <c r="W500" s="58" t="n">
        <f aca="false">IF(T500=1,U500+V500-$B$27,U500)</f>
        <v>-182.103705036234</v>
      </c>
      <c r="X500" s="56" t="n">
        <f aca="false">IF(T500=1,IF($B$27&lt;=V500,1,0),0)</f>
        <v>0</v>
      </c>
      <c r="Y500" s="58" t="n">
        <f aca="false">Y499+V500</f>
        <v>113000.408372882</v>
      </c>
    </row>
    <row r="501" customFormat="false" ht="15" hidden="false" customHeight="false" outlineLevel="0" collapsed="false">
      <c r="K501" s="56" t="n">
        <f aca="false">K500+1</f>
        <v>494</v>
      </c>
      <c r="L501" s="57" t="n">
        <f aca="false">IF(AND(K501&lt;=Assumptions!$C$42,L500=1,P500=0,O500&gt;Assumptions!$C$43),1,0)</f>
        <v>0</v>
      </c>
      <c r="M501" s="58" t="n">
        <f aca="false">O500</f>
        <v>8.10541678220034E-009</v>
      </c>
      <c r="N501" s="58" t="n">
        <f aca="false">IF(L501=1,M501*$B$22,0)</f>
        <v>0</v>
      </c>
      <c r="O501" s="58" t="n">
        <f aca="false">IF(L501=1,M501+N501-$B$26,M501)</f>
        <v>8.10541678220034E-009</v>
      </c>
      <c r="P501" s="56" t="n">
        <f aca="false">IF(L501=1,IF($B$26&lt;=N501,1,0),0)</f>
        <v>0</v>
      </c>
      <c r="Q501" s="58" t="n">
        <f aca="false">Q500+N501</f>
        <v>145877.630223336</v>
      </c>
      <c r="S501" s="56" t="n">
        <f aca="false">S500+1</f>
        <v>494</v>
      </c>
      <c r="T501" s="57" t="n">
        <f aca="false">IF(AND(S501&lt;=Assumptions!$C$42,T500=1,X500=0,W500&gt;Assumptions!$C$43),1,0)</f>
        <v>0</v>
      </c>
      <c r="U501" s="58" t="n">
        <f aca="false">W500</f>
        <v>-182.103705036234</v>
      </c>
      <c r="V501" s="58" t="n">
        <f aca="false">IF(T501=1,U501*$B$22,0)</f>
        <v>0</v>
      </c>
      <c r="W501" s="58" t="n">
        <f aca="false">IF(T501=1,U501+V501-$B$27,U501)</f>
        <v>-182.103705036234</v>
      </c>
      <c r="X501" s="56" t="n">
        <f aca="false">IF(T501=1,IF($B$27&lt;=V501,1,0),0)</f>
        <v>0</v>
      </c>
      <c r="Y501" s="58" t="n">
        <f aca="false">Y500+V501</f>
        <v>113000.408372882</v>
      </c>
    </row>
    <row r="502" customFormat="false" ht="15" hidden="false" customHeight="false" outlineLevel="0" collapsed="false">
      <c r="K502" s="56" t="n">
        <f aca="false">K501+1</f>
        <v>495</v>
      </c>
      <c r="L502" s="57" t="n">
        <f aca="false">IF(AND(K502&lt;=Assumptions!$C$42,L501=1,P501=0,O501&gt;Assumptions!$C$43),1,0)</f>
        <v>0</v>
      </c>
      <c r="M502" s="58" t="n">
        <f aca="false">O501</f>
        <v>8.10541678220034E-009</v>
      </c>
      <c r="N502" s="58" t="n">
        <f aca="false">IF(L502=1,M502*$B$22,0)</f>
        <v>0</v>
      </c>
      <c r="O502" s="58" t="n">
        <f aca="false">IF(L502=1,M502+N502-$B$26,M502)</f>
        <v>8.10541678220034E-009</v>
      </c>
      <c r="P502" s="56" t="n">
        <f aca="false">IF(L502=1,IF($B$26&lt;=N502,1,0),0)</f>
        <v>0</v>
      </c>
      <c r="Q502" s="58" t="n">
        <f aca="false">Q501+N502</f>
        <v>145877.630223336</v>
      </c>
      <c r="S502" s="56" t="n">
        <f aca="false">S501+1</f>
        <v>495</v>
      </c>
      <c r="T502" s="57" t="n">
        <f aca="false">IF(AND(S502&lt;=Assumptions!$C$42,T501=1,X501=0,W501&gt;Assumptions!$C$43),1,0)</f>
        <v>0</v>
      </c>
      <c r="U502" s="58" t="n">
        <f aca="false">W501</f>
        <v>-182.103705036234</v>
      </c>
      <c r="V502" s="58" t="n">
        <f aca="false">IF(T502=1,U502*$B$22,0)</f>
        <v>0</v>
      </c>
      <c r="W502" s="58" t="n">
        <f aca="false">IF(T502=1,U502+V502-$B$27,U502)</f>
        <v>-182.103705036234</v>
      </c>
      <c r="X502" s="56" t="n">
        <f aca="false">IF(T502=1,IF($B$27&lt;=V502,1,0),0)</f>
        <v>0</v>
      </c>
      <c r="Y502" s="58" t="n">
        <f aca="false">Y501+V502</f>
        <v>113000.408372882</v>
      </c>
    </row>
    <row r="503" customFormat="false" ht="15" hidden="false" customHeight="false" outlineLevel="0" collapsed="false">
      <c r="K503" s="56" t="n">
        <f aca="false">K502+1</f>
        <v>496</v>
      </c>
      <c r="L503" s="57" t="n">
        <f aca="false">IF(AND(K503&lt;=Assumptions!$C$42,L502=1,P502=0,O502&gt;Assumptions!$C$43),1,0)</f>
        <v>0</v>
      </c>
      <c r="M503" s="58" t="n">
        <f aca="false">O502</f>
        <v>8.10541678220034E-009</v>
      </c>
      <c r="N503" s="58" t="n">
        <f aca="false">IF(L503=1,M503*$B$22,0)</f>
        <v>0</v>
      </c>
      <c r="O503" s="58" t="n">
        <f aca="false">IF(L503=1,M503+N503-$B$26,M503)</f>
        <v>8.10541678220034E-009</v>
      </c>
      <c r="P503" s="56" t="n">
        <f aca="false">IF(L503=1,IF($B$26&lt;=N503,1,0),0)</f>
        <v>0</v>
      </c>
      <c r="Q503" s="58" t="n">
        <f aca="false">Q502+N503</f>
        <v>145877.630223336</v>
      </c>
      <c r="S503" s="56" t="n">
        <f aca="false">S502+1</f>
        <v>496</v>
      </c>
      <c r="T503" s="57" t="n">
        <f aca="false">IF(AND(S503&lt;=Assumptions!$C$42,T502=1,X502=0,W502&gt;Assumptions!$C$43),1,0)</f>
        <v>0</v>
      </c>
      <c r="U503" s="58" t="n">
        <f aca="false">W502</f>
        <v>-182.103705036234</v>
      </c>
      <c r="V503" s="58" t="n">
        <f aca="false">IF(T503=1,U503*$B$22,0)</f>
        <v>0</v>
      </c>
      <c r="W503" s="58" t="n">
        <f aca="false">IF(T503=1,U503+V503-$B$27,U503)</f>
        <v>-182.103705036234</v>
      </c>
      <c r="X503" s="56" t="n">
        <f aca="false">IF(T503=1,IF($B$27&lt;=V503,1,0),0)</f>
        <v>0</v>
      </c>
      <c r="Y503" s="58" t="n">
        <f aca="false">Y502+V503</f>
        <v>113000.408372882</v>
      </c>
    </row>
    <row r="504" customFormat="false" ht="15" hidden="false" customHeight="false" outlineLevel="0" collapsed="false">
      <c r="K504" s="56" t="n">
        <f aca="false">K503+1</f>
        <v>497</v>
      </c>
      <c r="L504" s="57" t="n">
        <f aca="false">IF(AND(K504&lt;=Assumptions!$C$42,L503=1,P503=0,O503&gt;Assumptions!$C$43),1,0)</f>
        <v>0</v>
      </c>
      <c r="M504" s="58" t="n">
        <f aca="false">O503</f>
        <v>8.10541678220034E-009</v>
      </c>
      <c r="N504" s="58" t="n">
        <f aca="false">IF(L504=1,M504*$B$22,0)</f>
        <v>0</v>
      </c>
      <c r="O504" s="58" t="n">
        <f aca="false">IF(L504=1,M504+N504-$B$26,M504)</f>
        <v>8.10541678220034E-009</v>
      </c>
      <c r="P504" s="56" t="n">
        <f aca="false">IF(L504=1,IF($B$26&lt;=N504,1,0),0)</f>
        <v>0</v>
      </c>
      <c r="Q504" s="58" t="n">
        <f aca="false">Q503+N504</f>
        <v>145877.630223336</v>
      </c>
      <c r="S504" s="56" t="n">
        <f aca="false">S503+1</f>
        <v>497</v>
      </c>
      <c r="T504" s="57" t="n">
        <f aca="false">IF(AND(S504&lt;=Assumptions!$C$42,T503=1,X503=0,W503&gt;Assumptions!$C$43),1,0)</f>
        <v>0</v>
      </c>
      <c r="U504" s="58" t="n">
        <f aca="false">W503</f>
        <v>-182.103705036234</v>
      </c>
      <c r="V504" s="58" t="n">
        <f aca="false">IF(T504=1,U504*$B$22,0)</f>
        <v>0</v>
      </c>
      <c r="W504" s="58" t="n">
        <f aca="false">IF(T504=1,U504+V504-$B$27,U504)</f>
        <v>-182.103705036234</v>
      </c>
      <c r="X504" s="56" t="n">
        <f aca="false">IF(T504=1,IF($B$27&lt;=V504,1,0),0)</f>
        <v>0</v>
      </c>
      <c r="Y504" s="58" t="n">
        <f aca="false">Y503+V504</f>
        <v>113000.408372882</v>
      </c>
    </row>
    <row r="505" customFormat="false" ht="15" hidden="false" customHeight="false" outlineLevel="0" collapsed="false">
      <c r="K505" s="56" t="n">
        <f aca="false">K504+1</f>
        <v>498</v>
      </c>
      <c r="L505" s="57" t="n">
        <f aca="false">IF(AND(K505&lt;=Assumptions!$C$42,L504=1,P504=0,O504&gt;Assumptions!$C$43),1,0)</f>
        <v>0</v>
      </c>
      <c r="M505" s="58" t="n">
        <f aca="false">O504</f>
        <v>8.10541678220034E-009</v>
      </c>
      <c r="N505" s="58" t="n">
        <f aca="false">IF(L505=1,M505*$B$22,0)</f>
        <v>0</v>
      </c>
      <c r="O505" s="58" t="n">
        <f aca="false">IF(L505=1,M505+N505-$B$26,M505)</f>
        <v>8.10541678220034E-009</v>
      </c>
      <c r="P505" s="56" t="n">
        <f aca="false">IF(L505=1,IF($B$26&lt;=N505,1,0),0)</f>
        <v>0</v>
      </c>
      <c r="Q505" s="58" t="n">
        <f aca="false">Q504+N505</f>
        <v>145877.630223336</v>
      </c>
      <c r="S505" s="56" t="n">
        <f aca="false">S504+1</f>
        <v>498</v>
      </c>
      <c r="T505" s="57" t="n">
        <f aca="false">IF(AND(S505&lt;=Assumptions!$C$42,T504=1,X504=0,W504&gt;Assumptions!$C$43),1,0)</f>
        <v>0</v>
      </c>
      <c r="U505" s="58" t="n">
        <f aca="false">W504</f>
        <v>-182.103705036234</v>
      </c>
      <c r="V505" s="58" t="n">
        <f aca="false">IF(T505=1,U505*$B$22,0)</f>
        <v>0</v>
      </c>
      <c r="W505" s="58" t="n">
        <f aca="false">IF(T505=1,U505+V505-$B$27,U505)</f>
        <v>-182.103705036234</v>
      </c>
      <c r="X505" s="56" t="n">
        <f aca="false">IF(T505=1,IF($B$27&lt;=V505,1,0),0)</f>
        <v>0</v>
      </c>
      <c r="Y505" s="58" t="n">
        <f aca="false">Y504+V505</f>
        <v>113000.408372882</v>
      </c>
    </row>
    <row r="506" customFormat="false" ht="15" hidden="false" customHeight="false" outlineLevel="0" collapsed="false">
      <c r="K506" s="56" t="n">
        <f aca="false">K505+1</f>
        <v>499</v>
      </c>
      <c r="L506" s="57" t="n">
        <f aca="false">IF(AND(K506&lt;=Assumptions!$C$42,L505=1,P505=0,O505&gt;Assumptions!$C$43),1,0)</f>
        <v>0</v>
      </c>
      <c r="M506" s="58" t="n">
        <f aca="false">O505</f>
        <v>8.10541678220034E-009</v>
      </c>
      <c r="N506" s="58" t="n">
        <f aca="false">IF(L506=1,M506*$B$22,0)</f>
        <v>0</v>
      </c>
      <c r="O506" s="58" t="n">
        <f aca="false">IF(L506=1,M506+N506-$B$26,M506)</f>
        <v>8.10541678220034E-009</v>
      </c>
      <c r="P506" s="56" t="n">
        <f aca="false">IF(L506=1,IF($B$26&lt;=N506,1,0),0)</f>
        <v>0</v>
      </c>
      <c r="Q506" s="58" t="n">
        <f aca="false">Q505+N506</f>
        <v>145877.630223336</v>
      </c>
      <c r="S506" s="56" t="n">
        <f aca="false">S505+1</f>
        <v>499</v>
      </c>
      <c r="T506" s="57" t="n">
        <f aca="false">IF(AND(S506&lt;=Assumptions!$C$42,T505=1,X505=0,W505&gt;Assumptions!$C$43),1,0)</f>
        <v>0</v>
      </c>
      <c r="U506" s="58" t="n">
        <f aca="false">W505</f>
        <v>-182.103705036234</v>
      </c>
      <c r="V506" s="58" t="n">
        <f aca="false">IF(T506=1,U506*$B$22,0)</f>
        <v>0</v>
      </c>
      <c r="W506" s="58" t="n">
        <f aca="false">IF(T506=1,U506+V506-$B$27,U506)</f>
        <v>-182.103705036234</v>
      </c>
      <c r="X506" s="56" t="n">
        <f aca="false">IF(T506=1,IF($B$27&lt;=V506,1,0),0)</f>
        <v>0</v>
      </c>
      <c r="Y506" s="58" t="n">
        <f aca="false">Y505+V506</f>
        <v>113000.408372882</v>
      </c>
    </row>
    <row r="507" customFormat="false" ht="15" hidden="false" customHeight="false" outlineLevel="0" collapsed="false">
      <c r="K507" s="56" t="n">
        <f aca="false">K506+1</f>
        <v>500</v>
      </c>
      <c r="L507" s="57" t="n">
        <f aca="false">IF(AND(K507&lt;=Assumptions!$C$42,L506=1,P506=0,O506&gt;Assumptions!$C$43),1,0)</f>
        <v>0</v>
      </c>
      <c r="M507" s="58" t="n">
        <f aca="false">O506</f>
        <v>8.10541678220034E-009</v>
      </c>
      <c r="N507" s="58" t="n">
        <f aca="false">IF(L507=1,M507*$B$22,0)</f>
        <v>0</v>
      </c>
      <c r="O507" s="58" t="n">
        <f aca="false">IF(L507=1,M507+N507-$B$26,M507)</f>
        <v>8.10541678220034E-009</v>
      </c>
      <c r="P507" s="56" t="n">
        <f aca="false">IF(L507=1,IF($B$26&lt;=N507,1,0),0)</f>
        <v>0</v>
      </c>
      <c r="Q507" s="58" t="n">
        <f aca="false">Q506+N507</f>
        <v>145877.630223336</v>
      </c>
      <c r="S507" s="56" t="n">
        <f aca="false">S506+1</f>
        <v>500</v>
      </c>
      <c r="T507" s="57" t="n">
        <f aca="false">IF(AND(S507&lt;=Assumptions!$C$42,T506=1,X506=0,W506&gt;Assumptions!$C$43),1,0)</f>
        <v>0</v>
      </c>
      <c r="U507" s="58" t="n">
        <f aca="false">W506</f>
        <v>-182.103705036234</v>
      </c>
      <c r="V507" s="58" t="n">
        <f aca="false">IF(T507=1,U507*$B$22,0)</f>
        <v>0</v>
      </c>
      <c r="W507" s="58" t="n">
        <f aca="false">IF(T507=1,U507+V507-$B$27,U507)</f>
        <v>-182.103705036234</v>
      </c>
      <c r="X507" s="56" t="n">
        <f aca="false">IF(T507=1,IF($B$27&lt;=V507,1,0),0)</f>
        <v>0</v>
      </c>
      <c r="Y507" s="58" t="n">
        <f aca="false">Y506+V507</f>
        <v>113000.408372882</v>
      </c>
    </row>
    <row r="508" customFormat="false" ht="15" hidden="false" customHeight="false" outlineLevel="0" collapsed="false">
      <c r="K508" s="56" t="n">
        <f aca="false">K507+1</f>
        <v>501</v>
      </c>
      <c r="L508" s="57" t="n">
        <f aca="false">IF(AND(K508&lt;=Assumptions!$C$42,L507=1,P507=0,O507&gt;Assumptions!$C$43),1,0)</f>
        <v>0</v>
      </c>
      <c r="M508" s="58" t="n">
        <f aca="false">O507</f>
        <v>8.10541678220034E-009</v>
      </c>
      <c r="N508" s="58" t="n">
        <f aca="false">IF(L508=1,M508*$B$22,0)</f>
        <v>0</v>
      </c>
      <c r="O508" s="58" t="n">
        <f aca="false">IF(L508=1,M508+N508-$B$26,M508)</f>
        <v>8.10541678220034E-009</v>
      </c>
      <c r="P508" s="56" t="n">
        <f aca="false">IF(L508=1,IF($B$26&lt;=N508,1,0),0)</f>
        <v>0</v>
      </c>
      <c r="Q508" s="58" t="n">
        <f aca="false">Q507+N508</f>
        <v>145877.630223336</v>
      </c>
      <c r="S508" s="56" t="n">
        <f aca="false">S507+1</f>
        <v>501</v>
      </c>
      <c r="T508" s="57" t="n">
        <f aca="false">IF(AND(S508&lt;=Assumptions!$C$42,T507=1,X507=0,W507&gt;Assumptions!$C$43),1,0)</f>
        <v>0</v>
      </c>
      <c r="U508" s="58" t="n">
        <f aca="false">W507</f>
        <v>-182.103705036234</v>
      </c>
      <c r="V508" s="58" t="n">
        <f aca="false">IF(T508=1,U508*$B$22,0)</f>
        <v>0</v>
      </c>
      <c r="W508" s="58" t="n">
        <f aca="false">IF(T508=1,U508+V508-$B$27,U508)</f>
        <v>-182.103705036234</v>
      </c>
      <c r="X508" s="56" t="n">
        <f aca="false">IF(T508=1,IF($B$27&lt;=V508,1,0),0)</f>
        <v>0</v>
      </c>
      <c r="Y508" s="58" t="n">
        <f aca="false">Y507+V508</f>
        <v>113000.408372882</v>
      </c>
    </row>
    <row r="509" customFormat="false" ht="15" hidden="false" customHeight="false" outlineLevel="0" collapsed="false">
      <c r="K509" s="56" t="n">
        <f aca="false">K508+1</f>
        <v>502</v>
      </c>
      <c r="L509" s="57" t="n">
        <f aca="false">IF(AND(K509&lt;=Assumptions!$C$42,L508=1,P508=0,O508&gt;Assumptions!$C$43),1,0)</f>
        <v>0</v>
      </c>
      <c r="M509" s="58" t="n">
        <f aca="false">O508</f>
        <v>8.10541678220034E-009</v>
      </c>
      <c r="N509" s="58" t="n">
        <f aca="false">IF(L509=1,M509*$B$22,0)</f>
        <v>0</v>
      </c>
      <c r="O509" s="58" t="n">
        <f aca="false">IF(L509=1,M509+N509-$B$26,M509)</f>
        <v>8.10541678220034E-009</v>
      </c>
      <c r="P509" s="56" t="n">
        <f aca="false">IF(L509=1,IF($B$26&lt;=N509,1,0),0)</f>
        <v>0</v>
      </c>
      <c r="Q509" s="58" t="n">
        <f aca="false">Q508+N509</f>
        <v>145877.630223336</v>
      </c>
      <c r="S509" s="56" t="n">
        <f aca="false">S508+1</f>
        <v>502</v>
      </c>
      <c r="T509" s="57" t="n">
        <f aca="false">IF(AND(S509&lt;=Assumptions!$C$42,T508=1,X508=0,W508&gt;Assumptions!$C$43),1,0)</f>
        <v>0</v>
      </c>
      <c r="U509" s="58" t="n">
        <f aca="false">W508</f>
        <v>-182.103705036234</v>
      </c>
      <c r="V509" s="58" t="n">
        <f aca="false">IF(T509=1,U509*$B$22,0)</f>
        <v>0</v>
      </c>
      <c r="W509" s="58" t="n">
        <f aca="false">IF(T509=1,U509+V509-$B$27,U509)</f>
        <v>-182.103705036234</v>
      </c>
      <c r="X509" s="56" t="n">
        <f aca="false">IF(T509=1,IF($B$27&lt;=V509,1,0),0)</f>
        <v>0</v>
      </c>
      <c r="Y509" s="58" t="n">
        <f aca="false">Y508+V509</f>
        <v>113000.408372882</v>
      </c>
    </row>
    <row r="510" customFormat="false" ht="15" hidden="false" customHeight="false" outlineLevel="0" collapsed="false">
      <c r="K510" s="56" t="n">
        <f aca="false">K509+1</f>
        <v>503</v>
      </c>
      <c r="L510" s="57" t="n">
        <f aca="false">IF(AND(K510&lt;=Assumptions!$C$42,L509=1,P509=0,O509&gt;Assumptions!$C$43),1,0)</f>
        <v>0</v>
      </c>
      <c r="M510" s="58" t="n">
        <f aca="false">O509</f>
        <v>8.10541678220034E-009</v>
      </c>
      <c r="N510" s="58" t="n">
        <f aca="false">IF(L510=1,M510*$B$22,0)</f>
        <v>0</v>
      </c>
      <c r="O510" s="58" t="n">
        <f aca="false">IF(L510=1,M510+N510-$B$26,M510)</f>
        <v>8.10541678220034E-009</v>
      </c>
      <c r="P510" s="56" t="n">
        <f aca="false">IF(L510=1,IF($B$26&lt;=N510,1,0),0)</f>
        <v>0</v>
      </c>
      <c r="Q510" s="58" t="n">
        <f aca="false">Q509+N510</f>
        <v>145877.630223336</v>
      </c>
      <c r="S510" s="56" t="n">
        <f aca="false">S509+1</f>
        <v>503</v>
      </c>
      <c r="T510" s="57" t="n">
        <f aca="false">IF(AND(S510&lt;=Assumptions!$C$42,T509=1,X509=0,W509&gt;Assumptions!$C$43),1,0)</f>
        <v>0</v>
      </c>
      <c r="U510" s="58" t="n">
        <f aca="false">W509</f>
        <v>-182.103705036234</v>
      </c>
      <c r="V510" s="58" t="n">
        <f aca="false">IF(T510=1,U510*$B$22,0)</f>
        <v>0</v>
      </c>
      <c r="W510" s="58" t="n">
        <f aca="false">IF(T510=1,U510+V510-$B$27,U510)</f>
        <v>-182.103705036234</v>
      </c>
      <c r="X510" s="56" t="n">
        <f aca="false">IF(T510=1,IF($B$27&lt;=V510,1,0),0)</f>
        <v>0</v>
      </c>
      <c r="Y510" s="58" t="n">
        <f aca="false">Y509+V510</f>
        <v>113000.408372882</v>
      </c>
    </row>
    <row r="511" customFormat="false" ht="15" hidden="false" customHeight="false" outlineLevel="0" collapsed="false">
      <c r="K511" s="56" t="n">
        <f aca="false">K510+1</f>
        <v>504</v>
      </c>
      <c r="L511" s="57" t="n">
        <f aca="false">IF(AND(K511&lt;=Assumptions!$C$42,L510=1,P510=0,O510&gt;Assumptions!$C$43),1,0)</f>
        <v>0</v>
      </c>
      <c r="M511" s="58" t="n">
        <f aca="false">O510</f>
        <v>8.10541678220034E-009</v>
      </c>
      <c r="N511" s="58" t="n">
        <f aca="false">IF(L511=1,M511*$B$22,0)</f>
        <v>0</v>
      </c>
      <c r="O511" s="58" t="n">
        <f aca="false">IF(L511=1,M511+N511-$B$26,M511)</f>
        <v>8.10541678220034E-009</v>
      </c>
      <c r="P511" s="56" t="n">
        <f aca="false">IF(L511=1,IF($B$26&lt;=N511,1,0),0)</f>
        <v>0</v>
      </c>
      <c r="Q511" s="58" t="n">
        <f aca="false">Q510+N511</f>
        <v>145877.630223336</v>
      </c>
      <c r="S511" s="56" t="n">
        <f aca="false">S510+1</f>
        <v>504</v>
      </c>
      <c r="T511" s="57" t="n">
        <f aca="false">IF(AND(S511&lt;=Assumptions!$C$42,T510=1,X510=0,W510&gt;Assumptions!$C$43),1,0)</f>
        <v>0</v>
      </c>
      <c r="U511" s="58" t="n">
        <f aca="false">W510</f>
        <v>-182.103705036234</v>
      </c>
      <c r="V511" s="58" t="n">
        <f aca="false">IF(T511=1,U511*$B$22,0)</f>
        <v>0</v>
      </c>
      <c r="W511" s="58" t="n">
        <f aca="false">IF(T511=1,U511+V511-$B$27,U511)</f>
        <v>-182.103705036234</v>
      </c>
      <c r="X511" s="56" t="n">
        <f aca="false">IF(T511=1,IF($B$27&lt;=V511,1,0),0)</f>
        <v>0</v>
      </c>
      <c r="Y511" s="58" t="n">
        <f aca="false">Y510+V511</f>
        <v>113000.408372882</v>
      </c>
    </row>
    <row r="512" customFormat="false" ht="15" hidden="false" customHeight="false" outlineLevel="0" collapsed="false">
      <c r="K512" s="56" t="n">
        <f aca="false">K511+1</f>
        <v>505</v>
      </c>
      <c r="L512" s="57" t="n">
        <f aca="false">IF(AND(K512&lt;=Assumptions!$C$42,L511=1,P511=0,O511&gt;Assumptions!$C$43),1,0)</f>
        <v>0</v>
      </c>
      <c r="M512" s="58" t="n">
        <f aca="false">O511</f>
        <v>8.10541678220034E-009</v>
      </c>
      <c r="N512" s="58" t="n">
        <f aca="false">IF(L512=1,M512*$B$22,0)</f>
        <v>0</v>
      </c>
      <c r="O512" s="58" t="n">
        <f aca="false">IF(L512=1,M512+N512-$B$26,M512)</f>
        <v>8.10541678220034E-009</v>
      </c>
      <c r="P512" s="56" t="n">
        <f aca="false">IF(L512=1,IF($B$26&lt;=N512,1,0),0)</f>
        <v>0</v>
      </c>
      <c r="Q512" s="58" t="n">
        <f aca="false">Q511+N512</f>
        <v>145877.630223336</v>
      </c>
      <c r="S512" s="56" t="n">
        <f aca="false">S511+1</f>
        <v>505</v>
      </c>
      <c r="T512" s="57" t="n">
        <f aca="false">IF(AND(S512&lt;=Assumptions!$C$42,T511=1,X511=0,W511&gt;Assumptions!$C$43),1,0)</f>
        <v>0</v>
      </c>
      <c r="U512" s="58" t="n">
        <f aca="false">W511</f>
        <v>-182.103705036234</v>
      </c>
      <c r="V512" s="58" t="n">
        <f aca="false">IF(T512=1,U512*$B$22,0)</f>
        <v>0</v>
      </c>
      <c r="W512" s="58" t="n">
        <f aca="false">IF(T512=1,U512+V512-$B$27,U512)</f>
        <v>-182.103705036234</v>
      </c>
      <c r="X512" s="56" t="n">
        <f aca="false">IF(T512=1,IF($B$27&lt;=V512,1,0),0)</f>
        <v>0</v>
      </c>
      <c r="Y512" s="58" t="n">
        <f aca="false">Y511+V512</f>
        <v>113000.408372882</v>
      </c>
    </row>
    <row r="513" customFormat="false" ht="15" hidden="false" customHeight="false" outlineLevel="0" collapsed="false">
      <c r="K513" s="56" t="n">
        <f aca="false">K512+1</f>
        <v>506</v>
      </c>
      <c r="L513" s="57" t="n">
        <f aca="false">IF(AND(K513&lt;=Assumptions!$C$42,L512=1,P512=0,O512&gt;Assumptions!$C$43),1,0)</f>
        <v>0</v>
      </c>
      <c r="M513" s="58" t="n">
        <f aca="false">O512</f>
        <v>8.10541678220034E-009</v>
      </c>
      <c r="N513" s="58" t="n">
        <f aca="false">IF(L513=1,M513*$B$22,0)</f>
        <v>0</v>
      </c>
      <c r="O513" s="58" t="n">
        <f aca="false">IF(L513=1,M513+N513-$B$26,M513)</f>
        <v>8.10541678220034E-009</v>
      </c>
      <c r="P513" s="56" t="n">
        <f aca="false">IF(L513=1,IF($B$26&lt;=N513,1,0),0)</f>
        <v>0</v>
      </c>
      <c r="Q513" s="58" t="n">
        <f aca="false">Q512+N513</f>
        <v>145877.630223336</v>
      </c>
      <c r="S513" s="56" t="n">
        <f aca="false">S512+1</f>
        <v>506</v>
      </c>
      <c r="T513" s="57" t="n">
        <f aca="false">IF(AND(S513&lt;=Assumptions!$C$42,T512=1,X512=0,W512&gt;Assumptions!$C$43),1,0)</f>
        <v>0</v>
      </c>
      <c r="U513" s="58" t="n">
        <f aca="false">W512</f>
        <v>-182.103705036234</v>
      </c>
      <c r="V513" s="58" t="n">
        <f aca="false">IF(T513=1,U513*$B$22,0)</f>
        <v>0</v>
      </c>
      <c r="W513" s="58" t="n">
        <f aca="false">IF(T513=1,U513+V513-$B$27,U513)</f>
        <v>-182.103705036234</v>
      </c>
      <c r="X513" s="56" t="n">
        <f aca="false">IF(T513=1,IF($B$27&lt;=V513,1,0),0)</f>
        <v>0</v>
      </c>
      <c r="Y513" s="58" t="n">
        <f aca="false">Y512+V513</f>
        <v>113000.408372882</v>
      </c>
    </row>
    <row r="514" customFormat="false" ht="15" hidden="false" customHeight="false" outlineLevel="0" collapsed="false">
      <c r="K514" s="56" t="n">
        <f aca="false">K513+1</f>
        <v>507</v>
      </c>
      <c r="L514" s="57" t="n">
        <f aca="false">IF(AND(K514&lt;=Assumptions!$C$42,L513=1,P513=0,O513&gt;Assumptions!$C$43),1,0)</f>
        <v>0</v>
      </c>
      <c r="M514" s="58" t="n">
        <f aca="false">O513</f>
        <v>8.10541678220034E-009</v>
      </c>
      <c r="N514" s="58" t="n">
        <f aca="false">IF(L514=1,M514*$B$22,0)</f>
        <v>0</v>
      </c>
      <c r="O514" s="58" t="n">
        <f aca="false">IF(L514=1,M514+N514-$B$26,M514)</f>
        <v>8.10541678220034E-009</v>
      </c>
      <c r="P514" s="56" t="n">
        <f aca="false">IF(L514=1,IF($B$26&lt;=N514,1,0),0)</f>
        <v>0</v>
      </c>
      <c r="Q514" s="58" t="n">
        <f aca="false">Q513+N514</f>
        <v>145877.630223336</v>
      </c>
      <c r="S514" s="56" t="n">
        <f aca="false">S513+1</f>
        <v>507</v>
      </c>
      <c r="T514" s="57" t="n">
        <f aca="false">IF(AND(S514&lt;=Assumptions!$C$42,T513=1,X513=0,W513&gt;Assumptions!$C$43),1,0)</f>
        <v>0</v>
      </c>
      <c r="U514" s="58" t="n">
        <f aca="false">W513</f>
        <v>-182.103705036234</v>
      </c>
      <c r="V514" s="58" t="n">
        <f aca="false">IF(T514=1,U514*$B$22,0)</f>
        <v>0</v>
      </c>
      <c r="W514" s="58" t="n">
        <f aca="false">IF(T514=1,U514+V514-$B$27,U514)</f>
        <v>-182.103705036234</v>
      </c>
      <c r="X514" s="56" t="n">
        <f aca="false">IF(T514=1,IF($B$27&lt;=V514,1,0),0)</f>
        <v>0</v>
      </c>
      <c r="Y514" s="58" t="n">
        <f aca="false">Y513+V514</f>
        <v>113000.408372882</v>
      </c>
    </row>
    <row r="515" customFormat="false" ht="15" hidden="false" customHeight="false" outlineLevel="0" collapsed="false">
      <c r="K515" s="56" t="n">
        <f aca="false">K514+1</f>
        <v>508</v>
      </c>
      <c r="L515" s="57" t="n">
        <f aca="false">IF(AND(K515&lt;=Assumptions!$C$42,L514=1,P514=0,O514&gt;Assumptions!$C$43),1,0)</f>
        <v>0</v>
      </c>
      <c r="M515" s="58" t="n">
        <f aca="false">O514</f>
        <v>8.10541678220034E-009</v>
      </c>
      <c r="N515" s="58" t="n">
        <f aca="false">IF(L515=1,M515*$B$22,0)</f>
        <v>0</v>
      </c>
      <c r="O515" s="58" t="n">
        <f aca="false">IF(L515=1,M515+N515-$B$26,M515)</f>
        <v>8.10541678220034E-009</v>
      </c>
      <c r="P515" s="56" t="n">
        <f aca="false">IF(L515=1,IF($B$26&lt;=N515,1,0),0)</f>
        <v>0</v>
      </c>
      <c r="Q515" s="58" t="n">
        <f aca="false">Q514+N515</f>
        <v>145877.630223336</v>
      </c>
      <c r="S515" s="56" t="n">
        <f aca="false">S514+1</f>
        <v>508</v>
      </c>
      <c r="T515" s="57" t="n">
        <f aca="false">IF(AND(S515&lt;=Assumptions!$C$42,T514=1,X514=0,W514&gt;Assumptions!$C$43),1,0)</f>
        <v>0</v>
      </c>
      <c r="U515" s="58" t="n">
        <f aca="false">W514</f>
        <v>-182.103705036234</v>
      </c>
      <c r="V515" s="58" t="n">
        <f aca="false">IF(T515=1,U515*$B$22,0)</f>
        <v>0</v>
      </c>
      <c r="W515" s="58" t="n">
        <f aca="false">IF(T515=1,U515+V515-$B$27,U515)</f>
        <v>-182.103705036234</v>
      </c>
      <c r="X515" s="56" t="n">
        <f aca="false">IF(T515=1,IF($B$27&lt;=V515,1,0),0)</f>
        <v>0</v>
      </c>
      <c r="Y515" s="58" t="n">
        <f aca="false">Y514+V515</f>
        <v>113000.408372882</v>
      </c>
    </row>
    <row r="516" customFormat="false" ht="15" hidden="false" customHeight="false" outlineLevel="0" collapsed="false">
      <c r="K516" s="56" t="n">
        <f aca="false">K515+1</f>
        <v>509</v>
      </c>
      <c r="L516" s="57" t="n">
        <f aca="false">IF(AND(K516&lt;=Assumptions!$C$42,L515=1,P515=0,O515&gt;Assumptions!$C$43),1,0)</f>
        <v>0</v>
      </c>
      <c r="M516" s="58" t="n">
        <f aca="false">O515</f>
        <v>8.10541678220034E-009</v>
      </c>
      <c r="N516" s="58" t="n">
        <f aca="false">IF(L516=1,M516*$B$22,0)</f>
        <v>0</v>
      </c>
      <c r="O516" s="58" t="n">
        <f aca="false">IF(L516=1,M516+N516-$B$26,M516)</f>
        <v>8.10541678220034E-009</v>
      </c>
      <c r="P516" s="56" t="n">
        <f aca="false">IF(L516=1,IF($B$26&lt;=N516,1,0),0)</f>
        <v>0</v>
      </c>
      <c r="Q516" s="58" t="n">
        <f aca="false">Q515+N516</f>
        <v>145877.630223336</v>
      </c>
      <c r="S516" s="56" t="n">
        <f aca="false">S515+1</f>
        <v>509</v>
      </c>
      <c r="T516" s="57" t="n">
        <f aca="false">IF(AND(S516&lt;=Assumptions!$C$42,T515=1,X515=0,W515&gt;Assumptions!$C$43),1,0)</f>
        <v>0</v>
      </c>
      <c r="U516" s="58" t="n">
        <f aca="false">W515</f>
        <v>-182.103705036234</v>
      </c>
      <c r="V516" s="58" t="n">
        <f aca="false">IF(T516=1,U516*$B$22,0)</f>
        <v>0</v>
      </c>
      <c r="W516" s="58" t="n">
        <f aca="false">IF(T516=1,U516+V516-$B$27,U516)</f>
        <v>-182.103705036234</v>
      </c>
      <c r="X516" s="56" t="n">
        <f aca="false">IF(T516=1,IF($B$27&lt;=V516,1,0),0)</f>
        <v>0</v>
      </c>
      <c r="Y516" s="58" t="n">
        <f aca="false">Y515+V516</f>
        <v>113000.408372882</v>
      </c>
    </row>
    <row r="517" customFormat="false" ht="15" hidden="false" customHeight="false" outlineLevel="0" collapsed="false">
      <c r="K517" s="56" t="n">
        <f aca="false">K516+1</f>
        <v>510</v>
      </c>
      <c r="L517" s="57" t="n">
        <f aca="false">IF(AND(K517&lt;=Assumptions!$C$42,L516=1,P516=0,O516&gt;Assumptions!$C$43),1,0)</f>
        <v>0</v>
      </c>
      <c r="M517" s="58" t="n">
        <f aca="false">O516</f>
        <v>8.10541678220034E-009</v>
      </c>
      <c r="N517" s="58" t="n">
        <f aca="false">IF(L517=1,M517*$B$22,0)</f>
        <v>0</v>
      </c>
      <c r="O517" s="58" t="n">
        <f aca="false">IF(L517=1,M517+N517-$B$26,M517)</f>
        <v>8.10541678220034E-009</v>
      </c>
      <c r="P517" s="56" t="n">
        <f aca="false">IF(L517=1,IF($B$26&lt;=N517,1,0),0)</f>
        <v>0</v>
      </c>
      <c r="Q517" s="58" t="n">
        <f aca="false">Q516+N517</f>
        <v>145877.630223336</v>
      </c>
      <c r="S517" s="56" t="n">
        <f aca="false">S516+1</f>
        <v>510</v>
      </c>
      <c r="T517" s="57" t="n">
        <f aca="false">IF(AND(S517&lt;=Assumptions!$C$42,T516=1,X516=0,W516&gt;Assumptions!$C$43),1,0)</f>
        <v>0</v>
      </c>
      <c r="U517" s="58" t="n">
        <f aca="false">W516</f>
        <v>-182.103705036234</v>
      </c>
      <c r="V517" s="58" t="n">
        <f aca="false">IF(T517=1,U517*$B$22,0)</f>
        <v>0</v>
      </c>
      <c r="W517" s="58" t="n">
        <f aca="false">IF(T517=1,U517+V517-$B$27,U517)</f>
        <v>-182.103705036234</v>
      </c>
      <c r="X517" s="56" t="n">
        <f aca="false">IF(T517=1,IF($B$27&lt;=V517,1,0),0)</f>
        <v>0</v>
      </c>
      <c r="Y517" s="58" t="n">
        <f aca="false">Y516+V517</f>
        <v>113000.408372882</v>
      </c>
    </row>
    <row r="518" customFormat="false" ht="15" hidden="false" customHeight="false" outlineLevel="0" collapsed="false">
      <c r="K518" s="56" t="n">
        <f aca="false">K517+1</f>
        <v>511</v>
      </c>
      <c r="L518" s="57" t="n">
        <f aca="false">IF(AND(K518&lt;=Assumptions!$C$42,L517=1,P517=0,O517&gt;Assumptions!$C$43),1,0)</f>
        <v>0</v>
      </c>
      <c r="M518" s="58" t="n">
        <f aca="false">O517</f>
        <v>8.10541678220034E-009</v>
      </c>
      <c r="N518" s="58" t="n">
        <f aca="false">IF(L518=1,M518*$B$22,0)</f>
        <v>0</v>
      </c>
      <c r="O518" s="58" t="n">
        <f aca="false">IF(L518=1,M518+N518-$B$26,M518)</f>
        <v>8.10541678220034E-009</v>
      </c>
      <c r="P518" s="56" t="n">
        <f aca="false">IF(L518=1,IF($B$26&lt;=N518,1,0),0)</f>
        <v>0</v>
      </c>
      <c r="Q518" s="58" t="n">
        <f aca="false">Q517+N518</f>
        <v>145877.630223336</v>
      </c>
      <c r="S518" s="56" t="n">
        <f aca="false">S517+1</f>
        <v>511</v>
      </c>
      <c r="T518" s="57" t="n">
        <f aca="false">IF(AND(S518&lt;=Assumptions!$C$42,T517=1,X517=0,W517&gt;Assumptions!$C$43),1,0)</f>
        <v>0</v>
      </c>
      <c r="U518" s="58" t="n">
        <f aca="false">W517</f>
        <v>-182.103705036234</v>
      </c>
      <c r="V518" s="58" t="n">
        <f aca="false">IF(T518=1,U518*$B$22,0)</f>
        <v>0</v>
      </c>
      <c r="W518" s="58" t="n">
        <f aca="false">IF(T518=1,U518+V518-$B$27,U518)</f>
        <v>-182.103705036234</v>
      </c>
      <c r="X518" s="56" t="n">
        <f aca="false">IF(T518=1,IF($B$27&lt;=V518,1,0),0)</f>
        <v>0</v>
      </c>
      <c r="Y518" s="58" t="n">
        <f aca="false">Y517+V518</f>
        <v>113000.408372882</v>
      </c>
    </row>
    <row r="519" customFormat="false" ht="15" hidden="false" customHeight="false" outlineLevel="0" collapsed="false">
      <c r="K519" s="56" t="n">
        <f aca="false">K518+1</f>
        <v>512</v>
      </c>
      <c r="L519" s="57" t="n">
        <f aca="false">IF(AND(K519&lt;=Assumptions!$C$42,L518=1,P518=0,O518&gt;Assumptions!$C$43),1,0)</f>
        <v>0</v>
      </c>
      <c r="M519" s="58" t="n">
        <f aca="false">O518</f>
        <v>8.10541678220034E-009</v>
      </c>
      <c r="N519" s="58" t="n">
        <f aca="false">IF(L519=1,M519*$B$22,0)</f>
        <v>0</v>
      </c>
      <c r="O519" s="58" t="n">
        <f aca="false">IF(L519=1,M519+N519-$B$26,M519)</f>
        <v>8.10541678220034E-009</v>
      </c>
      <c r="P519" s="56" t="n">
        <f aca="false">IF(L519=1,IF($B$26&lt;=N519,1,0),0)</f>
        <v>0</v>
      </c>
      <c r="Q519" s="58" t="n">
        <f aca="false">Q518+N519</f>
        <v>145877.630223336</v>
      </c>
      <c r="S519" s="56" t="n">
        <f aca="false">S518+1</f>
        <v>512</v>
      </c>
      <c r="T519" s="57" t="n">
        <f aca="false">IF(AND(S519&lt;=Assumptions!$C$42,T518=1,X518=0,W518&gt;Assumptions!$C$43),1,0)</f>
        <v>0</v>
      </c>
      <c r="U519" s="58" t="n">
        <f aca="false">W518</f>
        <v>-182.103705036234</v>
      </c>
      <c r="V519" s="58" t="n">
        <f aca="false">IF(T519=1,U519*$B$22,0)</f>
        <v>0</v>
      </c>
      <c r="W519" s="58" t="n">
        <f aca="false">IF(T519=1,U519+V519-$B$27,U519)</f>
        <v>-182.103705036234</v>
      </c>
      <c r="X519" s="56" t="n">
        <f aca="false">IF(T519=1,IF($B$27&lt;=V519,1,0),0)</f>
        <v>0</v>
      </c>
      <c r="Y519" s="58" t="n">
        <f aca="false">Y518+V519</f>
        <v>113000.408372882</v>
      </c>
    </row>
    <row r="520" customFormat="false" ht="15" hidden="false" customHeight="false" outlineLevel="0" collapsed="false">
      <c r="K520" s="56" t="n">
        <f aca="false">K519+1</f>
        <v>513</v>
      </c>
      <c r="L520" s="57" t="n">
        <f aca="false">IF(AND(K520&lt;=Assumptions!$C$42,L519=1,P519=0,O519&gt;Assumptions!$C$43),1,0)</f>
        <v>0</v>
      </c>
      <c r="M520" s="58" t="n">
        <f aca="false">O519</f>
        <v>8.10541678220034E-009</v>
      </c>
      <c r="N520" s="58" t="n">
        <f aca="false">IF(L520=1,M520*$B$22,0)</f>
        <v>0</v>
      </c>
      <c r="O520" s="58" t="n">
        <f aca="false">IF(L520=1,M520+N520-$B$26,M520)</f>
        <v>8.10541678220034E-009</v>
      </c>
      <c r="P520" s="56" t="n">
        <f aca="false">IF(L520=1,IF($B$26&lt;=N520,1,0),0)</f>
        <v>0</v>
      </c>
      <c r="Q520" s="58" t="n">
        <f aca="false">Q519+N520</f>
        <v>145877.630223336</v>
      </c>
      <c r="S520" s="56" t="n">
        <f aca="false">S519+1</f>
        <v>513</v>
      </c>
      <c r="T520" s="57" t="n">
        <f aca="false">IF(AND(S520&lt;=Assumptions!$C$42,T519=1,X519=0,W519&gt;Assumptions!$C$43),1,0)</f>
        <v>0</v>
      </c>
      <c r="U520" s="58" t="n">
        <f aca="false">W519</f>
        <v>-182.103705036234</v>
      </c>
      <c r="V520" s="58" t="n">
        <f aca="false">IF(T520=1,U520*$B$22,0)</f>
        <v>0</v>
      </c>
      <c r="W520" s="58" t="n">
        <f aca="false">IF(T520=1,U520+V520-$B$27,U520)</f>
        <v>-182.103705036234</v>
      </c>
      <c r="X520" s="56" t="n">
        <f aca="false">IF(T520=1,IF($B$27&lt;=V520,1,0),0)</f>
        <v>0</v>
      </c>
      <c r="Y520" s="58" t="n">
        <f aca="false">Y519+V520</f>
        <v>113000.408372882</v>
      </c>
    </row>
    <row r="521" customFormat="false" ht="15" hidden="false" customHeight="false" outlineLevel="0" collapsed="false">
      <c r="K521" s="56" t="n">
        <f aca="false">K520+1</f>
        <v>514</v>
      </c>
      <c r="L521" s="57" t="n">
        <f aca="false">IF(AND(K521&lt;=Assumptions!$C$42,L520=1,P520=0,O520&gt;Assumptions!$C$43),1,0)</f>
        <v>0</v>
      </c>
      <c r="M521" s="58" t="n">
        <f aca="false">O520</f>
        <v>8.10541678220034E-009</v>
      </c>
      <c r="N521" s="58" t="n">
        <f aca="false">IF(L521=1,M521*$B$22,0)</f>
        <v>0</v>
      </c>
      <c r="O521" s="58" t="n">
        <f aca="false">IF(L521=1,M521+N521-$B$26,M521)</f>
        <v>8.10541678220034E-009</v>
      </c>
      <c r="P521" s="56" t="n">
        <f aca="false">IF(L521=1,IF($B$26&lt;=N521,1,0),0)</f>
        <v>0</v>
      </c>
      <c r="Q521" s="58" t="n">
        <f aca="false">Q520+N521</f>
        <v>145877.630223336</v>
      </c>
      <c r="S521" s="56" t="n">
        <f aca="false">S520+1</f>
        <v>514</v>
      </c>
      <c r="T521" s="57" t="n">
        <f aca="false">IF(AND(S521&lt;=Assumptions!$C$42,T520=1,X520=0,W520&gt;Assumptions!$C$43),1,0)</f>
        <v>0</v>
      </c>
      <c r="U521" s="58" t="n">
        <f aca="false">W520</f>
        <v>-182.103705036234</v>
      </c>
      <c r="V521" s="58" t="n">
        <f aca="false">IF(T521=1,U521*$B$22,0)</f>
        <v>0</v>
      </c>
      <c r="W521" s="58" t="n">
        <f aca="false">IF(T521=1,U521+V521-$B$27,U521)</f>
        <v>-182.103705036234</v>
      </c>
      <c r="X521" s="56" t="n">
        <f aca="false">IF(T521=1,IF($B$27&lt;=V521,1,0),0)</f>
        <v>0</v>
      </c>
      <c r="Y521" s="58" t="n">
        <f aca="false">Y520+V521</f>
        <v>113000.408372882</v>
      </c>
    </row>
    <row r="522" customFormat="false" ht="15" hidden="false" customHeight="false" outlineLevel="0" collapsed="false">
      <c r="K522" s="56" t="n">
        <f aca="false">K521+1</f>
        <v>515</v>
      </c>
      <c r="L522" s="57" t="n">
        <f aca="false">IF(AND(K522&lt;=Assumptions!$C$42,L521=1,P521=0,O521&gt;Assumptions!$C$43),1,0)</f>
        <v>0</v>
      </c>
      <c r="M522" s="58" t="n">
        <f aca="false">O521</f>
        <v>8.10541678220034E-009</v>
      </c>
      <c r="N522" s="58" t="n">
        <f aca="false">IF(L522=1,M522*$B$22,0)</f>
        <v>0</v>
      </c>
      <c r="O522" s="58" t="n">
        <f aca="false">IF(L522=1,M522+N522-$B$26,M522)</f>
        <v>8.10541678220034E-009</v>
      </c>
      <c r="P522" s="56" t="n">
        <f aca="false">IF(L522=1,IF($B$26&lt;=N522,1,0),0)</f>
        <v>0</v>
      </c>
      <c r="Q522" s="58" t="n">
        <f aca="false">Q521+N522</f>
        <v>145877.630223336</v>
      </c>
      <c r="S522" s="56" t="n">
        <f aca="false">S521+1</f>
        <v>515</v>
      </c>
      <c r="T522" s="57" t="n">
        <f aca="false">IF(AND(S522&lt;=Assumptions!$C$42,T521=1,X521=0,W521&gt;Assumptions!$C$43),1,0)</f>
        <v>0</v>
      </c>
      <c r="U522" s="58" t="n">
        <f aca="false">W521</f>
        <v>-182.103705036234</v>
      </c>
      <c r="V522" s="58" t="n">
        <f aca="false">IF(T522=1,U522*$B$22,0)</f>
        <v>0</v>
      </c>
      <c r="W522" s="58" t="n">
        <f aca="false">IF(T522=1,U522+V522-$B$27,U522)</f>
        <v>-182.103705036234</v>
      </c>
      <c r="X522" s="56" t="n">
        <f aca="false">IF(T522=1,IF($B$27&lt;=V522,1,0),0)</f>
        <v>0</v>
      </c>
      <c r="Y522" s="58" t="n">
        <f aca="false">Y521+V522</f>
        <v>113000.408372882</v>
      </c>
    </row>
    <row r="523" customFormat="false" ht="15" hidden="false" customHeight="false" outlineLevel="0" collapsed="false">
      <c r="K523" s="56" t="n">
        <f aca="false">K522+1</f>
        <v>516</v>
      </c>
      <c r="L523" s="57" t="n">
        <f aca="false">IF(AND(K523&lt;=Assumptions!$C$42,L522=1,P522=0,O522&gt;Assumptions!$C$43),1,0)</f>
        <v>0</v>
      </c>
      <c r="M523" s="58" t="n">
        <f aca="false">O522</f>
        <v>8.10541678220034E-009</v>
      </c>
      <c r="N523" s="58" t="n">
        <f aca="false">IF(L523=1,M523*$B$22,0)</f>
        <v>0</v>
      </c>
      <c r="O523" s="58" t="n">
        <f aca="false">IF(L523=1,M523+N523-$B$26,M523)</f>
        <v>8.10541678220034E-009</v>
      </c>
      <c r="P523" s="56" t="n">
        <f aca="false">IF(L523=1,IF($B$26&lt;=N523,1,0),0)</f>
        <v>0</v>
      </c>
      <c r="Q523" s="58" t="n">
        <f aca="false">Q522+N523</f>
        <v>145877.630223336</v>
      </c>
      <c r="S523" s="56" t="n">
        <f aca="false">S522+1</f>
        <v>516</v>
      </c>
      <c r="T523" s="57" t="n">
        <f aca="false">IF(AND(S523&lt;=Assumptions!$C$42,T522=1,X522=0,W522&gt;Assumptions!$C$43),1,0)</f>
        <v>0</v>
      </c>
      <c r="U523" s="58" t="n">
        <f aca="false">W522</f>
        <v>-182.103705036234</v>
      </c>
      <c r="V523" s="58" t="n">
        <f aca="false">IF(T523=1,U523*$B$22,0)</f>
        <v>0</v>
      </c>
      <c r="W523" s="58" t="n">
        <f aca="false">IF(T523=1,U523+V523-$B$27,U523)</f>
        <v>-182.103705036234</v>
      </c>
      <c r="X523" s="56" t="n">
        <f aca="false">IF(T523=1,IF($B$27&lt;=V523,1,0),0)</f>
        <v>0</v>
      </c>
      <c r="Y523" s="58" t="n">
        <f aca="false">Y522+V523</f>
        <v>113000.408372882</v>
      </c>
    </row>
    <row r="524" customFormat="false" ht="15" hidden="false" customHeight="false" outlineLevel="0" collapsed="false">
      <c r="K524" s="56" t="n">
        <f aca="false">K523+1</f>
        <v>517</v>
      </c>
      <c r="L524" s="57" t="n">
        <f aca="false">IF(AND(K524&lt;=Assumptions!$C$42,L523=1,P523=0,O523&gt;Assumptions!$C$43),1,0)</f>
        <v>0</v>
      </c>
      <c r="M524" s="58" t="n">
        <f aca="false">O523</f>
        <v>8.10541678220034E-009</v>
      </c>
      <c r="N524" s="58" t="n">
        <f aca="false">IF(L524=1,M524*$B$22,0)</f>
        <v>0</v>
      </c>
      <c r="O524" s="58" t="n">
        <f aca="false">IF(L524=1,M524+N524-$B$26,M524)</f>
        <v>8.10541678220034E-009</v>
      </c>
      <c r="P524" s="56" t="n">
        <f aca="false">IF(L524=1,IF($B$26&lt;=N524,1,0),0)</f>
        <v>0</v>
      </c>
      <c r="Q524" s="58" t="n">
        <f aca="false">Q523+N524</f>
        <v>145877.630223336</v>
      </c>
      <c r="S524" s="56" t="n">
        <f aca="false">S523+1</f>
        <v>517</v>
      </c>
      <c r="T524" s="57" t="n">
        <f aca="false">IF(AND(S524&lt;=Assumptions!$C$42,T523=1,X523=0,W523&gt;Assumptions!$C$43),1,0)</f>
        <v>0</v>
      </c>
      <c r="U524" s="58" t="n">
        <f aca="false">W523</f>
        <v>-182.103705036234</v>
      </c>
      <c r="V524" s="58" t="n">
        <f aca="false">IF(T524=1,U524*$B$22,0)</f>
        <v>0</v>
      </c>
      <c r="W524" s="58" t="n">
        <f aca="false">IF(T524=1,U524+V524-$B$27,U524)</f>
        <v>-182.103705036234</v>
      </c>
      <c r="X524" s="56" t="n">
        <f aca="false">IF(T524=1,IF($B$27&lt;=V524,1,0),0)</f>
        <v>0</v>
      </c>
      <c r="Y524" s="58" t="n">
        <f aca="false">Y523+V524</f>
        <v>113000.408372882</v>
      </c>
    </row>
    <row r="525" customFormat="false" ht="15" hidden="false" customHeight="false" outlineLevel="0" collapsed="false">
      <c r="K525" s="56" t="n">
        <f aca="false">K524+1</f>
        <v>518</v>
      </c>
      <c r="L525" s="57" t="n">
        <f aca="false">IF(AND(K525&lt;=Assumptions!$C$42,L524=1,P524=0,O524&gt;Assumptions!$C$43),1,0)</f>
        <v>0</v>
      </c>
      <c r="M525" s="58" t="n">
        <f aca="false">O524</f>
        <v>8.10541678220034E-009</v>
      </c>
      <c r="N525" s="58" t="n">
        <f aca="false">IF(L525=1,M525*$B$22,0)</f>
        <v>0</v>
      </c>
      <c r="O525" s="58" t="n">
        <f aca="false">IF(L525=1,M525+N525-$B$26,M525)</f>
        <v>8.10541678220034E-009</v>
      </c>
      <c r="P525" s="56" t="n">
        <f aca="false">IF(L525=1,IF($B$26&lt;=N525,1,0),0)</f>
        <v>0</v>
      </c>
      <c r="Q525" s="58" t="n">
        <f aca="false">Q524+N525</f>
        <v>145877.630223336</v>
      </c>
      <c r="S525" s="56" t="n">
        <f aca="false">S524+1</f>
        <v>518</v>
      </c>
      <c r="T525" s="57" t="n">
        <f aca="false">IF(AND(S525&lt;=Assumptions!$C$42,T524=1,X524=0,W524&gt;Assumptions!$C$43),1,0)</f>
        <v>0</v>
      </c>
      <c r="U525" s="58" t="n">
        <f aca="false">W524</f>
        <v>-182.103705036234</v>
      </c>
      <c r="V525" s="58" t="n">
        <f aca="false">IF(T525=1,U525*$B$22,0)</f>
        <v>0</v>
      </c>
      <c r="W525" s="58" t="n">
        <f aca="false">IF(T525=1,U525+V525-$B$27,U525)</f>
        <v>-182.103705036234</v>
      </c>
      <c r="X525" s="56" t="n">
        <f aca="false">IF(T525=1,IF($B$27&lt;=V525,1,0),0)</f>
        <v>0</v>
      </c>
      <c r="Y525" s="58" t="n">
        <f aca="false">Y524+V525</f>
        <v>113000.408372882</v>
      </c>
    </row>
    <row r="526" customFormat="false" ht="15" hidden="false" customHeight="false" outlineLevel="0" collapsed="false">
      <c r="K526" s="56" t="n">
        <f aca="false">K525+1</f>
        <v>519</v>
      </c>
      <c r="L526" s="57" t="n">
        <f aca="false">IF(AND(K526&lt;=Assumptions!$C$42,L525=1,P525=0,O525&gt;Assumptions!$C$43),1,0)</f>
        <v>0</v>
      </c>
      <c r="M526" s="58" t="n">
        <f aca="false">O525</f>
        <v>8.10541678220034E-009</v>
      </c>
      <c r="N526" s="58" t="n">
        <f aca="false">IF(L526=1,M526*$B$22,0)</f>
        <v>0</v>
      </c>
      <c r="O526" s="58" t="n">
        <f aca="false">IF(L526=1,M526+N526-$B$26,M526)</f>
        <v>8.10541678220034E-009</v>
      </c>
      <c r="P526" s="56" t="n">
        <f aca="false">IF(L526=1,IF($B$26&lt;=N526,1,0),0)</f>
        <v>0</v>
      </c>
      <c r="Q526" s="58" t="n">
        <f aca="false">Q525+N526</f>
        <v>145877.630223336</v>
      </c>
      <c r="S526" s="56" t="n">
        <f aca="false">S525+1</f>
        <v>519</v>
      </c>
      <c r="T526" s="57" t="n">
        <f aca="false">IF(AND(S526&lt;=Assumptions!$C$42,T525=1,X525=0,W525&gt;Assumptions!$C$43),1,0)</f>
        <v>0</v>
      </c>
      <c r="U526" s="58" t="n">
        <f aca="false">W525</f>
        <v>-182.103705036234</v>
      </c>
      <c r="V526" s="58" t="n">
        <f aca="false">IF(T526=1,U526*$B$22,0)</f>
        <v>0</v>
      </c>
      <c r="W526" s="58" t="n">
        <f aca="false">IF(T526=1,U526+V526-$B$27,U526)</f>
        <v>-182.103705036234</v>
      </c>
      <c r="X526" s="56" t="n">
        <f aca="false">IF(T526=1,IF($B$27&lt;=V526,1,0),0)</f>
        <v>0</v>
      </c>
      <c r="Y526" s="58" t="n">
        <f aca="false">Y525+V526</f>
        <v>113000.408372882</v>
      </c>
    </row>
    <row r="527" customFormat="false" ht="15" hidden="false" customHeight="false" outlineLevel="0" collapsed="false">
      <c r="K527" s="56" t="n">
        <f aca="false">K526+1</f>
        <v>520</v>
      </c>
      <c r="L527" s="57" t="n">
        <f aca="false">IF(AND(K527&lt;=Assumptions!$C$42,L526=1,P526=0,O526&gt;Assumptions!$C$43),1,0)</f>
        <v>0</v>
      </c>
      <c r="M527" s="58" t="n">
        <f aca="false">O526</f>
        <v>8.10541678220034E-009</v>
      </c>
      <c r="N527" s="58" t="n">
        <f aca="false">IF(L527=1,M527*$B$22,0)</f>
        <v>0</v>
      </c>
      <c r="O527" s="58" t="n">
        <f aca="false">IF(L527=1,M527+N527-$B$26,M527)</f>
        <v>8.10541678220034E-009</v>
      </c>
      <c r="P527" s="56" t="n">
        <f aca="false">IF(L527=1,IF($B$26&lt;=N527,1,0),0)</f>
        <v>0</v>
      </c>
      <c r="Q527" s="58" t="n">
        <f aca="false">Q526+N527</f>
        <v>145877.630223336</v>
      </c>
      <c r="S527" s="56" t="n">
        <f aca="false">S526+1</f>
        <v>520</v>
      </c>
      <c r="T527" s="57" t="n">
        <f aca="false">IF(AND(S527&lt;=Assumptions!$C$42,T526=1,X526=0,W526&gt;Assumptions!$C$43),1,0)</f>
        <v>0</v>
      </c>
      <c r="U527" s="58" t="n">
        <f aca="false">W526</f>
        <v>-182.103705036234</v>
      </c>
      <c r="V527" s="58" t="n">
        <f aca="false">IF(T527=1,U527*$B$22,0)</f>
        <v>0</v>
      </c>
      <c r="W527" s="58" t="n">
        <f aca="false">IF(T527=1,U527+V527-$B$27,U527)</f>
        <v>-182.103705036234</v>
      </c>
      <c r="X527" s="56" t="n">
        <f aca="false">IF(T527=1,IF($B$27&lt;=V527,1,0),0)</f>
        <v>0</v>
      </c>
      <c r="Y527" s="58" t="n">
        <f aca="false">Y526+V527</f>
        <v>113000.408372882</v>
      </c>
    </row>
    <row r="528" customFormat="false" ht="15" hidden="false" customHeight="false" outlineLevel="0" collapsed="false">
      <c r="K528" s="56" t="n">
        <f aca="false">K527+1</f>
        <v>521</v>
      </c>
      <c r="L528" s="57" t="n">
        <f aca="false">IF(AND(K528&lt;=Assumptions!$C$42,L527=1,P527=0,O527&gt;Assumptions!$C$43),1,0)</f>
        <v>0</v>
      </c>
      <c r="M528" s="58" t="n">
        <f aca="false">O527</f>
        <v>8.10541678220034E-009</v>
      </c>
      <c r="N528" s="58" t="n">
        <f aca="false">IF(L528=1,M528*$B$22,0)</f>
        <v>0</v>
      </c>
      <c r="O528" s="58" t="n">
        <f aca="false">IF(L528=1,M528+N528-$B$26,M528)</f>
        <v>8.10541678220034E-009</v>
      </c>
      <c r="P528" s="56" t="n">
        <f aca="false">IF(L528=1,IF($B$26&lt;=N528,1,0),0)</f>
        <v>0</v>
      </c>
      <c r="Q528" s="58" t="n">
        <f aca="false">Q527+N528</f>
        <v>145877.630223336</v>
      </c>
      <c r="S528" s="56" t="n">
        <f aca="false">S527+1</f>
        <v>521</v>
      </c>
      <c r="T528" s="57" t="n">
        <f aca="false">IF(AND(S528&lt;=Assumptions!$C$42,T527=1,X527=0,W527&gt;Assumptions!$C$43),1,0)</f>
        <v>0</v>
      </c>
      <c r="U528" s="58" t="n">
        <f aca="false">W527</f>
        <v>-182.103705036234</v>
      </c>
      <c r="V528" s="58" t="n">
        <f aca="false">IF(T528=1,U528*$B$22,0)</f>
        <v>0</v>
      </c>
      <c r="W528" s="58" t="n">
        <f aca="false">IF(T528=1,U528+V528-$B$27,U528)</f>
        <v>-182.103705036234</v>
      </c>
      <c r="X528" s="56" t="n">
        <f aca="false">IF(T528=1,IF($B$27&lt;=V528,1,0),0)</f>
        <v>0</v>
      </c>
      <c r="Y528" s="58" t="n">
        <f aca="false">Y527+V528</f>
        <v>113000.408372882</v>
      </c>
    </row>
    <row r="529" customFormat="false" ht="15" hidden="false" customHeight="false" outlineLevel="0" collapsed="false">
      <c r="K529" s="56" t="n">
        <f aca="false">K528+1</f>
        <v>522</v>
      </c>
      <c r="L529" s="57" t="n">
        <f aca="false">IF(AND(K529&lt;=Assumptions!$C$42,L528=1,P528=0,O528&gt;Assumptions!$C$43),1,0)</f>
        <v>0</v>
      </c>
      <c r="M529" s="58" t="n">
        <f aca="false">O528</f>
        <v>8.10541678220034E-009</v>
      </c>
      <c r="N529" s="58" t="n">
        <f aca="false">IF(L529=1,M529*$B$22,0)</f>
        <v>0</v>
      </c>
      <c r="O529" s="58" t="n">
        <f aca="false">IF(L529=1,M529+N529-$B$26,M529)</f>
        <v>8.10541678220034E-009</v>
      </c>
      <c r="P529" s="56" t="n">
        <f aca="false">IF(L529=1,IF($B$26&lt;=N529,1,0),0)</f>
        <v>0</v>
      </c>
      <c r="Q529" s="58" t="n">
        <f aca="false">Q528+N529</f>
        <v>145877.630223336</v>
      </c>
      <c r="S529" s="56" t="n">
        <f aca="false">S528+1</f>
        <v>522</v>
      </c>
      <c r="T529" s="57" t="n">
        <f aca="false">IF(AND(S529&lt;=Assumptions!$C$42,T528=1,X528=0,W528&gt;Assumptions!$C$43),1,0)</f>
        <v>0</v>
      </c>
      <c r="U529" s="58" t="n">
        <f aca="false">W528</f>
        <v>-182.103705036234</v>
      </c>
      <c r="V529" s="58" t="n">
        <f aca="false">IF(T529=1,U529*$B$22,0)</f>
        <v>0</v>
      </c>
      <c r="W529" s="58" t="n">
        <f aca="false">IF(T529=1,U529+V529-$B$27,U529)</f>
        <v>-182.103705036234</v>
      </c>
      <c r="X529" s="56" t="n">
        <f aca="false">IF(T529=1,IF($B$27&lt;=V529,1,0),0)</f>
        <v>0</v>
      </c>
      <c r="Y529" s="58" t="n">
        <f aca="false">Y528+V529</f>
        <v>113000.408372882</v>
      </c>
    </row>
    <row r="530" customFormat="false" ht="15" hidden="false" customHeight="false" outlineLevel="0" collapsed="false">
      <c r="K530" s="56" t="n">
        <f aca="false">K529+1</f>
        <v>523</v>
      </c>
      <c r="L530" s="57" t="n">
        <f aca="false">IF(AND(K530&lt;=Assumptions!$C$42,L529=1,P529=0,O529&gt;Assumptions!$C$43),1,0)</f>
        <v>0</v>
      </c>
      <c r="M530" s="58" t="n">
        <f aca="false">O529</f>
        <v>8.10541678220034E-009</v>
      </c>
      <c r="N530" s="58" t="n">
        <f aca="false">IF(L530=1,M530*$B$22,0)</f>
        <v>0</v>
      </c>
      <c r="O530" s="58" t="n">
        <f aca="false">IF(L530=1,M530+N530-$B$26,M530)</f>
        <v>8.10541678220034E-009</v>
      </c>
      <c r="P530" s="56" t="n">
        <f aca="false">IF(L530=1,IF($B$26&lt;=N530,1,0),0)</f>
        <v>0</v>
      </c>
      <c r="Q530" s="58" t="n">
        <f aca="false">Q529+N530</f>
        <v>145877.630223336</v>
      </c>
      <c r="S530" s="56" t="n">
        <f aca="false">S529+1</f>
        <v>523</v>
      </c>
      <c r="T530" s="57" t="n">
        <f aca="false">IF(AND(S530&lt;=Assumptions!$C$42,T529=1,X529=0,W529&gt;Assumptions!$C$43),1,0)</f>
        <v>0</v>
      </c>
      <c r="U530" s="58" t="n">
        <f aca="false">W529</f>
        <v>-182.103705036234</v>
      </c>
      <c r="V530" s="58" t="n">
        <f aca="false">IF(T530=1,U530*$B$22,0)</f>
        <v>0</v>
      </c>
      <c r="W530" s="58" t="n">
        <f aca="false">IF(T530=1,U530+V530-$B$27,U530)</f>
        <v>-182.103705036234</v>
      </c>
      <c r="X530" s="56" t="n">
        <f aca="false">IF(T530=1,IF($B$27&lt;=V530,1,0),0)</f>
        <v>0</v>
      </c>
      <c r="Y530" s="58" t="n">
        <f aca="false">Y529+V530</f>
        <v>113000.408372882</v>
      </c>
    </row>
    <row r="531" customFormat="false" ht="15" hidden="false" customHeight="false" outlineLevel="0" collapsed="false">
      <c r="K531" s="56" t="n">
        <f aca="false">K530+1</f>
        <v>524</v>
      </c>
      <c r="L531" s="57" t="n">
        <f aca="false">IF(AND(K531&lt;=Assumptions!$C$42,L530=1,P530=0,O530&gt;Assumptions!$C$43),1,0)</f>
        <v>0</v>
      </c>
      <c r="M531" s="58" t="n">
        <f aca="false">O530</f>
        <v>8.10541678220034E-009</v>
      </c>
      <c r="N531" s="58" t="n">
        <f aca="false">IF(L531=1,M531*$B$22,0)</f>
        <v>0</v>
      </c>
      <c r="O531" s="58" t="n">
        <f aca="false">IF(L531=1,M531+N531-$B$26,M531)</f>
        <v>8.10541678220034E-009</v>
      </c>
      <c r="P531" s="56" t="n">
        <f aca="false">IF(L531=1,IF($B$26&lt;=N531,1,0),0)</f>
        <v>0</v>
      </c>
      <c r="Q531" s="58" t="n">
        <f aca="false">Q530+N531</f>
        <v>145877.630223336</v>
      </c>
      <c r="S531" s="56" t="n">
        <f aca="false">S530+1</f>
        <v>524</v>
      </c>
      <c r="T531" s="57" t="n">
        <f aca="false">IF(AND(S531&lt;=Assumptions!$C$42,T530=1,X530=0,W530&gt;Assumptions!$C$43),1,0)</f>
        <v>0</v>
      </c>
      <c r="U531" s="58" t="n">
        <f aca="false">W530</f>
        <v>-182.103705036234</v>
      </c>
      <c r="V531" s="58" t="n">
        <f aca="false">IF(T531=1,U531*$B$22,0)</f>
        <v>0</v>
      </c>
      <c r="W531" s="58" t="n">
        <f aca="false">IF(T531=1,U531+V531-$B$27,U531)</f>
        <v>-182.103705036234</v>
      </c>
      <c r="X531" s="56" t="n">
        <f aca="false">IF(T531=1,IF($B$27&lt;=V531,1,0),0)</f>
        <v>0</v>
      </c>
      <c r="Y531" s="58" t="n">
        <f aca="false">Y530+V531</f>
        <v>113000.408372882</v>
      </c>
    </row>
    <row r="532" customFormat="false" ht="15" hidden="false" customHeight="false" outlineLevel="0" collapsed="false">
      <c r="K532" s="56" t="n">
        <f aca="false">K531+1</f>
        <v>525</v>
      </c>
      <c r="L532" s="57" t="n">
        <f aca="false">IF(AND(K532&lt;=Assumptions!$C$42,L531=1,P531=0,O531&gt;Assumptions!$C$43),1,0)</f>
        <v>0</v>
      </c>
      <c r="M532" s="58" t="n">
        <f aca="false">O531</f>
        <v>8.10541678220034E-009</v>
      </c>
      <c r="N532" s="58" t="n">
        <f aca="false">IF(L532=1,M532*$B$22,0)</f>
        <v>0</v>
      </c>
      <c r="O532" s="58" t="n">
        <f aca="false">IF(L532=1,M532+N532-$B$26,M532)</f>
        <v>8.10541678220034E-009</v>
      </c>
      <c r="P532" s="56" t="n">
        <f aca="false">IF(L532=1,IF($B$26&lt;=N532,1,0),0)</f>
        <v>0</v>
      </c>
      <c r="Q532" s="58" t="n">
        <f aca="false">Q531+N532</f>
        <v>145877.630223336</v>
      </c>
      <c r="S532" s="56" t="n">
        <f aca="false">S531+1</f>
        <v>525</v>
      </c>
      <c r="T532" s="57" t="n">
        <f aca="false">IF(AND(S532&lt;=Assumptions!$C$42,T531=1,X531=0,W531&gt;Assumptions!$C$43),1,0)</f>
        <v>0</v>
      </c>
      <c r="U532" s="58" t="n">
        <f aca="false">W531</f>
        <v>-182.103705036234</v>
      </c>
      <c r="V532" s="58" t="n">
        <f aca="false">IF(T532=1,U532*$B$22,0)</f>
        <v>0</v>
      </c>
      <c r="W532" s="58" t="n">
        <f aca="false">IF(T532=1,U532+V532-$B$27,U532)</f>
        <v>-182.103705036234</v>
      </c>
      <c r="X532" s="56" t="n">
        <f aca="false">IF(T532=1,IF($B$27&lt;=V532,1,0),0)</f>
        <v>0</v>
      </c>
      <c r="Y532" s="58" t="n">
        <f aca="false">Y531+V532</f>
        <v>113000.408372882</v>
      </c>
    </row>
    <row r="533" customFormat="false" ht="15" hidden="false" customHeight="false" outlineLevel="0" collapsed="false">
      <c r="K533" s="56" t="n">
        <f aca="false">K532+1</f>
        <v>526</v>
      </c>
      <c r="L533" s="57" t="n">
        <f aca="false">IF(AND(K533&lt;=Assumptions!$C$42,L532=1,P532=0,O532&gt;Assumptions!$C$43),1,0)</f>
        <v>0</v>
      </c>
      <c r="M533" s="58" t="n">
        <f aca="false">O532</f>
        <v>8.10541678220034E-009</v>
      </c>
      <c r="N533" s="58" t="n">
        <f aca="false">IF(L533=1,M533*$B$22,0)</f>
        <v>0</v>
      </c>
      <c r="O533" s="58" t="n">
        <f aca="false">IF(L533=1,M533+N533-$B$26,M533)</f>
        <v>8.10541678220034E-009</v>
      </c>
      <c r="P533" s="56" t="n">
        <f aca="false">IF(L533=1,IF($B$26&lt;=N533,1,0),0)</f>
        <v>0</v>
      </c>
      <c r="Q533" s="58" t="n">
        <f aca="false">Q532+N533</f>
        <v>145877.630223336</v>
      </c>
      <c r="S533" s="56" t="n">
        <f aca="false">S532+1</f>
        <v>526</v>
      </c>
      <c r="T533" s="57" t="n">
        <f aca="false">IF(AND(S533&lt;=Assumptions!$C$42,T532=1,X532=0,W532&gt;Assumptions!$C$43),1,0)</f>
        <v>0</v>
      </c>
      <c r="U533" s="58" t="n">
        <f aca="false">W532</f>
        <v>-182.103705036234</v>
      </c>
      <c r="V533" s="58" t="n">
        <f aca="false">IF(T533=1,U533*$B$22,0)</f>
        <v>0</v>
      </c>
      <c r="W533" s="58" t="n">
        <f aca="false">IF(T533=1,U533+V533-$B$27,U533)</f>
        <v>-182.103705036234</v>
      </c>
      <c r="X533" s="56" t="n">
        <f aca="false">IF(T533=1,IF($B$27&lt;=V533,1,0),0)</f>
        <v>0</v>
      </c>
      <c r="Y533" s="58" t="n">
        <f aca="false">Y532+V533</f>
        <v>113000.408372882</v>
      </c>
    </row>
    <row r="534" customFormat="false" ht="15" hidden="false" customHeight="false" outlineLevel="0" collapsed="false">
      <c r="K534" s="56" t="n">
        <f aca="false">K533+1</f>
        <v>527</v>
      </c>
      <c r="L534" s="57" t="n">
        <f aca="false">IF(AND(K534&lt;=Assumptions!$C$42,L533=1,P533=0,O533&gt;Assumptions!$C$43),1,0)</f>
        <v>0</v>
      </c>
      <c r="M534" s="58" t="n">
        <f aca="false">O533</f>
        <v>8.10541678220034E-009</v>
      </c>
      <c r="N534" s="58" t="n">
        <f aca="false">IF(L534=1,M534*$B$22,0)</f>
        <v>0</v>
      </c>
      <c r="O534" s="58" t="n">
        <f aca="false">IF(L534=1,M534+N534-$B$26,M534)</f>
        <v>8.10541678220034E-009</v>
      </c>
      <c r="P534" s="56" t="n">
        <f aca="false">IF(L534=1,IF($B$26&lt;=N534,1,0),0)</f>
        <v>0</v>
      </c>
      <c r="Q534" s="58" t="n">
        <f aca="false">Q533+N534</f>
        <v>145877.630223336</v>
      </c>
      <c r="S534" s="56" t="n">
        <f aca="false">S533+1</f>
        <v>527</v>
      </c>
      <c r="T534" s="57" t="n">
        <f aca="false">IF(AND(S534&lt;=Assumptions!$C$42,T533=1,X533=0,W533&gt;Assumptions!$C$43),1,0)</f>
        <v>0</v>
      </c>
      <c r="U534" s="58" t="n">
        <f aca="false">W533</f>
        <v>-182.103705036234</v>
      </c>
      <c r="V534" s="58" t="n">
        <f aca="false">IF(T534=1,U534*$B$22,0)</f>
        <v>0</v>
      </c>
      <c r="W534" s="58" t="n">
        <f aca="false">IF(T534=1,U534+V534-$B$27,U534)</f>
        <v>-182.103705036234</v>
      </c>
      <c r="X534" s="56" t="n">
        <f aca="false">IF(T534=1,IF($B$27&lt;=V534,1,0),0)</f>
        <v>0</v>
      </c>
      <c r="Y534" s="58" t="n">
        <f aca="false">Y533+V534</f>
        <v>113000.408372882</v>
      </c>
    </row>
    <row r="535" customFormat="false" ht="15" hidden="false" customHeight="false" outlineLevel="0" collapsed="false">
      <c r="K535" s="56" t="n">
        <f aca="false">K534+1</f>
        <v>528</v>
      </c>
      <c r="L535" s="57" t="n">
        <f aca="false">IF(AND(K535&lt;=Assumptions!$C$42,L534=1,P534=0,O534&gt;Assumptions!$C$43),1,0)</f>
        <v>0</v>
      </c>
      <c r="M535" s="58" t="n">
        <f aca="false">O534</f>
        <v>8.10541678220034E-009</v>
      </c>
      <c r="N535" s="58" t="n">
        <f aca="false">IF(L535=1,M535*$B$22,0)</f>
        <v>0</v>
      </c>
      <c r="O535" s="58" t="n">
        <f aca="false">IF(L535=1,M535+N535-$B$26,M535)</f>
        <v>8.10541678220034E-009</v>
      </c>
      <c r="P535" s="56" t="n">
        <f aca="false">IF(L535=1,IF($B$26&lt;=N535,1,0),0)</f>
        <v>0</v>
      </c>
      <c r="Q535" s="58" t="n">
        <f aca="false">Q534+N535</f>
        <v>145877.630223336</v>
      </c>
      <c r="S535" s="56" t="n">
        <f aca="false">S534+1</f>
        <v>528</v>
      </c>
      <c r="T535" s="57" t="n">
        <f aca="false">IF(AND(S535&lt;=Assumptions!$C$42,T534=1,X534=0,W534&gt;Assumptions!$C$43),1,0)</f>
        <v>0</v>
      </c>
      <c r="U535" s="58" t="n">
        <f aca="false">W534</f>
        <v>-182.103705036234</v>
      </c>
      <c r="V535" s="58" t="n">
        <f aca="false">IF(T535=1,U535*$B$22,0)</f>
        <v>0</v>
      </c>
      <c r="W535" s="58" t="n">
        <f aca="false">IF(T535=1,U535+V535-$B$27,U535)</f>
        <v>-182.103705036234</v>
      </c>
      <c r="X535" s="56" t="n">
        <f aca="false">IF(T535=1,IF($B$27&lt;=V535,1,0),0)</f>
        <v>0</v>
      </c>
      <c r="Y535" s="58" t="n">
        <f aca="false">Y534+V535</f>
        <v>113000.408372882</v>
      </c>
    </row>
    <row r="536" customFormat="false" ht="15" hidden="false" customHeight="false" outlineLevel="0" collapsed="false">
      <c r="K536" s="56" t="n">
        <f aca="false">K535+1</f>
        <v>529</v>
      </c>
      <c r="L536" s="57" t="n">
        <f aca="false">IF(AND(K536&lt;=Assumptions!$C$42,L535=1,P535=0,O535&gt;Assumptions!$C$43),1,0)</f>
        <v>0</v>
      </c>
      <c r="M536" s="58" t="n">
        <f aca="false">O535</f>
        <v>8.10541678220034E-009</v>
      </c>
      <c r="N536" s="58" t="n">
        <f aca="false">IF(L536=1,M536*$B$22,0)</f>
        <v>0</v>
      </c>
      <c r="O536" s="58" t="n">
        <f aca="false">IF(L536=1,M536+N536-$B$26,M536)</f>
        <v>8.10541678220034E-009</v>
      </c>
      <c r="P536" s="56" t="n">
        <f aca="false">IF(L536=1,IF($B$26&lt;=N536,1,0),0)</f>
        <v>0</v>
      </c>
      <c r="Q536" s="58" t="n">
        <f aca="false">Q535+N536</f>
        <v>145877.630223336</v>
      </c>
      <c r="S536" s="56" t="n">
        <f aca="false">S535+1</f>
        <v>529</v>
      </c>
      <c r="T536" s="57" t="n">
        <f aca="false">IF(AND(S536&lt;=Assumptions!$C$42,T535=1,X535=0,W535&gt;Assumptions!$C$43),1,0)</f>
        <v>0</v>
      </c>
      <c r="U536" s="58" t="n">
        <f aca="false">W535</f>
        <v>-182.103705036234</v>
      </c>
      <c r="V536" s="58" t="n">
        <f aca="false">IF(T536=1,U536*$B$22,0)</f>
        <v>0</v>
      </c>
      <c r="W536" s="58" t="n">
        <f aca="false">IF(T536=1,U536+V536-$B$27,U536)</f>
        <v>-182.103705036234</v>
      </c>
      <c r="X536" s="56" t="n">
        <f aca="false">IF(T536=1,IF($B$27&lt;=V536,1,0),0)</f>
        <v>0</v>
      </c>
      <c r="Y536" s="58" t="n">
        <f aca="false">Y535+V536</f>
        <v>113000.408372882</v>
      </c>
    </row>
    <row r="537" customFormat="false" ht="15" hidden="false" customHeight="false" outlineLevel="0" collapsed="false">
      <c r="K537" s="56" t="n">
        <f aca="false">K536+1</f>
        <v>530</v>
      </c>
      <c r="L537" s="57" t="n">
        <f aca="false">IF(AND(K537&lt;=Assumptions!$C$42,L536=1,P536=0,O536&gt;Assumptions!$C$43),1,0)</f>
        <v>0</v>
      </c>
      <c r="M537" s="58" t="n">
        <f aca="false">O536</f>
        <v>8.10541678220034E-009</v>
      </c>
      <c r="N537" s="58" t="n">
        <f aca="false">IF(L537=1,M537*$B$22,0)</f>
        <v>0</v>
      </c>
      <c r="O537" s="58" t="n">
        <f aca="false">IF(L537=1,M537+N537-$B$26,M537)</f>
        <v>8.10541678220034E-009</v>
      </c>
      <c r="P537" s="56" t="n">
        <f aca="false">IF(L537=1,IF($B$26&lt;=N537,1,0),0)</f>
        <v>0</v>
      </c>
      <c r="Q537" s="58" t="n">
        <f aca="false">Q536+N537</f>
        <v>145877.630223336</v>
      </c>
      <c r="S537" s="56" t="n">
        <f aca="false">S536+1</f>
        <v>530</v>
      </c>
      <c r="T537" s="57" t="n">
        <f aca="false">IF(AND(S537&lt;=Assumptions!$C$42,T536=1,X536=0,W536&gt;Assumptions!$C$43),1,0)</f>
        <v>0</v>
      </c>
      <c r="U537" s="58" t="n">
        <f aca="false">W536</f>
        <v>-182.103705036234</v>
      </c>
      <c r="V537" s="58" t="n">
        <f aca="false">IF(T537=1,U537*$B$22,0)</f>
        <v>0</v>
      </c>
      <c r="W537" s="58" t="n">
        <f aca="false">IF(T537=1,U537+V537-$B$27,U537)</f>
        <v>-182.103705036234</v>
      </c>
      <c r="X537" s="56" t="n">
        <f aca="false">IF(T537=1,IF($B$27&lt;=V537,1,0),0)</f>
        <v>0</v>
      </c>
      <c r="Y537" s="58" t="n">
        <f aca="false">Y536+V537</f>
        <v>113000.408372882</v>
      </c>
    </row>
    <row r="538" customFormat="false" ht="15" hidden="false" customHeight="false" outlineLevel="0" collapsed="false">
      <c r="K538" s="56" t="n">
        <f aca="false">K537+1</f>
        <v>531</v>
      </c>
      <c r="L538" s="57" t="n">
        <f aca="false">IF(AND(K538&lt;=Assumptions!$C$42,L537=1,P537=0,O537&gt;Assumptions!$C$43),1,0)</f>
        <v>0</v>
      </c>
      <c r="M538" s="58" t="n">
        <f aca="false">O537</f>
        <v>8.10541678220034E-009</v>
      </c>
      <c r="N538" s="58" t="n">
        <f aca="false">IF(L538=1,M538*$B$22,0)</f>
        <v>0</v>
      </c>
      <c r="O538" s="58" t="n">
        <f aca="false">IF(L538=1,M538+N538-$B$26,M538)</f>
        <v>8.10541678220034E-009</v>
      </c>
      <c r="P538" s="56" t="n">
        <f aca="false">IF(L538=1,IF($B$26&lt;=N538,1,0),0)</f>
        <v>0</v>
      </c>
      <c r="Q538" s="58" t="n">
        <f aca="false">Q537+N538</f>
        <v>145877.630223336</v>
      </c>
      <c r="S538" s="56" t="n">
        <f aca="false">S537+1</f>
        <v>531</v>
      </c>
      <c r="T538" s="57" t="n">
        <f aca="false">IF(AND(S538&lt;=Assumptions!$C$42,T537=1,X537=0,W537&gt;Assumptions!$C$43),1,0)</f>
        <v>0</v>
      </c>
      <c r="U538" s="58" t="n">
        <f aca="false">W537</f>
        <v>-182.103705036234</v>
      </c>
      <c r="V538" s="58" t="n">
        <f aca="false">IF(T538=1,U538*$B$22,0)</f>
        <v>0</v>
      </c>
      <c r="W538" s="58" t="n">
        <f aca="false">IF(T538=1,U538+V538-$B$27,U538)</f>
        <v>-182.103705036234</v>
      </c>
      <c r="X538" s="56" t="n">
        <f aca="false">IF(T538=1,IF($B$27&lt;=V538,1,0),0)</f>
        <v>0</v>
      </c>
      <c r="Y538" s="58" t="n">
        <f aca="false">Y537+V538</f>
        <v>113000.408372882</v>
      </c>
    </row>
    <row r="539" customFormat="false" ht="15" hidden="false" customHeight="false" outlineLevel="0" collapsed="false">
      <c r="K539" s="56" t="n">
        <f aca="false">K538+1</f>
        <v>532</v>
      </c>
      <c r="L539" s="57" t="n">
        <f aca="false">IF(AND(K539&lt;=Assumptions!$C$42,L538=1,P538=0,O538&gt;Assumptions!$C$43),1,0)</f>
        <v>0</v>
      </c>
      <c r="M539" s="58" t="n">
        <f aca="false">O538</f>
        <v>8.10541678220034E-009</v>
      </c>
      <c r="N539" s="58" t="n">
        <f aca="false">IF(L539=1,M539*$B$22,0)</f>
        <v>0</v>
      </c>
      <c r="O539" s="58" t="n">
        <f aca="false">IF(L539=1,M539+N539-$B$26,M539)</f>
        <v>8.10541678220034E-009</v>
      </c>
      <c r="P539" s="56" t="n">
        <f aca="false">IF(L539=1,IF($B$26&lt;=N539,1,0),0)</f>
        <v>0</v>
      </c>
      <c r="Q539" s="58" t="n">
        <f aca="false">Q538+N539</f>
        <v>145877.630223336</v>
      </c>
      <c r="S539" s="56" t="n">
        <f aca="false">S538+1</f>
        <v>532</v>
      </c>
      <c r="T539" s="57" t="n">
        <f aca="false">IF(AND(S539&lt;=Assumptions!$C$42,T538=1,X538=0,W538&gt;Assumptions!$C$43),1,0)</f>
        <v>0</v>
      </c>
      <c r="U539" s="58" t="n">
        <f aca="false">W538</f>
        <v>-182.103705036234</v>
      </c>
      <c r="V539" s="58" t="n">
        <f aca="false">IF(T539=1,U539*$B$22,0)</f>
        <v>0</v>
      </c>
      <c r="W539" s="58" t="n">
        <f aca="false">IF(T539=1,U539+V539-$B$27,U539)</f>
        <v>-182.103705036234</v>
      </c>
      <c r="X539" s="56" t="n">
        <f aca="false">IF(T539=1,IF($B$27&lt;=V539,1,0),0)</f>
        <v>0</v>
      </c>
      <c r="Y539" s="58" t="n">
        <f aca="false">Y538+V539</f>
        <v>113000.408372882</v>
      </c>
    </row>
    <row r="540" customFormat="false" ht="15" hidden="false" customHeight="false" outlineLevel="0" collapsed="false">
      <c r="K540" s="56" t="n">
        <f aca="false">K539+1</f>
        <v>533</v>
      </c>
      <c r="L540" s="57" t="n">
        <f aca="false">IF(AND(K540&lt;=Assumptions!$C$42,L539=1,P539=0,O539&gt;Assumptions!$C$43),1,0)</f>
        <v>0</v>
      </c>
      <c r="M540" s="58" t="n">
        <f aca="false">O539</f>
        <v>8.10541678220034E-009</v>
      </c>
      <c r="N540" s="58" t="n">
        <f aca="false">IF(L540=1,M540*$B$22,0)</f>
        <v>0</v>
      </c>
      <c r="O540" s="58" t="n">
        <f aca="false">IF(L540=1,M540+N540-$B$26,M540)</f>
        <v>8.10541678220034E-009</v>
      </c>
      <c r="P540" s="56" t="n">
        <f aca="false">IF(L540=1,IF($B$26&lt;=N540,1,0),0)</f>
        <v>0</v>
      </c>
      <c r="Q540" s="58" t="n">
        <f aca="false">Q539+N540</f>
        <v>145877.630223336</v>
      </c>
      <c r="S540" s="56" t="n">
        <f aca="false">S539+1</f>
        <v>533</v>
      </c>
      <c r="T540" s="57" t="n">
        <f aca="false">IF(AND(S540&lt;=Assumptions!$C$42,T539=1,X539=0,W539&gt;Assumptions!$C$43),1,0)</f>
        <v>0</v>
      </c>
      <c r="U540" s="58" t="n">
        <f aca="false">W539</f>
        <v>-182.103705036234</v>
      </c>
      <c r="V540" s="58" t="n">
        <f aca="false">IF(T540=1,U540*$B$22,0)</f>
        <v>0</v>
      </c>
      <c r="W540" s="58" t="n">
        <f aca="false">IF(T540=1,U540+V540-$B$27,U540)</f>
        <v>-182.103705036234</v>
      </c>
      <c r="X540" s="56" t="n">
        <f aca="false">IF(T540=1,IF($B$27&lt;=V540,1,0),0)</f>
        <v>0</v>
      </c>
      <c r="Y540" s="58" t="n">
        <f aca="false">Y539+V540</f>
        <v>113000.408372882</v>
      </c>
    </row>
    <row r="541" customFormat="false" ht="15" hidden="false" customHeight="false" outlineLevel="0" collapsed="false">
      <c r="K541" s="56" t="n">
        <f aca="false">K540+1</f>
        <v>534</v>
      </c>
      <c r="L541" s="57" t="n">
        <f aca="false">IF(AND(K541&lt;=Assumptions!$C$42,L540=1,P540=0,O540&gt;Assumptions!$C$43),1,0)</f>
        <v>0</v>
      </c>
      <c r="M541" s="58" t="n">
        <f aca="false">O540</f>
        <v>8.10541678220034E-009</v>
      </c>
      <c r="N541" s="58" t="n">
        <f aca="false">IF(L541=1,M541*$B$22,0)</f>
        <v>0</v>
      </c>
      <c r="O541" s="58" t="n">
        <f aca="false">IF(L541=1,M541+N541-$B$26,M541)</f>
        <v>8.10541678220034E-009</v>
      </c>
      <c r="P541" s="56" t="n">
        <f aca="false">IF(L541=1,IF($B$26&lt;=N541,1,0),0)</f>
        <v>0</v>
      </c>
      <c r="Q541" s="58" t="n">
        <f aca="false">Q540+N541</f>
        <v>145877.630223336</v>
      </c>
      <c r="S541" s="56" t="n">
        <f aca="false">S540+1</f>
        <v>534</v>
      </c>
      <c r="T541" s="57" t="n">
        <f aca="false">IF(AND(S541&lt;=Assumptions!$C$42,T540=1,X540=0,W540&gt;Assumptions!$C$43),1,0)</f>
        <v>0</v>
      </c>
      <c r="U541" s="58" t="n">
        <f aca="false">W540</f>
        <v>-182.103705036234</v>
      </c>
      <c r="V541" s="58" t="n">
        <f aca="false">IF(T541=1,U541*$B$22,0)</f>
        <v>0</v>
      </c>
      <c r="W541" s="58" t="n">
        <f aca="false">IF(T541=1,U541+V541-$B$27,U541)</f>
        <v>-182.103705036234</v>
      </c>
      <c r="X541" s="56" t="n">
        <f aca="false">IF(T541=1,IF($B$27&lt;=V541,1,0),0)</f>
        <v>0</v>
      </c>
      <c r="Y541" s="58" t="n">
        <f aca="false">Y540+V541</f>
        <v>113000.408372882</v>
      </c>
    </row>
    <row r="542" customFormat="false" ht="15" hidden="false" customHeight="false" outlineLevel="0" collapsed="false">
      <c r="K542" s="56" t="n">
        <f aca="false">K541+1</f>
        <v>535</v>
      </c>
      <c r="L542" s="57" t="n">
        <f aca="false">IF(AND(K542&lt;=Assumptions!$C$42,L541=1,P541=0,O541&gt;Assumptions!$C$43),1,0)</f>
        <v>0</v>
      </c>
      <c r="M542" s="58" t="n">
        <f aca="false">O541</f>
        <v>8.10541678220034E-009</v>
      </c>
      <c r="N542" s="58" t="n">
        <f aca="false">IF(L542=1,M542*$B$22,0)</f>
        <v>0</v>
      </c>
      <c r="O542" s="58" t="n">
        <f aca="false">IF(L542=1,M542+N542-$B$26,M542)</f>
        <v>8.10541678220034E-009</v>
      </c>
      <c r="P542" s="56" t="n">
        <f aca="false">IF(L542=1,IF($B$26&lt;=N542,1,0),0)</f>
        <v>0</v>
      </c>
      <c r="Q542" s="58" t="n">
        <f aca="false">Q541+N542</f>
        <v>145877.630223336</v>
      </c>
      <c r="S542" s="56" t="n">
        <f aca="false">S541+1</f>
        <v>535</v>
      </c>
      <c r="T542" s="57" t="n">
        <f aca="false">IF(AND(S542&lt;=Assumptions!$C$42,T541=1,X541=0,W541&gt;Assumptions!$C$43),1,0)</f>
        <v>0</v>
      </c>
      <c r="U542" s="58" t="n">
        <f aca="false">W541</f>
        <v>-182.103705036234</v>
      </c>
      <c r="V542" s="58" t="n">
        <f aca="false">IF(T542=1,U542*$B$22,0)</f>
        <v>0</v>
      </c>
      <c r="W542" s="58" t="n">
        <f aca="false">IF(T542=1,U542+V542-$B$27,U542)</f>
        <v>-182.103705036234</v>
      </c>
      <c r="X542" s="56" t="n">
        <f aca="false">IF(T542=1,IF($B$27&lt;=V542,1,0),0)</f>
        <v>0</v>
      </c>
      <c r="Y542" s="58" t="n">
        <f aca="false">Y541+V542</f>
        <v>113000.408372882</v>
      </c>
    </row>
    <row r="543" customFormat="false" ht="15" hidden="false" customHeight="false" outlineLevel="0" collapsed="false">
      <c r="K543" s="56" t="n">
        <f aca="false">K542+1</f>
        <v>536</v>
      </c>
      <c r="L543" s="57" t="n">
        <f aca="false">IF(AND(K543&lt;=Assumptions!$C$42,L542=1,P542=0,O542&gt;Assumptions!$C$43),1,0)</f>
        <v>0</v>
      </c>
      <c r="M543" s="58" t="n">
        <f aca="false">O542</f>
        <v>8.10541678220034E-009</v>
      </c>
      <c r="N543" s="58" t="n">
        <f aca="false">IF(L543=1,M543*$B$22,0)</f>
        <v>0</v>
      </c>
      <c r="O543" s="58" t="n">
        <f aca="false">IF(L543=1,M543+N543-$B$26,M543)</f>
        <v>8.10541678220034E-009</v>
      </c>
      <c r="P543" s="56" t="n">
        <f aca="false">IF(L543=1,IF($B$26&lt;=N543,1,0),0)</f>
        <v>0</v>
      </c>
      <c r="Q543" s="58" t="n">
        <f aca="false">Q542+N543</f>
        <v>145877.630223336</v>
      </c>
      <c r="S543" s="56" t="n">
        <f aca="false">S542+1</f>
        <v>536</v>
      </c>
      <c r="T543" s="57" t="n">
        <f aca="false">IF(AND(S543&lt;=Assumptions!$C$42,T542=1,X542=0,W542&gt;Assumptions!$C$43),1,0)</f>
        <v>0</v>
      </c>
      <c r="U543" s="58" t="n">
        <f aca="false">W542</f>
        <v>-182.103705036234</v>
      </c>
      <c r="V543" s="58" t="n">
        <f aca="false">IF(T543=1,U543*$B$22,0)</f>
        <v>0</v>
      </c>
      <c r="W543" s="58" t="n">
        <f aca="false">IF(T543=1,U543+V543-$B$27,U543)</f>
        <v>-182.103705036234</v>
      </c>
      <c r="X543" s="56" t="n">
        <f aca="false">IF(T543=1,IF($B$27&lt;=V543,1,0),0)</f>
        <v>0</v>
      </c>
      <c r="Y543" s="58" t="n">
        <f aca="false">Y542+V543</f>
        <v>113000.408372882</v>
      </c>
    </row>
    <row r="544" customFormat="false" ht="15" hidden="false" customHeight="false" outlineLevel="0" collapsed="false">
      <c r="K544" s="56" t="n">
        <f aca="false">K543+1</f>
        <v>537</v>
      </c>
      <c r="L544" s="57" t="n">
        <f aca="false">IF(AND(K544&lt;=Assumptions!$C$42,L543=1,P543=0,O543&gt;Assumptions!$C$43),1,0)</f>
        <v>0</v>
      </c>
      <c r="M544" s="58" t="n">
        <f aca="false">O543</f>
        <v>8.10541678220034E-009</v>
      </c>
      <c r="N544" s="58" t="n">
        <f aca="false">IF(L544=1,M544*$B$22,0)</f>
        <v>0</v>
      </c>
      <c r="O544" s="58" t="n">
        <f aca="false">IF(L544=1,M544+N544-$B$26,M544)</f>
        <v>8.10541678220034E-009</v>
      </c>
      <c r="P544" s="56" t="n">
        <f aca="false">IF(L544=1,IF($B$26&lt;=N544,1,0),0)</f>
        <v>0</v>
      </c>
      <c r="Q544" s="58" t="n">
        <f aca="false">Q543+N544</f>
        <v>145877.630223336</v>
      </c>
      <c r="S544" s="56" t="n">
        <f aca="false">S543+1</f>
        <v>537</v>
      </c>
      <c r="T544" s="57" t="n">
        <f aca="false">IF(AND(S544&lt;=Assumptions!$C$42,T543=1,X543=0,W543&gt;Assumptions!$C$43),1,0)</f>
        <v>0</v>
      </c>
      <c r="U544" s="58" t="n">
        <f aca="false">W543</f>
        <v>-182.103705036234</v>
      </c>
      <c r="V544" s="58" t="n">
        <f aca="false">IF(T544=1,U544*$B$22,0)</f>
        <v>0</v>
      </c>
      <c r="W544" s="58" t="n">
        <f aca="false">IF(T544=1,U544+V544-$B$27,U544)</f>
        <v>-182.103705036234</v>
      </c>
      <c r="X544" s="56" t="n">
        <f aca="false">IF(T544=1,IF($B$27&lt;=V544,1,0),0)</f>
        <v>0</v>
      </c>
      <c r="Y544" s="58" t="n">
        <f aca="false">Y543+V544</f>
        <v>113000.408372882</v>
      </c>
    </row>
    <row r="545" customFormat="false" ht="15" hidden="false" customHeight="false" outlineLevel="0" collapsed="false">
      <c r="K545" s="56" t="n">
        <f aca="false">K544+1</f>
        <v>538</v>
      </c>
      <c r="L545" s="57" t="n">
        <f aca="false">IF(AND(K545&lt;=Assumptions!$C$42,L544=1,P544=0,O544&gt;Assumptions!$C$43),1,0)</f>
        <v>0</v>
      </c>
      <c r="M545" s="58" t="n">
        <f aca="false">O544</f>
        <v>8.10541678220034E-009</v>
      </c>
      <c r="N545" s="58" t="n">
        <f aca="false">IF(L545=1,M545*$B$22,0)</f>
        <v>0</v>
      </c>
      <c r="O545" s="58" t="n">
        <f aca="false">IF(L545=1,M545+N545-$B$26,M545)</f>
        <v>8.10541678220034E-009</v>
      </c>
      <c r="P545" s="56" t="n">
        <f aca="false">IF(L545=1,IF($B$26&lt;=N545,1,0),0)</f>
        <v>0</v>
      </c>
      <c r="Q545" s="58" t="n">
        <f aca="false">Q544+N545</f>
        <v>145877.630223336</v>
      </c>
      <c r="S545" s="56" t="n">
        <f aca="false">S544+1</f>
        <v>538</v>
      </c>
      <c r="T545" s="57" t="n">
        <f aca="false">IF(AND(S545&lt;=Assumptions!$C$42,T544=1,X544=0,W544&gt;Assumptions!$C$43),1,0)</f>
        <v>0</v>
      </c>
      <c r="U545" s="58" t="n">
        <f aca="false">W544</f>
        <v>-182.103705036234</v>
      </c>
      <c r="V545" s="58" t="n">
        <f aca="false">IF(T545=1,U545*$B$22,0)</f>
        <v>0</v>
      </c>
      <c r="W545" s="58" t="n">
        <f aca="false">IF(T545=1,U545+V545-$B$27,U545)</f>
        <v>-182.103705036234</v>
      </c>
      <c r="X545" s="56" t="n">
        <f aca="false">IF(T545=1,IF($B$27&lt;=V545,1,0),0)</f>
        <v>0</v>
      </c>
      <c r="Y545" s="58" t="n">
        <f aca="false">Y544+V545</f>
        <v>113000.408372882</v>
      </c>
    </row>
    <row r="546" customFormat="false" ht="15" hidden="false" customHeight="false" outlineLevel="0" collapsed="false">
      <c r="K546" s="56" t="n">
        <f aca="false">K545+1</f>
        <v>539</v>
      </c>
      <c r="L546" s="57" t="n">
        <f aca="false">IF(AND(K546&lt;=Assumptions!$C$42,L545=1,P545=0,O545&gt;Assumptions!$C$43),1,0)</f>
        <v>0</v>
      </c>
      <c r="M546" s="58" t="n">
        <f aca="false">O545</f>
        <v>8.10541678220034E-009</v>
      </c>
      <c r="N546" s="58" t="n">
        <f aca="false">IF(L546=1,M546*$B$22,0)</f>
        <v>0</v>
      </c>
      <c r="O546" s="58" t="n">
        <f aca="false">IF(L546=1,M546+N546-$B$26,M546)</f>
        <v>8.10541678220034E-009</v>
      </c>
      <c r="P546" s="56" t="n">
        <f aca="false">IF(L546=1,IF($B$26&lt;=N546,1,0),0)</f>
        <v>0</v>
      </c>
      <c r="Q546" s="58" t="n">
        <f aca="false">Q545+N546</f>
        <v>145877.630223336</v>
      </c>
      <c r="S546" s="56" t="n">
        <f aca="false">S545+1</f>
        <v>539</v>
      </c>
      <c r="T546" s="57" t="n">
        <f aca="false">IF(AND(S546&lt;=Assumptions!$C$42,T545=1,X545=0,W545&gt;Assumptions!$C$43),1,0)</f>
        <v>0</v>
      </c>
      <c r="U546" s="58" t="n">
        <f aca="false">W545</f>
        <v>-182.103705036234</v>
      </c>
      <c r="V546" s="58" t="n">
        <f aca="false">IF(T546=1,U546*$B$22,0)</f>
        <v>0</v>
      </c>
      <c r="W546" s="58" t="n">
        <f aca="false">IF(T546=1,U546+V546-$B$27,U546)</f>
        <v>-182.103705036234</v>
      </c>
      <c r="X546" s="56" t="n">
        <f aca="false">IF(T546=1,IF($B$27&lt;=V546,1,0),0)</f>
        <v>0</v>
      </c>
      <c r="Y546" s="58" t="n">
        <f aca="false">Y545+V546</f>
        <v>113000.408372882</v>
      </c>
    </row>
    <row r="547" customFormat="false" ht="15" hidden="false" customHeight="false" outlineLevel="0" collapsed="false">
      <c r="K547" s="56" t="n">
        <f aca="false">K546+1</f>
        <v>540</v>
      </c>
      <c r="L547" s="57" t="n">
        <f aca="false">IF(AND(K547&lt;=Assumptions!$C$42,L546=1,P546=0,O546&gt;Assumptions!$C$43),1,0)</f>
        <v>0</v>
      </c>
      <c r="M547" s="58" t="n">
        <f aca="false">O546</f>
        <v>8.10541678220034E-009</v>
      </c>
      <c r="N547" s="58" t="n">
        <f aca="false">IF(L547=1,M547*$B$22,0)</f>
        <v>0</v>
      </c>
      <c r="O547" s="58" t="n">
        <f aca="false">IF(L547=1,M547+N547-$B$26,M547)</f>
        <v>8.10541678220034E-009</v>
      </c>
      <c r="P547" s="56" t="n">
        <f aca="false">IF(L547=1,IF($B$26&lt;=N547,1,0),0)</f>
        <v>0</v>
      </c>
      <c r="Q547" s="58" t="n">
        <f aca="false">Q546+N547</f>
        <v>145877.630223336</v>
      </c>
      <c r="S547" s="56" t="n">
        <f aca="false">S546+1</f>
        <v>540</v>
      </c>
      <c r="T547" s="57" t="n">
        <f aca="false">IF(AND(S547&lt;=Assumptions!$C$42,T546=1,X546=0,W546&gt;Assumptions!$C$43),1,0)</f>
        <v>0</v>
      </c>
      <c r="U547" s="58" t="n">
        <f aca="false">W546</f>
        <v>-182.103705036234</v>
      </c>
      <c r="V547" s="58" t="n">
        <f aca="false">IF(T547=1,U547*$B$22,0)</f>
        <v>0</v>
      </c>
      <c r="W547" s="58" t="n">
        <f aca="false">IF(T547=1,U547+V547-$B$27,U547)</f>
        <v>-182.103705036234</v>
      </c>
      <c r="X547" s="56" t="n">
        <f aca="false">IF(T547=1,IF($B$27&lt;=V547,1,0),0)</f>
        <v>0</v>
      </c>
      <c r="Y547" s="58" t="n">
        <f aca="false">Y546+V547</f>
        <v>113000.408372882</v>
      </c>
    </row>
    <row r="548" customFormat="false" ht="15" hidden="false" customHeight="false" outlineLevel="0" collapsed="false">
      <c r="K548" s="56" t="n">
        <f aca="false">K547+1</f>
        <v>541</v>
      </c>
      <c r="L548" s="57" t="n">
        <f aca="false">IF(AND(K548&lt;=Assumptions!$C$42,L547=1,P547=0,O547&gt;Assumptions!$C$43),1,0)</f>
        <v>0</v>
      </c>
      <c r="M548" s="58" t="n">
        <f aca="false">O547</f>
        <v>8.10541678220034E-009</v>
      </c>
      <c r="N548" s="58" t="n">
        <f aca="false">IF(L548=1,M548*$B$22,0)</f>
        <v>0</v>
      </c>
      <c r="O548" s="58" t="n">
        <f aca="false">IF(L548=1,M548+N548-$B$26,M548)</f>
        <v>8.10541678220034E-009</v>
      </c>
      <c r="P548" s="56" t="n">
        <f aca="false">IF(L548=1,IF($B$26&lt;=N548,1,0),0)</f>
        <v>0</v>
      </c>
      <c r="Q548" s="58" t="n">
        <f aca="false">Q547+N548</f>
        <v>145877.630223336</v>
      </c>
      <c r="S548" s="56" t="n">
        <f aca="false">S547+1</f>
        <v>541</v>
      </c>
      <c r="T548" s="57" t="n">
        <f aca="false">IF(AND(S548&lt;=Assumptions!$C$42,T547=1,X547=0,W547&gt;Assumptions!$C$43),1,0)</f>
        <v>0</v>
      </c>
      <c r="U548" s="58" t="n">
        <f aca="false">W547</f>
        <v>-182.103705036234</v>
      </c>
      <c r="V548" s="58" t="n">
        <f aca="false">IF(T548=1,U548*$B$22,0)</f>
        <v>0</v>
      </c>
      <c r="W548" s="58" t="n">
        <f aca="false">IF(T548=1,U548+V548-$B$27,U548)</f>
        <v>-182.103705036234</v>
      </c>
      <c r="X548" s="56" t="n">
        <f aca="false">IF(T548=1,IF($B$27&lt;=V548,1,0),0)</f>
        <v>0</v>
      </c>
      <c r="Y548" s="58" t="n">
        <f aca="false">Y547+V548</f>
        <v>113000.408372882</v>
      </c>
    </row>
    <row r="549" customFormat="false" ht="15" hidden="false" customHeight="false" outlineLevel="0" collapsed="false">
      <c r="K549" s="56" t="n">
        <f aca="false">K548+1</f>
        <v>542</v>
      </c>
      <c r="L549" s="57" t="n">
        <f aca="false">IF(AND(K549&lt;=Assumptions!$C$42,L548=1,P548=0,O548&gt;Assumptions!$C$43),1,0)</f>
        <v>0</v>
      </c>
      <c r="M549" s="58" t="n">
        <f aca="false">O548</f>
        <v>8.10541678220034E-009</v>
      </c>
      <c r="N549" s="58" t="n">
        <f aca="false">IF(L549=1,M549*$B$22,0)</f>
        <v>0</v>
      </c>
      <c r="O549" s="58" t="n">
        <f aca="false">IF(L549=1,M549+N549-$B$26,M549)</f>
        <v>8.10541678220034E-009</v>
      </c>
      <c r="P549" s="56" t="n">
        <f aca="false">IF(L549=1,IF($B$26&lt;=N549,1,0),0)</f>
        <v>0</v>
      </c>
      <c r="Q549" s="58" t="n">
        <f aca="false">Q548+N549</f>
        <v>145877.630223336</v>
      </c>
      <c r="S549" s="56" t="n">
        <f aca="false">S548+1</f>
        <v>542</v>
      </c>
      <c r="T549" s="57" t="n">
        <f aca="false">IF(AND(S549&lt;=Assumptions!$C$42,T548=1,X548=0,W548&gt;Assumptions!$C$43),1,0)</f>
        <v>0</v>
      </c>
      <c r="U549" s="58" t="n">
        <f aca="false">W548</f>
        <v>-182.103705036234</v>
      </c>
      <c r="V549" s="58" t="n">
        <f aca="false">IF(T549=1,U549*$B$22,0)</f>
        <v>0</v>
      </c>
      <c r="W549" s="58" t="n">
        <f aca="false">IF(T549=1,U549+V549-$B$27,U549)</f>
        <v>-182.103705036234</v>
      </c>
      <c r="X549" s="56" t="n">
        <f aca="false">IF(T549=1,IF($B$27&lt;=V549,1,0),0)</f>
        <v>0</v>
      </c>
      <c r="Y549" s="58" t="n">
        <f aca="false">Y548+V549</f>
        <v>113000.408372882</v>
      </c>
    </row>
    <row r="550" customFormat="false" ht="15" hidden="false" customHeight="false" outlineLevel="0" collapsed="false">
      <c r="K550" s="56" t="n">
        <f aca="false">K549+1</f>
        <v>543</v>
      </c>
      <c r="L550" s="57" t="n">
        <f aca="false">IF(AND(K550&lt;=Assumptions!$C$42,L549=1,P549=0,O549&gt;Assumptions!$C$43),1,0)</f>
        <v>0</v>
      </c>
      <c r="M550" s="58" t="n">
        <f aca="false">O549</f>
        <v>8.10541678220034E-009</v>
      </c>
      <c r="N550" s="58" t="n">
        <f aca="false">IF(L550=1,M550*$B$22,0)</f>
        <v>0</v>
      </c>
      <c r="O550" s="58" t="n">
        <f aca="false">IF(L550=1,M550+N550-$B$26,M550)</f>
        <v>8.10541678220034E-009</v>
      </c>
      <c r="P550" s="56" t="n">
        <f aca="false">IF(L550=1,IF($B$26&lt;=N550,1,0),0)</f>
        <v>0</v>
      </c>
      <c r="Q550" s="58" t="n">
        <f aca="false">Q549+N550</f>
        <v>145877.630223336</v>
      </c>
      <c r="S550" s="56" t="n">
        <f aca="false">S549+1</f>
        <v>543</v>
      </c>
      <c r="T550" s="57" t="n">
        <f aca="false">IF(AND(S550&lt;=Assumptions!$C$42,T549=1,X549=0,W549&gt;Assumptions!$C$43),1,0)</f>
        <v>0</v>
      </c>
      <c r="U550" s="58" t="n">
        <f aca="false">W549</f>
        <v>-182.103705036234</v>
      </c>
      <c r="V550" s="58" t="n">
        <f aca="false">IF(T550=1,U550*$B$22,0)</f>
        <v>0</v>
      </c>
      <c r="W550" s="58" t="n">
        <f aca="false">IF(T550=1,U550+V550-$B$27,U550)</f>
        <v>-182.103705036234</v>
      </c>
      <c r="X550" s="56" t="n">
        <f aca="false">IF(T550=1,IF($B$27&lt;=V550,1,0),0)</f>
        <v>0</v>
      </c>
      <c r="Y550" s="58" t="n">
        <f aca="false">Y549+V550</f>
        <v>113000.408372882</v>
      </c>
    </row>
    <row r="551" customFormat="false" ht="15" hidden="false" customHeight="false" outlineLevel="0" collapsed="false">
      <c r="K551" s="56" t="n">
        <f aca="false">K550+1</f>
        <v>544</v>
      </c>
      <c r="L551" s="57" t="n">
        <f aca="false">IF(AND(K551&lt;=Assumptions!$C$42,L550=1,P550=0,O550&gt;Assumptions!$C$43),1,0)</f>
        <v>0</v>
      </c>
      <c r="M551" s="58" t="n">
        <f aca="false">O550</f>
        <v>8.10541678220034E-009</v>
      </c>
      <c r="N551" s="58" t="n">
        <f aca="false">IF(L551=1,M551*$B$22,0)</f>
        <v>0</v>
      </c>
      <c r="O551" s="58" t="n">
        <f aca="false">IF(L551=1,M551+N551-$B$26,M551)</f>
        <v>8.10541678220034E-009</v>
      </c>
      <c r="P551" s="56" t="n">
        <f aca="false">IF(L551=1,IF($B$26&lt;=N551,1,0),0)</f>
        <v>0</v>
      </c>
      <c r="Q551" s="58" t="n">
        <f aca="false">Q550+N551</f>
        <v>145877.630223336</v>
      </c>
      <c r="S551" s="56" t="n">
        <f aca="false">S550+1</f>
        <v>544</v>
      </c>
      <c r="T551" s="57" t="n">
        <f aca="false">IF(AND(S551&lt;=Assumptions!$C$42,T550=1,X550=0,W550&gt;Assumptions!$C$43),1,0)</f>
        <v>0</v>
      </c>
      <c r="U551" s="58" t="n">
        <f aca="false">W550</f>
        <v>-182.103705036234</v>
      </c>
      <c r="V551" s="58" t="n">
        <f aca="false">IF(T551=1,U551*$B$22,0)</f>
        <v>0</v>
      </c>
      <c r="W551" s="58" t="n">
        <f aca="false">IF(T551=1,U551+V551-$B$27,U551)</f>
        <v>-182.103705036234</v>
      </c>
      <c r="X551" s="56" t="n">
        <f aca="false">IF(T551=1,IF($B$27&lt;=V551,1,0),0)</f>
        <v>0</v>
      </c>
      <c r="Y551" s="58" t="n">
        <f aca="false">Y550+V551</f>
        <v>113000.408372882</v>
      </c>
    </row>
    <row r="552" customFormat="false" ht="15" hidden="false" customHeight="false" outlineLevel="0" collapsed="false">
      <c r="K552" s="56" t="n">
        <f aca="false">K551+1</f>
        <v>545</v>
      </c>
      <c r="L552" s="57" t="n">
        <f aca="false">IF(AND(K552&lt;=Assumptions!$C$42,L551=1,P551=0,O551&gt;Assumptions!$C$43),1,0)</f>
        <v>0</v>
      </c>
      <c r="M552" s="58" t="n">
        <f aca="false">O551</f>
        <v>8.10541678220034E-009</v>
      </c>
      <c r="N552" s="58" t="n">
        <f aca="false">IF(L552=1,M552*$B$22,0)</f>
        <v>0</v>
      </c>
      <c r="O552" s="58" t="n">
        <f aca="false">IF(L552=1,M552+N552-$B$26,M552)</f>
        <v>8.10541678220034E-009</v>
      </c>
      <c r="P552" s="56" t="n">
        <f aca="false">IF(L552=1,IF($B$26&lt;=N552,1,0),0)</f>
        <v>0</v>
      </c>
      <c r="Q552" s="58" t="n">
        <f aca="false">Q551+N552</f>
        <v>145877.630223336</v>
      </c>
      <c r="S552" s="56" t="n">
        <f aca="false">S551+1</f>
        <v>545</v>
      </c>
      <c r="T552" s="57" t="n">
        <f aca="false">IF(AND(S552&lt;=Assumptions!$C$42,T551=1,X551=0,W551&gt;Assumptions!$C$43),1,0)</f>
        <v>0</v>
      </c>
      <c r="U552" s="58" t="n">
        <f aca="false">W551</f>
        <v>-182.103705036234</v>
      </c>
      <c r="V552" s="58" t="n">
        <f aca="false">IF(T552=1,U552*$B$22,0)</f>
        <v>0</v>
      </c>
      <c r="W552" s="58" t="n">
        <f aca="false">IF(T552=1,U552+V552-$B$27,U552)</f>
        <v>-182.103705036234</v>
      </c>
      <c r="X552" s="56" t="n">
        <f aca="false">IF(T552=1,IF($B$27&lt;=V552,1,0),0)</f>
        <v>0</v>
      </c>
      <c r="Y552" s="58" t="n">
        <f aca="false">Y551+V552</f>
        <v>113000.408372882</v>
      </c>
    </row>
    <row r="553" customFormat="false" ht="15" hidden="false" customHeight="false" outlineLevel="0" collapsed="false">
      <c r="K553" s="56" t="n">
        <f aca="false">K552+1</f>
        <v>546</v>
      </c>
      <c r="L553" s="57" t="n">
        <f aca="false">IF(AND(K553&lt;=Assumptions!$C$42,L552=1,P552=0,O552&gt;Assumptions!$C$43),1,0)</f>
        <v>0</v>
      </c>
      <c r="M553" s="58" t="n">
        <f aca="false">O552</f>
        <v>8.10541678220034E-009</v>
      </c>
      <c r="N553" s="58" t="n">
        <f aca="false">IF(L553=1,M553*$B$22,0)</f>
        <v>0</v>
      </c>
      <c r="O553" s="58" t="n">
        <f aca="false">IF(L553=1,M553+N553-$B$26,M553)</f>
        <v>8.10541678220034E-009</v>
      </c>
      <c r="P553" s="56" t="n">
        <f aca="false">IF(L553=1,IF($B$26&lt;=N553,1,0),0)</f>
        <v>0</v>
      </c>
      <c r="Q553" s="58" t="n">
        <f aca="false">Q552+N553</f>
        <v>145877.630223336</v>
      </c>
      <c r="S553" s="56" t="n">
        <f aca="false">S552+1</f>
        <v>546</v>
      </c>
      <c r="T553" s="57" t="n">
        <f aca="false">IF(AND(S553&lt;=Assumptions!$C$42,T552=1,X552=0,W552&gt;Assumptions!$C$43),1,0)</f>
        <v>0</v>
      </c>
      <c r="U553" s="58" t="n">
        <f aca="false">W552</f>
        <v>-182.103705036234</v>
      </c>
      <c r="V553" s="58" t="n">
        <f aca="false">IF(T553=1,U553*$B$22,0)</f>
        <v>0</v>
      </c>
      <c r="W553" s="58" t="n">
        <f aca="false">IF(T553=1,U553+V553-$B$27,U553)</f>
        <v>-182.103705036234</v>
      </c>
      <c r="X553" s="56" t="n">
        <f aca="false">IF(T553=1,IF($B$27&lt;=V553,1,0),0)</f>
        <v>0</v>
      </c>
      <c r="Y553" s="58" t="n">
        <f aca="false">Y552+V553</f>
        <v>113000.408372882</v>
      </c>
    </row>
    <row r="554" customFormat="false" ht="15" hidden="false" customHeight="false" outlineLevel="0" collapsed="false">
      <c r="K554" s="56" t="n">
        <f aca="false">K553+1</f>
        <v>547</v>
      </c>
      <c r="L554" s="57" t="n">
        <f aca="false">IF(AND(K554&lt;=Assumptions!$C$42,L553=1,P553=0,O553&gt;Assumptions!$C$43),1,0)</f>
        <v>0</v>
      </c>
      <c r="M554" s="58" t="n">
        <f aca="false">O553</f>
        <v>8.10541678220034E-009</v>
      </c>
      <c r="N554" s="58" t="n">
        <f aca="false">IF(L554=1,M554*$B$22,0)</f>
        <v>0</v>
      </c>
      <c r="O554" s="58" t="n">
        <f aca="false">IF(L554=1,M554+N554-$B$26,M554)</f>
        <v>8.10541678220034E-009</v>
      </c>
      <c r="P554" s="56" t="n">
        <f aca="false">IF(L554=1,IF($B$26&lt;=N554,1,0),0)</f>
        <v>0</v>
      </c>
      <c r="Q554" s="58" t="n">
        <f aca="false">Q553+N554</f>
        <v>145877.630223336</v>
      </c>
      <c r="S554" s="56" t="n">
        <f aca="false">S553+1</f>
        <v>547</v>
      </c>
      <c r="T554" s="57" t="n">
        <f aca="false">IF(AND(S554&lt;=Assumptions!$C$42,T553=1,X553=0,W553&gt;Assumptions!$C$43),1,0)</f>
        <v>0</v>
      </c>
      <c r="U554" s="58" t="n">
        <f aca="false">W553</f>
        <v>-182.103705036234</v>
      </c>
      <c r="V554" s="58" t="n">
        <f aca="false">IF(T554=1,U554*$B$22,0)</f>
        <v>0</v>
      </c>
      <c r="W554" s="58" t="n">
        <f aca="false">IF(T554=1,U554+V554-$B$27,U554)</f>
        <v>-182.103705036234</v>
      </c>
      <c r="X554" s="56" t="n">
        <f aca="false">IF(T554=1,IF($B$27&lt;=V554,1,0),0)</f>
        <v>0</v>
      </c>
      <c r="Y554" s="58" t="n">
        <f aca="false">Y553+V554</f>
        <v>113000.408372882</v>
      </c>
    </row>
    <row r="555" customFormat="false" ht="15" hidden="false" customHeight="false" outlineLevel="0" collapsed="false">
      <c r="K555" s="56" t="n">
        <f aca="false">K554+1</f>
        <v>548</v>
      </c>
      <c r="L555" s="57" t="n">
        <f aca="false">IF(AND(K555&lt;=Assumptions!$C$42,L554=1,P554=0,O554&gt;Assumptions!$C$43),1,0)</f>
        <v>0</v>
      </c>
      <c r="M555" s="58" t="n">
        <f aca="false">O554</f>
        <v>8.10541678220034E-009</v>
      </c>
      <c r="N555" s="58" t="n">
        <f aca="false">IF(L555=1,M555*$B$22,0)</f>
        <v>0</v>
      </c>
      <c r="O555" s="58" t="n">
        <f aca="false">IF(L555=1,M555+N555-$B$26,M555)</f>
        <v>8.10541678220034E-009</v>
      </c>
      <c r="P555" s="56" t="n">
        <f aca="false">IF(L555=1,IF($B$26&lt;=N555,1,0),0)</f>
        <v>0</v>
      </c>
      <c r="Q555" s="58" t="n">
        <f aca="false">Q554+N555</f>
        <v>145877.630223336</v>
      </c>
      <c r="S555" s="56" t="n">
        <f aca="false">S554+1</f>
        <v>548</v>
      </c>
      <c r="T555" s="57" t="n">
        <f aca="false">IF(AND(S555&lt;=Assumptions!$C$42,T554=1,X554=0,W554&gt;Assumptions!$C$43),1,0)</f>
        <v>0</v>
      </c>
      <c r="U555" s="58" t="n">
        <f aca="false">W554</f>
        <v>-182.103705036234</v>
      </c>
      <c r="V555" s="58" t="n">
        <f aca="false">IF(T555=1,U555*$B$22,0)</f>
        <v>0</v>
      </c>
      <c r="W555" s="58" t="n">
        <f aca="false">IF(T555=1,U555+V555-$B$27,U555)</f>
        <v>-182.103705036234</v>
      </c>
      <c r="X555" s="56" t="n">
        <f aca="false">IF(T555=1,IF($B$27&lt;=V555,1,0),0)</f>
        <v>0</v>
      </c>
      <c r="Y555" s="58" t="n">
        <f aca="false">Y554+V555</f>
        <v>113000.408372882</v>
      </c>
    </row>
    <row r="556" customFormat="false" ht="15" hidden="false" customHeight="false" outlineLevel="0" collapsed="false">
      <c r="K556" s="56" t="n">
        <f aca="false">K555+1</f>
        <v>549</v>
      </c>
      <c r="L556" s="57" t="n">
        <f aca="false">IF(AND(K556&lt;=Assumptions!$C$42,L555=1,P555=0,O555&gt;Assumptions!$C$43),1,0)</f>
        <v>0</v>
      </c>
      <c r="M556" s="58" t="n">
        <f aca="false">O555</f>
        <v>8.10541678220034E-009</v>
      </c>
      <c r="N556" s="58" t="n">
        <f aca="false">IF(L556=1,M556*$B$22,0)</f>
        <v>0</v>
      </c>
      <c r="O556" s="58" t="n">
        <f aca="false">IF(L556=1,M556+N556-$B$26,M556)</f>
        <v>8.10541678220034E-009</v>
      </c>
      <c r="P556" s="56" t="n">
        <f aca="false">IF(L556=1,IF($B$26&lt;=N556,1,0),0)</f>
        <v>0</v>
      </c>
      <c r="Q556" s="58" t="n">
        <f aca="false">Q555+N556</f>
        <v>145877.630223336</v>
      </c>
      <c r="S556" s="56" t="n">
        <f aca="false">S555+1</f>
        <v>549</v>
      </c>
      <c r="T556" s="57" t="n">
        <f aca="false">IF(AND(S556&lt;=Assumptions!$C$42,T555=1,X555=0,W555&gt;Assumptions!$C$43),1,0)</f>
        <v>0</v>
      </c>
      <c r="U556" s="58" t="n">
        <f aca="false">W555</f>
        <v>-182.103705036234</v>
      </c>
      <c r="V556" s="58" t="n">
        <f aca="false">IF(T556=1,U556*$B$22,0)</f>
        <v>0</v>
      </c>
      <c r="W556" s="58" t="n">
        <f aca="false">IF(T556=1,U556+V556-$B$27,U556)</f>
        <v>-182.103705036234</v>
      </c>
      <c r="X556" s="56" t="n">
        <f aca="false">IF(T556=1,IF($B$27&lt;=V556,1,0),0)</f>
        <v>0</v>
      </c>
      <c r="Y556" s="58" t="n">
        <f aca="false">Y555+V556</f>
        <v>113000.408372882</v>
      </c>
    </row>
    <row r="557" customFormat="false" ht="15" hidden="false" customHeight="false" outlineLevel="0" collapsed="false">
      <c r="K557" s="56" t="n">
        <f aca="false">K556+1</f>
        <v>550</v>
      </c>
      <c r="L557" s="57" t="n">
        <f aca="false">IF(AND(K557&lt;=Assumptions!$C$42,L556=1,P556=0,O556&gt;Assumptions!$C$43),1,0)</f>
        <v>0</v>
      </c>
      <c r="M557" s="58" t="n">
        <f aca="false">O556</f>
        <v>8.10541678220034E-009</v>
      </c>
      <c r="N557" s="58" t="n">
        <f aca="false">IF(L557=1,M557*$B$22,0)</f>
        <v>0</v>
      </c>
      <c r="O557" s="58" t="n">
        <f aca="false">IF(L557=1,M557+N557-$B$26,M557)</f>
        <v>8.10541678220034E-009</v>
      </c>
      <c r="P557" s="56" t="n">
        <f aca="false">IF(L557=1,IF($B$26&lt;=N557,1,0),0)</f>
        <v>0</v>
      </c>
      <c r="Q557" s="58" t="n">
        <f aca="false">Q556+N557</f>
        <v>145877.630223336</v>
      </c>
      <c r="S557" s="56" t="n">
        <f aca="false">S556+1</f>
        <v>550</v>
      </c>
      <c r="T557" s="57" t="n">
        <f aca="false">IF(AND(S557&lt;=Assumptions!$C$42,T556=1,X556=0,W556&gt;Assumptions!$C$43),1,0)</f>
        <v>0</v>
      </c>
      <c r="U557" s="58" t="n">
        <f aca="false">W556</f>
        <v>-182.103705036234</v>
      </c>
      <c r="V557" s="58" t="n">
        <f aca="false">IF(T557=1,U557*$B$22,0)</f>
        <v>0</v>
      </c>
      <c r="W557" s="58" t="n">
        <f aca="false">IF(T557=1,U557+V557-$B$27,U557)</f>
        <v>-182.103705036234</v>
      </c>
      <c r="X557" s="56" t="n">
        <f aca="false">IF(T557=1,IF($B$27&lt;=V557,1,0),0)</f>
        <v>0</v>
      </c>
      <c r="Y557" s="58" t="n">
        <f aca="false">Y556+V557</f>
        <v>113000.408372882</v>
      </c>
    </row>
    <row r="558" customFormat="false" ht="15" hidden="false" customHeight="false" outlineLevel="0" collapsed="false">
      <c r="K558" s="56" t="n">
        <f aca="false">K557+1</f>
        <v>551</v>
      </c>
      <c r="L558" s="57" t="n">
        <f aca="false">IF(AND(K558&lt;=Assumptions!$C$42,L557=1,P557=0,O557&gt;Assumptions!$C$43),1,0)</f>
        <v>0</v>
      </c>
      <c r="M558" s="58" t="n">
        <f aca="false">O557</f>
        <v>8.10541678220034E-009</v>
      </c>
      <c r="N558" s="58" t="n">
        <f aca="false">IF(L558=1,M558*$B$22,0)</f>
        <v>0</v>
      </c>
      <c r="O558" s="58" t="n">
        <f aca="false">IF(L558=1,M558+N558-$B$26,M558)</f>
        <v>8.10541678220034E-009</v>
      </c>
      <c r="P558" s="56" t="n">
        <f aca="false">IF(L558=1,IF($B$26&lt;=N558,1,0),0)</f>
        <v>0</v>
      </c>
      <c r="Q558" s="58" t="n">
        <f aca="false">Q557+N558</f>
        <v>145877.630223336</v>
      </c>
      <c r="S558" s="56" t="n">
        <f aca="false">S557+1</f>
        <v>551</v>
      </c>
      <c r="T558" s="57" t="n">
        <f aca="false">IF(AND(S558&lt;=Assumptions!$C$42,T557=1,X557=0,W557&gt;Assumptions!$C$43),1,0)</f>
        <v>0</v>
      </c>
      <c r="U558" s="58" t="n">
        <f aca="false">W557</f>
        <v>-182.103705036234</v>
      </c>
      <c r="V558" s="58" t="n">
        <f aca="false">IF(T558=1,U558*$B$22,0)</f>
        <v>0</v>
      </c>
      <c r="W558" s="58" t="n">
        <f aca="false">IF(T558=1,U558+V558-$B$27,U558)</f>
        <v>-182.103705036234</v>
      </c>
      <c r="X558" s="56" t="n">
        <f aca="false">IF(T558=1,IF($B$27&lt;=V558,1,0),0)</f>
        <v>0</v>
      </c>
      <c r="Y558" s="58" t="n">
        <f aca="false">Y557+V558</f>
        <v>113000.408372882</v>
      </c>
    </row>
    <row r="559" customFormat="false" ht="15" hidden="false" customHeight="false" outlineLevel="0" collapsed="false">
      <c r="K559" s="56" t="n">
        <f aca="false">K558+1</f>
        <v>552</v>
      </c>
      <c r="L559" s="57" t="n">
        <f aca="false">IF(AND(K559&lt;=Assumptions!$C$42,L558=1,P558=0,O558&gt;Assumptions!$C$43),1,0)</f>
        <v>0</v>
      </c>
      <c r="M559" s="58" t="n">
        <f aca="false">O558</f>
        <v>8.10541678220034E-009</v>
      </c>
      <c r="N559" s="58" t="n">
        <f aca="false">IF(L559=1,M559*$B$22,0)</f>
        <v>0</v>
      </c>
      <c r="O559" s="58" t="n">
        <f aca="false">IF(L559=1,M559+N559-$B$26,M559)</f>
        <v>8.10541678220034E-009</v>
      </c>
      <c r="P559" s="56" t="n">
        <f aca="false">IF(L559=1,IF($B$26&lt;=N559,1,0),0)</f>
        <v>0</v>
      </c>
      <c r="Q559" s="58" t="n">
        <f aca="false">Q558+N559</f>
        <v>145877.630223336</v>
      </c>
      <c r="S559" s="56" t="n">
        <f aca="false">S558+1</f>
        <v>552</v>
      </c>
      <c r="T559" s="57" t="n">
        <f aca="false">IF(AND(S559&lt;=Assumptions!$C$42,T558=1,X558=0,W558&gt;Assumptions!$C$43),1,0)</f>
        <v>0</v>
      </c>
      <c r="U559" s="58" t="n">
        <f aca="false">W558</f>
        <v>-182.103705036234</v>
      </c>
      <c r="V559" s="58" t="n">
        <f aca="false">IF(T559=1,U559*$B$22,0)</f>
        <v>0</v>
      </c>
      <c r="W559" s="58" t="n">
        <f aca="false">IF(T559=1,U559+V559-$B$27,U559)</f>
        <v>-182.103705036234</v>
      </c>
      <c r="X559" s="56" t="n">
        <f aca="false">IF(T559=1,IF($B$27&lt;=V559,1,0),0)</f>
        <v>0</v>
      </c>
      <c r="Y559" s="58" t="n">
        <f aca="false">Y558+V559</f>
        <v>113000.408372882</v>
      </c>
    </row>
    <row r="560" customFormat="false" ht="15" hidden="false" customHeight="false" outlineLevel="0" collapsed="false">
      <c r="K560" s="56" t="n">
        <f aca="false">K559+1</f>
        <v>553</v>
      </c>
      <c r="L560" s="57" t="n">
        <f aca="false">IF(AND(K560&lt;=Assumptions!$C$42,L559=1,P559=0,O559&gt;Assumptions!$C$43),1,0)</f>
        <v>0</v>
      </c>
      <c r="M560" s="58" t="n">
        <f aca="false">O559</f>
        <v>8.10541678220034E-009</v>
      </c>
      <c r="N560" s="58" t="n">
        <f aca="false">IF(L560=1,M560*$B$22,0)</f>
        <v>0</v>
      </c>
      <c r="O560" s="58" t="n">
        <f aca="false">IF(L560=1,M560+N560-$B$26,M560)</f>
        <v>8.10541678220034E-009</v>
      </c>
      <c r="P560" s="56" t="n">
        <f aca="false">IF(L560=1,IF($B$26&lt;=N560,1,0),0)</f>
        <v>0</v>
      </c>
      <c r="Q560" s="58" t="n">
        <f aca="false">Q559+N560</f>
        <v>145877.630223336</v>
      </c>
      <c r="S560" s="56" t="n">
        <f aca="false">S559+1</f>
        <v>553</v>
      </c>
      <c r="T560" s="57" t="n">
        <f aca="false">IF(AND(S560&lt;=Assumptions!$C$42,T559=1,X559=0,W559&gt;Assumptions!$C$43),1,0)</f>
        <v>0</v>
      </c>
      <c r="U560" s="58" t="n">
        <f aca="false">W559</f>
        <v>-182.103705036234</v>
      </c>
      <c r="V560" s="58" t="n">
        <f aca="false">IF(T560=1,U560*$B$22,0)</f>
        <v>0</v>
      </c>
      <c r="W560" s="58" t="n">
        <f aca="false">IF(T560=1,U560+V560-$B$27,U560)</f>
        <v>-182.103705036234</v>
      </c>
      <c r="X560" s="56" t="n">
        <f aca="false">IF(T560=1,IF($B$27&lt;=V560,1,0),0)</f>
        <v>0</v>
      </c>
      <c r="Y560" s="58" t="n">
        <f aca="false">Y559+V560</f>
        <v>113000.408372882</v>
      </c>
    </row>
    <row r="561" customFormat="false" ht="15" hidden="false" customHeight="false" outlineLevel="0" collapsed="false">
      <c r="K561" s="56" t="n">
        <f aca="false">K560+1</f>
        <v>554</v>
      </c>
      <c r="L561" s="57" t="n">
        <f aca="false">IF(AND(K561&lt;=Assumptions!$C$42,L560=1,P560=0,O560&gt;Assumptions!$C$43),1,0)</f>
        <v>0</v>
      </c>
      <c r="M561" s="58" t="n">
        <f aca="false">O560</f>
        <v>8.10541678220034E-009</v>
      </c>
      <c r="N561" s="58" t="n">
        <f aca="false">IF(L561=1,M561*$B$22,0)</f>
        <v>0</v>
      </c>
      <c r="O561" s="58" t="n">
        <f aca="false">IF(L561=1,M561+N561-$B$26,M561)</f>
        <v>8.10541678220034E-009</v>
      </c>
      <c r="P561" s="56" t="n">
        <f aca="false">IF(L561=1,IF($B$26&lt;=N561,1,0),0)</f>
        <v>0</v>
      </c>
      <c r="Q561" s="58" t="n">
        <f aca="false">Q560+N561</f>
        <v>145877.630223336</v>
      </c>
      <c r="S561" s="56" t="n">
        <f aca="false">S560+1</f>
        <v>554</v>
      </c>
      <c r="T561" s="57" t="n">
        <f aca="false">IF(AND(S561&lt;=Assumptions!$C$42,T560=1,X560=0,W560&gt;Assumptions!$C$43),1,0)</f>
        <v>0</v>
      </c>
      <c r="U561" s="58" t="n">
        <f aca="false">W560</f>
        <v>-182.103705036234</v>
      </c>
      <c r="V561" s="58" t="n">
        <f aca="false">IF(T561=1,U561*$B$22,0)</f>
        <v>0</v>
      </c>
      <c r="W561" s="58" t="n">
        <f aca="false">IF(T561=1,U561+V561-$B$27,U561)</f>
        <v>-182.103705036234</v>
      </c>
      <c r="X561" s="56" t="n">
        <f aca="false">IF(T561=1,IF($B$27&lt;=V561,1,0),0)</f>
        <v>0</v>
      </c>
      <c r="Y561" s="58" t="n">
        <f aca="false">Y560+V561</f>
        <v>113000.408372882</v>
      </c>
    </row>
    <row r="562" customFormat="false" ht="15" hidden="false" customHeight="false" outlineLevel="0" collapsed="false">
      <c r="K562" s="56" t="n">
        <f aca="false">K561+1</f>
        <v>555</v>
      </c>
      <c r="L562" s="57" t="n">
        <f aca="false">IF(AND(K562&lt;=Assumptions!$C$42,L561=1,P561=0,O561&gt;Assumptions!$C$43),1,0)</f>
        <v>0</v>
      </c>
      <c r="M562" s="58" t="n">
        <f aca="false">O561</f>
        <v>8.10541678220034E-009</v>
      </c>
      <c r="N562" s="58" t="n">
        <f aca="false">IF(L562=1,M562*$B$22,0)</f>
        <v>0</v>
      </c>
      <c r="O562" s="58" t="n">
        <f aca="false">IF(L562=1,M562+N562-$B$26,M562)</f>
        <v>8.10541678220034E-009</v>
      </c>
      <c r="P562" s="56" t="n">
        <f aca="false">IF(L562=1,IF($B$26&lt;=N562,1,0),0)</f>
        <v>0</v>
      </c>
      <c r="Q562" s="58" t="n">
        <f aca="false">Q561+N562</f>
        <v>145877.630223336</v>
      </c>
      <c r="S562" s="56" t="n">
        <f aca="false">S561+1</f>
        <v>555</v>
      </c>
      <c r="T562" s="57" t="n">
        <f aca="false">IF(AND(S562&lt;=Assumptions!$C$42,T561=1,X561=0,W561&gt;Assumptions!$C$43),1,0)</f>
        <v>0</v>
      </c>
      <c r="U562" s="58" t="n">
        <f aca="false">W561</f>
        <v>-182.103705036234</v>
      </c>
      <c r="V562" s="58" t="n">
        <f aca="false">IF(T562=1,U562*$B$22,0)</f>
        <v>0</v>
      </c>
      <c r="W562" s="58" t="n">
        <f aca="false">IF(T562=1,U562+V562-$B$27,U562)</f>
        <v>-182.103705036234</v>
      </c>
      <c r="X562" s="56" t="n">
        <f aca="false">IF(T562=1,IF($B$27&lt;=V562,1,0),0)</f>
        <v>0</v>
      </c>
      <c r="Y562" s="58" t="n">
        <f aca="false">Y561+V562</f>
        <v>113000.408372882</v>
      </c>
    </row>
    <row r="563" customFormat="false" ht="15" hidden="false" customHeight="false" outlineLevel="0" collapsed="false">
      <c r="K563" s="56" t="n">
        <f aca="false">K562+1</f>
        <v>556</v>
      </c>
      <c r="L563" s="57" t="n">
        <f aca="false">IF(AND(K563&lt;=Assumptions!$C$42,L562=1,P562=0,O562&gt;Assumptions!$C$43),1,0)</f>
        <v>0</v>
      </c>
      <c r="M563" s="58" t="n">
        <f aca="false">O562</f>
        <v>8.10541678220034E-009</v>
      </c>
      <c r="N563" s="58" t="n">
        <f aca="false">IF(L563=1,M563*$B$22,0)</f>
        <v>0</v>
      </c>
      <c r="O563" s="58" t="n">
        <f aca="false">IF(L563=1,M563+N563-$B$26,M563)</f>
        <v>8.10541678220034E-009</v>
      </c>
      <c r="P563" s="56" t="n">
        <f aca="false">IF(L563=1,IF($B$26&lt;=N563,1,0),0)</f>
        <v>0</v>
      </c>
      <c r="Q563" s="58" t="n">
        <f aca="false">Q562+N563</f>
        <v>145877.630223336</v>
      </c>
      <c r="S563" s="56" t="n">
        <f aca="false">S562+1</f>
        <v>556</v>
      </c>
      <c r="T563" s="57" t="n">
        <f aca="false">IF(AND(S563&lt;=Assumptions!$C$42,T562=1,X562=0,W562&gt;Assumptions!$C$43),1,0)</f>
        <v>0</v>
      </c>
      <c r="U563" s="58" t="n">
        <f aca="false">W562</f>
        <v>-182.103705036234</v>
      </c>
      <c r="V563" s="58" t="n">
        <f aca="false">IF(T563=1,U563*$B$22,0)</f>
        <v>0</v>
      </c>
      <c r="W563" s="58" t="n">
        <f aca="false">IF(T563=1,U563+V563-$B$27,U563)</f>
        <v>-182.103705036234</v>
      </c>
      <c r="X563" s="56" t="n">
        <f aca="false">IF(T563=1,IF($B$27&lt;=V563,1,0),0)</f>
        <v>0</v>
      </c>
      <c r="Y563" s="58" t="n">
        <f aca="false">Y562+V563</f>
        <v>113000.408372882</v>
      </c>
    </row>
    <row r="564" customFormat="false" ht="15" hidden="false" customHeight="false" outlineLevel="0" collapsed="false">
      <c r="K564" s="56" t="n">
        <f aca="false">K563+1</f>
        <v>557</v>
      </c>
      <c r="L564" s="57" t="n">
        <f aca="false">IF(AND(K564&lt;=Assumptions!$C$42,L563=1,P563=0,O563&gt;Assumptions!$C$43),1,0)</f>
        <v>0</v>
      </c>
      <c r="M564" s="58" t="n">
        <f aca="false">O563</f>
        <v>8.10541678220034E-009</v>
      </c>
      <c r="N564" s="58" t="n">
        <f aca="false">IF(L564=1,M564*$B$22,0)</f>
        <v>0</v>
      </c>
      <c r="O564" s="58" t="n">
        <f aca="false">IF(L564=1,M564+N564-$B$26,M564)</f>
        <v>8.10541678220034E-009</v>
      </c>
      <c r="P564" s="56" t="n">
        <f aca="false">IF(L564=1,IF($B$26&lt;=N564,1,0),0)</f>
        <v>0</v>
      </c>
      <c r="Q564" s="58" t="n">
        <f aca="false">Q563+N564</f>
        <v>145877.630223336</v>
      </c>
      <c r="S564" s="56" t="n">
        <f aca="false">S563+1</f>
        <v>557</v>
      </c>
      <c r="T564" s="57" t="n">
        <f aca="false">IF(AND(S564&lt;=Assumptions!$C$42,T563=1,X563=0,W563&gt;Assumptions!$C$43),1,0)</f>
        <v>0</v>
      </c>
      <c r="U564" s="58" t="n">
        <f aca="false">W563</f>
        <v>-182.103705036234</v>
      </c>
      <c r="V564" s="58" t="n">
        <f aca="false">IF(T564=1,U564*$B$22,0)</f>
        <v>0</v>
      </c>
      <c r="W564" s="58" t="n">
        <f aca="false">IF(T564=1,U564+V564-$B$27,U564)</f>
        <v>-182.103705036234</v>
      </c>
      <c r="X564" s="56" t="n">
        <f aca="false">IF(T564=1,IF($B$27&lt;=V564,1,0),0)</f>
        <v>0</v>
      </c>
      <c r="Y564" s="58" t="n">
        <f aca="false">Y563+V564</f>
        <v>113000.408372882</v>
      </c>
    </row>
    <row r="565" customFormat="false" ht="15" hidden="false" customHeight="false" outlineLevel="0" collapsed="false">
      <c r="K565" s="56" t="n">
        <f aca="false">K564+1</f>
        <v>558</v>
      </c>
      <c r="L565" s="57" t="n">
        <f aca="false">IF(AND(K565&lt;=Assumptions!$C$42,L564=1,P564=0,O564&gt;Assumptions!$C$43),1,0)</f>
        <v>0</v>
      </c>
      <c r="M565" s="58" t="n">
        <f aca="false">O564</f>
        <v>8.10541678220034E-009</v>
      </c>
      <c r="N565" s="58" t="n">
        <f aca="false">IF(L565=1,M565*$B$22,0)</f>
        <v>0</v>
      </c>
      <c r="O565" s="58" t="n">
        <f aca="false">IF(L565=1,M565+N565-$B$26,M565)</f>
        <v>8.10541678220034E-009</v>
      </c>
      <c r="P565" s="56" t="n">
        <f aca="false">IF(L565=1,IF($B$26&lt;=N565,1,0),0)</f>
        <v>0</v>
      </c>
      <c r="Q565" s="58" t="n">
        <f aca="false">Q564+N565</f>
        <v>145877.630223336</v>
      </c>
      <c r="S565" s="56" t="n">
        <f aca="false">S564+1</f>
        <v>558</v>
      </c>
      <c r="T565" s="57" t="n">
        <f aca="false">IF(AND(S565&lt;=Assumptions!$C$42,T564=1,X564=0,W564&gt;Assumptions!$C$43),1,0)</f>
        <v>0</v>
      </c>
      <c r="U565" s="58" t="n">
        <f aca="false">W564</f>
        <v>-182.103705036234</v>
      </c>
      <c r="V565" s="58" t="n">
        <f aca="false">IF(T565=1,U565*$B$22,0)</f>
        <v>0</v>
      </c>
      <c r="W565" s="58" t="n">
        <f aca="false">IF(T565=1,U565+V565-$B$27,U565)</f>
        <v>-182.103705036234</v>
      </c>
      <c r="X565" s="56" t="n">
        <f aca="false">IF(T565=1,IF($B$27&lt;=V565,1,0),0)</f>
        <v>0</v>
      </c>
      <c r="Y565" s="58" t="n">
        <f aca="false">Y564+V565</f>
        <v>113000.408372882</v>
      </c>
    </row>
    <row r="566" customFormat="false" ht="15" hidden="false" customHeight="false" outlineLevel="0" collapsed="false">
      <c r="K566" s="56" t="n">
        <f aca="false">K565+1</f>
        <v>559</v>
      </c>
      <c r="L566" s="57" t="n">
        <f aca="false">IF(AND(K566&lt;=Assumptions!$C$42,L565=1,P565=0,O565&gt;Assumptions!$C$43),1,0)</f>
        <v>0</v>
      </c>
      <c r="M566" s="58" t="n">
        <f aca="false">O565</f>
        <v>8.10541678220034E-009</v>
      </c>
      <c r="N566" s="58" t="n">
        <f aca="false">IF(L566=1,M566*$B$22,0)</f>
        <v>0</v>
      </c>
      <c r="O566" s="58" t="n">
        <f aca="false">IF(L566=1,M566+N566-$B$26,M566)</f>
        <v>8.10541678220034E-009</v>
      </c>
      <c r="P566" s="56" t="n">
        <f aca="false">IF(L566=1,IF($B$26&lt;=N566,1,0),0)</f>
        <v>0</v>
      </c>
      <c r="Q566" s="58" t="n">
        <f aca="false">Q565+N566</f>
        <v>145877.630223336</v>
      </c>
      <c r="S566" s="56" t="n">
        <f aca="false">S565+1</f>
        <v>559</v>
      </c>
      <c r="T566" s="57" t="n">
        <f aca="false">IF(AND(S566&lt;=Assumptions!$C$42,T565=1,X565=0,W565&gt;Assumptions!$C$43),1,0)</f>
        <v>0</v>
      </c>
      <c r="U566" s="58" t="n">
        <f aca="false">W565</f>
        <v>-182.103705036234</v>
      </c>
      <c r="V566" s="58" t="n">
        <f aca="false">IF(T566=1,U566*$B$22,0)</f>
        <v>0</v>
      </c>
      <c r="W566" s="58" t="n">
        <f aca="false">IF(T566=1,U566+V566-$B$27,U566)</f>
        <v>-182.103705036234</v>
      </c>
      <c r="X566" s="56" t="n">
        <f aca="false">IF(T566=1,IF($B$27&lt;=V566,1,0),0)</f>
        <v>0</v>
      </c>
      <c r="Y566" s="58" t="n">
        <f aca="false">Y565+V566</f>
        <v>113000.408372882</v>
      </c>
    </row>
    <row r="567" customFormat="false" ht="15" hidden="false" customHeight="false" outlineLevel="0" collapsed="false">
      <c r="K567" s="56" t="n">
        <f aca="false">K566+1</f>
        <v>560</v>
      </c>
      <c r="L567" s="57" t="n">
        <f aca="false">IF(AND(K567&lt;=Assumptions!$C$42,L566=1,P566=0,O566&gt;Assumptions!$C$43),1,0)</f>
        <v>0</v>
      </c>
      <c r="M567" s="58" t="n">
        <f aca="false">O566</f>
        <v>8.10541678220034E-009</v>
      </c>
      <c r="N567" s="58" t="n">
        <f aca="false">IF(L567=1,M567*$B$22,0)</f>
        <v>0</v>
      </c>
      <c r="O567" s="58" t="n">
        <f aca="false">IF(L567=1,M567+N567-$B$26,M567)</f>
        <v>8.10541678220034E-009</v>
      </c>
      <c r="P567" s="56" t="n">
        <f aca="false">IF(L567=1,IF($B$26&lt;=N567,1,0),0)</f>
        <v>0</v>
      </c>
      <c r="Q567" s="58" t="n">
        <f aca="false">Q566+N567</f>
        <v>145877.630223336</v>
      </c>
      <c r="S567" s="56" t="n">
        <f aca="false">S566+1</f>
        <v>560</v>
      </c>
      <c r="T567" s="57" t="n">
        <f aca="false">IF(AND(S567&lt;=Assumptions!$C$42,T566=1,X566=0,W566&gt;Assumptions!$C$43),1,0)</f>
        <v>0</v>
      </c>
      <c r="U567" s="58" t="n">
        <f aca="false">W566</f>
        <v>-182.103705036234</v>
      </c>
      <c r="V567" s="58" t="n">
        <f aca="false">IF(T567=1,U567*$B$22,0)</f>
        <v>0</v>
      </c>
      <c r="W567" s="58" t="n">
        <f aca="false">IF(T567=1,U567+V567-$B$27,U567)</f>
        <v>-182.103705036234</v>
      </c>
      <c r="X567" s="56" t="n">
        <f aca="false">IF(T567=1,IF($B$27&lt;=V567,1,0),0)</f>
        <v>0</v>
      </c>
      <c r="Y567" s="58" t="n">
        <f aca="false">Y566+V567</f>
        <v>113000.408372882</v>
      </c>
    </row>
    <row r="568" customFormat="false" ht="15" hidden="false" customHeight="false" outlineLevel="0" collapsed="false">
      <c r="K568" s="56" t="n">
        <f aca="false">K567+1</f>
        <v>561</v>
      </c>
      <c r="L568" s="57" t="n">
        <f aca="false">IF(AND(K568&lt;=Assumptions!$C$42,L567=1,P567=0,O567&gt;Assumptions!$C$43),1,0)</f>
        <v>0</v>
      </c>
      <c r="M568" s="58" t="n">
        <f aca="false">O567</f>
        <v>8.10541678220034E-009</v>
      </c>
      <c r="N568" s="58" t="n">
        <f aca="false">IF(L568=1,M568*$B$22,0)</f>
        <v>0</v>
      </c>
      <c r="O568" s="58" t="n">
        <f aca="false">IF(L568=1,M568+N568-$B$26,M568)</f>
        <v>8.10541678220034E-009</v>
      </c>
      <c r="P568" s="56" t="n">
        <f aca="false">IF(L568=1,IF($B$26&lt;=N568,1,0),0)</f>
        <v>0</v>
      </c>
      <c r="Q568" s="58" t="n">
        <f aca="false">Q567+N568</f>
        <v>145877.630223336</v>
      </c>
      <c r="S568" s="56" t="n">
        <f aca="false">S567+1</f>
        <v>561</v>
      </c>
      <c r="T568" s="57" t="n">
        <f aca="false">IF(AND(S568&lt;=Assumptions!$C$42,T567=1,X567=0,W567&gt;Assumptions!$C$43),1,0)</f>
        <v>0</v>
      </c>
      <c r="U568" s="58" t="n">
        <f aca="false">W567</f>
        <v>-182.103705036234</v>
      </c>
      <c r="V568" s="58" t="n">
        <f aca="false">IF(T568=1,U568*$B$22,0)</f>
        <v>0</v>
      </c>
      <c r="W568" s="58" t="n">
        <f aca="false">IF(T568=1,U568+V568-$B$27,U568)</f>
        <v>-182.103705036234</v>
      </c>
      <c r="X568" s="56" t="n">
        <f aca="false">IF(T568=1,IF($B$27&lt;=V568,1,0),0)</f>
        <v>0</v>
      </c>
      <c r="Y568" s="58" t="n">
        <f aca="false">Y567+V568</f>
        <v>113000.408372882</v>
      </c>
    </row>
    <row r="569" customFormat="false" ht="15" hidden="false" customHeight="false" outlineLevel="0" collapsed="false">
      <c r="K569" s="56" t="n">
        <f aca="false">K568+1</f>
        <v>562</v>
      </c>
      <c r="L569" s="57" t="n">
        <f aca="false">IF(AND(K569&lt;=Assumptions!$C$42,L568=1,P568=0,O568&gt;Assumptions!$C$43),1,0)</f>
        <v>0</v>
      </c>
      <c r="M569" s="58" t="n">
        <f aca="false">O568</f>
        <v>8.10541678220034E-009</v>
      </c>
      <c r="N569" s="58" t="n">
        <f aca="false">IF(L569=1,M569*$B$22,0)</f>
        <v>0</v>
      </c>
      <c r="O569" s="58" t="n">
        <f aca="false">IF(L569=1,M569+N569-$B$26,M569)</f>
        <v>8.10541678220034E-009</v>
      </c>
      <c r="P569" s="56" t="n">
        <f aca="false">IF(L569=1,IF($B$26&lt;=N569,1,0),0)</f>
        <v>0</v>
      </c>
      <c r="Q569" s="58" t="n">
        <f aca="false">Q568+N569</f>
        <v>145877.630223336</v>
      </c>
      <c r="S569" s="56" t="n">
        <f aca="false">S568+1</f>
        <v>562</v>
      </c>
      <c r="T569" s="57" t="n">
        <f aca="false">IF(AND(S569&lt;=Assumptions!$C$42,T568=1,X568=0,W568&gt;Assumptions!$C$43),1,0)</f>
        <v>0</v>
      </c>
      <c r="U569" s="58" t="n">
        <f aca="false">W568</f>
        <v>-182.103705036234</v>
      </c>
      <c r="V569" s="58" t="n">
        <f aca="false">IF(T569=1,U569*$B$22,0)</f>
        <v>0</v>
      </c>
      <c r="W569" s="58" t="n">
        <f aca="false">IF(T569=1,U569+V569-$B$27,U569)</f>
        <v>-182.103705036234</v>
      </c>
      <c r="X569" s="56" t="n">
        <f aca="false">IF(T569=1,IF($B$27&lt;=V569,1,0),0)</f>
        <v>0</v>
      </c>
      <c r="Y569" s="58" t="n">
        <f aca="false">Y568+V569</f>
        <v>113000.408372882</v>
      </c>
    </row>
    <row r="570" customFormat="false" ht="15" hidden="false" customHeight="false" outlineLevel="0" collapsed="false">
      <c r="K570" s="56" t="n">
        <f aca="false">K569+1</f>
        <v>563</v>
      </c>
      <c r="L570" s="57" t="n">
        <f aca="false">IF(AND(K570&lt;=Assumptions!$C$42,L569=1,P569=0,O569&gt;Assumptions!$C$43),1,0)</f>
        <v>0</v>
      </c>
      <c r="M570" s="58" t="n">
        <f aca="false">O569</f>
        <v>8.10541678220034E-009</v>
      </c>
      <c r="N570" s="58" t="n">
        <f aca="false">IF(L570=1,M570*$B$22,0)</f>
        <v>0</v>
      </c>
      <c r="O570" s="58" t="n">
        <f aca="false">IF(L570=1,M570+N570-$B$26,M570)</f>
        <v>8.10541678220034E-009</v>
      </c>
      <c r="P570" s="56" t="n">
        <f aca="false">IF(L570=1,IF($B$26&lt;=N570,1,0),0)</f>
        <v>0</v>
      </c>
      <c r="Q570" s="58" t="n">
        <f aca="false">Q569+N570</f>
        <v>145877.630223336</v>
      </c>
      <c r="S570" s="56" t="n">
        <f aca="false">S569+1</f>
        <v>563</v>
      </c>
      <c r="T570" s="57" t="n">
        <f aca="false">IF(AND(S570&lt;=Assumptions!$C$42,T569=1,X569=0,W569&gt;Assumptions!$C$43),1,0)</f>
        <v>0</v>
      </c>
      <c r="U570" s="58" t="n">
        <f aca="false">W569</f>
        <v>-182.103705036234</v>
      </c>
      <c r="V570" s="58" t="n">
        <f aca="false">IF(T570=1,U570*$B$22,0)</f>
        <v>0</v>
      </c>
      <c r="W570" s="58" t="n">
        <f aca="false">IF(T570=1,U570+V570-$B$27,U570)</f>
        <v>-182.103705036234</v>
      </c>
      <c r="X570" s="56" t="n">
        <f aca="false">IF(T570=1,IF($B$27&lt;=V570,1,0),0)</f>
        <v>0</v>
      </c>
      <c r="Y570" s="58" t="n">
        <f aca="false">Y569+V570</f>
        <v>113000.408372882</v>
      </c>
    </row>
    <row r="571" customFormat="false" ht="15" hidden="false" customHeight="false" outlineLevel="0" collapsed="false">
      <c r="K571" s="56" t="n">
        <f aca="false">K570+1</f>
        <v>564</v>
      </c>
      <c r="L571" s="57" t="n">
        <f aca="false">IF(AND(K571&lt;=Assumptions!$C$42,L570=1,P570=0,O570&gt;Assumptions!$C$43),1,0)</f>
        <v>0</v>
      </c>
      <c r="M571" s="58" t="n">
        <f aca="false">O570</f>
        <v>8.10541678220034E-009</v>
      </c>
      <c r="N571" s="58" t="n">
        <f aca="false">IF(L571=1,M571*$B$22,0)</f>
        <v>0</v>
      </c>
      <c r="O571" s="58" t="n">
        <f aca="false">IF(L571=1,M571+N571-$B$26,M571)</f>
        <v>8.10541678220034E-009</v>
      </c>
      <c r="P571" s="56" t="n">
        <f aca="false">IF(L571=1,IF($B$26&lt;=N571,1,0),0)</f>
        <v>0</v>
      </c>
      <c r="Q571" s="58" t="n">
        <f aca="false">Q570+N571</f>
        <v>145877.630223336</v>
      </c>
      <c r="S571" s="56" t="n">
        <f aca="false">S570+1</f>
        <v>564</v>
      </c>
      <c r="T571" s="57" t="n">
        <f aca="false">IF(AND(S571&lt;=Assumptions!$C$42,T570=1,X570=0,W570&gt;Assumptions!$C$43),1,0)</f>
        <v>0</v>
      </c>
      <c r="U571" s="58" t="n">
        <f aca="false">W570</f>
        <v>-182.103705036234</v>
      </c>
      <c r="V571" s="58" t="n">
        <f aca="false">IF(T571=1,U571*$B$22,0)</f>
        <v>0</v>
      </c>
      <c r="W571" s="58" t="n">
        <f aca="false">IF(T571=1,U571+V571-$B$27,U571)</f>
        <v>-182.103705036234</v>
      </c>
      <c r="X571" s="56" t="n">
        <f aca="false">IF(T571=1,IF($B$27&lt;=V571,1,0),0)</f>
        <v>0</v>
      </c>
      <c r="Y571" s="58" t="n">
        <f aca="false">Y570+V571</f>
        <v>113000.408372882</v>
      </c>
    </row>
    <row r="572" customFormat="false" ht="15" hidden="false" customHeight="false" outlineLevel="0" collapsed="false">
      <c r="K572" s="56" t="n">
        <f aca="false">K571+1</f>
        <v>565</v>
      </c>
      <c r="L572" s="57" t="n">
        <f aca="false">IF(AND(K572&lt;=Assumptions!$C$42,L571=1,P571=0,O571&gt;Assumptions!$C$43),1,0)</f>
        <v>0</v>
      </c>
      <c r="M572" s="58" t="n">
        <f aca="false">O571</f>
        <v>8.10541678220034E-009</v>
      </c>
      <c r="N572" s="58" t="n">
        <f aca="false">IF(L572=1,M572*$B$22,0)</f>
        <v>0</v>
      </c>
      <c r="O572" s="58" t="n">
        <f aca="false">IF(L572=1,M572+N572-$B$26,M572)</f>
        <v>8.10541678220034E-009</v>
      </c>
      <c r="P572" s="56" t="n">
        <f aca="false">IF(L572=1,IF($B$26&lt;=N572,1,0),0)</f>
        <v>0</v>
      </c>
      <c r="Q572" s="58" t="n">
        <f aca="false">Q571+N572</f>
        <v>145877.630223336</v>
      </c>
      <c r="S572" s="56" t="n">
        <f aca="false">S571+1</f>
        <v>565</v>
      </c>
      <c r="T572" s="57" t="n">
        <f aca="false">IF(AND(S572&lt;=Assumptions!$C$42,T571=1,X571=0,W571&gt;Assumptions!$C$43),1,0)</f>
        <v>0</v>
      </c>
      <c r="U572" s="58" t="n">
        <f aca="false">W571</f>
        <v>-182.103705036234</v>
      </c>
      <c r="V572" s="58" t="n">
        <f aca="false">IF(T572=1,U572*$B$22,0)</f>
        <v>0</v>
      </c>
      <c r="W572" s="58" t="n">
        <f aca="false">IF(T572=1,U572+V572-$B$27,U572)</f>
        <v>-182.103705036234</v>
      </c>
      <c r="X572" s="56" t="n">
        <f aca="false">IF(T572=1,IF($B$27&lt;=V572,1,0),0)</f>
        <v>0</v>
      </c>
      <c r="Y572" s="58" t="n">
        <f aca="false">Y571+V572</f>
        <v>113000.408372882</v>
      </c>
    </row>
    <row r="573" customFormat="false" ht="15" hidden="false" customHeight="false" outlineLevel="0" collapsed="false">
      <c r="K573" s="56" t="n">
        <f aca="false">K572+1</f>
        <v>566</v>
      </c>
      <c r="L573" s="57" t="n">
        <f aca="false">IF(AND(K573&lt;=Assumptions!$C$42,L572=1,P572=0,O572&gt;Assumptions!$C$43),1,0)</f>
        <v>0</v>
      </c>
      <c r="M573" s="58" t="n">
        <f aca="false">O572</f>
        <v>8.10541678220034E-009</v>
      </c>
      <c r="N573" s="58" t="n">
        <f aca="false">IF(L573=1,M573*$B$22,0)</f>
        <v>0</v>
      </c>
      <c r="O573" s="58" t="n">
        <f aca="false">IF(L573=1,M573+N573-$B$26,M573)</f>
        <v>8.10541678220034E-009</v>
      </c>
      <c r="P573" s="56" t="n">
        <f aca="false">IF(L573=1,IF($B$26&lt;=N573,1,0),0)</f>
        <v>0</v>
      </c>
      <c r="Q573" s="58" t="n">
        <f aca="false">Q572+N573</f>
        <v>145877.630223336</v>
      </c>
      <c r="S573" s="56" t="n">
        <f aca="false">S572+1</f>
        <v>566</v>
      </c>
      <c r="T573" s="57" t="n">
        <f aca="false">IF(AND(S573&lt;=Assumptions!$C$42,T572=1,X572=0,W572&gt;Assumptions!$C$43),1,0)</f>
        <v>0</v>
      </c>
      <c r="U573" s="58" t="n">
        <f aca="false">W572</f>
        <v>-182.103705036234</v>
      </c>
      <c r="V573" s="58" t="n">
        <f aca="false">IF(T573=1,U573*$B$22,0)</f>
        <v>0</v>
      </c>
      <c r="W573" s="58" t="n">
        <f aca="false">IF(T573=1,U573+V573-$B$27,U573)</f>
        <v>-182.103705036234</v>
      </c>
      <c r="X573" s="56" t="n">
        <f aca="false">IF(T573=1,IF($B$27&lt;=V573,1,0),0)</f>
        <v>0</v>
      </c>
      <c r="Y573" s="58" t="n">
        <f aca="false">Y572+V573</f>
        <v>113000.408372882</v>
      </c>
    </row>
    <row r="574" customFormat="false" ht="15" hidden="false" customHeight="false" outlineLevel="0" collapsed="false">
      <c r="K574" s="56" t="n">
        <f aca="false">K573+1</f>
        <v>567</v>
      </c>
      <c r="L574" s="57" t="n">
        <f aca="false">IF(AND(K574&lt;=Assumptions!$C$42,L573=1,P573=0,O573&gt;Assumptions!$C$43),1,0)</f>
        <v>0</v>
      </c>
      <c r="M574" s="58" t="n">
        <f aca="false">O573</f>
        <v>8.10541678220034E-009</v>
      </c>
      <c r="N574" s="58" t="n">
        <f aca="false">IF(L574=1,M574*$B$22,0)</f>
        <v>0</v>
      </c>
      <c r="O574" s="58" t="n">
        <f aca="false">IF(L574=1,M574+N574-$B$26,M574)</f>
        <v>8.10541678220034E-009</v>
      </c>
      <c r="P574" s="56" t="n">
        <f aca="false">IF(L574=1,IF($B$26&lt;=N574,1,0),0)</f>
        <v>0</v>
      </c>
      <c r="Q574" s="58" t="n">
        <f aca="false">Q573+N574</f>
        <v>145877.630223336</v>
      </c>
      <c r="S574" s="56" t="n">
        <f aca="false">S573+1</f>
        <v>567</v>
      </c>
      <c r="T574" s="57" t="n">
        <f aca="false">IF(AND(S574&lt;=Assumptions!$C$42,T573=1,X573=0,W573&gt;Assumptions!$C$43),1,0)</f>
        <v>0</v>
      </c>
      <c r="U574" s="58" t="n">
        <f aca="false">W573</f>
        <v>-182.103705036234</v>
      </c>
      <c r="V574" s="58" t="n">
        <f aca="false">IF(T574=1,U574*$B$22,0)</f>
        <v>0</v>
      </c>
      <c r="W574" s="58" t="n">
        <f aca="false">IF(T574=1,U574+V574-$B$27,U574)</f>
        <v>-182.103705036234</v>
      </c>
      <c r="X574" s="56" t="n">
        <f aca="false">IF(T574=1,IF($B$27&lt;=V574,1,0),0)</f>
        <v>0</v>
      </c>
      <c r="Y574" s="58" t="n">
        <f aca="false">Y573+V574</f>
        <v>113000.408372882</v>
      </c>
    </row>
    <row r="575" customFormat="false" ht="15" hidden="false" customHeight="false" outlineLevel="0" collapsed="false">
      <c r="K575" s="56" t="n">
        <f aca="false">K574+1</f>
        <v>568</v>
      </c>
      <c r="L575" s="57" t="n">
        <f aca="false">IF(AND(K575&lt;=Assumptions!$C$42,L574=1,P574=0,O574&gt;Assumptions!$C$43),1,0)</f>
        <v>0</v>
      </c>
      <c r="M575" s="58" t="n">
        <f aca="false">O574</f>
        <v>8.10541678220034E-009</v>
      </c>
      <c r="N575" s="58" t="n">
        <f aca="false">IF(L575=1,M575*$B$22,0)</f>
        <v>0</v>
      </c>
      <c r="O575" s="58" t="n">
        <f aca="false">IF(L575=1,M575+N575-$B$26,M575)</f>
        <v>8.10541678220034E-009</v>
      </c>
      <c r="P575" s="56" t="n">
        <f aca="false">IF(L575=1,IF($B$26&lt;=N575,1,0),0)</f>
        <v>0</v>
      </c>
      <c r="Q575" s="58" t="n">
        <f aca="false">Q574+N575</f>
        <v>145877.630223336</v>
      </c>
      <c r="S575" s="56" t="n">
        <f aca="false">S574+1</f>
        <v>568</v>
      </c>
      <c r="T575" s="57" t="n">
        <f aca="false">IF(AND(S575&lt;=Assumptions!$C$42,T574=1,X574=0,W574&gt;Assumptions!$C$43),1,0)</f>
        <v>0</v>
      </c>
      <c r="U575" s="58" t="n">
        <f aca="false">W574</f>
        <v>-182.103705036234</v>
      </c>
      <c r="V575" s="58" t="n">
        <f aca="false">IF(T575=1,U575*$B$22,0)</f>
        <v>0</v>
      </c>
      <c r="W575" s="58" t="n">
        <f aca="false">IF(T575=1,U575+V575-$B$27,U575)</f>
        <v>-182.103705036234</v>
      </c>
      <c r="X575" s="56" t="n">
        <f aca="false">IF(T575=1,IF($B$27&lt;=V575,1,0),0)</f>
        <v>0</v>
      </c>
      <c r="Y575" s="58" t="n">
        <f aca="false">Y574+V575</f>
        <v>113000.408372882</v>
      </c>
    </row>
    <row r="576" customFormat="false" ht="15" hidden="false" customHeight="false" outlineLevel="0" collapsed="false">
      <c r="K576" s="56" t="n">
        <f aca="false">K575+1</f>
        <v>569</v>
      </c>
      <c r="L576" s="57" t="n">
        <f aca="false">IF(AND(K576&lt;=Assumptions!$C$42,L575=1,P575=0,O575&gt;Assumptions!$C$43),1,0)</f>
        <v>0</v>
      </c>
      <c r="M576" s="58" t="n">
        <f aca="false">O575</f>
        <v>8.10541678220034E-009</v>
      </c>
      <c r="N576" s="58" t="n">
        <f aca="false">IF(L576=1,M576*$B$22,0)</f>
        <v>0</v>
      </c>
      <c r="O576" s="58" t="n">
        <f aca="false">IF(L576=1,M576+N576-$B$26,M576)</f>
        <v>8.10541678220034E-009</v>
      </c>
      <c r="P576" s="56" t="n">
        <f aca="false">IF(L576=1,IF($B$26&lt;=N576,1,0),0)</f>
        <v>0</v>
      </c>
      <c r="Q576" s="58" t="n">
        <f aca="false">Q575+N576</f>
        <v>145877.630223336</v>
      </c>
      <c r="S576" s="56" t="n">
        <f aca="false">S575+1</f>
        <v>569</v>
      </c>
      <c r="T576" s="57" t="n">
        <f aca="false">IF(AND(S576&lt;=Assumptions!$C$42,T575=1,X575=0,W575&gt;Assumptions!$C$43),1,0)</f>
        <v>0</v>
      </c>
      <c r="U576" s="58" t="n">
        <f aca="false">W575</f>
        <v>-182.103705036234</v>
      </c>
      <c r="V576" s="58" t="n">
        <f aca="false">IF(T576=1,U576*$B$22,0)</f>
        <v>0</v>
      </c>
      <c r="W576" s="58" t="n">
        <f aca="false">IF(T576=1,U576+V576-$B$27,U576)</f>
        <v>-182.103705036234</v>
      </c>
      <c r="X576" s="56" t="n">
        <f aca="false">IF(T576=1,IF($B$27&lt;=V576,1,0),0)</f>
        <v>0</v>
      </c>
      <c r="Y576" s="58" t="n">
        <f aca="false">Y575+V576</f>
        <v>113000.408372882</v>
      </c>
    </row>
    <row r="577" customFormat="false" ht="15" hidden="false" customHeight="false" outlineLevel="0" collapsed="false">
      <c r="K577" s="56" t="n">
        <f aca="false">K576+1</f>
        <v>570</v>
      </c>
      <c r="L577" s="57" t="n">
        <f aca="false">IF(AND(K577&lt;=Assumptions!$C$42,L576=1,P576=0,O576&gt;Assumptions!$C$43),1,0)</f>
        <v>0</v>
      </c>
      <c r="M577" s="58" t="n">
        <f aca="false">O576</f>
        <v>8.10541678220034E-009</v>
      </c>
      <c r="N577" s="58" t="n">
        <f aca="false">IF(L577=1,M577*$B$22,0)</f>
        <v>0</v>
      </c>
      <c r="O577" s="58" t="n">
        <f aca="false">IF(L577=1,M577+N577-$B$26,M577)</f>
        <v>8.10541678220034E-009</v>
      </c>
      <c r="P577" s="56" t="n">
        <f aca="false">IF(L577=1,IF($B$26&lt;=N577,1,0),0)</f>
        <v>0</v>
      </c>
      <c r="Q577" s="58" t="n">
        <f aca="false">Q576+N577</f>
        <v>145877.630223336</v>
      </c>
      <c r="S577" s="56" t="n">
        <f aca="false">S576+1</f>
        <v>570</v>
      </c>
      <c r="T577" s="57" t="n">
        <f aca="false">IF(AND(S577&lt;=Assumptions!$C$42,T576=1,X576=0,W576&gt;Assumptions!$C$43),1,0)</f>
        <v>0</v>
      </c>
      <c r="U577" s="58" t="n">
        <f aca="false">W576</f>
        <v>-182.103705036234</v>
      </c>
      <c r="V577" s="58" t="n">
        <f aca="false">IF(T577=1,U577*$B$22,0)</f>
        <v>0</v>
      </c>
      <c r="W577" s="58" t="n">
        <f aca="false">IF(T577=1,U577+V577-$B$27,U577)</f>
        <v>-182.103705036234</v>
      </c>
      <c r="X577" s="56" t="n">
        <f aca="false">IF(T577=1,IF($B$27&lt;=V577,1,0),0)</f>
        <v>0</v>
      </c>
      <c r="Y577" s="58" t="n">
        <f aca="false">Y576+V577</f>
        <v>113000.408372882</v>
      </c>
    </row>
    <row r="578" customFormat="false" ht="15" hidden="false" customHeight="false" outlineLevel="0" collapsed="false">
      <c r="K578" s="56" t="n">
        <f aca="false">K577+1</f>
        <v>571</v>
      </c>
      <c r="L578" s="57" t="n">
        <f aca="false">IF(AND(K578&lt;=Assumptions!$C$42,L577=1,P577=0,O577&gt;Assumptions!$C$43),1,0)</f>
        <v>0</v>
      </c>
      <c r="M578" s="58" t="n">
        <f aca="false">O577</f>
        <v>8.10541678220034E-009</v>
      </c>
      <c r="N578" s="58" t="n">
        <f aca="false">IF(L578=1,M578*$B$22,0)</f>
        <v>0</v>
      </c>
      <c r="O578" s="58" t="n">
        <f aca="false">IF(L578=1,M578+N578-$B$26,M578)</f>
        <v>8.10541678220034E-009</v>
      </c>
      <c r="P578" s="56" t="n">
        <f aca="false">IF(L578=1,IF($B$26&lt;=N578,1,0),0)</f>
        <v>0</v>
      </c>
      <c r="Q578" s="58" t="n">
        <f aca="false">Q577+N578</f>
        <v>145877.630223336</v>
      </c>
      <c r="S578" s="56" t="n">
        <f aca="false">S577+1</f>
        <v>571</v>
      </c>
      <c r="T578" s="57" t="n">
        <f aca="false">IF(AND(S578&lt;=Assumptions!$C$42,T577=1,X577=0,W577&gt;Assumptions!$C$43),1,0)</f>
        <v>0</v>
      </c>
      <c r="U578" s="58" t="n">
        <f aca="false">W577</f>
        <v>-182.103705036234</v>
      </c>
      <c r="V578" s="58" t="n">
        <f aca="false">IF(T578=1,U578*$B$22,0)</f>
        <v>0</v>
      </c>
      <c r="W578" s="58" t="n">
        <f aca="false">IF(T578=1,U578+V578-$B$27,U578)</f>
        <v>-182.103705036234</v>
      </c>
      <c r="X578" s="56" t="n">
        <f aca="false">IF(T578=1,IF($B$27&lt;=V578,1,0),0)</f>
        <v>0</v>
      </c>
      <c r="Y578" s="58" t="n">
        <f aca="false">Y577+V578</f>
        <v>113000.408372882</v>
      </c>
    </row>
    <row r="579" customFormat="false" ht="15" hidden="false" customHeight="false" outlineLevel="0" collapsed="false">
      <c r="K579" s="56" t="n">
        <f aca="false">K578+1</f>
        <v>572</v>
      </c>
      <c r="L579" s="57" t="n">
        <f aca="false">IF(AND(K579&lt;=Assumptions!$C$42,L578=1,P578=0,O578&gt;Assumptions!$C$43),1,0)</f>
        <v>0</v>
      </c>
      <c r="M579" s="58" t="n">
        <f aca="false">O578</f>
        <v>8.10541678220034E-009</v>
      </c>
      <c r="N579" s="58" t="n">
        <f aca="false">IF(L579=1,M579*$B$22,0)</f>
        <v>0</v>
      </c>
      <c r="O579" s="58" t="n">
        <f aca="false">IF(L579=1,M579+N579-$B$26,M579)</f>
        <v>8.10541678220034E-009</v>
      </c>
      <c r="P579" s="56" t="n">
        <f aca="false">IF(L579=1,IF($B$26&lt;=N579,1,0),0)</f>
        <v>0</v>
      </c>
      <c r="Q579" s="58" t="n">
        <f aca="false">Q578+N579</f>
        <v>145877.630223336</v>
      </c>
      <c r="S579" s="56" t="n">
        <f aca="false">S578+1</f>
        <v>572</v>
      </c>
      <c r="T579" s="57" t="n">
        <f aca="false">IF(AND(S579&lt;=Assumptions!$C$42,T578=1,X578=0,W578&gt;Assumptions!$C$43),1,0)</f>
        <v>0</v>
      </c>
      <c r="U579" s="58" t="n">
        <f aca="false">W578</f>
        <v>-182.103705036234</v>
      </c>
      <c r="V579" s="58" t="n">
        <f aca="false">IF(T579=1,U579*$B$22,0)</f>
        <v>0</v>
      </c>
      <c r="W579" s="58" t="n">
        <f aca="false">IF(T579=1,U579+V579-$B$27,U579)</f>
        <v>-182.103705036234</v>
      </c>
      <c r="X579" s="56" t="n">
        <f aca="false">IF(T579=1,IF($B$27&lt;=V579,1,0),0)</f>
        <v>0</v>
      </c>
      <c r="Y579" s="58" t="n">
        <f aca="false">Y578+V579</f>
        <v>113000.408372882</v>
      </c>
    </row>
    <row r="580" customFormat="false" ht="15" hidden="false" customHeight="false" outlineLevel="0" collapsed="false">
      <c r="K580" s="56" t="n">
        <f aca="false">K579+1</f>
        <v>573</v>
      </c>
      <c r="L580" s="57" t="n">
        <f aca="false">IF(AND(K580&lt;=Assumptions!$C$42,L579=1,P579=0,O579&gt;Assumptions!$C$43),1,0)</f>
        <v>0</v>
      </c>
      <c r="M580" s="58" t="n">
        <f aca="false">O579</f>
        <v>8.10541678220034E-009</v>
      </c>
      <c r="N580" s="58" t="n">
        <f aca="false">IF(L580=1,M580*$B$22,0)</f>
        <v>0</v>
      </c>
      <c r="O580" s="58" t="n">
        <f aca="false">IF(L580=1,M580+N580-$B$26,M580)</f>
        <v>8.10541678220034E-009</v>
      </c>
      <c r="P580" s="56" t="n">
        <f aca="false">IF(L580=1,IF($B$26&lt;=N580,1,0),0)</f>
        <v>0</v>
      </c>
      <c r="Q580" s="58" t="n">
        <f aca="false">Q579+N580</f>
        <v>145877.630223336</v>
      </c>
      <c r="S580" s="56" t="n">
        <f aca="false">S579+1</f>
        <v>573</v>
      </c>
      <c r="T580" s="57" t="n">
        <f aca="false">IF(AND(S580&lt;=Assumptions!$C$42,T579=1,X579=0,W579&gt;Assumptions!$C$43),1,0)</f>
        <v>0</v>
      </c>
      <c r="U580" s="58" t="n">
        <f aca="false">W579</f>
        <v>-182.103705036234</v>
      </c>
      <c r="V580" s="58" t="n">
        <f aca="false">IF(T580=1,U580*$B$22,0)</f>
        <v>0</v>
      </c>
      <c r="W580" s="58" t="n">
        <f aca="false">IF(T580=1,U580+V580-$B$27,U580)</f>
        <v>-182.103705036234</v>
      </c>
      <c r="X580" s="56" t="n">
        <f aca="false">IF(T580=1,IF($B$27&lt;=V580,1,0),0)</f>
        <v>0</v>
      </c>
      <c r="Y580" s="58" t="n">
        <f aca="false">Y579+V580</f>
        <v>113000.408372882</v>
      </c>
    </row>
    <row r="581" customFormat="false" ht="15" hidden="false" customHeight="false" outlineLevel="0" collapsed="false">
      <c r="K581" s="56" t="n">
        <f aca="false">K580+1</f>
        <v>574</v>
      </c>
      <c r="L581" s="57" t="n">
        <f aca="false">IF(AND(K581&lt;=Assumptions!$C$42,L580=1,P580=0,O580&gt;Assumptions!$C$43),1,0)</f>
        <v>0</v>
      </c>
      <c r="M581" s="58" t="n">
        <f aca="false">O580</f>
        <v>8.10541678220034E-009</v>
      </c>
      <c r="N581" s="58" t="n">
        <f aca="false">IF(L581=1,M581*$B$22,0)</f>
        <v>0</v>
      </c>
      <c r="O581" s="58" t="n">
        <f aca="false">IF(L581=1,M581+N581-$B$26,M581)</f>
        <v>8.10541678220034E-009</v>
      </c>
      <c r="P581" s="56" t="n">
        <f aca="false">IF(L581=1,IF($B$26&lt;=N581,1,0),0)</f>
        <v>0</v>
      </c>
      <c r="Q581" s="58" t="n">
        <f aca="false">Q580+N581</f>
        <v>145877.630223336</v>
      </c>
      <c r="S581" s="56" t="n">
        <f aca="false">S580+1</f>
        <v>574</v>
      </c>
      <c r="T581" s="57" t="n">
        <f aca="false">IF(AND(S581&lt;=Assumptions!$C$42,T580=1,X580=0,W580&gt;Assumptions!$C$43),1,0)</f>
        <v>0</v>
      </c>
      <c r="U581" s="58" t="n">
        <f aca="false">W580</f>
        <v>-182.103705036234</v>
      </c>
      <c r="V581" s="58" t="n">
        <f aca="false">IF(T581=1,U581*$B$22,0)</f>
        <v>0</v>
      </c>
      <c r="W581" s="58" t="n">
        <f aca="false">IF(T581=1,U581+V581-$B$27,U581)</f>
        <v>-182.103705036234</v>
      </c>
      <c r="X581" s="56" t="n">
        <f aca="false">IF(T581=1,IF($B$27&lt;=V581,1,0),0)</f>
        <v>0</v>
      </c>
      <c r="Y581" s="58" t="n">
        <f aca="false">Y580+V581</f>
        <v>113000.408372882</v>
      </c>
    </row>
    <row r="582" customFormat="false" ht="15" hidden="false" customHeight="false" outlineLevel="0" collapsed="false">
      <c r="K582" s="56" t="n">
        <f aca="false">K581+1</f>
        <v>575</v>
      </c>
      <c r="L582" s="57" t="n">
        <f aca="false">IF(AND(K582&lt;=Assumptions!$C$42,L581=1,P581=0,O581&gt;Assumptions!$C$43),1,0)</f>
        <v>0</v>
      </c>
      <c r="M582" s="58" t="n">
        <f aca="false">O581</f>
        <v>8.10541678220034E-009</v>
      </c>
      <c r="N582" s="58" t="n">
        <f aca="false">IF(L582=1,M582*$B$22,0)</f>
        <v>0</v>
      </c>
      <c r="O582" s="58" t="n">
        <f aca="false">IF(L582=1,M582+N582-$B$26,M582)</f>
        <v>8.10541678220034E-009</v>
      </c>
      <c r="P582" s="56" t="n">
        <f aca="false">IF(L582=1,IF($B$26&lt;=N582,1,0),0)</f>
        <v>0</v>
      </c>
      <c r="Q582" s="58" t="n">
        <f aca="false">Q581+N582</f>
        <v>145877.630223336</v>
      </c>
      <c r="S582" s="56" t="n">
        <f aca="false">S581+1</f>
        <v>575</v>
      </c>
      <c r="T582" s="57" t="n">
        <f aca="false">IF(AND(S582&lt;=Assumptions!$C$42,T581=1,X581=0,W581&gt;Assumptions!$C$43),1,0)</f>
        <v>0</v>
      </c>
      <c r="U582" s="58" t="n">
        <f aca="false">W581</f>
        <v>-182.103705036234</v>
      </c>
      <c r="V582" s="58" t="n">
        <f aca="false">IF(T582=1,U582*$B$22,0)</f>
        <v>0</v>
      </c>
      <c r="W582" s="58" t="n">
        <f aca="false">IF(T582=1,U582+V582-$B$27,U582)</f>
        <v>-182.103705036234</v>
      </c>
      <c r="X582" s="56" t="n">
        <f aca="false">IF(T582=1,IF($B$27&lt;=V582,1,0),0)</f>
        <v>0</v>
      </c>
      <c r="Y582" s="58" t="n">
        <f aca="false">Y581+V582</f>
        <v>113000.408372882</v>
      </c>
    </row>
    <row r="583" customFormat="false" ht="15" hidden="false" customHeight="false" outlineLevel="0" collapsed="false">
      <c r="K583" s="56" t="n">
        <f aca="false">K582+1</f>
        <v>576</v>
      </c>
      <c r="L583" s="57" t="n">
        <f aca="false">IF(AND(K583&lt;=Assumptions!$C$42,L582=1,P582=0,O582&gt;Assumptions!$C$43),1,0)</f>
        <v>0</v>
      </c>
      <c r="M583" s="58" t="n">
        <f aca="false">O582</f>
        <v>8.10541678220034E-009</v>
      </c>
      <c r="N583" s="58" t="n">
        <f aca="false">IF(L583=1,M583*$B$22,0)</f>
        <v>0</v>
      </c>
      <c r="O583" s="58" t="n">
        <f aca="false">IF(L583=1,M583+N583-$B$26,M583)</f>
        <v>8.10541678220034E-009</v>
      </c>
      <c r="P583" s="56" t="n">
        <f aca="false">IF(L583=1,IF($B$26&lt;=N583,1,0),0)</f>
        <v>0</v>
      </c>
      <c r="Q583" s="58" t="n">
        <f aca="false">Q582+N583</f>
        <v>145877.630223336</v>
      </c>
      <c r="S583" s="56" t="n">
        <f aca="false">S582+1</f>
        <v>576</v>
      </c>
      <c r="T583" s="57" t="n">
        <f aca="false">IF(AND(S583&lt;=Assumptions!$C$42,T582=1,X582=0,W582&gt;Assumptions!$C$43),1,0)</f>
        <v>0</v>
      </c>
      <c r="U583" s="58" t="n">
        <f aca="false">W582</f>
        <v>-182.103705036234</v>
      </c>
      <c r="V583" s="58" t="n">
        <f aca="false">IF(T583=1,U583*$B$22,0)</f>
        <v>0</v>
      </c>
      <c r="W583" s="58" t="n">
        <f aca="false">IF(T583=1,U583+V583-$B$27,U583)</f>
        <v>-182.103705036234</v>
      </c>
      <c r="X583" s="56" t="n">
        <f aca="false">IF(T583=1,IF($B$27&lt;=V583,1,0),0)</f>
        <v>0</v>
      </c>
      <c r="Y583" s="58" t="n">
        <f aca="false">Y582+V583</f>
        <v>113000.408372882</v>
      </c>
    </row>
    <row r="584" customFormat="false" ht="15" hidden="false" customHeight="false" outlineLevel="0" collapsed="false">
      <c r="K584" s="56" t="n">
        <f aca="false">K583+1</f>
        <v>577</v>
      </c>
      <c r="L584" s="57" t="n">
        <f aca="false">IF(AND(K584&lt;=Assumptions!$C$42,L583=1,P583=0,O583&gt;Assumptions!$C$43),1,0)</f>
        <v>0</v>
      </c>
      <c r="M584" s="58" t="n">
        <f aca="false">O583</f>
        <v>8.10541678220034E-009</v>
      </c>
      <c r="N584" s="58" t="n">
        <f aca="false">IF(L584=1,M584*$B$22,0)</f>
        <v>0</v>
      </c>
      <c r="O584" s="58" t="n">
        <f aca="false">IF(L584=1,M584+N584-$B$26,M584)</f>
        <v>8.10541678220034E-009</v>
      </c>
      <c r="P584" s="56" t="n">
        <f aca="false">IF(L584=1,IF($B$26&lt;=N584,1,0),0)</f>
        <v>0</v>
      </c>
      <c r="Q584" s="58" t="n">
        <f aca="false">Q583+N584</f>
        <v>145877.630223336</v>
      </c>
      <c r="S584" s="56" t="n">
        <f aca="false">S583+1</f>
        <v>577</v>
      </c>
      <c r="T584" s="57" t="n">
        <f aca="false">IF(AND(S584&lt;=Assumptions!$C$42,T583=1,X583=0,W583&gt;Assumptions!$C$43),1,0)</f>
        <v>0</v>
      </c>
      <c r="U584" s="58" t="n">
        <f aca="false">W583</f>
        <v>-182.103705036234</v>
      </c>
      <c r="V584" s="58" t="n">
        <f aca="false">IF(T584=1,U584*$B$22,0)</f>
        <v>0</v>
      </c>
      <c r="W584" s="58" t="n">
        <f aca="false">IF(T584=1,U584+V584-$B$27,U584)</f>
        <v>-182.103705036234</v>
      </c>
      <c r="X584" s="56" t="n">
        <f aca="false">IF(T584=1,IF($B$27&lt;=V584,1,0),0)</f>
        <v>0</v>
      </c>
      <c r="Y584" s="58" t="n">
        <f aca="false">Y583+V584</f>
        <v>113000.408372882</v>
      </c>
    </row>
    <row r="585" customFormat="false" ht="15" hidden="false" customHeight="false" outlineLevel="0" collapsed="false">
      <c r="K585" s="56" t="n">
        <f aca="false">K584+1</f>
        <v>578</v>
      </c>
      <c r="L585" s="57" t="n">
        <f aca="false">IF(AND(K585&lt;=Assumptions!$C$42,L584=1,P584=0,O584&gt;Assumptions!$C$43),1,0)</f>
        <v>0</v>
      </c>
      <c r="M585" s="58" t="n">
        <f aca="false">O584</f>
        <v>8.10541678220034E-009</v>
      </c>
      <c r="N585" s="58" t="n">
        <f aca="false">IF(L585=1,M585*$B$22,0)</f>
        <v>0</v>
      </c>
      <c r="O585" s="58" t="n">
        <f aca="false">IF(L585=1,M585+N585-$B$26,M585)</f>
        <v>8.10541678220034E-009</v>
      </c>
      <c r="P585" s="56" t="n">
        <f aca="false">IF(L585=1,IF($B$26&lt;=N585,1,0),0)</f>
        <v>0</v>
      </c>
      <c r="Q585" s="58" t="n">
        <f aca="false">Q584+N585</f>
        <v>145877.630223336</v>
      </c>
      <c r="S585" s="56" t="n">
        <f aca="false">S584+1</f>
        <v>578</v>
      </c>
      <c r="T585" s="57" t="n">
        <f aca="false">IF(AND(S585&lt;=Assumptions!$C$42,T584=1,X584=0,W584&gt;Assumptions!$C$43),1,0)</f>
        <v>0</v>
      </c>
      <c r="U585" s="58" t="n">
        <f aca="false">W584</f>
        <v>-182.103705036234</v>
      </c>
      <c r="V585" s="58" t="n">
        <f aca="false">IF(T585=1,U585*$B$22,0)</f>
        <v>0</v>
      </c>
      <c r="W585" s="58" t="n">
        <f aca="false">IF(T585=1,U585+V585-$B$27,U585)</f>
        <v>-182.103705036234</v>
      </c>
      <c r="X585" s="56" t="n">
        <f aca="false">IF(T585=1,IF($B$27&lt;=V585,1,0),0)</f>
        <v>0</v>
      </c>
      <c r="Y585" s="58" t="n">
        <f aca="false">Y584+V585</f>
        <v>113000.408372882</v>
      </c>
    </row>
    <row r="586" customFormat="false" ht="15" hidden="false" customHeight="false" outlineLevel="0" collapsed="false">
      <c r="K586" s="56" t="n">
        <f aca="false">K585+1</f>
        <v>579</v>
      </c>
      <c r="L586" s="57" t="n">
        <f aca="false">IF(AND(K586&lt;=Assumptions!$C$42,L585=1,P585=0,O585&gt;Assumptions!$C$43),1,0)</f>
        <v>0</v>
      </c>
      <c r="M586" s="58" t="n">
        <f aca="false">O585</f>
        <v>8.10541678220034E-009</v>
      </c>
      <c r="N586" s="58" t="n">
        <f aca="false">IF(L586=1,M586*$B$22,0)</f>
        <v>0</v>
      </c>
      <c r="O586" s="58" t="n">
        <f aca="false">IF(L586=1,M586+N586-$B$26,M586)</f>
        <v>8.10541678220034E-009</v>
      </c>
      <c r="P586" s="56" t="n">
        <f aca="false">IF(L586=1,IF($B$26&lt;=N586,1,0),0)</f>
        <v>0</v>
      </c>
      <c r="Q586" s="58" t="n">
        <f aca="false">Q585+N586</f>
        <v>145877.630223336</v>
      </c>
      <c r="S586" s="56" t="n">
        <f aca="false">S585+1</f>
        <v>579</v>
      </c>
      <c r="T586" s="57" t="n">
        <f aca="false">IF(AND(S586&lt;=Assumptions!$C$42,T585=1,X585=0,W585&gt;Assumptions!$C$43),1,0)</f>
        <v>0</v>
      </c>
      <c r="U586" s="58" t="n">
        <f aca="false">W585</f>
        <v>-182.103705036234</v>
      </c>
      <c r="V586" s="58" t="n">
        <f aca="false">IF(T586=1,U586*$B$22,0)</f>
        <v>0</v>
      </c>
      <c r="W586" s="58" t="n">
        <f aca="false">IF(T586=1,U586+V586-$B$27,U586)</f>
        <v>-182.103705036234</v>
      </c>
      <c r="X586" s="56" t="n">
        <f aca="false">IF(T586=1,IF($B$27&lt;=V586,1,0),0)</f>
        <v>0</v>
      </c>
      <c r="Y586" s="58" t="n">
        <f aca="false">Y585+V586</f>
        <v>113000.408372882</v>
      </c>
    </row>
    <row r="587" customFormat="false" ht="15" hidden="false" customHeight="false" outlineLevel="0" collapsed="false">
      <c r="K587" s="56" t="n">
        <f aca="false">K586+1</f>
        <v>580</v>
      </c>
      <c r="L587" s="57" t="n">
        <f aca="false">IF(AND(K587&lt;=Assumptions!$C$42,L586=1,P586=0,O586&gt;Assumptions!$C$43),1,0)</f>
        <v>0</v>
      </c>
      <c r="M587" s="58" t="n">
        <f aca="false">O586</f>
        <v>8.10541678220034E-009</v>
      </c>
      <c r="N587" s="58" t="n">
        <f aca="false">IF(L587=1,M587*$B$22,0)</f>
        <v>0</v>
      </c>
      <c r="O587" s="58" t="n">
        <f aca="false">IF(L587=1,M587+N587-$B$26,M587)</f>
        <v>8.10541678220034E-009</v>
      </c>
      <c r="P587" s="56" t="n">
        <f aca="false">IF(L587=1,IF($B$26&lt;=N587,1,0),0)</f>
        <v>0</v>
      </c>
      <c r="Q587" s="58" t="n">
        <f aca="false">Q586+N587</f>
        <v>145877.630223336</v>
      </c>
      <c r="S587" s="56" t="n">
        <f aca="false">S586+1</f>
        <v>580</v>
      </c>
      <c r="T587" s="57" t="n">
        <f aca="false">IF(AND(S587&lt;=Assumptions!$C$42,T586=1,X586=0,W586&gt;Assumptions!$C$43),1,0)</f>
        <v>0</v>
      </c>
      <c r="U587" s="58" t="n">
        <f aca="false">W586</f>
        <v>-182.103705036234</v>
      </c>
      <c r="V587" s="58" t="n">
        <f aca="false">IF(T587=1,U587*$B$22,0)</f>
        <v>0</v>
      </c>
      <c r="W587" s="58" t="n">
        <f aca="false">IF(T587=1,U587+V587-$B$27,U587)</f>
        <v>-182.103705036234</v>
      </c>
      <c r="X587" s="56" t="n">
        <f aca="false">IF(T587=1,IF($B$27&lt;=V587,1,0),0)</f>
        <v>0</v>
      </c>
      <c r="Y587" s="58" t="n">
        <f aca="false">Y586+V587</f>
        <v>113000.408372882</v>
      </c>
    </row>
    <row r="588" customFormat="false" ht="15" hidden="false" customHeight="false" outlineLevel="0" collapsed="false">
      <c r="K588" s="56" t="n">
        <f aca="false">K587+1</f>
        <v>581</v>
      </c>
      <c r="L588" s="57" t="n">
        <f aca="false">IF(AND(K588&lt;=Assumptions!$C$42,L587=1,P587=0,O587&gt;Assumptions!$C$43),1,0)</f>
        <v>0</v>
      </c>
      <c r="M588" s="58" t="n">
        <f aca="false">O587</f>
        <v>8.10541678220034E-009</v>
      </c>
      <c r="N588" s="58" t="n">
        <f aca="false">IF(L588=1,M588*$B$22,0)</f>
        <v>0</v>
      </c>
      <c r="O588" s="58" t="n">
        <f aca="false">IF(L588=1,M588+N588-$B$26,M588)</f>
        <v>8.10541678220034E-009</v>
      </c>
      <c r="P588" s="56" t="n">
        <f aca="false">IF(L588=1,IF($B$26&lt;=N588,1,0),0)</f>
        <v>0</v>
      </c>
      <c r="Q588" s="58" t="n">
        <f aca="false">Q587+N588</f>
        <v>145877.630223336</v>
      </c>
      <c r="S588" s="56" t="n">
        <f aca="false">S587+1</f>
        <v>581</v>
      </c>
      <c r="T588" s="57" t="n">
        <f aca="false">IF(AND(S588&lt;=Assumptions!$C$42,T587=1,X587=0,W587&gt;Assumptions!$C$43),1,0)</f>
        <v>0</v>
      </c>
      <c r="U588" s="58" t="n">
        <f aca="false">W587</f>
        <v>-182.103705036234</v>
      </c>
      <c r="V588" s="58" t="n">
        <f aca="false">IF(T588=1,U588*$B$22,0)</f>
        <v>0</v>
      </c>
      <c r="W588" s="58" t="n">
        <f aca="false">IF(T588=1,U588+V588-$B$27,U588)</f>
        <v>-182.103705036234</v>
      </c>
      <c r="X588" s="56" t="n">
        <f aca="false">IF(T588=1,IF($B$27&lt;=V588,1,0),0)</f>
        <v>0</v>
      </c>
      <c r="Y588" s="58" t="n">
        <f aca="false">Y587+V588</f>
        <v>113000.408372882</v>
      </c>
    </row>
    <row r="589" customFormat="false" ht="15" hidden="false" customHeight="false" outlineLevel="0" collapsed="false">
      <c r="K589" s="56" t="n">
        <f aca="false">K588+1</f>
        <v>582</v>
      </c>
      <c r="L589" s="57" t="n">
        <f aca="false">IF(AND(K589&lt;=Assumptions!$C$42,L588=1,P588=0,O588&gt;Assumptions!$C$43),1,0)</f>
        <v>0</v>
      </c>
      <c r="M589" s="58" t="n">
        <f aca="false">O588</f>
        <v>8.10541678220034E-009</v>
      </c>
      <c r="N589" s="58" t="n">
        <f aca="false">IF(L589=1,M589*$B$22,0)</f>
        <v>0</v>
      </c>
      <c r="O589" s="58" t="n">
        <f aca="false">IF(L589=1,M589+N589-$B$26,M589)</f>
        <v>8.10541678220034E-009</v>
      </c>
      <c r="P589" s="56" t="n">
        <f aca="false">IF(L589=1,IF($B$26&lt;=N589,1,0),0)</f>
        <v>0</v>
      </c>
      <c r="Q589" s="58" t="n">
        <f aca="false">Q588+N589</f>
        <v>145877.630223336</v>
      </c>
      <c r="S589" s="56" t="n">
        <f aca="false">S588+1</f>
        <v>582</v>
      </c>
      <c r="T589" s="57" t="n">
        <f aca="false">IF(AND(S589&lt;=Assumptions!$C$42,T588=1,X588=0,W588&gt;Assumptions!$C$43),1,0)</f>
        <v>0</v>
      </c>
      <c r="U589" s="58" t="n">
        <f aca="false">W588</f>
        <v>-182.103705036234</v>
      </c>
      <c r="V589" s="58" t="n">
        <f aca="false">IF(T589=1,U589*$B$22,0)</f>
        <v>0</v>
      </c>
      <c r="W589" s="58" t="n">
        <f aca="false">IF(T589=1,U589+V589-$B$27,U589)</f>
        <v>-182.103705036234</v>
      </c>
      <c r="X589" s="56" t="n">
        <f aca="false">IF(T589=1,IF($B$27&lt;=V589,1,0),0)</f>
        <v>0</v>
      </c>
      <c r="Y589" s="58" t="n">
        <f aca="false">Y588+V589</f>
        <v>113000.408372882</v>
      </c>
    </row>
    <row r="590" customFormat="false" ht="15" hidden="false" customHeight="false" outlineLevel="0" collapsed="false">
      <c r="K590" s="56" t="n">
        <f aca="false">K589+1</f>
        <v>583</v>
      </c>
      <c r="L590" s="57" t="n">
        <f aca="false">IF(AND(K590&lt;=Assumptions!$C$42,L589=1,P589=0,O589&gt;Assumptions!$C$43),1,0)</f>
        <v>0</v>
      </c>
      <c r="M590" s="58" t="n">
        <f aca="false">O589</f>
        <v>8.10541678220034E-009</v>
      </c>
      <c r="N590" s="58" t="n">
        <f aca="false">IF(L590=1,M590*$B$22,0)</f>
        <v>0</v>
      </c>
      <c r="O590" s="58" t="n">
        <f aca="false">IF(L590=1,M590+N590-$B$26,M590)</f>
        <v>8.10541678220034E-009</v>
      </c>
      <c r="P590" s="56" t="n">
        <f aca="false">IF(L590=1,IF($B$26&lt;=N590,1,0),0)</f>
        <v>0</v>
      </c>
      <c r="Q590" s="58" t="n">
        <f aca="false">Q589+N590</f>
        <v>145877.630223336</v>
      </c>
      <c r="S590" s="56" t="n">
        <f aca="false">S589+1</f>
        <v>583</v>
      </c>
      <c r="T590" s="57" t="n">
        <f aca="false">IF(AND(S590&lt;=Assumptions!$C$42,T589=1,X589=0,W589&gt;Assumptions!$C$43),1,0)</f>
        <v>0</v>
      </c>
      <c r="U590" s="58" t="n">
        <f aca="false">W589</f>
        <v>-182.103705036234</v>
      </c>
      <c r="V590" s="58" t="n">
        <f aca="false">IF(T590=1,U590*$B$22,0)</f>
        <v>0</v>
      </c>
      <c r="W590" s="58" t="n">
        <f aca="false">IF(T590=1,U590+V590-$B$27,U590)</f>
        <v>-182.103705036234</v>
      </c>
      <c r="X590" s="56" t="n">
        <f aca="false">IF(T590=1,IF($B$27&lt;=V590,1,0),0)</f>
        <v>0</v>
      </c>
      <c r="Y590" s="58" t="n">
        <f aca="false">Y589+V590</f>
        <v>113000.408372882</v>
      </c>
    </row>
    <row r="591" customFormat="false" ht="15" hidden="false" customHeight="false" outlineLevel="0" collapsed="false">
      <c r="K591" s="56" t="n">
        <f aca="false">K590+1</f>
        <v>584</v>
      </c>
      <c r="L591" s="57" t="n">
        <f aca="false">IF(AND(K591&lt;=Assumptions!$C$42,L590=1,P590=0,O590&gt;Assumptions!$C$43),1,0)</f>
        <v>0</v>
      </c>
      <c r="M591" s="58" t="n">
        <f aca="false">O590</f>
        <v>8.10541678220034E-009</v>
      </c>
      <c r="N591" s="58" t="n">
        <f aca="false">IF(L591=1,M591*$B$22,0)</f>
        <v>0</v>
      </c>
      <c r="O591" s="58" t="n">
        <f aca="false">IF(L591=1,M591+N591-$B$26,M591)</f>
        <v>8.10541678220034E-009</v>
      </c>
      <c r="P591" s="56" t="n">
        <f aca="false">IF(L591=1,IF($B$26&lt;=N591,1,0),0)</f>
        <v>0</v>
      </c>
      <c r="Q591" s="58" t="n">
        <f aca="false">Q590+N591</f>
        <v>145877.630223336</v>
      </c>
      <c r="S591" s="56" t="n">
        <f aca="false">S590+1</f>
        <v>584</v>
      </c>
      <c r="T591" s="57" t="n">
        <f aca="false">IF(AND(S591&lt;=Assumptions!$C$42,T590=1,X590=0,W590&gt;Assumptions!$C$43),1,0)</f>
        <v>0</v>
      </c>
      <c r="U591" s="58" t="n">
        <f aca="false">W590</f>
        <v>-182.103705036234</v>
      </c>
      <c r="V591" s="58" t="n">
        <f aca="false">IF(T591=1,U591*$B$22,0)</f>
        <v>0</v>
      </c>
      <c r="W591" s="58" t="n">
        <f aca="false">IF(T591=1,U591+V591-$B$27,U591)</f>
        <v>-182.103705036234</v>
      </c>
      <c r="X591" s="56" t="n">
        <f aca="false">IF(T591=1,IF($B$27&lt;=V591,1,0),0)</f>
        <v>0</v>
      </c>
      <c r="Y591" s="58" t="n">
        <f aca="false">Y590+V591</f>
        <v>113000.408372882</v>
      </c>
    </row>
    <row r="592" customFormat="false" ht="15" hidden="false" customHeight="false" outlineLevel="0" collapsed="false">
      <c r="K592" s="56" t="n">
        <f aca="false">K591+1</f>
        <v>585</v>
      </c>
      <c r="L592" s="57" t="n">
        <f aca="false">IF(AND(K592&lt;=Assumptions!$C$42,L591=1,P591=0,O591&gt;Assumptions!$C$43),1,0)</f>
        <v>0</v>
      </c>
      <c r="M592" s="58" t="n">
        <f aca="false">O591</f>
        <v>8.10541678220034E-009</v>
      </c>
      <c r="N592" s="58" t="n">
        <f aca="false">IF(L592=1,M592*$B$22,0)</f>
        <v>0</v>
      </c>
      <c r="O592" s="58" t="n">
        <f aca="false">IF(L592=1,M592+N592-$B$26,M592)</f>
        <v>8.10541678220034E-009</v>
      </c>
      <c r="P592" s="56" t="n">
        <f aca="false">IF(L592=1,IF($B$26&lt;=N592,1,0),0)</f>
        <v>0</v>
      </c>
      <c r="Q592" s="58" t="n">
        <f aca="false">Q591+N592</f>
        <v>145877.630223336</v>
      </c>
      <c r="S592" s="56" t="n">
        <f aca="false">S591+1</f>
        <v>585</v>
      </c>
      <c r="T592" s="57" t="n">
        <f aca="false">IF(AND(S592&lt;=Assumptions!$C$42,T591=1,X591=0,W591&gt;Assumptions!$C$43),1,0)</f>
        <v>0</v>
      </c>
      <c r="U592" s="58" t="n">
        <f aca="false">W591</f>
        <v>-182.103705036234</v>
      </c>
      <c r="V592" s="58" t="n">
        <f aca="false">IF(T592=1,U592*$B$22,0)</f>
        <v>0</v>
      </c>
      <c r="W592" s="58" t="n">
        <f aca="false">IF(T592=1,U592+V592-$B$27,U592)</f>
        <v>-182.103705036234</v>
      </c>
      <c r="X592" s="56" t="n">
        <f aca="false">IF(T592=1,IF($B$27&lt;=V592,1,0),0)</f>
        <v>0</v>
      </c>
      <c r="Y592" s="58" t="n">
        <f aca="false">Y591+V592</f>
        <v>113000.408372882</v>
      </c>
    </row>
    <row r="593" customFormat="false" ht="15" hidden="false" customHeight="false" outlineLevel="0" collapsed="false">
      <c r="K593" s="56" t="n">
        <f aca="false">K592+1</f>
        <v>586</v>
      </c>
      <c r="L593" s="57" t="n">
        <f aca="false">IF(AND(K593&lt;=Assumptions!$C$42,L592=1,P592=0,O592&gt;Assumptions!$C$43),1,0)</f>
        <v>0</v>
      </c>
      <c r="M593" s="58" t="n">
        <f aca="false">O592</f>
        <v>8.10541678220034E-009</v>
      </c>
      <c r="N593" s="58" t="n">
        <f aca="false">IF(L593=1,M593*$B$22,0)</f>
        <v>0</v>
      </c>
      <c r="O593" s="58" t="n">
        <f aca="false">IF(L593=1,M593+N593-$B$26,M593)</f>
        <v>8.10541678220034E-009</v>
      </c>
      <c r="P593" s="56" t="n">
        <f aca="false">IF(L593=1,IF($B$26&lt;=N593,1,0),0)</f>
        <v>0</v>
      </c>
      <c r="Q593" s="58" t="n">
        <f aca="false">Q592+N593</f>
        <v>145877.630223336</v>
      </c>
      <c r="S593" s="56" t="n">
        <f aca="false">S592+1</f>
        <v>586</v>
      </c>
      <c r="T593" s="57" t="n">
        <f aca="false">IF(AND(S593&lt;=Assumptions!$C$42,T592=1,X592=0,W592&gt;Assumptions!$C$43),1,0)</f>
        <v>0</v>
      </c>
      <c r="U593" s="58" t="n">
        <f aca="false">W592</f>
        <v>-182.103705036234</v>
      </c>
      <c r="V593" s="58" t="n">
        <f aca="false">IF(T593=1,U593*$B$22,0)</f>
        <v>0</v>
      </c>
      <c r="W593" s="58" t="n">
        <f aca="false">IF(T593=1,U593+V593-$B$27,U593)</f>
        <v>-182.103705036234</v>
      </c>
      <c r="X593" s="56" t="n">
        <f aca="false">IF(T593=1,IF($B$27&lt;=V593,1,0),0)</f>
        <v>0</v>
      </c>
      <c r="Y593" s="58" t="n">
        <f aca="false">Y592+V593</f>
        <v>113000.408372882</v>
      </c>
    </row>
    <row r="594" customFormat="false" ht="15" hidden="false" customHeight="false" outlineLevel="0" collapsed="false">
      <c r="K594" s="56" t="n">
        <f aca="false">K593+1</f>
        <v>587</v>
      </c>
      <c r="L594" s="57" t="n">
        <f aca="false">IF(AND(K594&lt;=Assumptions!$C$42,L593=1,P593=0,O593&gt;Assumptions!$C$43),1,0)</f>
        <v>0</v>
      </c>
      <c r="M594" s="58" t="n">
        <f aca="false">O593</f>
        <v>8.10541678220034E-009</v>
      </c>
      <c r="N594" s="58" t="n">
        <f aca="false">IF(L594=1,M594*$B$22,0)</f>
        <v>0</v>
      </c>
      <c r="O594" s="58" t="n">
        <f aca="false">IF(L594=1,M594+N594-$B$26,M594)</f>
        <v>8.10541678220034E-009</v>
      </c>
      <c r="P594" s="56" t="n">
        <f aca="false">IF(L594=1,IF($B$26&lt;=N594,1,0),0)</f>
        <v>0</v>
      </c>
      <c r="Q594" s="58" t="n">
        <f aca="false">Q593+N594</f>
        <v>145877.630223336</v>
      </c>
      <c r="S594" s="56" t="n">
        <f aca="false">S593+1</f>
        <v>587</v>
      </c>
      <c r="T594" s="57" t="n">
        <f aca="false">IF(AND(S594&lt;=Assumptions!$C$42,T593=1,X593=0,W593&gt;Assumptions!$C$43),1,0)</f>
        <v>0</v>
      </c>
      <c r="U594" s="58" t="n">
        <f aca="false">W593</f>
        <v>-182.103705036234</v>
      </c>
      <c r="V594" s="58" t="n">
        <f aca="false">IF(T594=1,U594*$B$22,0)</f>
        <v>0</v>
      </c>
      <c r="W594" s="58" t="n">
        <f aca="false">IF(T594=1,U594+V594-$B$27,U594)</f>
        <v>-182.103705036234</v>
      </c>
      <c r="X594" s="56" t="n">
        <f aca="false">IF(T594=1,IF($B$27&lt;=V594,1,0),0)</f>
        <v>0</v>
      </c>
      <c r="Y594" s="58" t="n">
        <f aca="false">Y593+V594</f>
        <v>113000.408372882</v>
      </c>
    </row>
    <row r="595" customFormat="false" ht="15" hidden="false" customHeight="false" outlineLevel="0" collapsed="false">
      <c r="K595" s="56" t="n">
        <f aca="false">K594+1</f>
        <v>588</v>
      </c>
      <c r="L595" s="57" t="n">
        <f aca="false">IF(AND(K595&lt;=Assumptions!$C$42,L594=1,P594=0,O594&gt;Assumptions!$C$43),1,0)</f>
        <v>0</v>
      </c>
      <c r="M595" s="58" t="n">
        <f aca="false">O594</f>
        <v>8.10541678220034E-009</v>
      </c>
      <c r="N595" s="58" t="n">
        <f aca="false">IF(L595=1,M595*$B$22,0)</f>
        <v>0</v>
      </c>
      <c r="O595" s="58" t="n">
        <f aca="false">IF(L595=1,M595+N595-$B$26,M595)</f>
        <v>8.10541678220034E-009</v>
      </c>
      <c r="P595" s="56" t="n">
        <f aca="false">IF(L595=1,IF($B$26&lt;=N595,1,0),0)</f>
        <v>0</v>
      </c>
      <c r="Q595" s="58" t="n">
        <f aca="false">Q594+N595</f>
        <v>145877.630223336</v>
      </c>
      <c r="S595" s="56" t="n">
        <f aca="false">S594+1</f>
        <v>588</v>
      </c>
      <c r="T595" s="57" t="n">
        <f aca="false">IF(AND(S595&lt;=Assumptions!$C$42,T594=1,X594=0,W594&gt;Assumptions!$C$43),1,0)</f>
        <v>0</v>
      </c>
      <c r="U595" s="58" t="n">
        <f aca="false">W594</f>
        <v>-182.103705036234</v>
      </c>
      <c r="V595" s="58" t="n">
        <f aca="false">IF(T595=1,U595*$B$22,0)</f>
        <v>0</v>
      </c>
      <c r="W595" s="58" t="n">
        <f aca="false">IF(T595=1,U595+V595-$B$27,U595)</f>
        <v>-182.103705036234</v>
      </c>
      <c r="X595" s="56" t="n">
        <f aca="false">IF(T595=1,IF($B$27&lt;=V595,1,0),0)</f>
        <v>0</v>
      </c>
      <c r="Y595" s="58" t="n">
        <f aca="false">Y594+V595</f>
        <v>113000.408372882</v>
      </c>
    </row>
    <row r="596" customFormat="false" ht="15" hidden="false" customHeight="false" outlineLevel="0" collapsed="false">
      <c r="K596" s="56" t="n">
        <f aca="false">K595+1</f>
        <v>589</v>
      </c>
      <c r="L596" s="57" t="n">
        <f aca="false">IF(AND(K596&lt;=Assumptions!$C$42,L595=1,P595=0,O595&gt;Assumptions!$C$43),1,0)</f>
        <v>0</v>
      </c>
      <c r="M596" s="58" t="n">
        <f aca="false">O595</f>
        <v>8.10541678220034E-009</v>
      </c>
      <c r="N596" s="58" t="n">
        <f aca="false">IF(L596=1,M596*$B$22,0)</f>
        <v>0</v>
      </c>
      <c r="O596" s="58" t="n">
        <f aca="false">IF(L596=1,M596+N596-$B$26,M596)</f>
        <v>8.10541678220034E-009</v>
      </c>
      <c r="P596" s="56" t="n">
        <f aca="false">IF(L596=1,IF($B$26&lt;=N596,1,0),0)</f>
        <v>0</v>
      </c>
      <c r="Q596" s="58" t="n">
        <f aca="false">Q595+N596</f>
        <v>145877.630223336</v>
      </c>
      <c r="S596" s="56" t="n">
        <f aca="false">S595+1</f>
        <v>589</v>
      </c>
      <c r="T596" s="57" t="n">
        <f aca="false">IF(AND(S596&lt;=Assumptions!$C$42,T595=1,X595=0,W595&gt;Assumptions!$C$43),1,0)</f>
        <v>0</v>
      </c>
      <c r="U596" s="58" t="n">
        <f aca="false">W595</f>
        <v>-182.103705036234</v>
      </c>
      <c r="V596" s="58" t="n">
        <f aca="false">IF(T596=1,U596*$B$22,0)</f>
        <v>0</v>
      </c>
      <c r="W596" s="58" t="n">
        <f aca="false">IF(T596=1,U596+V596-$B$27,U596)</f>
        <v>-182.103705036234</v>
      </c>
      <c r="X596" s="56" t="n">
        <f aca="false">IF(T596=1,IF($B$27&lt;=V596,1,0),0)</f>
        <v>0</v>
      </c>
      <c r="Y596" s="58" t="n">
        <f aca="false">Y595+V596</f>
        <v>113000.408372882</v>
      </c>
    </row>
    <row r="597" customFormat="false" ht="15" hidden="false" customHeight="false" outlineLevel="0" collapsed="false">
      <c r="K597" s="56" t="n">
        <f aca="false">K596+1</f>
        <v>590</v>
      </c>
      <c r="L597" s="57" t="n">
        <f aca="false">IF(AND(K597&lt;=Assumptions!$C$42,L596=1,P596=0,O596&gt;Assumptions!$C$43),1,0)</f>
        <v>0</v>
      </c>
      <c r="M597" s="58" t="n">
        <f aca="false">O596</f>
        <v>8.10541678220034E-009</v>
      </c>
      <c r="N597" s="58" t="n">
        <f aca="false">IF(L597=1,M597*$B$22,0)</f>
        <v>0</v>
      </c>
      <c r="O597" s="58" t="n">
        <f aca="false">IF(L597=1,M597+N597-$B$26,M597)</f>
        <v>8.10541678220034E-009</v>
      </c>
      <c r="P597" s="56" t="n">
        <f aca="false">IF(L597=1,IF($B$26&lt;=N597,1,0),0)</f>
        <v>0</v>
      </c>
      <c r="Q597" s="58" t="n">
        <f aca="false">Q596+N597</f>
        <v>145877.630223336</v>
      </c>
      <c r="S597" s="56" t="n">
        <f aca="false">S596+1</f>
        <v>590</v>
      </c>
      <c r="T597" s="57" t="n">
        <f aca="false">IF(AND(S597&lt;=Assumptions!$C$42,T596=1,X596=0,W596&gt;Assumptions!$C$43),1,0)</f>
        <v>0</v>
      </c>
      <c r="U597" s="58" t="n">
        <f aca="false">W596</f>
        <v>-182.103705036234</v>
      </c>
      <c r="V597" s="58" t="n">
        <f aca="false">IF(T597=1,U597*$B$22,0)</f>
        <v>0</v>
      </c>
      <c r="W597" s="58" t="n">
        <f aca="false">IF(T597=1,U597+V597-$B$27,U597)</f>
        <v>-182.103705036234</v>
      </c>
      <c r="X597" s="56" t="n">
        <f aca="false">IF(T597=1,IF($B$27&lt;=V597,1,0),0)</f>
        <v>0</v>
      </c>
      <c r="Y597" s="58" t="n">
        <f aca="false">Y596+V597</f>
        <v>113000.408372882</v>
      </c>
    </row>
    <row r="598" customFormat="false" ht="15" hidden="false" customHeight="false" outlineLevel="0" collapsed="false">
      <c r="K598" s="56" t="n">
        <f aca="false">K597+1</f>
        <v>591</v>
      </c>
      <c r="L598" s="57" t="n">
        <f aca="false">IF(AND(K598&lt;=Assumptions!$C$42,L597=1,P597=0,O597&gt;Assumptions!$C$43),1,0)</f>
        <v>0</v>
      </c>
      <c r="M598" s="58" t="n">
        <f aca="false">O597</f>
        <v>8.10541678220034E-009</v>
      </c>
      <c r="N598" s="58" t="n">
        <f aca="false">IF(L598=1,M598*$B$22,0)</f>
        <v>0</v>
      </c>
      <c r="O598" s="58" t="n">
        <f aca="false">IF(L598=1,M598+N598-$B$26,M598)</f>
        <v>8.10541678220034E-009</v>
      </c>
      <c r="P598" s="56" t="n">
        <f aca="false">IF(L598=1,IF($B$26&lt;=N598,1,0),0)</f>
        <v>0</v>
      </c>
      <c r="Q598" s="58" t="n">
        <f aca="false">Q597+N598</f>
        <v>145877.630223336</v>
      </c>
      <c r="S598" s="56" t="n">
        <f aca="false">S597+1</f>
        <v>591</v>
      </c>
      <c r="T598" s="57" t="n">
        <f aca="false">IF(AND(S598&lt;=Assumptions!$C$42,T597=1,X597=0,W597&gt;Assumptions!$C$43),1,0)</f>
        <v>0</v>
      </c>
      <c r="U598" s="58" t="n">
        <f aca="false">W597</f>
        <v>-182.103705036234</v>
      </c>
      <c r="V598" s="58" t="n">
        <f aca="false">IF(T598=1,U598*$B$22,0)</f>
        <v>0</v>
      </c>
      <c r="W598" s="58" t="n">
        <f aca="false">IF(T598=1,U598+V598-$B$27,U598)</f>
        <v>-182.103705036234</v>
      </c>
      <c r="X598" s="56" t="n">
        <f aca="false">IF(T598=1,IF($B$27&lt;=V598,1,0),0)</f>
        <v>0</v>
      </c>
      <c r="Y598" s="58" t="n">
        <f aca="false">Y597+V598</f>
        <v>113000.408372882</v>
      </c>
    </row>
    <row r="599" customFormat="false" ht="15" hidden="false" customHeight="false" outlineLevel="0" collapsed="false">
      <c r="K599" s="56" t="n">
        <f aca="false">K598+1</f>
        <v>592</v>
      </c>
      <c r="L599" s="57" t="n">
        <f aca="false">IF(AND(K599&lt;=Assumptions!$C$42,L598=1,P598=0,O598&gt;Assumptions!$C$43),1,0)</f>
        <v>0</v>
      </c>
      <c r="M599" s="58" t="n">
        <f aca="false">O598</f>
        <v>8.10541678220034E-009</v>
      </c>
      <c r="N599" s="58" t="n">
        <f aca="false">IF(L599=1,M599*$B$22,0)</f>
        <v>0</v>
      </c>
      <c r="O599" s="58" t="n">
        <f aca="false">IF(L599=1,M599+N599-$B$26,M599)</f>
        <v>8.10541678220034E-009</v>
      </c>
      <c r="P599" s="56" t="n">
        <f aca="false">IF(L599=1,IF($B$26&lt;=N599,1,0),0)</f>
        <v>0</v>
      </c>
      <c r="Q599" s="58" t="n">
        <f aca="false">Q598+N599</f>
        <v>145877.630223336</v>
      </c>
      <c r="S599" s="56" t="n">
        <f aca="false">S598+1</f>
        <v>592</v>
      </c>
      <c r="T599" s="57" t="n">
        <f aca="false">IF(AND(S599&lt;=Assumptions!$C$42,T598=1,X598=0,W598&gt;Assumptions!$C$43),1,0)</f>
        <v>0</v>
      </c>
      <c r="U599" s="58" t="n">
        <f aca="false">W598</f>
        <v>-182.103705036234</v>
      </c>
      <c r="V599" s="58" t="n">
        <f aca="false">IF(T599=1,U599*$B$22,0)</f>
        <v>0</v>
      </c>
      <c r="W599" s="58" t="n">
        <f aca="false">IF(T599=1,U599+V599-$B$27,U599)</f>
        <v>-182.103705036234</v>
      </c>
      <c r="X599" s="56" t="n">
        <f aca="false">IF(T599=1,IF($B$27&lt;=V599,1,0),0)</f>
        <v>0</v>
      </c>
      <c r="Y599" s="58" t="n">
        <f aca="false">Y598+V599</f>
        <v>113000.408372882</v>
      </c>
    </row>
    <row r="600" customFormat="false" ht="15" hidden="false" customHeight="false" outlineLevel="0" collapsed="false">
      <c r="K600" s="56" t="n">
        <f aca="false">K599+1</f>
        <v>593</v>
      </c>
      <c r="L600" s="57" t="n">
        <f aca="false">IF(AND(K600&lt;=Assumptions!$C$42,L599=1,P599=0,O599&gt;Assumptions!$C$43),1,0)</f>
        <v>0</v>
      </c>
      <c r="M600" s="58" t="n">
        <f aca="false">O599</f>
        <v>8.10541678220034E-009</v>
      </c>
      <c r="N600" s="58" t="n">
        <f aca="false">IF(L600=1,M600*$B$22,0)</f>
        <v>0</v>
      </c>
      <c r="O600" s="58" t="n">
        <f aca="false">IF(L600=1,M600+N600-$B$26,M600)</f>
        <v>8.10541678220034E-009</v>
      </c>
      <c r="P600" s="56" t="n">
        <f aca="false">IF(L600=1,IF($B$26&lt;=N600,1,0),0)</f>
        <v>0</v>
      </c>
      <c r="Q600" s="58" t="n">
        <f aca="false">Q599+N600</f>
        <v>145877.630223336</v>
      </c>
      <c r="S600" s="56" t="n">
        <f aca="false">S599+1</f>
        <v>593</v>
      </c>
      <c r="T600" s="57" t="n">
        <f aca="false">IF(AND(S600&lt;=Assumptions!$C$42,T599=1,X599=0,W599&gt;Assumptions!$C$43),1,0)</f>
        <v>0</v>
      </c>
      <c r="U600" s="58" t="n">
        <f aca="false">W599</f>
        <v>-182.103705036234</v>
      </c>
      <c r="V600" s="58" t="n">
        <f aca="false">IF(T600=1,U600*$B$22,0)</f>
        <v>0</v>
      </c>
      <c r="W600" s="58" t="n">
        <f aca="false">IF(T600=1,U600+V600-$B$27,U600)</f>
        <v>-182.103705036234</v>
      </c>
      <c r="X600" s="56" t="n">
        <f aca="false">IF(T600=1,IF($B$27&lt;=V600,1,0),0)</f>
        <v>0</v>
      </c>
      <c r="Y600" s="58" t="n">
        <f aca="false">Y599+V600</f>
        <v>113000.408372882</v>
      </c>
    </row>
    <row r="601" customFormat="false" ht="15" hidden="false" customHeight="false" outlineLevel="0" collapsed="false">
      <c r="K601" s="56" t="n">
        <f aca="false">K600+1</f>
        <v>594</v>
      </c>
      <c r="L601" s="57" t="n">
        <f aca="false">IF(AND(K601&lt;=Assumptions!$C$42,L600=1,P600=0,O600&gt;Assumptions!$C$43),1,0)</f>
        <v>0</v>
      </c>
      <c r="M601" s="58" t="n">
        <f aca="false">O600</f>
        <v>8.10541678220034E-009</v>
      </c>
      <c r="N601" s="58" t="n">
        <f aca="false">IF(L601=1,M601*$B$22,0)</f>
        <v>0</v>
      </c>
      <c r="O601" s="58" t="n">
        <f aca="false">IF(L601=1,M601+N601-$B$26,M601)</f>
        <v>8.10541678220034E-009</v>
      </c>
      <c r="P601" s="56" t="n">
        <f aca="false">IF(L601=1,IF($B$26&lt;=N601,1,0),0)</f>
        <v>0</v>
      </c>
      <c r="Q601" s="58" t="n">
        <f aca="false">Q600+N601</f>
        <v>145877.630223336</v>
      </c>
      <c r="S601" s="56" t="n">
        <f aca="false">S600+1</f>
        <v>594</v>
      </c>
      <c r="T601" s="57" t="n">
        <f aca="false">IF(AND(S601&lt;=Assumptions!$C$42,T600=1,X600=0,W600&gt;Assumptions!$C$43),1,0)</f>
        <v>0</v>
      </c>
      <c r="U601" s="58" t="n">
        <f aca="false">W600</f>
        <v>-182.103705036234</v>
      </c>
      <c r="V601" s="58" t="n">
        <f aca="false">IF(T601=1,U601*$B$22,0)</f>
        <v>0</v>
      </c>
      <c r="W601" s="58" t="n">
        <f aca="false">IF(T601=1,U601+V601-$B$27,U601)</f>
        <v>-182.103705036234</v>
      </c>
      <c r="X601" s="56" t="n">
        <f aca="false">IF(T601=1,IF($B$27&lt;=V601,1,0),0)</f>
        <v>0</v>
      </c>
      <c r="Y601" s="58" t="n">
        <f aca="false">Y600+V601</f>
        <v>113000.408372882</v>
      </c>
    </row>
    <row r="602" customFormat="false" ht="15" hidden="false" customHeight="false" outlineLevel="0" collapsed="false">
      <c r="K602" s="56" t="n">
        <f aca="false">K601+1</f>
        <v>595</v>
      </c>
      <c r="L602" s="57" t="n">
        <f aca="false">IF(AND(K602&lt;=Assumptions!$C$42,L601=1,P601=0,O601&gt;Assumptions!$C$43),1,0)</f>
        <v>0</v>
      </c>
      <c r="M602" s="58" t="n">
        <f aca="false">O601</f>
        <v>8.10541678220034E-009</v>
      </c>
      <c r="N602" s="58" t="n">
        <f aca="false">IF(L602=1,M602*$B$22,0)</f>
        <v>0</v>
      </c>
      <c r="O602" s="58" t="n">
        <f aca="false">IF(L602=1,M602+N602-$B$26,M602)</f>
        <v>8.10541678220034E-009</v>
      </c>
      <c r="P602" s="56" t="n">
        <f aca="false">IF(L602=1,IF($B$26&lt;=N602,1,0),0)</f>
        <v>0</v>
      </c>
      <c r="Q602" s="58" t="n">
        <f aca="false">Q601+N602</f>
        <v>145877.630223336</v>
      </c>
      <c r="S602" s="56" t="n">
        <f aca="false">S601+1</f>
        <v>595</v>
      </c>
      <c r="T602" s="57" t="n">
        <f aca="false">IF(AND(S602&lt;=Assumptions!$C$42,T601=1,X601=0,W601&gt;Assumptions!$C$43),1,0)</f>
        <v>0</v>
      </c>
      <c r="U602" s="58" t="n">
        <f aca="false">W601</f>
        <v>-182.103705036234</v>
      </c>
      <c r="V602" s="58" t="n">
        <f aca="false">IF(T602=1,U602*$B$22,0)</f>
        <v>0</v>
      </c>
      <c r="W602" s="58" t="n">
        <f aca="false">IF(T602=1,U602+V602-$B$27,U602)</f>
        <v>-182.103705036234</v>
      </c>
      <c r="X602" s="56" t="n">
        <f aca="false">IF(T602=1,IF($B$27&lt;=V602,1,0),0)</f>
        <v>0</v>
      </c>
      <c r="Y602" s="58" t="n">
        <f aca="false">Y601+V602</f>
        <v>113000.408372882</v>
      </c>
    </row>
    <row r="603" customFormat="false" ht="15" hidden="false" customHeight="false" outlineLevel="0" collapsed="false">
      <c r="K603" s="56" t="n">
        <f aca="false">K602+1</f>
        <v>596</v>
      </c>
      <c r="L603" s="57" t="n">
        <f aca="false">IF(AND(K603&lt;=Assumptions!$C$42,L602=1,P602=0,O602&gt;Assumptions!$C$43),1,0)</f>
        <v>0</v>
      </c>
      <c r="M603" s="58" t="n">
        <f aca="false">O602</f>
        <v>8.10541678220034E-009</v>
      </c>
      <c r="N603" s="58" t="n">
        <f aca="false">IF(L603=1,M603*$B$22,0)</f>
        <v>0</v>
      </c>
      <c r="O603" s="58" t="n">
        <f aca="false">IF(L603=1,M603+N603-$B$26,M603)</f>
        <v>8.10541678220034E-009</v>
      </c>
      <c r="P603" s="56" t="n">
        <f aca="false">IF(L603=1,IF($B$26&lt;=N603,1,0),0)</f>
        <v>0</v>
      </c>
      <c r="Q603" s="58" t="n">
        <f aca="false">Q602+N603</f>
        <v>145877.630223336</v>
      </c>
      <c r="S603" s="56" t="n">
        <f aca="false">S602+1</f>
        <v>596</v>
      </c>
      <c r="T603" s="57" t="n">
        <f aca="false">IF(AND(S603&lt;=Assumptions!$C$42,T602=1,X602=0,W602&gt;Assumptions!$C$43),1,0)</f>
        <v>0</v>
      </c>
      <c r="U603" s="58" t="n">
        <f aca="false">W602</f>
        <v>-182.103705036234</v>
      </c>
      <c r="V603" s="58" t="n">
        <f aca="false">IF(T603=1,U603*$B$22,0)</f>
        <v>0</v>
      </c>
      <c r="W603" s="58" t="n">
        <f aca="false">IF(T603=1,U603+V603-$B$27,U603)</f>
        <v>-182.103705036234</v>
      </c>
      <c r="X603" s="56" t="n">
        <f aca="false">IF(T603=1,IF($B$27&lt;=V603,1,0),0)</f>
        <v>0</v>
      </c>
      <c r="Y603" s="58" t="n">
        <f aca="false">Y602+V603</f>
        <v>113000.408372882</v>
      </c>
    </row>
    <row r="604" customFormat="false" ht="15" hidden="false" customHeight="false" outlineLevel="0" collapsed="false">
      <c r="K604" s="56" t="n">
        <f aca="false">K603+1</f>
        <v>597</v>
      </c>
      <c r="L604" s="57" t="n">
        <f aca="false">IF(AND(K604&lt;=Assumptions!$C$42,L603=1,P603=0,O603&gt;Assumptions!$C$43),1,0)</f>
        <v>0</v>
      </c>
      <c r="M604" s="58" t="n">
        <f aca="false">O603</f>
        <v>8.10541678220034E-009</v>
      </c>
      <c r="N604" s="58" t="n">
        <f aca="false">IF(L604=1,M604*$B$22,0)</f>
        <v>0</v>
      </c>
      <c r="O604" s="58" t="n">
        <f aca="false">IF(L604=1,M604+N604-$B$26,M604)</f>
        <v>8.10541678220034E-009</v>
      </c>
      <c r="P604" s="56" t="n">
        <f aca="false">IF(L604=1,IF($B$26&lt;=N604,1,0),0)</f>
        <v>0</v>
      </c>
      <c r="Q604" s="58" t="n">
        <f aca="false">Q603+N604</f>
        <v>145877.630223336</v>
      </c>
      <c r="S604" s="56" t="n">
        <f aca="false">S603+1</f>
        <v>597</v>
      </c>
      <c r="T604" s="57" t="n">
        <f aca="false">IF(AND(S604&lt;=Assumptions!$C$42,T603=1,X603=0,W603&gt;Assumptions!$C$43),1,0)</f>
        <v>0</v>
      </c>
      <c r="U604" s="58" t="n">
        <f aca="false">W603</f>
        <v>-182.103705036234</v>
      </c>
      <c r="V604" s="58" t="n">
        <f aca="false">IF(T604=1,U604*$B$22,0)</f>
        <v>0</v>
      </c>
      <c r="W604" s="58" t="n">
        <f aca="false">IF(T604=1,U604+V604-$B$27,U604)</f>
        <v>-182.103705036234</v>
      </c>
      <c r="X604" s="56" t="n">
        <f aca="false">IF(T604=1,IF($B$27&lt;=V604,1,0),0)</f>
        <v>0</v>
      </c>
      <c r="Y604" s="58" t="n">
        <f aca="false">Y603+V604</f>
        <v>113000.408372882</v>
      </c>
    </row>
    <row r="605" customFormat="false" ht="15" hidden="false" customHeight="false" outlineLevel="0" collapsed="false">
      <c r="K605" s="56" t="n">
        <f aca="false">K604+1</f>
        <v>598</v>
      </c>
      <c r="L605" s="57" t="n">
        <f aca="false">IF(AND(K605&lt;=Assumptions!$C$42,L604=1,P604=0,O604&gt;Assumptions!$C$43),1,0)</f>
        <v>0</v>
      </c>
      <c r="M605" s="58" t="n">
        <f aca="false">O604</f>
        <v>8.10541678220034E-009</v>
      </c>
      <c r="N605" s="58" t="n">
        <f aca="false">IF(L605=1,M605*$B$22,0)</f>
        <v>0</v>
      </c>
      <c r="O605" s="58" t="n">
        <f aca="false">IF(L605=1,M605+N605-$B$26,M605)</f>
        <v>8.10541678220034E-009</v>
      </c>
      <c r="P605" s="56" t="n">
        <f aca="false">IF(L605=1,IF($B$26&lt;=N605,1,0),0)</f>
        <v>0</v>
      </c>
      <c r="Q605" s="58" t="n">
        <f aca="false">Q604+N605</f>
        <v>145877.630223336</v>
      </c>
      <c r="S605" s="56" t="n">
        <f aca="false">S604+1</f>
        <v>598</v>
      </c>
      <c r="T605" s="57" t="n">
        <f aca="false">IF(AND(S605&lt;=Assumptions!$C$42,T604=1,X604=0,W604&gt;Assumptions!$C$43),1,0)</f>
        <v>0</v>
      </c>
      <c r="U605" s="58" t="n">
        <f aca="false">W604</f>
        <v>-182.103705036234</v>
      </c>
      <c r="V605" s="58" t="n">
        <f aca="false">IF(T605=1,U605*$B$22,0)</f>
        <v>0</v>
      </c>
      <c r="W605" s="58" t="n">
        <f aca="false">IF(T605=1,U605+V605-$B$27,U605)</f>
        <v>-182.103705036234</v>
      </c>
      <c r="X605" s="56" t="n">
        <f aca="false">IF(T605=1,IF($B$27&lt;=V605,1,0),0)</f>
        <v>0</v>
      </c>
      <c r="Y605" s="58" t="n">
        <f aca="false">Y604+V605</f>
        <v>113000.408372882</v>
      </c>
    </row>
    <row r="606" customFormat="false" ht="15" hidden="false" customHeight="false" outlineLevel="0" collapsed="false">
      <c r="K606" s="56" t="n">
        <f aca="false">K605+1</f>
        <v>599</v>
      </c>
      <c r="L606" s="57" t="n">
        <f aca="false">IF(AND(K606&lt;=Assumptions!$C$42,L605=1,P605=0,O605&gt;Assumptions!$C$43),1,0)</f>
        <v>0</v>
      </c>
      <c r="M606" s="58" t="n">
        <f aca="false">O605</f>
        <v>8.10541678220034E-009</v>
      </c>
      <c r="N606" s="58" t="n">
        <f aca="false">IF(L606=1,M606*$B$22,0)</f>
        <v>0</v>
      </c>
      <c r="O606" s="58" t="n">
        <f aca="false">IF(L606=1,M606+N606-$B$26,M606)</f>
        <v>8.10541678220034E-009</v>
      </c>
      <c r="P606" s="56" t="n">
        <f aca="false">IF(L606=1,IF($B$26&lt;=N606,1,0),0)</f>
        <v>0</v>
      </c>
      <c r="Q606" s="58" t="n">
        <f aca="false">Q605+N606</f>
        <v>145877.630223336</v>
      </c>
      <c r="S606" s="56" t="n">
        <f aca="false">S605+1</f>
        <v>599</v>
      </c>
      <c r="T606" s="57" t="n">
        <f aca="false">IF(AND(S606&lt;=Assumptions!$C$42,T605=1,X605=0,W605&gt;Assumptions!$C$43),1,0)</f>
        <v>0</v>
      </c>
      <c r="U606" s="58" t="n">
        <f aca="false">W605</f>
        <v>-182.103705036234</v>
      </c>
      <c r="V606" s="58" t="n">
        <f aca="false">IF(T606=1,U606*$B$22,0)</f>
        <v>0</v>
      </c>
      <c r="W606" s="58" t="n">
        <f aca="false">IF(T606=1,U606+V606-$B$27,U606)</f>
        <v>-182.103705036234</v>
      </c>
      <c r="X606" s="56" t="n">
        <f aca="false">IF(T606=1,IF($B$27&lt;=V606,1,0),0)</f>
        <v>0</v>
      </c>
      <c r="Y606" s="58" t="n">
        <f aca="false">Y605+V606</f>
        <v>113000.408372882</v>
      </c>
    </row>
    <row r="607" customFormat="false" ht="15" hidden="false" customHeight="false" outlineLevel="0" collapsed="false">
      <c r="K607" s="56" t="n">
        <f aca="false">K606+1</f>
        <v>600</v>
      </c>
      <c r="L607" s="57" t="n">
        <f aca="false">IF(AND(K607&lt;=Assumptions!$C$42,L606=1,P606=0,O606&gt;Assumptions!$C$43),1,0)</f>
        <v>0</v>
      </c>
      <c r="M607" s="58" t="n">
        <f aca="false">O606</f>
        <v>8.10541678220034E-009</v>
      </c>
      <c r="N607" s="58" t="n">
        <f aca="false">IF(L607=1,M607*$B$22,0)</f>
        <v>0</v>
      </c>
      <c r="O607" s="58" t="n">
        <f aca="false">IF(L607=1,M607+N607-$B$26,M607)</f>
        <v>8.10541678220034E-009</v>
      </c>
      <c r="P607" s="56" t="n">
        <f aca="false">IF(L607=1,IF($B$26&lt;=N607,1,0),0)</f>
        <v>0</v>
      </c>
      <c r="Q607" s="58" t="n">
        <f aca="false">Q606+N607</f>
        <v>145877.630223336</v>
      </c>
      <c r="S607" s="56" t="n">
        <f aca="false">S606+1</f>
        <v>600</v>
      </c>
      <c r="T607" s="57" t="n">
        <f aca="false">IF(AND(S607&lt;=Assumptions!$C$42,T606=1,X606=0,W606&gt;Assumptions!$C$43),1,0)</f>
        <v>0</v>
      </c>
      <c r="U607" s="58" t="n">
        <f aca="false">W606</f>
        <v>-182.103705036234</v>
      </c>
      <c r="V607" s="58" t="n">
        <f aca="false">IF(T607=1,U607*$B$22,0)</f>
        <v>0</v>
      </c>
      <c r="W607" s="58" t="n">
        <f aca="false">IF(T607=1,U607+V607-$B$27,U607)</f>
        <v>-182.103705036234</v>
      </c>
      <c r="X607" s="56" t="n">
        <f aca="false">IF(T607=1,IF($B$27&lt;=V607,1,0),0)</f>
        <v>0</v>
      </c>
      <c r="Y607" s="58" t="n">
        <f aca="false">Y606+V607</f>
        <v>113000.408372882</v>
      </c>
    </row>
    <row r="608" customFormat="false" ht="15" hidden="false" customHeight="false" outlineLevel="0" collapsed="false">
      <c r="K608" s="56" t="n">
        <f aca="false">K607+1</f>
        <v>601</v>
      </c>
      <c r="L608" s="57" t="n">
        <f aca="false">IF(AND(K608&lt;=Assumptions!$C$42,L607=1,P607=0,O607&gt;Assumptions!$C$43),1,0)</f>
        <v>0</v>
      </c>
      <c r="M608" s="58" t="n">
        <f aca="false">O607</f>
        <v>8.10541678220034E-009</v>
      </c>
      <c r="N608" s="58" t="n">
        <f aca="false">IF(L608=1,M608*$B$22,0)</f>
        <v>0</v>
      </c>
      <c r="O608" s="58" t="n">
        <f aca="false">IF(L608=1,M608+N608-$B$26,M608)</f>
        <v>8.10541678220034E-009</v>
      </c>
      <c r="P608" s="56" t="n">
        <f aca="false">IF(L608=1,IF($B$26&lt;=N608,1,0),0)</f>
        <v>0</v>
      </c>
      <c r="Q608" s="58" t="n">
        <f aca="false">Q607+N608</f>
        <v>145877.630223336</v>
      </c>
      <c r="S608" s="56" t="n">
        <f aca="false">S607+1</f>
        <v>601</v>
      </c>
      <c r="T608" s="57" t="n">
        <f aca="false">IF(AND(S608&lt;=Assumptions!$C$42,T607=1,X607=0,W607&gt;Assumptions!$C$43),1,0)</f>
        <v>0</v>
      </c>
      <c r="U608" s="58" t="n">
        <f aca="false">W607</f>
        <v>-182.103705036234</v>
      </c>
      <c r="V608" s="58" t="n">
        <f aca="false">IF(T608=1,U608*$B$22,0)</f>
        <v>0</v>
      </c>
      <c r="W608" s="58" t="n">
        <f aca="false">IF(T608=1,U608+V608-$B$27,U608)</f>
        <v>-182.103705036234</v>
      </c>
      <c r="X608" s="56" t="n">
        <f aca="false">IF(T608=1,IF($B$27&lt;=V608,1,0),0)</f>
        <v>0</v>
      </c>
      <c r="Y608" s="58" t="n">
        <f aca="false">Y607+V608</f>
        <v>113000.408372882</v>
      </c>
    </row>
    <row r="609" customFormat="false" ht="15" hidden="false" customHeight="false" outlineLevel="0" collapsed="false">
      <c r="K609" s="56" t="n">
        <f aca="false">K608+1</f>
        <v>602</v>
      </c>
      <c r="L609" s="57" t="n">
        <f aca="false">IF(AND(K609&lt;=Assumptions!$C$42,L608=1,P608=0,O608&gt;Assumptions!$C$43),1,0)</f>
        <v>0</v>
      </c>
      <c r="M609" s="58" t="n">
        <f aca="false">O608</f>
        <v>8.10541678220034E-009</v>
      </c>
      <c r="N609" s="58" t="n">
        <f aca="false">IF(L609=1,M609*$B$22,0)</f>
        <v>0</v>
      </c>
      <c r="O609" s="58" t="n">
        <f aca="false">IF(L609=1,M609+N609-$B$26,M609)</f>
        <v>8.10541678220034E-009</v>
      </c>
      <c r="P609" s="56" t="n">
        <f aca="false">IF(L609=1,IF($B$26&lt;=N609,1,0),0)</f>
        <v>0</v>
      </c>
      <c r="Q609" s="58" t="n">
        <f aca="false">Q608+N609</f>
        <v>145877.630223336</v>
      </c>
      <c r="S609" s="56" t="n">
        <f aca="false">S608+1</f>
        <v>602</v>
      </c>
      <c r="T609" s="57" t="n">
        <f aca="false">IF(AND(S609&lt;=Assumptions!$C$42,T608=1,X608=0,W608&gt;Assumptions!$C$43),1,0)</f>
        <v>0</v>
      </c>
      <c r="U609" s="58" t="n">
        <f aca="false">W608</f>
        <v>-182.103705036234</v>
      </c>
      <c r="V609" s="58" t="n">
        <f aca="false">IF(T609=1,U609*$B$22,0)</f>
        <v>0</v>
      </c>
      <c r="W609" s="58" t="n">
        <f aca="false">IF(T609=1,U609+V609-$B$27,U609)</f>
        <v>-182.103705036234</v>
      </c>
      <c r="X609" s="56" t="n">
        <f aca="false">IF(T609=1,IF($B$27&lt;=V609,1,0),0)</f>
        <v>0</v>
      </c>
      <c r="Y609" s="58" t="n">
        <f aca="false">Y608+V609</f>
        <v>113000.408372882</v>
      </c>
    </row>
    <row r="610" customFormat="false" ht="15" hidden="false" customHeight="false" outlineLevel="0" collapsed="false">
      <c r="K610" s="56" t="n">
        <f aca="false">K609+1</f>
        <v>603</v>
      </c>
      <c r="L610" s="57" t="n">
        <f aca="false">IF(AND(K610&lt;=Assumptions!$C$42,L609=1,P609=0,O609&gt;Assumptions!$C$43),1,0)</f>
        <v>0</v>
      </c>
      <c r="M610" s="58" t="n">
        <f aca="false">O609</f>
        <v>8.10541678220034E-009</v>
      </c>
      <c r="N610" s="58" t="n">
        <f aca="false">IF(L610=1,M610*$B$22,0)</f>
        <v>0</v>
      </c>
      <c r="O610" s="58" t="n">
        <f aca="false">IF(L610=1,M610+N610-$B$26,M610)</f>
        <v>8.10541678220034E-009</v>
      </c>
      <c r="P610" s="56" t="n">
        <f aca="false">IF(L610=1,IF($B$26&lt;=N610,1,0),0)</f>
        <v>0</v>
      </c>
      <c r="Q610" s="58" t="n">
        <f aca="false">Q609+N610</f>
        <v>145877.630223336</v>
      </c>
      <c r="S610" s="56" t="n">
        <f aca="false">S609+1</f>
        <v>603</v>
      </c>
      <c r="T610" s="57" t="n">
        <f aca="false">IF(AND(S610&lt;=Assumptions!$C$42,T609=1,X609=0,W609&gt;Assumptions!$C$43),1,0)</f>
        <v>0</v>
      </c>
      <c r="U610" s="58" t="n">
        <f aca="false">W609</f>
        <v>-182.103705036234</v>
      </c>
      <c r="V610" s="58" t="n">
        <f aca="false">IF(T610=1,U610*$B$22,0)</f>
        <v>0</v>
      </c>
      <c r="W610" s="58" t="n">
        <f aca="false">IF(T610=1,U610+V610-$B$27,U610)</f>
        <v>-182.103705036234</v>
      </c>
      <c r="X610" s="56" t="n">
        <f aca="false">IF(T610=1,IF($B$27&lt;=V610,1,0),0)</f>
        <v>0</v>
      </c>
      <c r="Y610" s="58" t="n">
        <f aca="false">Y609+V610</f>
        <v>113000.408372882</v>
      </c>
    </row>
    <row r="611" customFormat="false" ht="15" hidden="false" customHeight="false" outlineLevel="0" collapsed="false">
      <c r="K611" s="56" t="n">
        <f aca="false">K610+1</f>
        <v>604</v>
      </c>
      <c r="L611" s="57" t="n">
        <f aca="false">IF(AND(K611&lt;=Assumptions!$C$42,L610=1,P610=0,O610&gt;Assumptions!$C$43),1,0)</f>
        <v>0</v>
      </c>
      <c r="M611" s="58" t="n">
        <f aca="false">O610</f>
        <v>8.10541678220034E-009</v>
      </c>
      <c r="N611" s="58" t="n">
        <f aca="false">IF(L611=1,M611*$B$22,0)</f>
        <v>0</v>
      </c>
      <c r="O611" s="58" t="n">
        <f aca="false">IF(L611=1,M611+N611-$B$26,M611)</f>
        <v>8.10541678220034E-009</v>
      </c>
      <c r="P611" s="56" t="n">
        <f aca="false">IF(L611=1,IF($B$26&lt;=N611,1,0),0)</f>
        <v>0</v>
      </c>
      <c r="Q611" s="58" t="n">
        <f aca="false">Q610+N611</f>
        <v>145877.630223336</v>
      </c>
      <c r="S611" s="56" t="n">
        <f aca="false">S610+1</f>
        <v>604</v>
      </c>
      <c r="T611" s="57" t="n">
        <f aca="false">IF(AND(S611&lt;=Assumptions!$C$42,T610=1,X610=0,W610&gt;Assumptions!$C$43),1,0)</f>
        <v>0</v>
      </c>
      <c r="U611" s="58" t="n">
        <f aca="false">W610</f>
        <v>-182.103705036234</v>
      </c>
      <c r="V611" s="58" t="n">
        <f aca="false">IF(T611=1,U611*$B$22,0)</f>
        <v>0</v>
      </c>
      <c r="W611" s="58" t="n">
        <f aca="false">IF(T611=1,U611+V611-$B$27,U611)</f>
        <v>-182.103705036234</v>
      </c>
      <c r="X611" s="56" t="n">
        <f aca="false">IF(T611=1,IF($B$27&lt;=V611,1,0),0)</f>
        <v>0</v>
      </c>
      <c r="Y611" s="58" t="n">
        <f aca="false">Y610+V611</f>
        <v>113000.408372882</v>
      </c>
    </row>
    <row r="612" customFormat="false" ht="15" hidden="false" customHeight="false" outlineLevel="0" collapsed="false">
      <c r="K612" s="56" t="n">
        <f aca="false">K611+1</f>
        <v>605</v>
      </c>
      <c r="L612" s="57" t="n">
        <f aca="false">IF(AND(K612&lt;=Assumptions!$C$42,L611=1,P611=0,O611&gt;Assumptions!$C$43),1,0)</f>
        <v>0</v>
      </c>
      <c r="M612" s="58" t="n">
        <f aca="false">O611</f>
        <v>8.10541678220034E-009</v>
      </c>
      <c r="N612" s="58" t="n">
        <f aca="false">IF(L612=1,M612*$B$22,0)</f>
        <v>0</v>
      </c>
      <c r="O612" s="58" t="n">
        <f aca="false">IF(L612=1,M612+N612-$B$26,M612)</f>
        <v>8.10541678220034E-009</v>
      </c>
      <c r="P612" s="56" t="n">
        <f aca="false">IF(L612=1,IF($B$26&lt;=N612,1,0),0)</f>
        <v>0</v>
      </c>
      <c r="Q612" s="58" t="n">
        <f aca="false">Q611+N612</f>
        <v>145877.630223336</v>
      </c>
      <c r="S612" s="56" t="n">
        <f aca="false">S611+1</f>
        <v>605</v>
      </c>
      <c r="T612" s="57" t="n">
        <f aca="false">IF(AND(S612&lt;=Assumptions!$C$42,T611=1,X611=0,W611&gt;Assumptions!$C$43),1,0)</f>
        <v>0</v>
      </c>
      <c r="U612" s="58" t="n">
        <f aca="false">W611</f>
        <v>-182.103705036234</v>
      </c>
      <c r="V612" s="58" t="n">
        <f aca="false">IF(T612=1,U612*$B$22,0)</f>
        <v>0</v>
      </c>
      <c r="W612" s="58" t="n">
        <f aca="false">IF(T612=1,U612+V612-$B$27,U612)</f>
        <v>-182.103705036234</v>
      </c>
      <c r="X612" s="56" t="n">
        <f aca="false">IF(T612=1,IF($B$27&lt;=V612,1,0),0)</f>
        <v>0</v>
      </c>
      <c r="Y612" s="58" t="n">
        <f aca="false">Y611+V612</f>
        <v>113000.408372882</v>
      </c>
    </row>
    <row r="613" customFormat="false" ht="15" hidden="false" customHeight="false" outlineLevel="0" collapsed="false">
      <c r="K613" s="56" t="n">
        <f aca="false">K612+1</f>
        <v>606</v>
      </c>
      <c r="L613" s="57" t="n">
        <f aca="false">IF(AND(K613&lt;=Assumptions!$C$42,L612=1,P612=0,O612&gt;Assumptions!$C$43),1,0)</f>
        <v>0</v>
      </c>
      <c r="M613" s="58" t="n">
        <f aca="false">O612</f>
        <v>8.10541678220034E-009</v>
      </c>
      <c r="N613" s="58" t="n">
        <f aca="false">IF(L613=1,M613*$B$22,0)</f>
        <v>0</v>
      </c>
      <c r="O613" s="58" t="n">
        <f aca="false">IF(L613=1,M613+N613-$B$26,M613)</f>
        <v>8.10541678220034E-009</v>
      </c>
      <c r="P613" s="56" t="n">
        <f aca="false">IF(L613=1,IF($B$26&lt;=N613,1,0),0)</f>
        <v>0</v>
      </c>
      <c r="Q613" s="58" t="n">
        <f aca="false">Q612+N613</f>
        <v>145877.630223336</v>
      </c>
      <c r="S613" s="56" t="n">
        <f aca="false">S612+1</f>
        <v>606</v>
      </c>
      <c r="T613" s="57" t="n">
        <f aca="false">IF(AND(S613&lt;=Assumptions!$C$42,T612=1,X612=0,W612&gt;Assumptions!$C$43),1,0)</f>
        <v>0</v>
      </c>
      <c r="U613" s="58" t="n">
        <f aca="false">W612</f>
        <v>-182.103705036234</v>
      </c>
      <c r="V613" s="58" t="n">
        <f aca="false">IF(T613=1,U613*$B$22,0)</f>
        <v>0</v>
      </c>
      <c r="W613" s="58" t="n">
        <f aca="false">IF(T613=1,U613+V613-$B$27,U613)</f>
        <v>-182.103705036234</v>
      </c>
      <c r="X613" s="56" t="n">
        <f aca="false">IF(T613=1,IF($B$27&lt;=V613,1,0),0)</f>
        <v>0</v>
      </c>
      <c r="Y613" s="58" t="n">
        <f aca="false">Y612+V613</f>
        <v>113000.408372882</v>
      </c>
    </row>
    <row r="614" customFormat="false" ht="15" hidden="false" customHeight="false" outlineLevel="0" collapsed="false">
      <c r="K614" s="56" t="n">
        <f aca="false">K613+1</f>
        <v>607</v>
      </c>
      <c r="L614" s="57" t="n">
        <f aca="false">IF(AND(K614&lt;=Assumptions!$C$42,L613=1,P613=0,O613&gt;Assumptions!$C$43),1,0)</f>
        <v>0</v>
      </c>
      <c r="M614" s="58" t="n">
        <f aca="false">O613</f>
        <v>8.10541678220034E-009</v>
      </c>
      <c r="N614" s="58" t="n">
        <f aca="false">IF(L614=1,M614*$B$22,0)</f>
        <v>0</v>
      </c>
      <c r="O614" s="58" t="n">
        <f aca="false">IF(L614=1,M614+N614-$B$26,M614)</f>
        <v>8.10541678220034E-009</v>
      </c>
      <c r="P614" s="56" t="n">
        <f aca="false">IF(L614=1,IF($B$26&lt;=N614,1,0),0)</f>
        <v>0</v>
      </c>
      <c r="Q614" s="58" t="n">
        <f aca="false">Q613+N614</f>
        <v>145877.630223336</v>
      </c>
      <c r="S614" s="56" t="n">
        <f aca="false">S613+1</f>
        <v>607</v>
      </c>
      <c r="T614" s="57" t="n">
        <f aca="false">IF(AND(S614&lt;=Assumptions!$C$42,T613=1,X613=0,W613&gt;Assumptions!$C$43),1,0)</f>
        <v>0</v>
      </c>
      <c r="U614" s="58" t="n">
        <f aca="false">W613</f>
        <v>-182.103705036234</v>
      </c>
      <c r="V614" s="58" t="n">
        <f aca="false">IF(T614=1,U614*$B$22,0)</f>
        <v>0</v>
      </c>
      <c r="W614" s="58" t="n">
        <f aca="false">IF(T614=1,U614+V614-$B$27,U614)</f>
        <v>-182.103705036234</v>
      </c>
      <c r="X614" s="56" t="n">
        <f aca="false">IF(T614=1,IF($B$27&lt;=V614,1,0),0)</f>
        <v>0</v>
      </c>
      <c r="Y614" s="58" t="n">
        <f aca="false">Y613+V614</f>
        <v>113000.408372882</v>
      </c>
    </row>
    <row r="615" customFormat="false" ht="15" hidden="false" customHeight="false" outlineLevel="0" collapsed="false">
      <c r="K615" s="56" t="n">
        <f aca="false">K614+1</f>
        <v>608</v>
      </c>
      <c r="L615" s="57" t="n">
        <f aca="false">IF(AND(K615&lt;=Assumptions!$C$42,L614=1,P614=0,O614&gt;Assumptions!$C$43),1,0)</f>
        <v>0</v>
      </c>
      <c r="M615" s="58" t="n">
        <f aca="false">O614</f>
        <v>8.10541678220034E-009</v>
      </c>
      <c r="N615" s="58" t="n">
        <f aca="false">IF(L615=1,M615*$B$22,0)</f>
        <v>0</v>
      </c>
      <c r="O615" s="58" t="n">
        <f aca="false">IF(L615=1,M615+N615-$B$26,M615)</f>
        <v>8.10541678220034E-009</v>
      </c>
      <c r="P615" s="56" t="n">
        <f aca="false">IF(L615=1,IF($B$26&lt;=N615,1,0),0)</f>
        <v>0</v>
      </c>
      <c r="Q615" s="58" t="n">
        <f aca="false">Q614+N615</f>
        <v>145877.630223336</v>
      </c>
      <c r="S615" s="56" t="n">
        <f aca="false">S614+1</f>
        <v>608</v>
      </c>
      <c r="T615" s="57" t="n">
        <f aca="false">IF(AND(S615&lt;=Assumptions!$C$42,T614=1,X614=0,W614&gt;Assumptions!$C$43),1,0)</f>
        <v>0</v>
      </c>
      <c r="U615" s="58" t="n">
        <f aca="false">W614</f>
        <v>-182.103705036234</v>
      </c>
      <c r="V615" s="58" t="n">
        <f aca="false">IF(T615=1,U615*$B$22,0)</f>
        <v>0</v>
      </c>
      <c r="W615" s="58" t="n">
        <f aca="false">IF(T615=1,U615+V615-$B$27,U615)</f>
        <v>-182.103705036234</v>
      </c>
      <c r="X615" s="56" t="n">
        <f aca="false">IF(T615=1,IF($B$27&lt;=V615,1,0),0)</f>
        <v>0</v>
      </c>
      <c r="Y615" s="58" t="n">
        <f aca="false">Y614+V615</f>
        <v>113000.408372882</v>
      </c>
    </row>
    <row r="616" customFormat="false" ht="15" hidden="false" customHeight="false" outlineLevel="0" collapsed="false">
      <c r="K616" s="56" t="n">
        <f aca="false">K615+1</f>
        <v>609</v>
      </c>
      <c r="L616" s="57" t="n">
        <f aca="false">IF(AND(K616&lt;=Assumptions!$C$42,L615=1,P615=0,O615&gt;Assumptions!$C$43),1,0)</f>
        <v>0</v>
      </c>
      <c r="M616" s="58" t="n">
        <f aca="false">O615</f>
        <v>8.10541678220034E-009</v>
      </c>
      <c r="N616" s="58" t="n">
        <f aca="false">IF(L616=1,M616*$B$22,0)</f>
        <v>0</v>
      </c>
      <c r="O616" s="58" t="n">
        <f aca="false">IF(L616=1,M616+N616-$B$26,M616)</f>
        <v>8.10541678220034E-009</v>
      </c>
      <c r="P616" s="56" t="n">
        <f aca="false">IF(L616=1,IF($B$26&lt;=N616,1,0),0)</f>
        <v>0</v>
      </c>
      <c r="Q616" s="58" t="n">
        <f aca="false">Q615+N616</f>
        <v>145877.630223336</v>
      </c>
      <c r="S616" s="56" t="n">
        <f aca="false">S615+1</f>
        <v>609</v>
      </c>
      <c r="T616" s="57" t="n">
        <f aca="false">IF(AND(S616&lt;=Assumptions!$C$42,T615=1,X615=0,W615&gt;Assumptions!$C$43),1,0)</f>
        <v>0</v>
      </c>
      <c r="U616" s="58" t="n">
        <f aca="false">W615</f>
        <v>-182.103705036234</v>
      </c>
      <c r="V616" s="58" t="n">
        <f aca="false">IF(T616=1,U616*$B$22,0)</f>
        <v>0</v>
      </c>
      <c r="W616" s="58" t="n">
        <f aca="false">IF(T616=1,U616+V616-$B$27,U616)</f>
        <v>-182.103705036234</v>
      </c>
      <c r="X616" s="56" t="n">
        <f aca="false">IF(T616=1,IF($B$27&lt;=V616,1,0),0)</f>
        <v>0</v>
      </c>
      <c r="Y616" s="58" t="n">
        <f aca="false">Y615+V616</f>
        <v>113000.408372882</v>
      </c>
    </row>
    <row r="617" customFormat="false" ht="15" hidden="false" customHeight="false" outlineLevel="0" collapsed="false">
      <c r="K617" s="56" t="n">
        <f aca="false">K616+1</f>
        <v>610</v>
      </c>
      <c r="L617" s="57" t="n">
        <f aca="false">IF(AND(K617&lt;=Assumptions!$C$42,L616=1,P616=0,O616&gt;Assumptions!$C$43),1,0)</f>
        <v>0</v>
      </c>
      <c r="M617" s="58" t="n">
        <f aca="false">O616</f>
        <v>8.10541678220034E-009</v>
      </c>
      <c r="N617" s="58" t="n">
        <f aca="false">IF(L617=1,M617*$B$22,0)</f>
        <v>0</v>
      </c>
      <c r="O617" s="58" t="n">
        <f aca="false">IF(L617=1,M617+N617-$B$26,M617)</f>
        <v>8.10541678220034E-009</v>
      </c>
      <c r="P617" s="56" t="n">
        <f aca="false">IF(L617=1,IF($B$26&lt;=N617,1,0),0)</f>
        <v>0</v>
      </c>
      <c r="Q617" s="58" t="n">
        <f aca="false">Q616+N617</f>
        <v>145877.630223336</v>
      </c>
      <c r="S617" s="56" t="n">
        <f aca="false">S616+1</f>
        <v>610</v>
      </c>
      <c r="T617" s="57" t="n">
        <f aca="false">IF(AND(S617&lt;=Assumptions!$C$42,T616=1,X616=0,W616&gt;Assumptions!$C$43),1,0)</f>
        <v>0</v>
      </c>
      <c r="U617" s="58" t="n">
        <f aca="false">W616</f>
        <v>-182.103705036234</v>
      </c>
      <c r="V617" s="58" t="n">
        <f aca="false">IF(T617=1,U617*$B$22,0)</f>
        <v>0</v>
      </c>
      <c r="W617" s="58" t="n">
        <f aca="false">IF(T617=1,U617+V617-$B$27,U617)</f>
        <v>-182.103705036234</v>
      </c>
      <c r="X617" s="56" t="n">
        <f aca="false">IF(T617=1,IF($B$27&lt;=V617,1,0),0)</f>
        <v>0</v>
      </c>
      <c r="Y617" s="58" t="n">
        <f aca="false">Y616+V617</f>
        <v>113000.408372882</v>
      </c>
    </row>
    <row r="618" customFormat="false" ht="15" hidden="false" customHeight="false" outlineLevel="0" collapsed="false">
      <c r="K618" s="56" t="n">
        <f aca="false">K617+1</f>
        <v>611</v>
      </c>
      <c r="L618" s="57" t="n">
        <f aca="false">IF(AND(K618&lt;=Assumptions!$C$42,L617=1,P617=0,O617&gt;Assumptions!$C$43),1,0)</f>
        <v>0</v>
      </c>
      <c r="M618" s="58" t="n">
        <f aca="false">O617</f>
        <v>8.10541678220034E-009</v>
      </c>
      <c r="N618" s="58" t="n">
        <f aca="false">IF(L618=1,M618*$B$22,0)</f>
        <v>0</v>
      </c>
      <c r="O618" s="58" t="n">
        <f aca="false">IF(L618=1,M618+N618-$B$26,M618)</f>
        <v>8.10541678220034E-009</v>
      </c>
      <c r="P618" s="56" t="n">
        <f aca="false">IF(L618=1,IF($B$26&lt;=N618,1,0),0)</f>
        <v>0</v>
      </c>
      <c r="Q618" s="58" t="n">
        <f aca="false">Q617+N618</f>
        <v>145877.630223336</v>
      </c>
      <c r="S618" s="56" t="n">
        <f aca="false">S617+1</f>
        <v>611</v>
      </c>
      <c r="T618" s="57" t="n">
        <f aca="false">IF(AND(S618&lt;=Assumptions!$C$42,T617=1,X617=0,W617&gt;Assumptions!$C$43),1,0)</f>
        <v>0</v>
      </c>
      <c r="U618" s="58" t="n">
        <f aca="false">W617</f>
        <v>-182.103705036234</v>
      </c>
      <c r="V618" s="58" t="n">
        <f aca="false">IF(T618=1,U618*$B$22,0)</f>
        <v>0</v>
      </c>
      <c r="W618" s="58" t="n">
        <f aca="false">IF(T618=1,U618+V618-$B$27,U618)</f>
        <v>-182.103705036234</v>
      </c>
      <c r="X618" s="56" t="n">
        <f aca="false">IF(T618=1,IF($B$27&lt;=V618,1,0),0)</f>
        <v>0</v>
      </c>
      <c r="Y618" s="58" t="n">
        <f aca="false">Y617+V618</f>
        <v>113000.408372882</v>
      </c>
    </row>
    <row r="619" customFormat="false" ht="15" hidden="false" customHeight="false" outlineLevel="0" collapsed="false">
      <c r="K619" s="56" t="n">
        <f aca="false">K618+1</f>
        <v>612</v>
      </c>
      <c r="L619" s="57" t="n">
        <f aca="false">IF(AND(K619&lt;=Assumptions!$C$42,L618=1,P618=0,O618&gt;Assumptions!$C$43),1,0)</f>
        <v>0</v>
      </c>
      <c r="M619" s="58" t="n">
        <f aca="false">O618</f>
        <v>8.10541678220034E-009</v>
      </c>
      <c r="N619" s="58" t="n">
        <f aca="false">IF(L619=1,M619*$B$22,0)</f>
        <v>0</v>
      </c>
      <c r="O619" s="58" t="n">
        <f aca="false">IF(L619=1,M619+N619-$B$26,M619)</f>
        <v>8.10541678220034E-009</v>
      </c>
      <c r="P619" s="56" t="n">
        <f aca="false">IF(L619=1,IF($B$26&lt;=N619,1,0),0)</f>
        <v>0</v>
      </c>
      <c r="Q619" s="58" t="n">
        <f aca="false">Q618+N619</f>
        <v>145877.630223336</v>
      </c>
      <c r="S619" s="56" t="n">
        <f aca="false">S618+1</f>
        <v>612</v>
      </c>
      <c r="T619" s="57" t="n">
        <f aca="false">IF(AND(S619&lt;=Assumptions!$C$42,T618=1,X618=0,W618&gt;Assumptions!$C$43),1,0)</f>
        <v>0</v>
      </c>
      <c r="U619" s="58" t="n">
        <f aca="false">W618</f>
        <v>-182.103705036234</v>
      </c>
      <c r="V619" s="58" t="n">
        <f aca="false">IF(T619=1,U619*$B$22,0)</f>
        <v>0</v>
      </c>
      <c r="W619" s="58" t="n">
        <f aca="false">IF(T619=1,U619+V619-$B$27,U619)</f>
        <v>-182.103705036234</v>
      </c>
      <c r="X619" s="56" t="n">
        <f aca="false">IF(T619=1,IF($B$27&lt;=V619,1,0),0)</f>
        <v>0</v>
      </c>
      <c r="Y619" s="58" t="n">
        <f aca="false">Y618+V619</f>
        <v>113000.408372882</v>
      </c>
    </row>
    <row r="620" customFormat="false" ht="15" hidden="false" customHeight="false" outlineLevel="0" collapsed="false">
      <c r="K620" s="56" t="n">
        <f aca="false">K619+1</f>
        <v>613</v>
      </c>
      <c r="L620" s="57" t="n">
        <f aca="false">IF(AND(K620&lt;=Assumptions!$C$42,L619=1,P619=0,O619&gt;Assumptions!$C$43),1,0)</f>
        <v>0</v>
      </c>
      <c r="M620" s="58" t="n">
        <f aca="false">O619</f>
        <v>8.10541678220034E-009</v>
      </c>
      <c r="N620" s="58" t="n">
        <f aca="false">IF(L620=1,M620*$B$22,0)</f>
        <v>0</v>
      </c>
      <c r="O620" s="58" t="n">
        <f aca="false">IF(L620=1,M620+N620-$B$26,M620)</f>
        <v>8.10541678220034E-009</v>
      </c>
      <c r="P620" s="56" t="n">
        <f aca="false">IF(L620=1,IF($B$26&lt;=N620,1,0),0)</f>
        <v>0</v>
      </c>
      <c r="Q620" s="58" t="n">
        <f aca="false">Q619+N620</f>
        <v>145877.630223336</v>
      </c>
      <c r="S620" s="56" t="n">
        <f aca="false">S619+1</f>
        <v>613</v>
      </c>
      <c r="T620" s="57" t="n">
        <f aca="false">IF(AND(S620&lt;=Assumptions!$C$42,T619=1,X619=0,W619&gt;Assumptions!$C$43),1,0)</f>
        <v>0</v>
      </c>
      <c r="U620" s="58" t="n">
        <f aca="false">W619</f>
        <v>-182.103705036234</v>
      </c>
      <c r="V620" s="58" t="n">
        <f aca="false">IF(T620=1,U620*$B$22,0)</f>
        <v>0</v>
      </c>
      <c r="W620" s="58" t="n">
        <f aca="false">IF(T620=1,U620+V620-$B$27,U620)</f>
        <v>-182.103705036234</v>
      </c>
      <c r="X620" s="56" t="n">
        <f aca="false">IF(T620=1,IF($B$27&lt;=V620,1,0),0)</f>
        <v>0</v>
      </c>
      <c r="Y620" s="58" t="n">
        <f aca="false">Y619+V620</f>
        <v>113000.408372882</v>
      </c>
    </row>
    <row r="621" customFormat="false" ht="15" hidden="false" customHeight="false" outlineLevel="0" collapsed="false">
      <c r="K621" s="56" t="n">
        <f aca="false">K620+1</f>
        <v>614</v>
      </c>
      <c r="L621" s="57" t="n">
        <f aca="false">IF(AND(K621&lt;=Assumptions!$C$42,L620=1,P620=0,O620&gt;Assumptions!$C$43),1,0)</f>
        <v>0</v>
      </c>
      <c r="M621" s="58" t="n">
        <f aca="false">O620</f>
        <v>8.10541678220034E-009</v>
      </c>
      <c r="N621" s="58" t="n">
        <f aca="false">IF(L621=1,M621*$B$22,0)</f>
        <v>0</v>
      </c>
      <c r="O621" s="58" t="n">
        <f aca="false">IF(L621=1,M621+N621-$B$26,M621)</f>
        <v>8.10541678220034E-009</v>
      </c>
      <c r="P621" s="56" t="n">
        <f aca="false">IF(L621=1,IF($B$26&lt;=N621,1,0),0)</f>
        <v>0</v>
      </c>
      <c r="Q621" s="58" t="n">
        <f aca="false">Q620+N621</f>
        <v>145877.630223336</v>
      </c>
      <c r="S621" s="56" t="n">
        <f aca="false">S620+1</f>
        <v>614</v>
      </c>
      <c r="T621" s="57" t="n">
        <f aca="false">IF(AND(S621&lt;=Assumptions!$C$42,T620=1,X620=0,W620&gt;Assumptions!$C$43),1,0)</f>
        <v>0</v>
      </c>
      <c r="U621" s="58" t="n">
        <f aca="false">W620</f>
        <v>-182.103705036234</v>
      </c>
      <c r="V621" s="58" t="n">
        <f aca="false">IF(T621=1,U621*$B$22,0)</f>
        <v>0</v>
      </c>
      <c r="W621" s="58" t="n">
        <f aca="false">IF(T621=1,U621+V621-$B$27,U621)</f>
        <v>-182.103705036234</v>
      </c>
      <c r="X621" s="56" t="n">
        <f aca="false">IF(T621=1,IF($B$27&lt;=V621,1,0),0)</f>
        <v>0</v>
      </c>
      <c r="Y621" s="58" t="n">
        <f aca="false">Y620+V621</f>
        <v>113000.408372882</v>
      </c>
    </row>
    <row r="622" customFormat="false" ht="15" hidden="false" customHeight="false" outlineLevel="0" collapsed="false">
      <c r="K622" s="56" t="n">
        <f aca="false">K621+1</f>
        <v>615</v>
      </c>
      <c r="L622" s="57" t="n">
        <f aca="false">IF(AND(K622&lt;=Assumptions!$C$42,L621=1,P621=0,O621&gt;Assumptions!$C$43),1,0)</f>
        <v>0</v>
      </c>
      <c r="M622" s="58" t="n">
        <f aca="false">O621</f>
        <v>8.10541678220034E-009</v>
      </c>
      <c r="N622" s="58" t="n">
        <f aca="false">IF(L622=1,M622*$B$22,0)</f>
        <v>0</v>
      </c>
      <c r="O622" s="58" t="n">
        <f aca="false">IF(L622=1,M622+N622-$B$26,M622)</f>
        <v>8.10541678220034E-009</v>
      </c>
      <c r="P622" s="56" t="n">
        <f aca="false">IF(L622=1,IF($B$26&lt;=N622,1,0),0)</f>
        <v>0</v>
      </c>
      <c r="Q622" s="58" t="n">
        <f aca="false">Q621+N622</f>
        <v>145877.630223336</v>
      </c>
      <c r="S622" s="56" t="n">
        <f aca="false">S621+1</f>
        <v>615</v>
      </c>
      <c r="T622" s="57" t="n">
        <f aca="false">IF(AND(S622&lt;=Assumptions!$C$42,T621=1,X621=0,W621&gt;Assumptions!$C$43),1,0)</f>
        <v>0</v>
      </c>
      <c r="U622" s="58" t="n">
        <f aca="false">W621</f>
        <v>-182.103705036234</v>
      </c>
      <c r="V622" s="58" t="n">
        <f aca="false">IF(T622=1,U622*$B$22,0)</f>
        <v>0</v>
      </c>
      <c r="W622" s="58" t="n">
        <f aca="false">IF(T622=1,U622+V622-$B$27,U622)</f>
        <v>-182.103705036234</v>
      </c>
      <c r="X622" s="56" t="n">
        <f aca="false">IF(T622=1,IF($B$27&lt;=V622,1,0),0)</f>
        <v>0</v>
      </c>
      <c r="Y622" s="58" t="n">
        <f aca="false">Y621+V622</f>
        <v>113000.408372882</v>
      </c>
    </row>
    <row r="623" customFormat="false" ht="15" hidden="false" customHeight="false" outlineLevel="0" collapsed="false">
      <c r="K623" s="56" t="n">
        <f aca="false">K622+1</f>
        <v>616</v>
      </c>
      <c r="L623" s="57" t="n">
        <f aca="false">IF(AND(K623&lt;=Assumptions!$C$42,L622=1,P622=0,O622&gt;Assumptions!$C$43),1,0)</f>
        <v>0</v>
      </c>
      <c r="M623" s="58" t="n">
        <f aca="false">O622</f>
        <v>8.10541678220034E-009</v>
      </c>
      <c r="N623" s="58" t="n">
        <f aca="false">IF(L623=1,M623*$B$22,0)</f>
        <v>0</v>
      </c>
      <c r="O623" s="58" t="n">
        <f aca="false">IF(L623=1,M623+N623-$B$26,M623)</f>
        <v>8.10541678220034E-009</v>
      </c>
      <c r="P623" s="56" t="n">
        <f aca="false">IF(L623=1,IF($B$26&lt;=N623,1,0),0)</f>
        <v>0</v>
      </c>
      <c r="Q623" s="58" t="n">
        <f aca="false">Q622+N623</f>
        <v>145877.630223336</v>
      </c>
      <c r="S623" s="56" t="n">
        <f aca="false">S622+1</f>
        <v>616</v>
      </c>
      <c r="T623" s="57" t="n">
        <f aca="false">IF(AND(S623&lt;=Assumptions!$C$42,T622=1,X622=0,W622&gt;Assumptions!$C$43),1,0)</f>
        <v>0</v>
      </c>
      <c r="U623" s="58" t="n">
        <f aca="false">W622</f>
        <v>-182.103705036234</v>
      </c>
      <c r="V623" s="58" t="n">
        <f aca="false">IF(T623=1,U623*$B$22,0)</f>
        <v>0</v>
      </c>
      <c r="W623" s="58" t="n">
        <f aca="false">IF(T623=1,U623+V623-$B$27,U623)</f>
        <v>-182.103705036234</v>
      </c>
      <c r="X623" s="56" t="n">
        <f aca="false">IF(T623=1,IF($B$27&lt;=V623,1,0),0)</f>
        <v>0</v>
      </c>
      <c r="Y623" s="58" t="n">
        <f aca="false">Y622+V623</f>
        <v>113000.408372882</v>
      </c>
    </row>
    <row r="624" customFormat="false" ht="15" hidden="false" customHeight="false" outlineLevel="0" collapsed="false">
      <c r="K624" s="56" t="n">
        <f aca="false">K623+1</f>
        <v>617</v>
      </c>
      <c r="L624" s="57" t="n">
        <f aca="false">IF(AND(K624&lt;=Assumptions!$C$42,L623=1,P623=0,O623&gt;Assumptions!$C$43),1,0)</f>
        <v>0</v>
      </c>
      <c r="M624" s="58" t="n">
        <f aca="false">O623</f>
        <v>8.10541678220034E-009</v>
      </c>
      <c r="N624" s="58" t="n">
        <f aca="false">IF(L624=1,M624*$B$22,0)</f>
        <v>0</v>
      </c>
      <c r="O624" s="58" t="n">
        <f aca="false">IF(L624=1,M624+N624-$B$26,M624)</f>
        <v>8.10541678220034E-009</v>
      </c>
      <c r="P624" s="56" t="n">
        <f aca="false">IF(L624=1,IF($B$26&lt;=N624,1,0),0)</f>
        <v>0</v>
      </c>
      <c r="Q624" s="58" t="n">
        <f aca="false">Q623+N624</f>
        <v>145877.630223336</v>
      </c>
      <c r="S624" s="56" t="n">
        <f aca="false">S623+1</f>
        <v>617</v>
      </c>
      <c r="T624" s="57" t="n">
        <f aca="false">IF(AND(S624&lt;=Assumptions!$C$42,T623=1,X623=0,W623&gt;Assumptions!$C$43),1,0)</f>
        <v>0</v>
      </c>
      <c r="U624" s="58" t="n">
        <f aca="false">W623</f>
        <v>-182.103705036234</v>
      </c>
      <c r="V624" s="58" t="n">
        <f aca="false">IF(T624=1,U624*$B$22,0)</f>
        <v>0</v>
      </c>
      <c r="W624" s="58" t="n">
        <f aca="false">IF(T624=1,U624+V624-$B$27,U624)</f>
        <v>-182.103705036234</v>
      </c>
      <c r="X624" s="56" t="n">
        <f aca="false">IF(T624=1,IF($B$27&lt;=V624,1,0),0)</f>
        <v>0</v>
      </c>
      <c r="Y624" s="58" t="n">
        <f aca="false">Y623+V624</f>
        <v>113000.408372882</v>
      </c>
    </row>
    <row r="625" customFormat="false" ht="15" hidden="false" customHeight="false" outlineLevel="0" collapsed="false">
      <c r="K625" s="56" t="n">
        <f aca="false">K624+1</f>
        <v>618</v>
      </c>
      <c r="L625" s="57" t="n">
        <f aca="false">IF(AND(K625&lt;=Assumptions!$C$42,L624=1,P624=0,O624&gt;Assumptions!$C$43),1,0)</f>
        <v>0</v>
      </c>
      <c r="M625" s="58" t="n">
        <f aca="false">O624</f>
        <v>8.10541678220034E-009</v>
      </c>
      <c r="N625" s="58" t="n">
        <f aca="false">IF(L625=1,M625*$B$22,0)</f>
        <v>0</v>
      </c>
      <c r="O625" s="58" t="n">
        <f aca="false">IF(L625=1,M625+N625-$B$26,M625)</f>
        <v>8.10541678220034E-009</v>
      </c>
      <c r="P625" s="56" t="n">
        <f aca="false">IF(L625=1,IF($B$26&lt;=N625,1,0),0)</f>
        <v>0</v>
      </c>
      <c r="Q625" s="58" t="n">
        <f aca="false">Q624+N625</f>
        <v>145877.630223336</v>
      </c>
      <c r="S625" s="56" t="n">
        <f aca="false">S624+1</f>
        <v>618</v>
      </c>
      <c r="T625" s="57" t="n">
        <f aca="false">IF(AND(S625&lt;=Assumptions!$C$42,T624=1,X624=0,W624&gt;Assumptions!$C$43),1,0)</f>
        <v>0</v>
      </c>
      <c r="U625" s="58" t="n">
        <f aca="false">W624</f>
        <v>-182.103705036234</v>
      </c>
      <c r="V625" s="58" t="n">
        <f aca="false">IF(T625=1,U625*$B$22,0)</f>
        <v>0</v>
      </c>
      <c r="W625" s="58" t="n">
        <f aca="false">IF(T625=1,U625+V625-$B$27,U625)</f>
        <v>-182.103705036234</v>
      </c>
      <c r="X625" s="56" t="n">
        <f aca="false">IF(T625=1,IF($B$27&lt;=V625,1,0),0)</f>
        <v>0</v>
      </c>
      <c r="Y625" s="58" t="n">
        <f aca="false">Y624+V625</f>
        <v>113000.408372882</v>
      </c>
    </row>
    <row r="626" customFormat="false" ht="15" hidden="false" customHeight="false" outlineLevel="0" collapsed="false">
      <c r="K626" s="56" t="n">
        <f aca="false">K625+1</f>
        <v>619</v>
      </c>
      <c r="L626" s="57" t="n">
        <f aca="false">IF(AND(K626&lt;=Assumptions!$C$42,L625=1,P625=0,O625&gt;Assumptions!$C$43),1,0)</f>
        <v>0</v>
      </c>
      <c r="M626" s="58" t="n">
        <f aca="false">O625</f>
        <v>8.10541678220034E-009</v>
      </c>
      <c r="N626" s="58" t="n">
        <f aca="false">IF(L626=1,M626*$B$22,0)</f>
        <v>0</v>
      </c>
      <c r="O626" s="58" t="n">
        <f aca="false">IF(L626=1,M626+N626-$B$26,M626)</f>
        <v>8.10541678220034E-009</v>
      </c>
      <c r="P626" s="56" t="n">
        <f aca="false">IF(L626=1,IF($B$26&lt;=N626,1,0),0)</f>
        <v>0</v>
      </c>
      <c r="Q626" s="58" t="n">
        <f aca="false">Q625+N626</f>
        <v>145877.630223336</v>
      </c>
      <c r="S626" s="56" t="n">
        <f aca="false">S625+1</f>
        <v>619</v>
      </c>
      <c r="T626" s="57" t="n">
        <f aca="false">IF(AND(S626&lt;=Assumptions!$C$42,T625=1,X625=0,W625&gt;Assumptions!$C$43),1,0)</f>
        <v>0</v>
      </c>
      <c r="U626" s="58" t="n">
        <f aca="false">W625</f>
        <v>-182.103705036234</v>
      </c>
      <c r="V626" s="58" t="n">
        <f aca="false">IF(T626=1,U626*$B$22,0)</f>
        <v>0</v>
      </c>
      <c r="W626" s="58" t="n">
        <f aca="false">IF(T626=1,U626+V626-$B$27,U626)</f>
        <v>-182.103705036234</v>
      </c>
      <c r="X626" s="56" t="n">
        <f aca="false">IF(T626=1,IF($B$27&lt;=V626,1,0),0)</f>
        <v>0</v>
      </c>
      <c r="Y626" s="58" t="n">
        <f aca="false">Y625+V626</f>
        <v>113000.408372882</v>
      </c>
    </row>
    <row r="627" customFormat="false" ht="15" hidden="false" customHeight="false" outlineLevel="0" collapsed="false">
      <c r="K627" s="56" t="n">
        <f aca="false">K626+1</f>
        <v>620</v>
      </c>
      <c r="L627" s="57" t="n">
        <f aca="false">IF(AND(K627&lt;=Assumptions!$C$42,L626=1,P626=0,O626&gt;Assumptions!$C$43),1,0)</f>
        <v>0</v>
      </c>
      <c r="M627" s="58" t="n">
        <f aca="false">O626</f>
        <v>8.10541678220034E-009</v>
      </c>
      <c r="N627" s="58" t="n">
        <f aca="false">IF(L627=1,M627*$B$22,0)</f>
        <v>0</v>
      </c>
      <c r="O627" s="58" t="n">
        <f aca="false">IF(L627=1,M627+N627-$B$26,M627)</f>
        <v>8.10541678220034E-009</v>
      </c>
      <c r="P627" s="56" t="n">
        <f aca="false">IF(L627=1,IF($B$26&lt;=N627,1,0),0)</f>
        <v>0</v>
      </c>
      <c r="Q627" s="58" t="n">
        <f aca="false">Q626+N627</f>
        <v>145877.630223336</v>
      </c>
      <c r="S627" s="56" t="n">
        <f aca="false">S626+1</f>
        <v>620</v>
      </c>
      <c r="T627" s="57" t="n">
        <f aca="false">IF(AND(S627&lt;=Assumptions!$C$42,T626=1,X626=0,W626&gt;Assumptions!$C$43),1,0)</f>
        <v>0</v>
      </c>
      <c r="U627" s="58" t="n">
        <f aca="false">W626</f>
        <v>-182.103705036234</v>
      </c>
      <c r="V627" s="58" t="n">
        <f aca="false">IF(T627=1,U627*$B$22,0)</f>
        <v>0</v>
      </c>
      <c r="W627" s="58" t="n">
        <f aca="false">IF(T627=1,U627+V627-$B$27,U627)</f>
        <v>-182.103705036234</v>
      </c>
      <c r="X627" s="56" t="n">
        <f aca="false">IF(T627=1,IF($B$27&lt;=V627,1,0),0)</f>
        <v>0</v>
      </c>
      <c r="Y627" s="58" t="n">
        <f aca="false">Y626+V627</f>
        <v>113000.408372882</v>
      </c>
    </row>
    <row r="628" customFormat="false" ht="15" hidden="false" customHeight="false" outlineLevel="0" collapsed="false">
      <c r="K628" s="56" t="n">
        <f aca="false">K627+1</f>
        <v>621</v>
      </c>
      <c r="L628" s="57" t="n">
        <f aca="false">IF(AND(K628&lt;=Assumptions!$C$42,L627=1,P627=0,O627&gt;Assumptions!$C$43),1,0)</f>
        <v>0</v>
      </c>
      <c r="M628" s="58" t="n">
        <f aca="false">O627</f>
        <v>8.10541678220034E-009</v>
      </c>
      <c r="N628" s="58" t="n">
        <f aca="false">IF(L628=1,M628*$B$22,0)</f>
        <v>0</v>
      </c>
      <c r="O628" s="58" t="n">
        <f aca="false">IF(L628=1,M628+N628-$B$26,M628)</f>
        <v>8.10541678220034E-009</v>
      </c>
      <c r="P628" s="56" t="n">
        <f aca="false">IF(L628=1,IF($B$26&lt;=N628,1,0),0)</f>
        <v>0</v>
      </c>
      <c r="Q628" s="58" t="n">
        <f aca="false">Q627+N628</f>
        <v>145877.630223336</v>
      </c>
      <c r="S628" s="56" t="n">
        <f aca="false">S627+1</f>
        <v>621</v>
      </c>
      <c r="T628" s="57" t="n">
        <f aca="false">IF(AND(S628&lt;=Assumptions!$C$42,T627=1,X627=0,W627&gt;Assumptions!$C$43),1,0)</f>
        <v>0</v>
      </c>
      <c r="U628" s="58" t="n">
        <f aca="false">W627</f>
        <v>-182.103705036234</v>
      </c>
      <c r="V628" s="58" t="n">
        <f aca="false">IF(T628=1,U628*$B$22,0)</f>
        <v>0</v>
      </c>
      <c r="W628" s="58" t="n">
        <f aca="false">IF(T628=1,U628+V628-$B$27,U628)</f>
        <v>-182.103705036234</v>
      </c>
      <c r="X628" s="56" t="n">
        <f aca="false">IF(T628=1,IF($B$27&lt;=V628,1,0),0)</f>
        <v>0</v>
      </c>
      <c r="Y628" s="58" t="n">
        <f aca="false">Y627+V628</f>
        <v>113000.408372882</v>
      </c>
    </row>
    <row r="629" customFormat="false" ht="15" hidden="false" customHeight="false" outlineLevel="0" collapsed="false">
      <c r="K629" s="56" t="n">
        <f aca="false">K628+1</f>
        <v>622</v>
      </c>
      <c r="L629" s="57" t="n">
        <f aca="false">IF(AND(K629&lt;=Assumptions!$C$42,L628=1,P628=0,O628&gt;Assumptions!$C$43),1,0)</f>
        <v>0</v>
      </c>
      <c r="M629" s="58" t="n">
        <f aca="false">O628</f>
        <v>8.10541678220034E-009</v>
      </c>
      <c r="N629" s="58" t="n">
        <f aca="false">IF(L629=1,M629*$B$22,0)</f>
        <v>0</v>
      </c>
      <c r="O629" s="58" t="n">
        <f aca="false">IF(L629=1,M629+N629-$B$26,M629)</f>
        <v>8.10541678220034E-009</v>
      </c>
      <c r="P629" s="56" t="n">
        <f aca="false">IF(L629=1,IF($B$26&lt;=N629,1,0),0)</f>
        <v>0</v>
      </c>
      <c r="Q629" s="58" t="n">
        <f aca="false">Q628+N629</f>
        <v>145877.630223336</v>
      </c>
      <c r="S629" s="56" t="n">
        <f aca="false">S628+1</f>
        <v>622</v>
      </c>
      <c r="T629" s="57" t="n">
        <f aca="false">IF(AND(S629&lt;=Assumptions!$C$42,T628=1,X628=0,W628&gt;Assumptions!$C$43),1,0)</f>
        <v>0</v>
      </c>
      <c r="U629" s="58" t="n">
        <f aca="false">W628</f>
        <v>-182.103705036234</v>
      </c>
      <c r="V629" s="58" t="n">
        <f aca="false">IF(T629=1,U629*$B$22,0)</f>
        <v>0</v>
      </c>
      <c r="W629" s="58" t="n">
        <f aca="false">IF(T629=1,U629+V629-$B$27,U629)</f>
        <v>-182.103705036234</v>
      </c>
      <c r="X629" s="56" t="n">
        <f aca="false">IF(T629=1,IF($B$27&lt;=V629,1,0),0)</f>
        <v>0</v>
      </c>
      <c r="Y629" s="58" t="n">
        <f aca="false">Y628+V629</f>
        <v>113000.408372882</v>
      </c>
    </row>
    <row r="630" customFormat="false" ht="15" hidden="false" customHeight="false" outlineLevel="0" collapsed="false">
      <c r="K630" s="56" t="n">
        <f aca="false">K629+1</f>
        <v>623</v>
      </c>
      <c r="L630" s="57" t="n">
        <f aca="false">IF(AND(K630&lt;=Assumptions!$C$42,L629=1,P629=0,O629&gt;Assumptions!$C$43),1,0)</f>
        <v>0</v>
      </c>
      <c r="M630" s="58" t="n">
        <f aca="false">O629</f>
        <v>8.10541678220034E-009</v>
      </c>
      <c r="N630" s="58" t="n">
        <f aca="false">IF(L630=1,M630*$B$22,0)</f>
        <v>0</v>
      </c>
      <c r="O630" s="58" t="n">
        <f aca="false">IF(L630=1,M630+N630-$B$26,M630)</f>
        <v>8.10541678220034E-009</v>
      </c>
      <c r="P630" s="56" t="n">
        <f aca="false">IF(L630=1,IF($B$26&lt;=N630,1,0),0)</f>
        <v>0</v>
      </c>
      <c r="Q630" s="58" t="n">
        <f aca="false">Q629+N630</f>
        <v>145877.630223336</v>
      </c>
      <c r="S630" s="56" t="n">
        <f aca="false">S629+1</f>
        <v>623</v>
      </c>
      <c r="T630" s="57" t="n">
        <f aca="false">IF(AND(S630&lt;=Assumptions!$C$42,T629=1,X629=0,W629&gt;Assumptions!$C$43),1,0)</f>
        <v>0</v>
      </c>
      <c r="U630" s="58" t="n">
        <f aca="false">W629</f>
        <v>-182.103705036234</v>
      </c>
      <c r="V630" s="58" t="n">
        <f aca="false">IF(T630=1,U630*$B$22,0)</f>
        <v>0</v>
      </c>
      <c r="W630" s="58" t="n">
        <f aca="false">IF(T630=1,U630+V630-$B$27,U630)</f>
        <v>-182.103705036234</v>
      </c>
      <c r="X630" s="56" t="n">
        <f aca="false">IF(T630=1,IF($B$27&lt;=V630,1,0),0)</f>
        <v>0</v>
      </c>
      <c r="Y630" s="58" t="n">
        <f aca="false">Y629+V630</f>
        <v>113000.408372882</v>
      </c>
    </row>
    <row r="631" customFormat="false" ht="15" hidden="false" customHeight="false" outlineLevel="0" collapsed="false">
      <c r="K631" s="56" t="n">
        <f aca="false">K630+1</f>
        <v>624</v>
      </c>
      <c r="L631" s="57" t="n">
        <f aca="false">IF(AND(K631&lt;=Assumptions!$C$42,L630=1,P630=0,O630&gt;Assumptions!$C$43),1,0)</f>
        <v>0</v>
      </c>
      <c r="M631" s="58" t="n">
        <f aca="false">O630</f>
        <v>8.10541678220034E-009</v>
      </c>
      <c r="N631" s="58" t="n">
        <f aca="false">IF(L631=1,M631*$B$22,0)</f>
        <v>0</v>
      </c>
      <c r="O631" s="58" t="n">
        <f aca="false">IF(L631=1,M631+N631-$B$26,M631)</f>
        <v>8.10541678220034E-009</v>
      </c>
      <c r="P631" s="56" t="n">
        <f aca="false">IF(L631=1,IF($B$26&lt;=N631,1,0),0)</f>
        <v>0</v>
      </c>
      <c r="Q631" s="58" t="n">
        <f aca="false">Q630+N631</f>
        <v>145877.630223336</v>
      </c>
      <c r="S631" s="56" t="n">
        <f aca="false">S630+1</f>
        <v>624</v>
      </c>
      <c r="T631" s="57" t="n">
        <f aca="false">IF(AND(S631&lt;=Assumptions!$C$42,T630=1,X630=0,W630&gt;Assumptions!$C$43),1,0)</f>
        <v>0</v>
      </c>
      <c r="U631" s="58" t="n">
        <f aca="false">W630</f>
        <v>-182.103705036234</v>
      </c>
      <c r="V631" s="58" t="n">
        <f aca="false">IF(T631=1,U631*$B$22,0)</f>
        <v>0</v>
      </c>
      <c r="W631" s="58" t="n">
        <f aca="false">IF(T631=1,U631+V631-$B$27,U631)</f>
        <v>-182.103705036234</v>
      </c>
      <c r="X631" s="56" t="n">
        <f aca="false">IF(T631=1,IF($B$27&lt;=V631,1,0),0)</f>
        <v>0</v>
      </c>
      <c r="Y631" s="58" t="n">
        <f aca="false">Y630+V631</f>
        <v>113000.408372882</v>
      </c>
    </row>
    <row r="632" customFormat="false" ht="15" hidden="false" customHeight="false" outlineLevel="0" collapsed="false">
      <c r="K632" s="56" t="n">
        <f aca="false">K631+1</f>
        <v>625</v>
      </c>
      <c r="L632" s="57" t="n">
        <f aca="false">IF(AND(K632&lt;=Assumptions!$C$42,L631=1,P631=0,O631&gt;Assumptions!$C$43),1,0)</f>
        <v>0</v>
      </c>
      <c r="M632" s="58" t="n">
        <f aca="false">O631</f>
        <v>8.10541678220034E-009</v>
      </c>
      <c r="N632" s="58" t="n">
        <f aca="false">IF(L632=1,M632*$B$22,0)</f>
        <v>0</v>
      </c>
      <c r="O632" s="58" t="n">
        <f aca="false">IF(L632=1,M632+N632-$B$26,M632)</f>
        <v>8.10541678220034E-009</v>
      </c>
      <c r="P632" s="56" t="n">
        <f aca="false">IF(L632=1,IF($B$26&lt;=N632,1,0),0)</f>
        <v>0</v>
      </c>
      <c r="Q632" s="58" t="n">
        <f aca="false">Q631+N632</f>
        <v>145877.630223336</v>
      </c>
      <c r="S632" s="56" t="n">
        <f aca="false">S631+1</f>
        <v>625</v>
      </c>
      <c r="T632" s="57" t="n">
        <f aca="false">IF(AND(S632&lt;=Assumptions!$C$42,T631=1,X631=0,W631&gt;Assumptions!$C$43),1,0)</f>
        <v>0</v>
      </c>
      <c r="U632" s="58" t="n">
        <f aca="false">W631</f>
        <v>-182.103705036234</v>
      </c>
      <c r="V632" s="58" t="n">
        <f aca="false">IF(T632=1,U632*$B$22,0)</f>
        <v>0</v>
      </c>
      <c r="W632" s="58" t="n">
        <f aca="false">IF(T632=1,U632+V632-$B$27,U632)</f>
        <v>-182.103705036234</v>
      </c>
      <c r="X632" s="56" t="n">
        <f aca="false">IF(T632=1,IF($B$27&lt;=V632,1,0),0)</f>
        <v>0</v>
      </c>
      <c r="Y632" s="58" t="n">
        <f aca="false">Y631+V632</f>
        <v>113000.408372882</v>
      </c>
    </row>
    <row r="633" customFormat="false" ht="15" hidden="false" customHeight="false" outlineLevel="0" collapsed="false">
      <c r="K633" s="56" t="n">
        <f aca="false">K632+1</f>
        <v>626</v>
      </c>
      <c r="L633" s="57" t="n">
        <f aca="false">IF(AND(K633&lt;=Assumptions!$C$42,L632=1,P632=0,O632&gt;Assumptions!$C$43),1,0)</f>
        <v>0</v>
      </c>
      <c r="M633" s="58" t="n">
        <f aca="false">O632</f>
        <v>8.10541678220034E-009</v>
      </c>
      <c r="N633" s="58" t="n">
        <f aca="false">IF(L633=1,M633*$B$22,0)</f>
        <v>0</v>
      </c>
      <c r="O633" s="58" t="n">
        <f aca="false">IF(L633=1,M633+N633-$B$26,M633)</f>
        <v>8.10541678220034E-009</v>
      </c>
      <c r="P633" s="56" t="n">
        <f aca="false">IF(L633=1,IF($B$26&lt;=N633,1,0),0)</f>
        <v>0</v>
      </c>
      <c r="Q633" s="58" t="n">
        <f aca="false">Q632+N633</f>
        <v>145877.630223336</v>
      </c>
      <c r="S633" s="56" t="n">
        <f aca="false">S632+1</f>
        <v>626</v>
      </c>
      <c r="T633" s="57" t="n">
        <f aca="false">IF(AND(S633&lt;=Assumptions!$C$42,T632=1,X632=0,W632&gt;Assumptions!$C$43),1,0)</f>
        <v>0</v>
      </c>
      <c r="U633" s="58" t="n">
        <f aca="false">W632</f>
        <v>-182.103705036234</v>
      </c>
      <c r="V633" s="58" t="n">
        <f aca="false">IF(T633=1,U633*$B$22,0)</f>
        <v>0</v>
      </c>
      <c r="W633" s="58" t="n">
        <f aca="false">IF(T633=1,U633+V633-$B$27,U633)</f>
        <v>-182.103705036234</v>
      </c>
      <c r="X633" s="56" t="n">
        <f aca="false">IF(T633=1,IF($B$27&lt;=V633,1,0),0)</f>
        <v>0</v>
      </c>
      <c r="Y633" s="58" t="n">
        <f aca="false">Y632+V633</f>
        <v>113000.408372882</v>
      </c>
    </row>
    <row r="634" customFormat="false" ht="15" hidden="false" customHeight="false" outlineLevel="0" collapsed="false">
      <c r="K634" s="56" t="n">
        <f aca="false">K633+1</f>
        <v>627</v>
      </c>
      <c r="L634" s="57" t="n">
        <f aca="false">IF(AND(K634&lt;=Assumptions!$C$42,L633=1,P633=0,O633&gt;Assumptions!$C$43),1,0)</f>
        <v>0</v>
      </c>
      <c r="M634" s="58" t="n">
        <f aca="false">O633</f>
        <v>8.10541678220034E-009</v>
      </c>
      <c r="N634" s="58" t="n">
        <f aca="false">IF(L634=1,M634*$B$22,0)</f>
        <v>0</v>
      </c>
      <c r="O634" s="58" t="n">
        <f aca="false">IF(L634=1,M634+N634-$B$26,M634)</f>
        <v>8.10541678220034E-009</v>
      </c>
      <c r="P634" s="56" t="n">
        <f aca="false">IF(L634=1,IF($B$26&lt;=N634,1,0),0)</f>
        <v>0</v>
      </c>
      <c r="Q634" s="58" t="n">
        <f aca="false">Q633+N634</f>
        <v>145877.630223336</v>
      </c>
      <c r="S634" s="56" t="n">
        <f aca="false">S633+1</f>
        <v>627</v>
      </c>
      <c r="T634" s="57" t="n">
        <f aca="false">IF(AND(S634&lt;=Assumptions!$C$42,T633=1,X633=0,W633&gt;Assumptions!$C$43),1,0)</f>
        <v>0</v>
      </c>
      <c r="U634" s="58" t="n">
        <f aca="false">W633</f>
        <v>-182.103705036234</v>
      </c>
      <c r="V634" s="58" t="n">
        <f aca="false">IF(T634=1,U634*$B$22,0)</f>
        <v>0</v>
      </c>
      <c r="W634" s="58" t="n">
        <f aca="false">IF(T634=1,U634+V634-$B$27,U634)</f>
        <v>-182.103705036234</v>
      </c>
      <c r="X634" s="56" t="n">
        <f aca="false">IF(T634=1,IF($B$27&lt;=V634,1,0),0)</f>
        <v>0</v>
      </c>
      <c r="Y634" s="58" t="n">
        <f aca="false">Y633+V634</f>
        <v>113000.408372882</v>
      </c>
    </row>
    <row r="635" customFormat="false" ht="15" hidden="false" customHeight="false" outlineLevel="0" collapsed="false">
      <c r="K635" s="56" t="n">
        <f aca="false">K634+1</f>
        <v>628</v>
      </c>
      <c r="L635" s="57" t="n">
        <f aca="false">IF(AND(K635&lt;=Assumptions!$C$42,L634=1,P634=0,O634&gt;Assumptions!$C$43),1,0)</f>
        <v>0</v>
      </c>
      <c r="M635" s="58" t="n">
        <f aca="false">O634</f>
        <v>8.10541678220034E-009</v>
      </c>
      <c r="N635" s="58" t="n">
        <f aca="false">IF(L635=1,M635*$B$22,0)</f>
        <v>0</v>
      </c>
      <c r="O635" s="58" t="n">
        <f aca="false">IF(L635=1,M635+N635-$B$26,M635)</f>
        <v>8.10541678220034E-009</v>
      </c>
      <c r="P635" s="56" t="n">
        <f aca="false">IF(L635=1,IF($B$26&lt;=N635,1,0),0)</f>
        <v>0</v>
      </c>
      <c r="Q635" s="58" t="n">
        <f aca="false">Q634+N635</f>
        <v>145877.630223336</v>
      </c>
      <c r="S635" s="56" t="n">
        <f aca="false">S634+1</f>
        <v>628</v>
      </c>
      <c r="T635" s="57" t="n">
        <f aca="false">IF(AND(S635&lt;=Assumptions!$C$42,T634=1,X634=0,W634&gt;Assumptions!$C$43),1,0)</f>
        <v>0</v>
      </c>
      <c r="U635" s="58" t="n">
        <f aca="false">W634</f>
        <v>-182.103705036234</v>
      </c>
      <c r="V635" s="58" t="n">
        <f aca="false">IF(T635=1,U635*$B$22,0)</f>
        <v>0</v>
      </c>
      <c r="W635" s="58" t="n">
        <f aca="false">IF(T635=1,U635+V635-$B$27,U635)</f>
        <v>-182.103705036234</v>
      </c>
      <c r="X635" s="56" t="n">
        <f aca="false">IF(T635=1,IF($B$27&lt;=V635,1,0),0)</f>
        <v>0</v>
      </c>
      <c r="Y635" s="58" t="n">
        <f aca="false">Y634+V635</f>
        <v>113000.408372882</v>
      </c>
    </row>
    <row r="636" customFormat="false" ht="15" hidden="false" customHeight="false" outlineLevel="0" collapsed="false">
      <c r="K636" s="56" t="n">
        <f aca="false">K635+1</f>
        <v>629</v>
      </c>
      <c r="L636" s="57" t="n">
        <f aca="false">IF(AND(K636&lt;=Assumptions!$C$42,L635=1,P635=0,O635&gt;Assumptions!$C$43),1,0)</f>
        <v>0</v>
      </c>
      <c r="M636" s="58" t="n">
        <f aca="false">O635</f>
        <v>8.10541678220034E-009</v>
      </c>
      <c r="N636" s="58" t="n">
        <f aca="false">IF(L636=1,M636*$B$22,0)</f>
        <v>0</v>
      </c>
      <c r="O636" s="58" t="n">
        <f aca="false">IF(L636=1,M636+N636-$B$26,M636)</f>
        <v>8.10541678220034E-009</v>
      </c>
      <c r="P636" s="56" t="n">
        <f aca="false">IF(L636=1,IF($B$26&lt;=N636,1,0),0)</f>
        <v>0</v>
      </c>
      <c r="Q636" s="58" t="n">
        <f aca="false">Q635+N636</f>
        <v>145877.630223336</v>
      </c>
      <c r="S636" s="56" t="n">
        <f aca="false">S635+1</f>
        <v>629</v>
      </c>
      <c r="T636" s="57" t="n">
        <f aca="false">IF(AND(S636&lt;=Assumptions!$C$42,T635=1,X635=0,W635&gt;Assumptions!$C$43),1,0)</f>
        <v>0</v>
      </c>
      <c r="U636" s="58" t="n">
        <f aca="false">W635</f>
        <v>-182.103705036234</v>
      </c>
      <c r="V636" s="58" t="n">
        <f aca="false">IF(T636=1,U636*$B$22,0)</f>
        <v>0</v>
      </c>
      <c r="W636" s="58" t="n">
        <f aca="false">IF(T636=1,U636+V636-$B$27,U636)</f>
        <v>-182.103705036234</v>
      </c>
      <c r="X636" s="56" t="n">
        <f aca="false">IF(T636=1,IF($B$27&lt;=V636,1,0),0)</f>
        <v>0</v>
      </c>
      <c r="Y636" s="58" t="n">
        <f aca="false">Y635+V636</f>
        <v>113000.408372882</v>
      </c>
    </row>
    <row r="637" customFormat="false" ht="15" hidden="false" customHeight="false" outlineLevel="0" collapsed="false">
      <c r="K637" s="56" t="n">
        <f aca="false">K636+1</f>
        <v>630</v>
      </c>
      <c r="L637" s="57" t="n">
        <f aca="false">IF(AND(K637&lt;=Assumptions!$C$42,L636=1,P636=0,O636&gt;Assumptions!$C$43),1,0)</f>
        <v>0</v>
      </c>
      <c r="M637" s="58" t="n">
        <f aca="false">O636</f>
        <v>8.10541678220034E-009</v>
      </c>
      <c r="N637" s="58" t="n">
        <f aca="false">IF(L637=1,M637*$B$22,0)</f>
        <v>0</v>
      </c>
      <c r="O637" s="58" t="n">
        <f aca="false">IF(L637=1,M637+N637-$B$26,M637)</f>
        <v>8.10541678220034E-009</v>
      </c>
      <c r="P637" s="56" t="n">
        <f aca="false">IF(L637=1,IF($B$26&lt;=N637,1,0),0)</f>
        <v>0</v>
      </c>
      <c r="Q637" s="58" t="n">
        <f aca="false">Q636+N637</f>
        <v>145877.630223336</v>
      </c>
      <c r="S637" s="56" t="n">
        <f aca="false">S636+1</f>
        <v>630</v>
      </c>
      <c r="T637" s="57" t="n">
        <f aca="false">IF(AND(S637&lt;=Assumptions!$C$42,T636=1,X636=0,W636&gt;Assumptions!$C$43),1,0)</f>
        <v>0</v>
      </c>
      <c r="U637" s="58" t="n">
        <f aca="false">W636</f>
        <v>-182.103705036234</v>
      </c>
      <c r="V637" s="58" t="n">
        <f aca="false">IF(T637=1,U637*$B$22,0)</f>
        <v>0</v>
      </c>
      <c r="W637" s="58" t="n">
        <f aca="false">IF(T637=1,U637+V637-$B$27,U637)</f>
        <v>-182.103705036234</v>
      </c>
      <c r="X637" s="56" t="n">
        <f aca="false">IF(T637=1,IF($B$27&lt;=V637,1,0),0)</f>
        <v>0</v>
      </c>
      <c r="Y637" s="58" t="n">
        <f aca="false">Y636+V637</f>
        <v>113000.408372882</v>
      </c>
    </row>
    <row r="638" customFormat="false" ht="15" hidden="false" customHeight="false" outlineLevel="0" collapsed="false">
      <c r="K638" s="56" t="n">
        <f aca="false">K637+1</f>
        <v>631</v>
      </c>
      <c r="L638" s="57" t="n">
        <f aca="false">IF(AND(K638&lt;=Assumptions!$C$42,L637=1,P637=0,O637&gt;Assumptions!$C$43),1,0)</f>
        <v>0</v>
      </c>
      <c r="M638" s="58" t="n">
        <f aca="false">O637</f>
        <v>8.10541678220034E-009</v>
      </c>
      <c r="N638" s="58" t="n">
        <f aca="false">IF(L638=1,M638*$B$22,0)</f>
        <v>0</v>
      </c>
      <c r="O638" s="58" t="n">
        <f aca="false">IF(L638=1,M638+N638-$B$26,M638)</f>
        <v>8.10541678220034E-009</v>
      </c>
      <c r="P638" s="56" t="n">
        <f aca="false">IF(L638=1,IF($B$26&lt;=N638,1,0),0)</f>
        <v>0</v>
      </c>
      <c r="Q638" s="58" t="n">
        <f aca="false">Q637+N638</f>
        <v>145877.630223336</v>
      </c>
      <c r="S638" s="56" t="n">
        <f aca="false">S637+1</f>
        <v>631</v>
      </c>
      <c r="T638" s="57" t="n">
        <f aca="false">IF(AND(S638&lt;=Assumptions!$C$42,T637=1,X637=0,W637&gt;Assumptions!$C$43),1,0)</f>
        <v>0</v>
      </c>
      <c r="U638" s="58" t="n">
        <f aca="false">W637</f>
        <v>-182.103705036234</v>
      </c>
      <c r="V638" s="58" t="n">
        <f aca="false">IF(T638=1,U638*$B$22,0)</f>
        <v>0</v>
      </c>
      <c r="W638" s="58" t="n">
        <f aca="false">IF(T638=1,U638+V638-$B$27,U638)</f>
        <v>-182.103705036234</v>
      </c>
      <c r="X638" s="56" t="n">
        <f aca="false">IF(T638=1,IF($B$27&lt;=V638,1,0),0)</f>
        <v>0</v>
      </c>
      <c r="Y638" s="58" t="n">
        <f aca="false">Y637+V638</f>
        <v>113000.408372882</v>
      </c>
    </row>
    <row r="639" customFormat="false" ht="15" hidden="false" customHeight="false" outlineLevel="0" collapsed="false">
      <c r="K639" s="56" t="n">
        <f aca="false">K638+1</f>
        <v>632</v>
      </c>
      <c r="L639" s="57" t="n">
        <f aca="false">IF(AND(K639&lt;=Assumptions!$C$42,L638=1,P638=0,O638&gt;Assumptions!$C$43),1,0)</f>
        <v>0</v>
      </c>
      <c r="M639" s="58" t="n">
        <f aca="false">O638</f>
        <v>8.10541678220034E-009</v>
      </c>
      <c r="N639" s="58" t="n">
        <f aca="false">IF(L639=1,M639*$B$22,0)</f>
        <v>0</v>
      </c>
      <c r="O639" s="58" t="n">
        <f aca="false">IF(L639=1,M639+N639-$B$26,M639)</f>
        <v>8.10541678220034E-009</v>
      </c>
      <c r="P639" s="56" t="n">
        <f aca="false">IF(L639=1,IF($B$26&lt;=N639,1,0),0)</f>
        <v>0</v>
      </c>
      <c r="Q639" s="58" t="n">
        <f aca="false">Q638+N639</f>
        <v>145877.630223336</v>
      </c>
      <c r="S639" s="56" t="n">
        <f aca="false">S638+1</f>
        <v>632</v>
      </c>
      <c r="T639" s="57" t="n">
        <f aca="false">IF(AND(S639&lt;=Assumptions!$C$42,T638=1,X638=0,W638&gt;Assumptions!$C$43),1,0)</f>
        <v>0</v>
      </c>
      <c r="U639" s="58" t="n">
        <f aca="false">W638</f>
        <v>-182.103705036234</v>
      </c>
      <c r="V639" s="58" t="n">
        <f aca="false">IF(T639=1,U639*$B$22,0)</f>
        <v>0</v>
      </c>
      <c r="W639" s="58" t="n">
        <f aca="false">IF(T639=1,U639+V639-$B$27,U639)</f>
        <v>-182.103705036234</v>
      </c>
      <c r="X639" s="56" t="n">
        <f aca="false">IF(T639=1,IF($B$27&lt;=V639,1,0),0)</f>
        <v>0</v>
      </c>
      <c r="Y639" s="58" t="n">
        <f aca="false">Y638+V639</f>
        <v>113000.408372882</v>
      </c>
    </row>
    <row r="640" customFormat="false" ht="15" hidden="false" customHeight="false" outlineLevel="0" collapsed="false">
      <c r="K640" s="56" t="n">
        <f aca="false">K639+1</f>
        <v>633</v>
      </c>
      <c r="L640" s="57" t="n">
        <f aca="false">IF(AND(K640&lt;=Assumptions!$C$42,L639=1,P639=0,O639&gt;Assumptions!$C$43),1,0)</f>
        <v>0</v>
      </c>
      <c r="M640" s="58" t="n">
        <f aca="false">O639</f>
        <v>8.10541678220034E-009</v>
      </c>
      <c r="N640" s="58" t="n">
        <f aca="false">IF(L640=1,M640*$B$22,0)</f>
        <v>0</v>
      </c>
      <c r="O640" s="58" t="n">
        <f aca="false">IF(L640=1,M640+N640-$B$26,M640)</f>
        <v>8.10541678220034E-009</v>
      </c>
      <c r="P640" s="56" t="n">
        <f aca="false">IF(L640=1,IF($B$26&lt;=N640,1,0),0)</f>
        <v>0</v>
      </c>
      <c r="Q640" s="58" t="n">
        <f aca="false">Q639+N640</f>
        <v>145877.630223336</v>
      </c>
      <c r="S640" s="56" t="n">
        <f aca="false">S639+1</f>
        <v>633</v>
      </c>
      <c r="T640" s="57" t="n">
        <f aca="false">IF(AND(S640&lt;=Assumptions!$C$42,T639=1,X639=0,W639&gt;Assumptions!$C$43),1,0)</f>
        <v>0</v>
      </c>
      <c r="U640" s="58" t="n">
        <f aca="false">W639</f>
        <v>-182.103705036234</v>
      </c>
      <c r="V640" s="58" t="n">
        <f aca="false">IF(T640=1,U640*$B$22,0)</f>
        <v>0</v>
      </c>
      <c r="W640" s="58" t="n">
        <f aca="false">IF(T640=1,U640+V640-$B$27,U640)</f>
        <v>-182.103705036234</v>
      </c>
      <c r="X640" s="56" t="n">
        <f aca="false">IF(T640=1,IF($B$27&lt;=V640,1,0),0)</f>
        <v>0</v>
      </c>
      <c r="Y640" s="58" t="n">
        <f aca="false">Y639+V640</f>
        <v>113000.408372882</v>
      </c>
    </row>
    <row r="641" customFormat="false" ht="15" hidden="false" customHeight="false" outlineLevel="0" collapsed="false">
      <c r="K641" s="56" t="n">
        <f aca="false">K640+1</f>
        <v>634</v>
      </c>
      <c r="L641" s="57" t="n">
        <f aca="false">IF(AND(K641&lt;=Assumptions!$C$42,L640=1,P640=0,O640&gt;Assumptions!$C$43),1,0)</f>
        <v>0</v>
      </c>
      <c r="M641" s="58" t="n">
        <f aca="false">O640</f>
        <v>8.10541678220034E-009</v>
      </c>
      <c r="N641" s="58" t="n">
        <f aca="false">IF(L641=1,M641*$B$22,0)</f>
        <v>0</v>
      </c>
      <c r="O641" s="58" t="n">
        <f aca="false">IF(L641=1,M641+N641-$B$26,M641)</f>
        <v>8.10541678220034E-009</v>
      </c>
      <c r="P641" s="56" t="n">
        <f aca="false">IF(L641=1,IF($B$26&lt;=N641,1,0),0)</f>
        <v>0</v>
      </c>
      <c r="Q641" s="58" t="n">
        <f aca="false">Q640+N641</f>
        <v>145877.630223336</v>
      </c>
      <c r="S641" s="56" t="n">
        <f aca="false">S640+1</f>
        <v>634</v>
      </c>
      <c r="T641" s="57" t="n">
        <f aca="false">IF(AND(S641&lt;=Assumptions!$C$42,T640=1,X640=0,W640&gt;Assumptions!$C$43),1,0)</f>
        <v>0</v>
      </c>
      <c r="U641" s="58" t="n">
        <f aca="false">W640</f>
        <v>-182.103705036234</v>
      </c>
      <c r="V641" s="58" t="n">
        <f aca="false">IF(T641=1,U641*$B$22,0)</f>
        <v>0</v>
      </c>
      <c r="W641" s="58" t="n">
        <f aca="false">IF(T641=1,U641+V641-$B$27,U641)</f>
        <v>-182.103705036234</v>
      </c>
      <c r="X641" s="56" t="n">
        <f aca="false">IF(T641=1,IF($B$27&lt;=V641,1,0),0)</f>
        <v>0</v>
      </c>
      <c r="Y641" s="58" t="n">
        <f aca="false">Y640+V641</f>
        <v>113000.408372882</v>
      </c>
    </row>
    <row r="642" customFormat="false" ht="15" hidden="false" customHeight="false" outlineLevel="0" collapsed="false">
      <c r="K642" s="56" t="n">
        <f aca="false">K641+1</f>
        <v>635</v>
      </c>
      <c r="L642" s="57" t="n">
        <f aca="false">IF(AND(K642&lt;=Assumptions!$C$42,L641=1,P641=0,O641&gt;Assumptions!$C$43),1,0)</f>
        <v>0</v>
      </c>
      <c r="M642" s="58" t="n">
        <f aca="false">O641</f>
        <v>8.10541678220034E-009</v>
      </c>
      <c r="N642" s="58" t="n">
        <f aca="false">IF(L642=1,M642*$B$22,0)</f>
        <v>0</v>
      </c>
      <c r="O642" s="58" t="n">
        <f aca="false">IF(L642=1,M642+N642-$B$26,M642)</f>
        <v>8.10541678220034E-009</v>
      </c>
      <c r="P642" s="56" t="n">
        <f aca="false">IF(L642=1,IF($B$26&lt;=N642,1,0),0)</f>
        <v>0</v>
      </c>
      <c r="Q642" s="58" t="n">
        <f aca="false">Q641+N642</f>
        <v>145877.630223336</v>
      </c>
      <c r="S642" s="56" t="n">
        <f aca="false">S641+1</f>
        <v>635</v>
      </c>
      <c r="T642" s="57" t="n">
        <f aca="false">IF(AND(S642&lt;=Assumptions!$C$42,T641=1,X641=0,W641&gt;Assumptions!$C$43),1,0)</f>
        <v>0</v>
      </c>
      <c r="U642" s="58" t="n">
        <f aca="false">W641</f>
        <v>-182.103705036234</v>
      </c>
      <c r="V642" s="58" t="n">
        <f aca="false">IF(T642=1,U642*$B$22,0)</f>
        <v>0</v>
      </c>
      <c r="W642" s="58" t="n">
        <f aca="false">IF(T642=1,U642+V642-$B$27,U642)</f>
        <v>-182.103705036234</v>
      </c>
      <c r="X642" s="56" t="n">
        <f aca="false">IF(T642=1,IF($B$27&lt;=V642,1,0),0)</f>
        <v>0</v>
      </c>
      <c r="Y642" s="58" t="n">
        <f aca="false">Y641+V642</f>
        <v>113000.408372882</v>
      </c>
    </row>
    <row r="643" customFormat="false" ht="15" hidden="false" customHeight="false" outlineLevel="0" collapsed="false">
      <c r="K643" s="56" t="n">
        <f aca="false">K642+1</f>
        <v>636</v>
      </c>
      <c r="L643" s="57" t="n">
        <f aca="false">IF(AND(K643&lt;=Assumptions!$C$42,L642=1,P642=0,O642&gt;Assumptions!$C$43),1,0)</f>
        <v>0</v>
      </c>
      <c r="M643" s="58" t="n">
        <f aca="false">O642</f>
        <v>8.10541678220034E-009</v>
      </c>
      <c r="N643" s="58" t="n">
        <f aca="false">IF(L643=1,M643*$B$22,0)</f>
        <v>0</v>
      </c>
      <c r="O643" s="58" t="n">
        <f aca="false">IF(L643=1,M643+N643-$B$26,M643)</f>
        <v>8.10541678220034E-009</v>
      </c>
      <c r="P643" s="56" t="n">
        <f aca="false">IF(L643=1,IF($B$26&lt;=N643,1,0),0)</f>
        <v>0</v>
      </c>
      <c r="Q643" s="58" t="n">
        <f aca="false">Q642+N643</f>
        <v>145877.630223336</v>
      </c>
      <c r="S643" s="56" t="n">
        <f aca="false">S642+1</f>
        <v>636</v>
      </c>
      <c r="T643" s="57" t="n">
        <f aca="false">IF(AND(S643&lt;=Assumptions!$C$42,T642=1,X642=0,W642&gt;Assumptions!$C$43),1,0)</f>
        <v>0</v>
      </c>
      <c r="U643" s="58" t="n">
        <f aca="false">W642</f>
        <v>-182.103705036234</v>
      </c>
      <c r="V643" s="58" t="n">
        <f aca="false">IF(T643=1,U643*$B$22,0)</f>
        <v>0</v>
      </c>
      <c r="W643" s="58" t="n">
        <f aca="false">IF(T643=1,U643+V643-$B$27,U643)</f>
        <v>-182.103705036234</v>
      </c>
      <c r="X643" s="56" t="n">
        <f aca="false">IF(T643=1,IF($B$27&lt;=V643,1,0),0)</f>
        <v>0</v>
      </c>
      <c r="Y643" s="58" t="n">
        <f aca="false">Y642+V643</f>
        <v>113000.408372882</v>
      </c>
    </row>
    <row r="644" customFormat="false" ht="15" hidden="false" customHeight="false" outlineLevel="0" collapsed="false">
      <c r="K644" s="56" t="n">
        <f aca="false">K643+1</f>
        <v>637</v>
      </c>
      <c r="L644" s="57" t="n">
        <f aca="false">IF(AND(K644&lt;=Assumptions!$C$42,L643=1,P643=0,O643&gt;Assumptions!$C$43),1,0)</f>
        <v>0</v>
      </c>
      <c r="M644" s="58" t="n">
        <f aca="false">O643</f>
        <v>8.10541678220034E-009</v>
      </c>
      <c r="N644" s="58" t="n">
        <f aca="false">IF(L644=1,M644*$B$22,0)</f>
        <v>0</v>
      </c>
      <c r="O644" s="58" t="n">
        <f aca="false">IF(L644=1,M644+N644-$B$26,M644)</f>
        <v>8.10541678220034E-009</v>
      </c>
      <c r="P644" s="56" t="n">
        <f aca="false">IF(L644=1,IF($B$26&lt;=N644,1,0),0)</f>
        <v>0</v>
      </c>
      <c r="Q644" s="58" t="n">
        <f aca="false">Q643+N644</f>
        <v>145877.630223336</v>
      </c>
      <c r="S644" s="56" t="n">
        <f aca="false">S643+1</f>
        <v>637</v>
      </c>
      <c r="T644" s="57" t="n">
        <f aca="false">IF(AND(S644&lt;=Assumptions!$C$42,T643=1,X643=0,W643&gt;Assumptions!$C$43),1,0)</f>
        <v>0</v>
      </c>
      <c r="U644" s="58" t="n">
        <f aca="false">W643</f>
        <v>-182.103705036234</v>
      </c>
      <c r="V644" s="58" t="n">
        <f aca="false">IF(T644=1,U644*$B$22,0)</f>
        <v>0</v>
      </c>
      <c r="W644" s="58" t="n">
        <f aca="false">IF(T644=1,U644+V644-$B$27,U644)</f>
        <v>-182.103705036234</v>
      </c>
      <c r="X644" s="56" t="n">
        <f aca="false">IF(T644=1,IF($B$27&lt;=V644,1,0),0)</f>
        <v>0</v>
      </c>
      <c r="Y644" s="58" t="n">
        <f aca="false">Y643+V644</f>
        <v>113000.408372882</v>
      </c>
    </row>
    <row r="645" customFormat="false" ht="15" hidden="false" customHeight="false" outlineLevel="0" collapsed="false">
      <c r="K645" s="56" t="n">
        <f aca="false">K644+1</f>
        <v>638</v>
      </c>
      <c r="L645" s="57" t="n">
        <f aca="false">IF(AND(K645&lt;=Assumptions!$C$42,L644=1,P644=0,O644&gt;Assumptions!$C$43),1,0)</f>
        <v>0</v>
      </c>
      <c r="M645" s="58" t="n">
        <f aca="false">O644</f>
        <v>8.10541678220034E-009</v>
      </c>
      <c r="N645" s="58" t="n">
        <f aca="false">IF(L645=1,M645*$B$22,0)</f>
        <v>0</v>
      </c>
      <c r="O645" s="58" t="n">
        <f aca="false">IF(L645=1,M645+N645-$B$26,M645)</f>
        <v>8.10541678220034E-009</v>
      </c>
      <c r="P645" s="56" t="n">
        <f aca="false">IF(L645=1,IF($B$26&lt;=N645,1,0),0)</f>
        <v>0</v>
      </c>
      <c r="Q645" s="58" t="n">
        <f aca="false">Q644+N645</f>
        <v>145877.630223336</v>
      </c>
      <c r="S645" s="56" t="n">
        <f aca="false">S644+1</f>
        <v>638</v>
      </c>
      <c r="T645" s="57" t="n">
        <f aca="false">IF(AND(S645&lt;=Assumptions!$C$42,T644=1,X644=0,W644&gt;Assumptions!$C$43),1,0)</f>
        <v>0</v>
      </c>
      <c r="U645" s="58" t="n">
        <f aca="false">W644</f>
        <v>-182.103705036234</v>
      </c>
      <c r="V645" s="58" t="n">
        <f aca="false">IF(T645=1,U645*$B$22,0)</f>
        <v>0</v>
      </c>
      <c r="W645" s="58" t="n">
        <f aca="false">IF(T645=1,U645+V645-$B$27,U645)</f>
        <v>-182.103705036234</v>
      </c>
      <c r="X645" s="56" t="n">
        <f aca="false">IF(T645=1,IF($B$27&lt;=V645,1,0),0)</f>
        <v>0</v>
      </c>
      <c r="Y645" s="58" t="n">
        <f aca="false">Y644+V645</f>
        <v>113000.408372882</v>
      </c>
    </row>
    <row r="646" customFormat="false" ht="15" hidden="false" customHeight="false" outlineLevel="0" collapsed="false">
      <c r="K646" s="56" t="n">
        <f aca="false">K645+1</f>
        <v>639</v>
      </c>
      <c r="L646" s="57" t="n">
        <f aca="false">IF(AND(K646&lt;=Assumptions!$C$42,L645=1,P645=0,O645&gt;Assumptions!$C$43),1,0)</f>
        <v>0</v>
      </c>
      <c r="M646" s="58" t="n">
        <f aca="false">O645</f>
        <v>8.10541678220034E-009</v>
      </c>
      <c r="N646" s="58" t="n">
        <f aca="false">IF(L646=1,M646*$B$22,0)</f>
        <v>0</v>
      </c>
      <c r="O646" s="58" t="n">
        <f aca="false">IF(L646=1,M646+N646-$B$26,M646)</f>
        <v>8.10541678220034E-009</v>
      </c>
      <c r="P646" s="56" t="n">
        <f aca="false">IF(L646=1,IF($B$26&lt;=N646,1,0),0)</f>
        <v>0</v>
      </c>
      <c r="Q646" s="58" t="n">
        <f aca="false">Q645+N646</f>
        <v>145877.630223336</v>
      </c>
      <c r="S646" s="56" t="n">
        <f aca="false">S645+1</f>
        <v>639</v>
      </c>
      <c r="T646" s="57" t="n">
        <f aca="false">IF(AND(S646&lt;=Assumptions!$C$42,T645=1,X645=0,W645&gt;Assumptions!$C$43),1,0)</f>
        <v>0</v>
      </c>
      <c r="U646" s="58" t="n">
        <f aca="false">W645</f>
        <v>-182.103705036234</v>
      </c>
      <c r="V646" s="58" t="n">
        <f aca="false">IF(T646=1,U646*$B$22,0)</f>
        <v>0</v>
      </c>
      <c r="W646" s="58" t="n">
        <f aca="false">IF(T646=1,U646+V646-$B$27,U646)</f>
        <v>-182.103705036234</v>
      </c>
      <c r="X646" s="56" t="n">
        <f aca="false">IF(T646=1,IF($B$27&lt;=V646,1,0),0)</f>
        <v>0</v>
      </c>
      <c r="Y646" s="58" t="n">
        <f aca="false">Y645+V646</f>
        <v>113000.408372882</v>
      </c>
    </row>
    <row r="647" customFormat="false" ht="15" hidden="false" customHeight="false" outlineLevel="0" collapsed="false">
      <c r="K647" s="56" t="n">
        <f aca="false">K646+1</f>
        <v>640</v>
      </c>
      <c r="L647" s="57" t="n">
        <f aca="false">IF(AND(K647&lt;=Assumptions!$C$42,L646=1,P646=0,O646&gt;Assumptions!$C$43),1,0)</f>
        <v>0</v>
      </c>
      <c r="M647" s="58" t="n">
        <f aca="false">O646</f>
        <v>8.10541678220034E-009</v>
      </c>
      <c r="N647" s="58" t="n">
        <f aca="false">IF(L647=1,M647*$B$22,0)</f>
        <v>0</v>
      </c>
      <c r="O647" s="58" t="n">
        <f aca="false">IF(L647=1,M647+N647-$B$26,M647)</f>
        <v>8.10541678220034E-009</v>
      </c>
      <c r="P647" s="56" t="n">
        <f aca="false">IF(L647=1,IF($B$26&lt;=N647,1,0),0)</f>
        <v>0</v>
      </c>
      <c r="Q647" s="58" t="n">
        <f aca="false">Q646+N647</f>
        <v>145877.630223336</v>
      </c>
      <c r="S647" s="56" t="n">
        <f aca="false">S646+1</f>
        <v>640</v>
      </c>
      <c r="T647" s="57" t="n">
        <f aca="false">IF(AND(S647&lt;=Assumptions!$C$42,T646=1,X646=0,W646&gt;Assumptions!$C$43),1,0)</f>
        <v>0</v>
      </c>
      <c r="U647" s="58" t="n">
        <f aca="false">W646</f>
        <v>-182.103705036234</v>
      </c>
      <c r="V647" s="58" t="n">
        <f aca="false">IF(T647=1,U647*$B$22,0)</f>
        <v>0</v>
      </c>
      <c r="W647" s="58" t="n">
        <f aca="false">IF(T647=1,U647+V647-$B$27,U647)</f>
        <v>-182.103705036234</v>
      </c>
      <c r="X647" s="56" t="n">
        <f aca="false">IF(T647=1,IF($B$27&lt;=V647,1,0),0)</f>
        <v>0</v>
      </c>
      <c r="Y647" s="58" t="n">
        <f aca="false">Y646+V647</f>
        <v>113000.408372882</v>
      </c>
    </row>
    <row r="648" customFormat="false" ht="15" hidden="false" customHeight="false" outlineLevel="0" collapsed="false">
      <c r="K648" s="56" t="n">
        <f aca="false">K647+1</f>
        <v>641</v>
      </c>
      <c r="L648" s="57" t="n">
        <f aca="false">IF(AND(K648&lt;=Assumptions!$C$42,L647=1,P647=0,O647&gt;Assumptions!$C$43),1,0)</f>
        <v>0</v>
      </c>
      <c r="M648" s="58" t="n">
        <f aca="false">O647</f>
        <v>8.10541678220034E-009</v>
      </c>
      <c r="N648" s="58" t="n">
        <f aca="false">IF(L648=1,M648*$B$22,0)</f>
        <v>0</v>
      </c>
      <c r="O648" s="58" t="n">
        <f aca="false">IF(L648=1,M648+N648-$B$26,M648)</f>
        <v>8.10541678220034E-009</v>
      </c>
      <c r="P648" s="56" t="n">
        <f aca="false">IF(L648=1,IF($B$26&lt;=N648,1,0),0)</f>
        <v>0</v>
      </c>
      <c r="Q648" s="58" t="n">
        <f aca="false">Q647+N648</f>
        <v>145877.630223336</v>
      </c>
      <c r="S648" s="56" t="n">
        <f aca="false">S647+1</f>
        <v>641</v>
      </c>
      <c r="T648" s="57" t="n">
        <f aca="false">IF(AND(S648&lt;=Assumptions!$C$42,T647=1,X647=0,W647&gt;Assumptions!$C$43),1,0)</f>
        <v>0</v>
      </c>
      <c r="U648" s="58" t="n">
        <f aca="false">W647</f>
        <v>-182.103705036234</v>
      </c>
      <c r="V648" s="58" t="n">
        <f aca="false">IF(T648=1,U648*$B$22,0)</f>
        <v>0</v>
      </c>
      <c r="W648" s="58" t="n">
        <f aca="false">IF(T648=1,U648+V648-$B$27,U648)</f>
        <v>-182.103705036234</v>
      </c>
      <c r="X648" s="56" t="n">
        <f aca="false">IF(T648=1,IF($B$27&lt;=V648,1,0),0)</f>
        <v>0</v>
      </c>
      <c r="Y648" s="58" t="n">
        <f aca="false">Y647+V648</f>
        <v>113000.408372882</v>
      </c>
    </row>
    <row r="649" customFormat="false" ht="15" hidden="false" customHeight="false" outlineLevel="0" collapsed="false">
      <c r="K649" s="56" t="n">
        <f aca="false">K648+1</f>
        <v>642</v>
      </c>
      <c r="L649" s="57" t="n">
        <f aca="false">IF(AND(K649&lt;=Assumptions!$C$42,L648=1,P648=0,O648&gt;Assumptions!$C$43),1,0)</f>
        <v>0</v>
      </c>
      <c r="M649" s="58" t="n">
        <f aca="false">O648</f>
        <v>8.10541678220034E-009</v>
      </c>
      <c r="N649" s="58" t="n">
        <f aca="false">IF(L649=1,M649*$B$22,0)</f>
        <v>0</v>
      </c>
      <c r="O649" s="58" t="n">
        <f aca="false">IF(L649=1,M649+N649-$B$26,M649)</f>
        <v>8.10541678220034E-009</v>
      </c>
      <c r="P649" s="56" t="n">
        <f aca="false">IF(L649=1,IF($B$26&lt;=N649,1,0),0)</f>
        <v>0</v>
      </c>
      <c r="Q649" s="58" t="n">
        <f aca="false">Q648+N649</f>
        <v>145877.630223336</v>
      </c>
      <c r="S649" s="56" t="n">
        <f aca="false">S648+1</f>
        <v>642</v>
      </c>
      <c r="T649" s="57" t="n">
        <f aca="false">IF(AND(S649&lt;=Assumptions!$C$42,T648=1,X648=0,W648&gt;Assumptions!$C$43),1,0)</f>
        <v>0</v>
      </c>
      <c r="U649" s="58" t="n">
        <f aca="false">W648</f>
        <v>-182.103705036234</v>
      </c>
      <c r="V649" s="58" t="n">
        <f aca="false">IF(T649=1,U649*$B$22,0)</f>
        <v>0</v>
      </c>
      <c r="W649" s="58" t="n">
        <f aca="false">IF(T649=1,U649+V649-$B$27,U649)</f>
        <v>-182.103705036234</v>
      </c>
      <c r="X649" s="56" t="n">
        <f aca="false">IF(T649=1,IF($B$27&lt;=V649,1,0),0)</f>
        <v>0</v>
      </c>
      <c r="Y649" s="58" t="n">
        <f aca="false">Y648+V649</f>
        <v>113000.408372882</v>
      </c>
    </row>
    <row r="650" customFormat="false" ht="15" hidden="false" customHeight="false" outlineLevel="0" collapsed="false">
      <c r="K650" s="56" t="n">
        <f aca="false">K649+1</f>
        <v>643</v>
      </c>
      <c r="L650" s="57" t="n">
        <f aca="false">IF(AND(K650&lt;=Assumptions!$C$42,L649=1,P649=0,O649&gt;Assumptions!$C$43),1,0)</f>
        <v>0</v>
      </c>
      <c r="M650" s="58" t="n">
        <f aca="false">O649</f>
        <v>8.10541678220034E-009</v>
      </c>
      <c r="N650" s="58" t="n">
        <f aca="false">IF(L650=1,M650*$B$22,0)</f>
        <v>0</v>
      </c>
      <c r="O650" s="58" t="n">
        <f aca="false">IF(L650=1,M650+N650-$B$26,M650)</f>
        <v>8.10541678220034E-009</v>
      </c>
      <c r="P650" s="56" t="n">
        <f aca="false">IF(L650=1,IF($B$26&lt;=N650,1,0),0)</f>
        <v>0</v>
      </c>
      <c r="Q650" s="58" t="n">
        <f aca="false">Q649+N650</f>
        <v>145877.630223336</v>
      </c>
      <c r="S650" s="56" t="n">
        <f aca="false">S649+1</f>
        <v>643</v>
      </c>
      <c r="T650" s="57" t="n">
        <f aca="false">IF(AND(S650&lt;=Assumptions!$C$42,T649=1,X649=0,W649&gt;Assumptions!$C$43),1,0)</f>
        <v>0</v>
      </c>
      <c r="U650" s="58" t="n">
        <f aca="false">W649</f>
        <v>-182.103705036234</v>
      </c>
      <c r="V650" s="58" t="n">
        <f aca="false">IF(T650=1,U650*$B$22,0)</f>
        <v>0</v>
      </c>
      <c r="W650" s="58" t="n">
        <f aca="false">IF(T650=1,U650+V650-$B$27,U650)</f>
        <v>-182.103705036234</v>
      </c>
      <c r="X650" s="56" t="n">
        <f aca="false">IF(T650=1,IF($B$27&lt;=V650,1,0),0)</f>
        <v>0</v>
      </c>
      <c r="Y650" s="58" t="n">
        <f aca="false">Y649+V650</f>
        <v>113000.408372882</v>
      </c>
    </row>
    <row r="651" customFormat="false" ht="15" hidden="false" customHeight="false" outlineLevel="0" collapsed="false">
      <c r="K651" s="56" t="n">
        <f aca="false">K650+1</f>
        <v>644</v>
      </c>
      <c r="L651" s="57" t="n">
        <f aca="false">IF(AND(K651&lt;=Assumptions!$C$42,L650=1,P650=0,O650&gt;Assumptions!$C$43),1,0)</f>
        <v>0</v>
      </c>
      <c r="M651" s="58" t="n">
        <f aca="false">O650</f>
        <v>8.10541678220034E-009</v>
      </c>
      <c r="N651" s="58" t="n">
        <f aca="false">IF(L651=1,M651*$B$22,0)</f>
        <v>0</v>
      </c>
      <c r="O651" s="58" t="n">
        <f aca="false">IF(L651=1,M651+N651-$B$26,M651)</f>
        <v>8.10541678220034E-009</v>
      </c>
      <c r="P651" s="56" t="n">
        <f aca="false">IF(L651=1,IF($B$26&lt;=N651,1,0),0)</f>
        <v>0</v>
      </c>
      <c r="Q651" s="58" t="n">
        <f aca="false">Q650+N651</f>
        <v>145877.630223336</v>
      </c>
      <c r="S651" s="56" t="n">
        <f aca="false">S650+1</f>
        <v>644</v>
      </c>
      <c r="T651" s="57" t="n">
        <f aca="false">IF(AND(S651&lt;=Assumptions!$C$42,T650=1,X650=0,W650&gt;Assumptions!$C$43),1,0)</f>
        <v>0</v>
      </c>
      <c r="U651" s="58" t="n">
        <f aca="false">W650</f>
        <v>-182.103705036234</v>
      </c>
      <c r="V651" s="58" t="n">
        <f aca="false">IF(T651=1,U651*$B$22,0)</f>
        <v>0</v>
      </c>
      <c r="W651" s="58" t="n">
        <f aca="false">IF(T651=1,U651+V651-$B$27,U651)</f>
        <v>-182.103705036234</v>
      </c>
      <c r="X651" s="56" t="n">
        <f aca="false">IF(T651=1,IF($B$27&lt;=V651,1,0),0)</f>
        <v>0</v>
      </c>
      <c r="Y651" s="58" t="n">
        <f aca="false">Y650+V651</f>
        <v>113000.408372882</v>
      </c>
    </row>
    <row r="652" customFormat="false" ht="15" hidden="false" customHeight="false" outlineLevel="0" collapsed="false">
      <c r="K652" s="56" t="n">
        <f aca="false">K651+1</f>
        <v>645</v>
      </c>
      <c r="L652" s="57" t="n">
        <f aca="false">IF(AND(K652&lt;=Assumptions!$C$42,L651=1,P651=0,O651&gt;Assumptions!$C$43),1,0)</f>
        <v>0</v>
      </c>
      <c r="M652" s="58" t="n">
        <f aca="false">O651</f>
        <v>8.10541678220034E-009</v>
      </c>
      <c r="N652" s="58" t="n">
        <f aca="false">IF(L652=1,M652*$B$22,0)</f>
        <v>0</v>
      </c>
      <c r="O652" s="58" t="n">
        <f aca="false">IF(L652=1,M652+N652-$B$26,M652)</f>
        <v>8.10541678220034E-009</v>
      </c>
      <c r="P652" s="56" t="n">
        <f aca="false">IF(L652=1,IF($B$26&lt;=N652,1,0),0)</f>
        <v>0</v>
      </c>
      <c r="Q652" s="58" t="n">
        <f aca="false">Q651+N652</f>
        <v>145877.630223336</v>
      </c>
      <c r="S652" s="56" t="n">
        <f aca="false">S651+1</f>
        <v>645</v>
      </c>
      <c r="T652" s="57" t="n">
        <f aca="false">IF(AND(S652&lt;=Assumptions!$C$42,T651=1,X651=0,W651&gt;Assumptions!$C$43),1,0)</f>
        <v>0</v>
      </c>
      <c r="U652" s="58" t="n">
        <f aca="false">W651</f>
        <v>-182.103705036234</v>
      </c>
      <c r="V652" s="58" t="n">
        <f aca="false">IF(T652=1,U652*$B$22,0)</f>
        <v>0</v>
      </c>
      <c r="W652" s="58" t="n">
        <f aca="false">IF(T652=1,U652+V652-$B$27,U652)</f>
        <v>-182.103705036234</v>
      </c>
      <c r="X652" s="56" t="n">
        <f aca="false">IF(T652=1,IF($B$27&lt;=V652,1,0),0)</f>
        <v>0</v>
      </c>
      <c r="Y652" s="58" t="n">
        <f aca="false">Y651+V652</f>
        <v>113000.408372882</v>
      </c>
    </row>
    <row r="653" customFormat="false" ht="15" hidden="false" customHeight="false" outlineLevel="0" collapsed="false">
      <c r="K653" s="56" t="n">
        <f aca="false">K652+1</f>
        <v>646</v>
      </c>
      <c r="L653" s="57" t="n">
        <f aca="false">IF(AND(K653&lt;=Assumptions!$C$42,L652=1,P652=0,O652&gt;Assumptions!$C$43),1,0)</f>
        <v>0</v>
      </c>
      <c r="M653" s="58" t="n">
        <f aca="false">O652</f>
        <v>8.10541678220034E-009</v>
      </c>
      <c r="N653" s="58" t="n">
        <f aca="false">IF(L653=1,M653*$B$22,0)</f>
        <v>0</v>
      </c>
      <c r="O653" s="58" t="n">
        <f aca="false">IF(L653=1,M653+N653-$B$26,M653)</f>
        <v>8.10541678220034E-009</v>
      </c>
      <c r="P653" s="56" t="n">
        <f aca="false">IF(L653=1,IF($B$26&lt;=N653,1,0),0)</f>
        <v>0</v>
      </c>
      <c r="Q653" s="58" t="n">
        <f aca="false">Q652+N653</f>
        <v>145877.630223336</v>
      </c>
      <c r="S653" s="56" t="n">
        <f aca="false">S652+1</f>
        <v>646</v>
      </c>
      <c r="T653" s="57" t="n">
        <f aca="false">IF(AND(S653&lt;=Assumptions!$C$42,T652=1,X652=0,W652&gt;Assumptions!$C$43),1,0)</f>
        <v>0</v>
      </c>
      <c r="U653" s="58" t="n">
        <f aca="false">W652</f>
        <v>-182.103705036234</v>
      </c>
      <c r="V653" s="58" t="n">
        <f aca="false">IF(T653=1,U653*$B$22,0)</f>
        <v>0</v>
      </c>
      <c r="W653" s="58" t="n">
        <f aca="false">IF(T653=1,U653+V653-$B$27,U653)</f>
        <v>-182.103705036234</v>
      </c>
      <c r="X653" s="56" t="n">
        <f aca="false">IF(T653=1,IF($B$27&lt;=V653,1,0),0)</f>
        <v>0</v>
      </c>
      <c r="Y653" s="58" t="n">
        <f aca="false">Y652+V653</f>
        <v>113000.408372882</v>
      </c>
    </row>
    <row r="654" customFormat="false" ht="15" hidden="false" customHeight="false" outlineLevel="0" collapsed="false">
      <c r="K654" s="56" t="n">
        <f aca="false">K653+1</f>
        <v>647</v>
      </c>
      <c r="L654" s="57" t="n">
        <f aca="false">IF(AND(K654&lt;=Assumptions!$C$42,L653=1,P653=0,O653&gt;Assumptions!$C$43),1,0)</f>
        <v>0</v>
      </c>
      <c r="M654" s="58" t="n">
        <f aca="false">O653</f>
        <v>8.10541678220034E-009</v>
      </c>
      <c r="N654" s="58" t="n">
        <f aca="false">IF(L654=1,M654*$B$22,0)</f>
        <v>0</v>
      </c>
      <c r="O654" s="58" t="n">
        <f aca="false">IF(L654=1,M654+N654-$B$26,M654)</f>
        <v>8.10541678220034E-009</v>
      </c>
      <c r="P654" s="56" t="n">
        <f aca="false">IF(L654=1,IF($B$26&lt;=N654,1,0),0)</f>
        <v>0</v>
      </c>
      <c r="Q654" s="58" t="n">
        <f aca="false">Q653+N654</f>
        <v>145877.630223336</v>
      </c>
      <c r="S654" s="56" t="n">
        <f aca="false">S653+1</f>
        <v>647</v>
      </c>
      <c r="T654" s="57" t="n">
        <f aca="false">IF(AND(S654&lt;=Assumptions!$C$42,T653=1,X653=0,W653&gt;Assumptions!$C$43),1,0)</f>
        <v>0</v>
      </c>
      <c r="U654" s="58" t="n">
        <f aca="false">W653</f>
        <v>-182.103705036234</v>
      </c>
      <c r="V654" s="58" t="n">
        <f aca="false">IF(T654=1,U654*$B$22,0)</f>
        <v>0</v>
      </c>
      <c r="W654" s="58" t="n">
        <f aca="false">IF(T654=1,U654+V654-$B$27,U654)</f>
        <v>-182.103705036234</v>
      </c>
      <c r="X654" s="56" t="n">
        <f aca="false">IF(T654=1,IF($B$27&lt;=V654,1,0),0)</f>
        <v>0</v>
      </c>
      <c r="Y654" s="58" t="n">
        <f aca="false">Y653+V654</f>
        <v>113000.408372882</v>
      </c>
    </row>
    <row r="655" customFormat="false" ht="15" hidden="false" customHeight="false" outlineLevel="0" collapsed="false">
      <c r="K655" s="56" t="n">
        <f aca="false">K654+1</f>
        <v>648</v>
      </c>
      <c r="L655" s="57" t="n">
        <f aca="false">IF(AND(K655&lt;=Assumptions!$C$42,L654=1,P654=0,O654&gt;Assumptions!$C$43),1,0)</f>
        <v>0</v>
      </c>
      <c r="M655" s="58" t="n">
        <f aca="false">O654</f>
        <v>8.10541678220034E-009</v>
      </c>
      <c r="N655" s="58" t="n">
        <f aca="false">IF(L655=1,M655*$B$22,0)</f>
        <v>0</v>
      </c>
      <c r="O655" s="58" t="n">
        <f aca="false">IF(L655=1,M655+N655-$B$26,M655)</f>
        <v>8.10541678220034E-009</v>
      </c>
      <c r="P655" s="56" t="n">
        <f aca="false">IF(L655=1,IF($B$26&lt;=N655,1,0),0)</f>
        <v>0</v>
      </c>
      <c r="Q655" s="58" t="n">
        <f aca="false">Q654+N655</f>
        <v>145877.630223336</v>
      </c>
      <c r="S655" s="56" t="n">
        <f aca="false">S654+1</f>
        <v>648</v>
      </c>
      <c r="T655" s="57" t="n">
        <f aca="false">IF(AND(S655&lt;=Assumptions!$C$42,T654=1,X654=0,W654&gt;Assumptions!$C$43),1,0)</f>
        <v>0</v>
      </c>
      <c r="U655" s="58" t="n">
        <f aca="false">W654</f>
        <v>-182.103705036234</v>
      </c>
      <c r="V655" s="58" t="n">
        <f aca="false">IF(T655=1,U655*$B$22,0)</f>
        <v>0</v>
      </c>
      <c r="W655" s="58" t="n">
        <f aca="false">IF(T655=1,U655+V655-$B$27,U655)</f>
        <v>-182.103705036234</v>
      </c>
      <c r="X655" s="56" t="n">
        <f aca="false">IF(T655=1,IF($B$27&lt;=V655,1,0),0)</f>
        <v>0</v>
      </c>
      <c r="Y655" s="58" t="n">
        <f aca="false">Y654+V655</f>
        <v>113000.408372882</v>
      </c>
    </row>
    <row r="656" customFormat="false" ht="15" hidden="false" customHeight="false" outlineLevel="0" collapsed="false">
      <c r="K656" s="56" t="n">
        <f aca="false">K655+1</f>
        <v>649</v>
      </c>
      <c r="L656" s="57" t="n">
        <f aca="false">IF(AND(K656&lt;=Assumptions!$C$42,L655=1,P655=0,O655&gt;Assumptions!$C$43),1,0)</f>
        <v>0</v>
      </c>
      <c r="M656" s="58" t="n">
        <f aca="false">O655</f>
        <v>8.10541678220034E-009</v>
      </c>
      <c r="N656" s="58" t="n">
        <f aca="false">IF(L656=1,M656*$B$22,0)</f>
        <v>0</v>
      </c>
      <c r="O656" s="58" t="n">
        <f aca="false">IF(L656=1,M656+N656-$B$26,M656)</f>
        <v>8.10541678220034E-009</v>
      </c>
      <c r="P656" s="56" t="n">
        <f aca="false">IF(L656=1,IF($B$26&lt;=N656,1,0),0)</f>
        <v>0</v>
      </c>
      <c r="Q656" s="58" t="n">
        <f aca="false">Q655+N656</f>
        <v>145877.630223336</v>
      </c>
      <c r="S656" s="56" t="n">
        <f aca="false">S655+1</f>
        <v>649</v>
      </c>
      <c r="T656" s="57" t="n">
        <f aca="false">IF(AND(S656&lt;=Assumptions!$C$42,T655=1,X655=0,W655&gt;Assumptions!$C$43),1,0)</f>
        <v>0</v>
      </c>
      <c r="U656" s="58" t="n">
        <f aca="false">W655</f>
        <v>-182.103705036234</v>
      </c>
      <c r="V656" s="58" t="n">
        <f aca="false">IF(T656=1,U656*$B$22,0)</f>
        <v>0</v>
      </c>
      <c r="W656" s="58" t="n">
        <f aca="false">IF(T656=1,U656+V656-$B$27,U656)</f>
        <v>-182.103705036234</v>
      </c>
      <c r="X656" s="56" t="n">
        <f aca="false">IF(T656=1,IF($B$27&lt;=V656,1,0),0)</f>
        <v>0</v>
      </c>
      <c r="Y656" s="58" t="n">
        <f aca="false">Y655+V656</f>
        <v>113000.408372882</v>
      </c>
    </row>
    <row r="657" customFormat="false" ht="15" hidden="false" customHeight="false" outlineLevel="0" collapsed="false">
      <c r="K657" s="56" t="n">
        <f aca="false">K656+1</f>
        <v>650</v>
      </c>
      <c r="L657" s="57" t="n">
        <f aca="false">IF(AND(K657&lt;=Assumptions!$C$42,L656=1,P656=0,O656&gt;Assumptions!$C$43),1,0)</f>
        <v>0</v>
      </c>
      <c r="M657" s="58" t="n">
        <f aca="false">O656</f>
        <v>8.10541678220034E-009</v>
      </c>
      <c r="N657" s="58" t="n">
        <f aca="false">IF(L657=1,M657*$B$22,0)</f>
        <v>0</v>
      </c>
      <c r="O657" s="58" t="n">
        <f aca="false">IF(L657=1,M657+N657-$B$26,M657)</f>
        <v>8.10541678220034E-009</v>
      </c>
      <c r="P657" s="56" t="n">
        <f aca="false">IF(L657=1,IF($B$26&lt;=N657,1,0),0)</f>
        <v>0</v>
      </c>
      <c r="Q657" s="58" t="n">
        <f aca="false">Q656+N657</f>
        <v>145877.630223336</v>
      </c>
      <c r="S657" s="56" t="n">
        <f aca="false">S656+1</f>
        <v>650</v>
      </c>
      <c r="T657" s="57" t="n">
        <f aca="false">IF(AND(S657&lt;=Assumptions!$C$42,T656=1,X656=0,W656&gt;Assumptions!$C$43),1,0)</f>
        <v>0</v>
      </c>
      <c r="U657" s="58" t="n">
        <f aca="false">W656</f>
        <v>-182.103705036234</v>
      </c>
      <c r="V657" s="58" t="n">
        <f aca="false">IF(T657=1,U657*$B$22,0)</f>
        <v>0</v>
      </c>
      <c r="W657" s="58" t="n">
        <f aca="false">IF(T657=1,U657+V657-$B$27,U657)</f>
        <v>-182.103705036234</v>
      </c>
      <c r="X657" s="56" t="n">
        <f aca="false">IF(T657=1,IF($B$27&lt;=V657,1,0),0)</f>
        <v>0</v>
      </c>
      <c r="Y657" s="58" t="n">
        <f aca="false">Y656+V657</f>
        <v>113000.408372882</v>
      </c>
    </row>
    <row r="658" customFormat="false" ht="15" hidden="false" customHeight="false" outlineLevel="0" collapsed="false">
      <c r="K658" s="56" t="n">
        <f aca="false">K657+1</f>
        <v>651</v>
      </c>
      <c r="L658" s="57" t="n">
        <f aca="false">IF(AND(K658&lt;=Assumptions!$C$42,L657=1,P657=0,O657&gt;Assumptions!$C$43),1,0)</f>
        <v>0</v>
      </c>
      <c r="M658" s="58" t="n">
        <f aca="false">O657</f>
        <v>8.10541678220034E-009</v>
      </c>
      <c r="N658" s="58" t="n">
        <f aca="false">IF(L658=1,M658*$B$22,0)</f>
        <v>0</v>
      </c>
      <c r="O658" s="58" t="n">
        <f aca="false">IF(L658=1,M658+N658-$B$26,M658)</f>
        <v>8.10541678220034E-009</v>
      </c>
      <c r="P658" s="56" t="n">
        <f aca="false">IF(L658=1,IF($B$26&lt;=N658,1,0),0)</f>
        <v>0</v>
      </c>
      <c r="Q658" s="58" t="n">
        <f aca="false">Q657+N658</f>
        <v>145877.630223336</v>
      </c>
      <c r="S658" s="56" t="n">
        <f aca="false">S657+1</f>
        <v>651</v>
      </c>
      <c r="T658" s="57" t="n">
        <f aca="false">IF(AND(S658&lt;=Assumptions!$C$42,T657=1,X657=0,W657&gt;Assumptions!$C$43),1,0)</f>
        <v>0</v>
      </c>
      <c r="U658" s="58" t="n">
        <f aca="false">W657</f>
        <v>-182.103705036234</v>
      </c>
      <c r="V658" s="58" t="n">
        <f aca="false">IF(T658=1,U658*$B$22,0)</f>
        <v>0</v>
      </c>
      <c r="W658" s="58" t="n">
        <f aca="false">IF(T658=1,U658+V658-$B$27,U658)</f>
        <v>-182.103705036234</v>
      </c>
      <c r="X658" s="56" t="n">
        <f aca="false">IF(T658=1,IF($B$27&lt;=V658,1,0),0)</f>
        <v>0</v>
      </c>
      <c r="Y658" s="58" t="n">
        <f aca="false">Y657+V658</f>
        <v>113000.408372882</v>
      </c>
    </row>
    <row r="659" customFormat="false" ht="15" hidden="false" customHeight="false" outlineLevel="0" collapsed="false">
      <c r="K659" s="56" t="n">
        <f aca="false">K658+1</f>
        <v>652</v>
      </c>
      <c r="L659" s="57" t="n">
        <f aca="false">IF(AND(K659&lt;=Assumptions!$C$42,L658=1,P658=0,O658&gt;Assumptions!$C$43),1,0)</f>
        <v>0</v>
      </c>
      <c r="M659" s="58" t="n">
        <f aca="false">O658</f>
        <v>8.10541678220034E-009</v>
      </c>
      <c r="N659" s="58" t="n">
        <f aca="false">IF(L659=1,M659*$B$22,0)</f>
        <v>0</v>
      </c>
      <c r="O659" s="58" t="n">
        <f aca="false">IF(L659=1,M659+N659-$B$26,M659)</f>
        <v>8.10541678220034E-009</v>
      </c>
      <c r="P659" s="56" t="n">
        <f aca="false">IF(L659=1,IF($B$26&lt;=N659,1,0),0)</f>
        <v>0</v>
      </c>
      <c r="Q659" s="58" t="n">
        <f aca="false">Q658+N659</f>
        <v>145877.630223336</v>
      </c>
      <c r="S659" s="56" t="n">
        <f aca="false">S658+1</f>
        <v>652</v>
      </c>
      <c r="T659" s="57" t="n">
        <f aca="false">IF(AND(S659&lt;=Assumptions!$C$42,T658=1,X658=0,W658&gt;Assumptions!$C$43),1,0)</f>
        <v>0</v>
      </c>
      <c r="U659" s="58" t="n">
        <f aca="false">W658</f>
        <v>-182.103705036234</v>
      </c>
      <c r="V659" s="58" t="n">
        <f aca="false">IF(T659=1,U659*$B$22,0)</f>
        <v>0</v>
      </c>
      <c r="W659" s="58" t="n">
        <f aca="false">IF(T659=1,U659+V659-$B$27,U659)</f>
        <v>-182.103705036234</v>
      </c>
      <c r="X659" s="56" t="n">
        <f aca="false">IF(T659=1,IF($B$27&lt;=V659,1,0),0)</f>
        <v>0</v>
      </c>
      <c r="Y659" s="58" t="n">
        <f aca="false">Y658+V659</f>
        <v>113000.408372882</v>
      </c>
    </row>
    <row r="660" customFormat="false" ht="15" hidden="false" customHeight="false" outlineLevel="0" collapsed="false">
      <c r="K660" s="56" t="n">
        <f aca="false">K659+1</f>
        <v>653</v>
      </c>
      <c r="L660" s="57" t="n">
        <f aca="false">IF(AND(K660&lt;=Assumptions!$C$42,L659=1,P659=0,O659&gt;Assumptions!$C$43),1,0)</f>
        <v>0</v>
      </c>
      <c r="M660" s="58" t="n">
        <f aca="false">O659</f>
        <v>8.10541678220034E-009</v>
      </c>
      <c r="N660" s="58" t="n">
        <f aca="false">IF(L660=1,M660*$B$22,0)</f>
        <v>0</v>
      </c>
      <c r="O660" s="58" t="n">
        <f aca="false">IF(L660=1,M660+N660-$B$26,M660)</f>
        <v>8.10541678220034E-009</v>
      </c>
      <c r="P660" s="56" t="n">
        <f aca="false">IF(L660=1,IF($B$26&lt;=N660,1,0),0)</f>
        <v>0</v>
      </c>
      <c r="Q660" s="58" t="n">
        <f aca="false">Q659+N660</f>
        <v>145877.630223336</v>
      </c>
      <c r="S660" s="56" t="n">
        <f aca="false">S659+1</f>
        <v>653</v>
      </c>
      <c r="T660" s="57" t="n">
        <f aca="false">IF(AND(S660&lt;=Assumptions!$C$42,T659=1,X659=0,W659&gt;Assumptions!$C$43),1,0)</f>
        <v>0</v>
      </c>
      <c r="U660" s="58" t="n">
        <f aca="false">W659</f>
        <v>-182.103705036234</v>
      </c>
      <c r="V660" s="58" t="n">
        <f aca="false">IF(T660=1,U660*$B$22,0)</f>
        <v>0</v>
      </c>
      <c r="W660" s="58" t="n">
        <f aca="false">IF(T660=1,U660+V660-$B$27,U660)</f>
        <v>-182.103705036234</v>
      </c>
      <c r="X660" s="56" t="n">
        <f aca="false">IF(T660=1,IF($B$27&lt;=V660,1,0),0)</f>
        <v>0</v>
      </c>
      <c r="Y660" s="58" t="n">
        <f aca="false">Y659+V660</f>
        <v>113000.408372882</v>
      </c>
    </row>
    <row r="661" customFormat="false" ht="15" hidden="false" customHeight="false" outlineLevel="0" collapsed="false">
      <c r="K661" s="56" t="n">
        <f aca="false">K660+1</f>
        <v>654</v>
      </c>
      <c r="L661" s="57" t="n">
        <f aca="false">IF(AND(K661&lt;=Assumptions!$C$42,L660=1,P660=0,O660&gt;Assumptions!$C$43),1,0)</f>
        <v>0</v>
      </c>
      <c r="M661" s="58" t="n">
        <f aca="false">O660</f>
        <v>8.10541678220034E-009</v>
      </c>
      <c r="N661" s="58" t="n">
        <f aca="false">IF(L661=1,M661*$B$22,0)</f>
        <v>0</v>
      </c>
      <c r="O661" s="58" t="n">
        <f aca="false">IF(L661=1,M661+N661-$B$26,M661)</f>
        <v>8.10541678220034E-009</v>
      </c>
      <c r="P661" s="56" t="n">
        <f aca="false">IF(L661=1,IF($B$26&lt;=N661,1,0),0)</f>
        <v>0</v>
      </c>
      <c r="Q661" s="58" t="n">
        <f aca="false">Q660+N661</f>
        <v>145877.630223336</v>
      </c>
      <c r="S661" s="56" t="n">
        <f aca="false">S660+1</f>
        <v>654</v>
      </c>
      <c r="T661" s="57" t="n">
        <f aca="false">IF(AND(S661&lt;=Assumptions!$C$42,T660=1,X660=0,W660&gt;Assumptions!$C$43),1,0)</f>
        <v>0</v>
      </c>
      <c r="U661" s="58" t="n">
        <f aca="false">W660</f>
        <v>-182.103705036234</v>
      </c>
      <c r="V661" s="58" t="n">
        <f aca="false">IF(T661=1,U661*$B$22,0)</f>
        <v>0</v>
      </c>
      <c r="W661" s="58" t="n">
        <f aca="false">IF(T661=1,U661+V661-$B$27,U661)</f>
        <v>-182.103705036234</v>
      </c>
      <c r="X661" s="56" t="n">
        <f aca="false">IF(T661=1,IF($B$27&lt;=V661,1,0),0)</f>
        <v>0</v>
      </c>
      <c r="Y661" s="58" t="n">
        <f aca="false">Y660+V661</f>
        <v>113000.408372882</v>
      </c>
    </row>
    <row r="662" customFormat="false" ht="15" hidden="false" customHeight="false" outlineLevel="0" collapsed="false">
      <c r="K662" s="56" t="n">
        <f aca="false">K661+1</f>
        <v>655</v>
      </c>
      <c r="L662" s="57" t="n">
        <f aca="false">IF(AND(K662&lt;=Assumptions!$C$42,L661=1,P661=0,O661&gt;Assumptions!$C$43),1,0)</f>
        <v>0</v>
      </c>
      <c r="M662" s="58" t="n">
        <f aca="false">O661</f>
        <v>8.10541678220034E-009</v>
      </c>
      <c r="N662" s="58" t="n">
        <f aca="false">IF(L662=1,M662*$B$22,0)</f>
        <v>0</v>
      </c>
      <c r="O662" s="58" t="n">
        <f aca="false">IF(L662=1,M662+N662-$B$26,M662)</f>
        <v>8.10541678220034E-009</v>
      </c>
      <c r="P662" s="56" t="n">
        <f aca="false">IF(L662=1,IF($B$26&lt;=N662,1,0),0)</f>
        <v>0</v>
      </c>
      <c r="Q662" s="58" t="n">
        <f aca="false">Q661+N662</f>
        <v>145877.630223336</v>
      </c>
      <c r="S662" s="56" t="n">
        <f aca="false">S661+1</f>
        <v>655</v>
      </c>
      <c r="T662" s="57" t="n">
        <f aca="false">IF(AND(S662&lt;=Assumptions!$C$42,T661=1,X661=0,W661&gt;Assumptions!$C$43),1,0)</f>
        <v>0</v>
      </c>
      <c r="U662" s="58" t="n">
        <f aca="false">W661</f>
        <v>-182.103705036234</v>
      </c>
      <c r="V662" s="58" t="n">
        <f aca="false">IF(T662=1,U662*$B$22,0)</f>
        <v>0</v>
      </c>
      <c r="W662" s="58" t="n">
        <f aca="false">IF(T662=1,U662+V662-$B$27,U662)</f>
        <v>-182.103705036234</v>
      </c>
      <c r="X662" s="56" t="n">
        <f aca="false">IF(T662=1,IF($B$27&lt;=V662,1,0),0)</f>
        <v>0</v>
      </c>
      <c r="Y662" s="58" t="n">
        <f aca="false">Y661+V662</f>
        <v>113000.408372882</v>
      </c>
    </row>
    <row r="663" customFormat="false" ht="15" hidden="false" customHeight="false" outlineLevel="0" collapsed="false">
      <c r="K663" s="56" t="n">
        <f aca="false">K662+1</f>
        <v>656</v>
      </c>
      <c r="L663" s="57" t="n">
        <f aca="false">IF(AND(K663&lt;=Assumptions!$C$42,L662=1,P662=0,O662&gt;Assumptions!$C$43),1,0)</f>
        <v>0</v>
      </c>
      <c r="M663" s="58" t="n">
        <f aca="false">O662</f>
        <v>8.10541678220034E-009</v>
      </c>
      <c r="N663" s="58" t="n">
        <f aca="false">IF(L663=1,M663*$B$22,0)</f>
        <v>0</v>
      </c>
      <c r="O663" s="58" t="n">
        <f aca="false">IF(L663=1,M663+N663-$B$26,M663)</f>
        <v>8.10541678220034E-009</v>
      </c>
      <c r="P663" s="56" t="n">
        <f aca="false">IF(L663=1,IF($B$26&lt;=N663,1,0),0)</f>
        <v>0</v>
      </c>
      <c r="Q663" s="58" t="n">
        <f aca="false">Q662+N663</f>
        <v>145877.630223336</v>
      </c>
      <c r="S663" s="56" t="n">
        <f aca="false">S662+1</f>
        <v>656</v>
      </c>
      <c r="T663" s="57" t="n">
        <f aca="false">IF(AND(S663&lt;=Assumptions!$C$42,T662=1,X662=0,W662&gt;Assumptions!$C$43),1,0)</f>
        <v>0</v>
      </c>
      <c r="U663" s="58" t="n">
        <f aca="false">W662</f>
        <v>-182.103705036234</v>
      </c>
      <c r="V663" s="58" t="n">
        <f aca="false">IF(T663=1,U663*$B$22,0)</f>
        <v>0</v>
      </c>
      <c r="W663" s="58" t="n">
        <f aca="false">IF(T663=1,U663+V663-$B$27,U663)</f>
        <v>-182.103705036234</v>
      </c>
      <c r="X663" s="56" t="n">
        <f aca="false">IF(T663=1,IF($B$27&lt;=V663,1,0),0)</f>
        <v>0</v>
      </c>
      <c r="Y663" s="58" t="n">
        <f aca="false">Y662+V663</f>
        <v>113000.408372882</v>
      </c>
    </row>
    <row r="664" customFormat="false" ht="15" hidden="false" customHeight="false" outlineLevel="0" collapsed="false">
      <c r="K664" s="56" t="n">
        <f aca="false">K663+1</f>
        <v>657</v>
      </c>
      <c r="L664" s="57" t="n">
        <f aca="false">IF(AND(K664&lt;=Assumptions!$C$42,L663=1,P663=0,O663&gt;Assumptions!$C$43),1,0)</f>
        <v>0</v>
      </c>
      <c r="M664" s="58" t="n">
        <f aca="false">O663</f>
        <v>8.10541678220034E-009</v>
      </c>
      <c r="N664" s="58" t="n">
        <f aca="false">IF(L664=1,M664*$B$22,0)</f>
        <v>0</v>
      </c>
      <c r="O664" s="58" t="n">
        <f aca="false">IF(L664=1,M664+N664-$B$26,M664)</f>
        <v>8.10541678220034E-009</v>
      </c>
      <c r="P664" s="56" t="n">
        <f aca="false">IF(L664=1,IF($B$26&lt;=N664,1,0),0)</f>
        <v>0</v>
      </c>
      <c r="Q664" s="58" t="n">
        <f aca="false">Q663+N664</f>
        <v>145877.630223336</v>
      </c>
      <c r="S664" s="56" t="n">
        <f aca="false">S663+1</f>
        <v>657</v>
      </c>
      <c r="T664" s="57" t="n">
        <f aca="false">IF(AND(S664&lt;=Assumptions!$C$42,T663=1,X663=0,W663&gt;Assumptions!$C$43),1,0)</f>
        <v>0</v>
      </c>
      <c r="U664" s="58" t="n">
        <f aca="false">W663</f>
        <v>-182.103705036234</v>
      </c>
      <c r="V664" s="58" t="n">
        <f aca="false">IF(T664=1,U664*$B$22,0)</f>
        <v>0</v>
      </c>
      <c r="W664" s="58" t="n">
        <f aca="false">IF(T664=1,U664+V664-$B$27,U664)</f>
        <v>-182.103705036234</v>
      </c>
      <c r="X664" s="56" t="n">
        <f aca="false">IF(T664=1,IF($B$27&lt;=V664,1,0),0)</f>
        <v>0</v>
      </c>
      <c r="Y664" s="58" t="n">
        <f aca="false">Y663+V664</f>
        <v>113000.408372882</v>
      </c>
    </row>
    <row r="665" customFormat="false" ht="15" hidden="false" customHeight="false" outlineLevel="0" collapsed="false">
      <c r="K665" s="56" t="n">
        <f aca="false">K664+1</f>
        <v>658</v>
      </c>
      <c r="L665" s="57" t="n">
        <f aca="false">IF(AND(K665&lt;=Assumptions!$C$42,L664=1,P664=0,O664&gt;Assumptions!$C$43),1,0)</f>
        <v>0</v>
      </c>
      <c r="M665" s="58" t="n">
        <f aca="false">O664</f>
        <v>8.10541678220034E-009</v>
      </c>
      <c r="N665" s="58" t="n">
        <f aca="false">IF(L665=1,M665*$B$22,0)</f>
        <v>0</v>
      </c>
      <c r="O665" s="58" t="n">
        <f aca="false">IF(L665=1,M665+N665-$B$26,M665)</f>
        <v>8.10541678220034E-009</v>
      </c>
      <c r="P665" s="56" t="n">
        <f aca="false">IF(L665=1,IF($B$26&lt;=N665,1,0),0)</f>
        <v>0</v>
      </c>
      <c r="Q665" s="58" t="n">
        <f aca="false">Q664+N665</f>
        <v>145877.630223336</v>
      </c>
      <c r="S665" s="56" t="n">
        <f aca="false">S664+1</f>
        <v>658</v>
      </c>
      <c r="T665" s="57" t="n">
        <f aca="false">IF(AND(S665&lt;=Assumptions!$C$42,T664=1,X664=0,W664&gt;Assumptions!$C$43),1,0)</f>
        <v>0</v>
      </c>
      <c r="U665" s="58" t="n">
        <f aca="false">W664</f>
        <v>-182.103705036234</v>
      </c>
      <c r="V665" s="58" t="n">
        <f aca="false">IF(T665=1,U665*$B$22,0)</f>
        <v>0</v>
      </c>
      <c r="W665" s="58" t="n">
        <f aca="false">IF(T665=1,U665+V665-$B$27,U665)</f>
        <v>-182.103705036234</v>
      </c>
      <c r="X665" s="56" t="n">
        <f aca="false">IF(T665=1,IF($B$27&lt;=V665,1,0),0)</f>
        <v>0</v>
      </c>
      <c r="Y665" s="58" t="n">
        <f aca="false">Y664+V665</f>
        <v>113000.408372882</v>
      </c>
    </row>
    <row r="666" customFormat="false" ht="15" hidden="false" customHeight="false" outlineLevel="0" collapsed="false">
      <c r="K666" s="56" t="n">
        <f aca="false">K665+1</f>
        <v>659</v>
      </c>
      <c r="L666" s="57" t="n">
        <f aca="false">IF(AND(K666&lt;=Assumptions!$C$42,L665=1,P665=0,O665&gt;Assumptions!$C$43),1,0)</f>
        <v>0</v>
      </c>
      <c r="M666" s="58" t="n">
        <f aca="false">O665</f>
        <v>8.10541678220034E-009</v>
      </c>
      <c r="N666" s="58" t="n">
        <f aca="false">IF(L666=1,M666*$B$22,0)</f>
        <v>0</v>
      </c>
      <c r="O666" s="58" t="n">
        <f aca="false">IF(L666=1,M666+N666-$B$26,M666)</f>
        <v>8.10541678220034E-009</v>
      </c>
      <c r="P666" s="56" t="n">
        <f aca="false">IF(L666=1,IF($B$26&lt;=N666,1,0),0)</f>
        <v>0</v>
      </c>
      <c r="Q666" s="58" t="n">
        <f aca="false">Q665+N666</f>
        <v>145877.630223336</v>
      </c>
      <c r="S666" s="56" t="n">
        <f aca="false">S665+1</f>
        <v>659</v>
      </c>
      <c r="T666" s="57" t="n">
        <f aca="false">IF(AND(S666&lt;=Assumptions!$C$42,T665=1,X665=0,W665&gt;Assumptions!$C$43),1,0)</f>
        <v>0</v>
      </c>
      <c r="U666" s="58" t="n">
        <f aca="false">W665</f>
        <v>-182.103705036234</v>
      </c>
      <c r="V666" s="58" t="n">
        <f aca="false">IF(T666=1,U666*$B$22,0)</f>
        <v>0</v>
      </c>
      <c r="W666" s="58" t="n">
        <f aca="false">IF(T666=1,U666+V666-$B$27,U666)</f>
        <v>-182.103705036234</v>
      </c>
      <c r="X666" s="56" t="n">
        <f aca="false">IF(T666=1,IF($B$27&lt;=V666,1,0),0)</f>
        <v>0</v>
      </c>
      <c r="Y666" s="58" t="n">
        <f aca="false">Y665+V666</f>
        <v>113000.408372882</v>
      </c>
    </row>
    <row r="667" customFormat="false" ht="15" hidden="false" customHeight="false" outlineLevel="0" collapsed="false">
      <c r="K667" s="56" t="n">
        <f aca="false">K666+1</f>
        <v>660</v>
      </c>
      <c r="L667" s="57" t="n">
        <f aca="false">IF(AND(K667&lt;=Assumptions!$C$42,L666=1,P666=0,O666&gt;Assumptions!$C$43),1,0)</f>
        <v>0</v>
      </c>
      <c r="M667" s="58" t="n">
        <f aca="false">O666</f>
        <v>8.10541678220034E-009</v>
      </c>
      <c r="N667" s="58" t="n">
        <f aca="false">IF(L667=1,M667*$B$22,0)</f>
        <v>0</v>
      </c>
      <c r="O667" s="58" t="n">
        <f aca="false">IF(L667=1,M667+N667-$B$26,M667)</f>
        <v>8.10541678220034E-009</v>
      </c>
      <c r="P667" s="56" t="n">
        <f aca="false">IF(L667=1,IF($B$26&lt;=N667,1,0),0)</f>
        <v>0</v>
      </c>
      <c r="Q667" s="58" t="n">
        <f aca="false">Q666+N667</f>
        <v>145877.630223336</v>
      </c>
      <c r="S667" s="56" t="n">
        <f aca="false">S666+1</f>
        <v>660</v>
      </c>
      <c r="T667" s="57" t="n">
        <f aca="false">IF(AND(S667&lt;=Assumptions!$C$42,T666=1,X666=0,W666&gt;Assumptions!$C$43),1,0)</f>
        <v>0</v>
      </c>
      <c r="U667" s="58" t="n">
        <f aca="false">W666</f>
        <v>-182.103705036234</v>
      </c>
      <c r="V667" s="58" t="n">
        <f aca="false">IF(T667=1,U667*$B$22,0)</f>
        <v>0</v>
      </c>
      <c r="W667" s="58" t="n">
        <f aca="false">IF(T667=1,U667+V667-$B$27,U667)</f>
        <v>-182.103705036234</v>
      </c>
      <c r="X667" s="56" t="n">
        <f aca="false">IF(T667=1,IF($B$27&lt;=V667,1,0),0)</f>
        <v>0</v>
      </c>
      <c r="Y667" s="58" t="n">
        <f aca="false">Y666+V667</f>
        <v>113000.408372882</v>
      </c>
    </row>
    <row r="668" customFormat="false" ht="15" hidden="false" customHeight="false" outlineLevel="0" collapsed="false">
      <c r="K668" s="56" t="n">
        <f aca="false">K667+1</f>
        <v>661</v>
      </c>
      <c r="L668" s="57" t="n">
        <f aca="false">IF(AND(K668&lt;=Assumptions!$C$42,L667=1,P667=0,O667&gt;Assumptions!$C$43),1,0)</f>
        <v>0</v>
      </c>
      <c r="M668" s="58" t="n">
        <f aca="false">O667</f>
        <v>8.10541678220034E-009</v>
      </c>
      <c r="N668" s="58" t="n">
        <f aca="false">IF(L668=1,M668*$B$22,0)</f>
        <v>0</v>
      </c>
      <c r="O668" s="58" t="n">
        <f aca="false">IF(L668=1,M668+N668-$B$26,M668)</f>
        <v>8.10541678220034E-009</v>
      </c>
      <c r="P668" s="56" t="n">
        <f aca="false">IF(L668=1,IF($B$26&lt;=N668,1,0),0)</f>
        <v>0</v>
      </c>
      <c r="Q668" s="58" t="n">
        <f aca="false">Q667+N668</f>
        <v>145877.630223336</v>
      </c>
      <c r="S668" s="56" t="n">
        <f aca="false">S667+1</f>
        <v>661</v>
      </c>
      <c r="T668" s="57" t="n">
        <f aca="false">IF(AND(S668&lt;=Assumptions!$C$42,T667=1,X667=0,W667&gt;Assumptions!$C$43),1,0)</f>
        <v>0</v>
      </c>
      <c r="U668" s="58" t="n">
        <f aca="false">W667</f>
        <v>-182.103705036234</v>
      </c>
      <c r="V668" s="58" t="n">
        <f aca="false">IF(T668=1,U668*$B$22,0)</f>
        <v>0</v>
      </c>
      <c r="W668" s="58" t="n">
        <f aca="false">IF(T668=1,U668+V668-$B$27,U668)</f>
        <v>-182.103705036234</v>
      </c>
      <c r="X668" s="56" t="n">
        <f aca="false">IF(T668=1,IF($B$27&lt;=V668,1,0),0)</f>
        <v>0</v>
      </c>
      <c r="Y668" s="58" t="n">
        <f aca="false">Y667+V668</f>
        <v>113000.408372882</v>
      </c>
    </row>
    <row r="669" customFormat="false" ht="15" hidden="false" customHeight="false" outlineLevel="0" collapsed="false">
      <c r="K669" s="56" t="n">
        <f aca="false">K668+1</f>
        <v>662</v>
      </c>
      <c r="L669" s="57" t="n">
        <f aca="false">IF(AND(K669&lt;=Assumptions!$C$42,L668=1,P668=0,O668&gt;Assumptions!$C$43),1,0)</f>
        <v>0</v>
      </c>
      <c r="M669" s="58" t="n">
        <f aca="false">O668</f>
        <v>8.10541678220034E-009</v>
      </c>
      <c r="N669" s="58" t="n">
        <f aca="false">IF(L669=1,M669*$B$22,0)</f>
        <v>0</v>
      </c>
      <c r="O669" s="58" t="n">
        <f aca="false">IF(L669=1,M669+N669-$B$26,M669)</f>
        <v>8.10541678220034E-009</v>
      </c>
      <c r="P669" s="56" t="n">
        <f aca="false">IF(L669=1,IF($B$26&lt;=N669,1,0),0)</f>
        <v>0</v>
      </c>
      <c r="Q669" s="58" t="n">
        <f aca="false">Q668+N669</f>
        <v>145877.630223336</v>
      </c>
      <c r="S669" s="56" t="n">
        <f aca="false">S668+1</f>
        <v>662</v>
      </c>
      <c r="T669" s="57" t="n">
        <f aca="false">IF(AND(S669&lt;=Assumptions!$C$42,T668=1,X668=0,W668&gt;Assumptions!$C$43),1,0)</f>
        <v>0</v>
      </c>
      <c r="U669" s="58" t="n">
        <f aca="false">W668</f>
        <v>-182.103705036234</v>
      </c>
      <c r="V669" s="58" t="n">
        <f aca="false">IF(T669=1,U669*$B$22,0)</f>
        <v>0</v>
      </c>
      <c r="W669" s="58" t="n">
        <f aca="false">IF(T669=1,U669+V669-$B$27,U669)</f>
        <v>-182.103705036234</v>
      </c>
      <c r="X669" s="56" t="n">
        <f aca="false">IF(T669=1,IF($B$27&lt;=V669,1,0),0)</f>
        <v>0</v>
      </c>
      <c r="Y669" s="58" t="n">
        <f aca="false">Y668+V669</f>
        <v>113000.408372882</v>
      </c>
    </row>
    <row r="670" customFormat="false" ht="15" hidden="false" customHeight="false" outlineLevel="0" collapsed="false">
      <c r="K670" s="56" t="n">
        <f aca="false">K669+1</f>
        <v>663</v>
      </c>
      <c r="L670" s="57" t="n">
        <f aca="false">IF(AND(K670&lt;=Assumptions!$C$42,L669=1,P669=0,O669&gt;Assumptions!$C$43),1,0)</f>
        <v>0</v>
      </c>
      <c r="M670" s="58" t="n">
        <f aca="false">O669</f>
        <v>8.10541678220034E-009</v>
      </c>
      <c r="N670" s="58" t="n">
        <f aca="false">IF(L670=1,M670*$B$22,0)</f>
        <v>0</v>
      </c>
      <c r="O670" s="58" t="n">
        <f aca="false">IF(L670=1,M670+N670-$B$26,M670)</f>
        <v>8.10541678220034E-009</v>
      </c>
      <c r="P670" s="56" t="n">
        <f aca="false">IF(L670=1,IF($B$26&lt;=N670,1,0),0)</f>
        <v>0</v>
      </c>
      <c r="Q670" s="58" t="n">
        <f aca="false">Q669+N670</f>
        <v>145877.630223336</v>
      </c>
      <c r="S670" s="56" t="n">
        <f aca="false">S669+1</f>
        <v>663</v>
      </c>
      <c r="T670" s="57" t="n">
        <f aca="false">IF(AND(S670&lt;=Assumptions!$C$42,T669=1,X669=0,W669&gt;Assumptions!$C$43),1,0)</f>
        <v>0</v>
      </c>
      <c r="U670" s="58" t="n">
        <f aca="false">W669</f>
        <v>-182.103705036234</v>
      </c>
      <c r="V670" s="58" t="n">
        <f aca="false">IF(T670=1,U670*$B$22,0)</f>
        <v>0</v>
      </c>
      <c r="W670" s="58" t="n">
        <f aca="false">IF(T670=1,U670+V670-$B$27,U670)</f>
        <v>-182.103705036234</v>
      </c>
      <c r="X670" s="56" t="n">
        <f aca="false">IF(T670=1,IF($B$27&lt;=V670,1,0),0)</f>
        <v>0</v>
      </c>
      <c r="Y670" s="58" t="n">
        <f aca="false">Y669+V670</f>
        <v>113000.408372882</v>
      </c>
    </row>
    <row r="671" customFormat="false" ht="15" hidden="false" customHeight="false" outlineLevel="0" collapsed="false">
      <c r="K671" s="56" t="n">
        <f aca="false">K670+1</f>
        <v>664</v>
      </c>
      <c r="L671" s="57" t="n">
        <f aca="false">IF(AND(K671&lt;=Assumptions!$C$42,L670=1,P670=0,O670&gt;Assumptions!$C$43),1,0)</f>
        <v>0</v>
      </c>
      <c r="M671" s="58" t="n">
        <f aca="false">O670</f>
        <v>8.10541678220034E-009</v>
      </c>
      <c r="N671" s="58" t="n">
        <f aca="false">IF(L671=1,M671*$B$22,0)</f>
        <v>0</v>
      </c>
      <c r="O671" s="58" t="n">
        <f aca="false">IF(L671=1,M671+N671-$B$26,M671)</f>
        <v>8.10541678220034E-009</v>
      </c>
      <c r="P671" s="56" t="n">
        <f aca="false">IF(L671=1,IF($B$26&lt;=N671,1,0),0)</f>
        <v>0</v>
      </c>
      <c r="Q671" s="58" t="n">
        <f aca="false">Q670+N671</f>
        <v>145877.630223336</v>
      </c>
      <c r="S671" s="56" t="n">
        <f aca="false">S670+1</f>
        <v>664</v>
      </c>
      <c r="T671" s="57" t="n">
        <f aca="false">IF(AND(S671&lt;=Assumptions!$C$42,T670=1,X670=0,W670&gt;Assumptions!$C$43),1,0)</f>
        <v>0</v>
      </c>
      <c r="U671" s="58" t="n">
        <f aca="false">W670</f>
        <v>-182.103705036234</v>
      </c>
      <c r="V671" s="58" t="n">
        <f aca="false">IF(T671=1,U671*$B$22,0)</f>
        <v>0</v>
      </c>
      <c r="W671" s="58" t="n">
        <f aca="false">IF(T671=1,U671+V671-$B$27,U671)</f>
        <v>-182.103705036234</v>
      </c>
      <c r="X671" s="56" t="n">
        <f aca="false">IF(T671=1,IF($B$27&lt;=V671,1,0),0)</f>
        <v>0</v>
      </c>
      <c r="Y671" s="58" t="n">
        <f aca="false">Y670+V671</f>
        <v>113000.408372882</v>
      </c>
    </row>
    <row r="672" customFormat="false" ht="15" hidden="false" customHeight="false" outlineLevel="0" collapsed="false">
      <c r="K672" s="56" t="n">
        <f aca="false">K671+1</f>
        <v>665</v>
      </c>
      <c r="L672" s="57" t="n">
        <f aca="false">IF(AND(K672&lt;=Assumptions!$C$42,L671=1,P671=0,O671&gt;Assumptions!$C$43),1,0)</f>
        <v>0</v>
      </c>
      <c r="M672" s="58" t="n">
        <f aca="false">O671</f>
        <v>8.10541678220034E-009</v>
      </c>
      <c r="N672" s="58" t="n">
        <f aca="false">IF(L672=1,M672*$B$22,0)</f>
        <v>0</v>
      </c>
      <c r="O672" s="58" t="n">
        <f aca="false">IF(L672=1,M672+N672-$B$26,M672)</f>
        <v>8.10541678220034E-009</v>
      </c>
      <c r="P672" s="56" t="n">
        <f aca="false">IF(L672=1,IF($B$26&lt;=N672,1,0),0)</f>
        <v>0</v>
      </c>
      <c r="Q672" s="58" t="n">
        <f aca="false">Q671+N672</f>
        <v>145877.630223336</v>
      </c>
      <c r="S672" s="56" t="n">
        <f aca="false">S671+1</f>
        <v>665</v>
      </c>
      <c r="T672" s="57" t="n">
        <f aca="false">IF(AND(S672&lt;=Assumptions!$C$42,T671=1,X671=0,W671&gt;Assumptions!$C$43),1,0)</f>
        <v>0</v>
      </c>
      <c r="U672" s="58" t="n">
        <f aca="false">W671</f>
        <v>-182.103705036234</v>
      </c>
      <c r="V672" s="58" t="n">
        <f aca="false">IF(T672=1,U672*$B$22,0)</f>
        <v>0</v>
      </c>
      <c r="W672" s="58" t="n">
        <f aca="false">IF(T672=1,U672+V672-$B$27,U672)</f>
        <v>-182.103705036234</v>
      </c>
      <c r="X672" s="56" t="n">
        <f aca="false">IF(T672=1,IF($B$27&lt;=V672,1,0),0)</f>
        <v>0</v>
      </c>
      <c r="Y672" s="58" t="n">
        <f aca="false">Y671+V672</f>
        <v>113000.408372882</v>
      </c>
    </row>
    <row r="673" customFormat="false" ht="15" hidden="false" customHeight="false" outlineLevel="0" collapsed="false">
      <c r="K673" s="56" t="n">
        <f aca="false">K672+1</f>
        <v>666</v>
      </c>
      <c r="L673" s="57" t="n">
        <f aca="false">IF(AND(K673&lt;=Assumptions!$C$42,L672=1,P672=0,O672&gt;Assumptions!$C$43),1,0)</f>
        <v>0</v>
      </c>
      <c r="M673" s="58" t="n">
        <f aca="false">O672</f>
        <v>8.10541678220034E-009</v>
      </c>
      <c r="N673" s="58" t="n">
        <f aca="false">IF(L673=1,M673*$B$22,0)</f>
        <v>0</v>
      </c>
      <c r="O673" s="58" t="n">
        <f aca="false">IF(L673=1,M673+N673-$B$26,M673)</f>
        <v>8.10541678220034E-009</v>
      </c>
      <c r="P673" s="56" t="n">
        <f aca="false">IF(L673=1,IF($B$26&lt;=N673,1,0),0)</f>
        <v>0</v>
      </c>
      <c r="Q673" s="58" t="n">
        <f aca="false">Q672+N673</f>
        <v>145877.630223336</v>
      </c>
      <c r="S673" s="56" t="n">
        <f aca="false">S672+1</f>
        <v>666</v>
      </c>
      <c r="T673" s="57" t="n">
        <f aca="false">IF(AND(S673&lt;=Assumptions!$C$42,T672=1,X672=0,W672&gt;Assumptions!$C$43),1,0)</f>
        <v>0</v>
      </c>
      <c r="U673" s="58" t="n">
        <f aca="false">W672</f>
        <v>-182.103705036234</v>
      </c>
      <c r="V673" s="58" t="n">
        <f aca="false">IF(T673=1,U673*$B$22,0)</f>
        <v>0</v>
      </c>
      <c r="W673" s="58" t="n">
        <f aca="false">IF(T673=1,U673+V673-$B$27,U673)</f>
        <v>-182.103705036234</v>
      </c>
      <c r="X673" s="56" t="n">
        <f aca="false">IF(T673=1,IF($B$27&lt;=V673,1,0),0)</f>
        <v>0</v>
      </c>
      <c r="Y673" s="58" t="n">
        <f aca="false">Y672+V673</f>
        <v>113000.408372882</v>
      </c>
    </row>
    <row r="674" customFormat="false" ht="15" hidden="false" customHeight="false" outlineLevel="0" collapsed="false">
      <c r="K674" s="56" t="n">
        <f aca="false">K673+1</f>
        <v>667</v>
      </c>
      <c r="L674" s="57" t="n">
        <f aca="false">IF(AND(K674&lt;=Assumptions!$C$42,L673=1,P673=0,O673&gt;Assumptions!$C$43),1,0)</f>
        <v>0</v>
      </c>
      <c r="M674" s="58" t="n">
        <f aca="false">O673</f>
        <v>8.10541678220034E-009</v>
      </c>
      <c r="N674" s="58" t="n">
        <f aca="false">IF(L674=1,M674*$B$22,0)</f>
        <v>0</v>
      </c>
      <c r="O674" s="58" t="n">
        <f aca="false">IF(L674=1,M674+N674-$B$26,M674)</f>
        <v>8.10541678220034E-009</v>
      </c>
      <c r="P674" s="56" t="n">
        <f aca="false">IF(L674=1,IF($B$26&lt;=N674,1,0),0)</f>
        <v>0</v>
      </c>
      <c r="Q674" s="58" t="n">
        <f aca="false">Q673+N674</f>
        <v>145877.630223336</v>
      </c>
      <c r="S674" s="56" t="n">
        <f aca="false">S673+1</f>
        <v>667</v>
      </c>
      <c r="T674" s="57" t="n">
        <f aca="false">IF(AND(S674&lt;=Assumptions!$C$42,T673=1,X673=0,W673&gt;Assumptions!$C$43),1,0)</f>
        <v>0</v>
      </c>
      <c r="U674" s="58" t="n">
        <f aca="false">W673</f>
        <v>-182.103705036234</v>
      </c>
      <c r="V674" s="58" t="n">
        <f aca="false">IF(T674=1,U674*$B$22,0)</f>
        <v>0</v>
      </c>
      <c r="W674" s="58" t="n">
        <f aca="false">IF(T674=1,U674+V674-$B$27,U674)</f>
        <v>-182.103705036234</v>
      </c>
      <c r="X674" s="56" t="n">
        <f aca="false">IF(T674=1,IF($B$27&lt;=V674,1,0),0)</f>
        <v>0</v>
      </c>
      <c r="Y674" s="58" t="n">
        <f aca="false">Y673+V674</f>
        <v>113000.408372882</v>
      </c>
    </row>
    <row r="675" customFormat="false" ht="15" hidden="false" customHeight="false" outlineLevel="0" collapsed="false">
      <c r="K675" s="56" t="n">
        <f aca="false">K674+1</f>
        <v>668</v>
      </c>
      <c r="L675" s="57" t="n">
        <f aca="false">IF(AND(K675&lt;=Assumptions!$C$42,L674=1,P674=0,O674&gt;Assumptions!$C$43),1,0)</f>
        <v>0</v>
      </c>
      <c r="M675" s="58" t="n">
        <f aca="false">O674</f>
        <v>8.10541678220034E-009</v>
      </c>
      <c r="N675" s="58" t="n">
        <f aca="false">IF(L675=1,M675*$B$22,0)</f>
        <v>0</v>
      </c>
      <c r="O675" s="58" t="n">
        <f aca="false">IF(L675=1,M675+N675-$B$26,M675)</f>
        <v>8.10541678220034E-009</v>
      </c>
      <c r="P675" s="56" t="n">
        <f aca="false">IF(L675=1,IF($B$26&lt;=N675,1,0),0)</f>
        <v>0</v>
      </c>
      <c r="Q675" s="58" t="n">
        <f aca="false">Q674+N675</f>
        <v>145877.630223336</v>
      </c>
      <c r="S675" s="56" t="n">
        <f aca="false">S674+1</f>
        <v>668</v>
      </c>
      <c r="T675" s="57" t="n">
        <f aca="false">IF(AND(S675&lt;=Assumptions!$C$42,T674=1,X674=0,W674&gt;Assumptions!$C$43),1,0)</f>
        <v>0</v>
      </c>
      <c r="U675" s="58" t="n">
        <f aca="false">W674</f>
        <v>-182.103705036234</v>
      </c>
      <c r="V675" s="58" t="n">
        <f aca="false">IF(T675=1,U675*$B$22,0)</f>
        <v>0</v>
      </c>
      <c r="W675" s="58" t="n">
        <f aca="false">IF(T675=1,U675+V675-$B$27,U675)</f>
        <v>-182.103705036234</v>
      </c>
      <c r="X675" s="56" t="n">
        <f aca="false">IF(T675=1,IF($B$27&lt;=V675,1,0),0)</f>
        <v>0</v>
      </c>
      <c r="Y675" s="58" t="n">
        <f aca="false">Y674+V675</f>
        <v>113000.408372882</v>
      </c>
    </row>
    <row r="676" customFormat="false" ht="15" hidden="false" customHeight="false" outlineLevel="0" collapsed="false">
      <c r="K676" s="56" t="n">
        <f aca="false">K675+1</f>
        <v>669</v>
      </c>
      <c r="L676" s="57" t="n">
        <f aca="false">IF(AND(K676&lt;=Assumptions!$C$42,L675=1,P675=0,O675&gt;Assumptions!$C$43),1,0)</f>
        <v>0</v>
      </c>
      <c r="M676" s="58" t="n">
        <f aca="false">O675</f>
        <v>8.10541678220034E-009</v>
      </c>
      <c r="N676" s="58" t="n">
        <f aca="false">IF(L676=1,M676*$B$22,0)</f>
        <v>0</v>
      </c>
      <c r="O676" s="58" t="n">
        <f aca="false">IF(L676=1,M676+N676-$B$26,M676)</f>
        <v>8.10541678220034E-009</v>
      </c>
      <c r="P676" s="56" t="n">
        <f aca="false">IF(L676=1,IF($B$26&lt;=N676,1,0),0)</f>
        <v>0</v>
      </c>
      <c r="Q676" s="58" t="n">
        <f aca="false">Q675+N676</f>
        <v>145877.630223336</v>
      </c>
      <c r="S676" s="56" t="n">
        <f aca="false">S675+1</f>
        <v>669</v>
      </c>
      <c r="T676" s="57" t="n">
        <f aca="false">IF(AND(S676&lt;=Assumptions!$C$42,T675=1,X675=0,W675&gt;Assumptions!$C$43),1,0)</f>
        <v>0</v>
      </c>
      <c r="U676" s="58" t="n">
        <f aca="false">W675</f>
        <v>-182.103705036234</v>
      </c>
      <c r="V676" s="58" t="n">
        <f aca="false">IF(T676=1,U676*$B$22,0)</f>
        <v>0</v>
      </c>
      <c r="W676" s="58" t="n">
        <f aca="false">IF(T676=1,U676+V676-$B$27,U676)</f>
        <v>-182.103705036234</v>
      </c>
      <c r="X676" s="56" t="n">
        <f aca="false">IF(T676=1,IF($B$27&lt;=V676,1,0),0)</f>
        <v>0</v>
      </c>
      <c r="Y676" s="58" t="n">
        <f aca="false">Y675+V676</f>
        <v>113000.408372882</v>
      </c>
    </row>
    <row r="677" customFormat="false" ht="15" hidden="false" customHeight="false" outlineLevel="0" collapsed="false">
      <c r="K677" s="56" t="n">
        <f aca="false">K676+1</f>
        <v>670</v>
      </c>
      <c r="L677" s="57" t="n">
        <f aca="false">IF(AND(K677&lt;=Assumptions!$C$42,L676=1,P676=0,O676&gt;Assumptions!$C$43),1,0)</f>
        <v>0</v>
      </c>
      <c r="M677" s="58" t="n">
        <f aca="false">O676</f>
        <v>8.10541678220034E-009</v>
      </c>
      <c r="N677" s="58" t="n">
        <f aca="false">IF(L677=1,M677*$B$22,0)</f>
        <v>0</v>
      </c>
      <c r="O677" s="58" t="n">
        <f aca="false">IF(L677=1,M677+N677-$B$26,M677)</f>
        <v>8.10541678220034E-009</v>
      </c>
      <c r="P677" s="56" t="n">
        <f aca="false">IF(L677=1,IF($B$26&lt;=N677,1,0),0)</f>
        <v>0</v>
      </c>
      <c r="Q677" s="58" t="n">
        <f aca="false">Q676+N677</f>
        <v>145877.630223336</v>
      </c>
      <c r="S677" s="56" t="n">
        <f aca="false">S676+1</f>
        <v>670</v>
      </c>
      <c r="T677" s="57" t="n">
        <f aca="false">IF(AND(S677&lt;=Assumptions!$C$42,T676=1,X676=0,W676&gt;Assumptions!$C$43),1,0)</f>
        <v>0</v>
      </c>
      <c r="U677" s="58" t="n">
        <f aca="false">W676</f>
        <v>-182.103705036234</v>
      </c>
      <c r="V677" s="58" t="n">
        <f aca="false">IF(T677=1,U677*$B$22,0)</f>
        <v>0</v>
      </c>
      <c r="W677" s="58" t="n">
        <f aca="false">IF(T677=1,U677+V677-$B$27,U677)</f>
        <v>-182.103705036234</v>
      </c>
      <c r="X677" s="56" t="n">
        <f aca="false">IF(T677=1,IF($B$27&lt;=V677,1,0),0)</f>
        <v>0</v>
      </c>
      <c r="Y677" s="58" t="n">
        <f aca="false">Y676+V677</f>
        <v>113000.408372882</v>
      </c>
    </row>
    <row r="678" customFormat="false" ht="15" hidden="false" customHeight="false" outlineLevel="0" collapsed="false">
      <c r="K678" s="56" t="n">
        <f aca="false">K677+1</f>
        <v>671</v>
      </c>
      <c r="L678" s="57" t="n">
        <f aca="false">IF(AND(K678&lt;=Assumptions!$C$42,L677=1,P677=0,O677&gt;Assumptions!$C$43),1,0)</f>
        <v>0</v>
      </c>
      <c r="M678" s="58" t="n">
        <f aca="false">O677</f>
        <v>8.10541678220034E-009</v>
      </c>
      <c r="N678" s="58" t="n">
        <f aca="false">IF(L678=1,M678*$B$22,0)</f>
        <v>0</v>
      </c>
      <c r="O678" s="58" t="n">
        <f aca="false">IF(L678=1,M678+N678-$B$26,M678)</f>
        <v>8.10541678220034E-009</v>
      </c>
      <c r="P678" s="56" t="n">
        <f aca="false">IF(L678=1,IF($B$26&lt;=N678,1,0),0)</f>
        <v>0</v>
      </c>
      <c r="Q678" s="58" t="n">
        <f aca="false">Q677+N678</f>
        <v>145877.630223336</v>
      </c>
      <c r="S678" s="56" t="n">
        <f aca="false">S677+1</f>
        <v>671</v>
      </c>
      <c r="T678" s="57" t="n">
        <f aca="false">IF(AND(S678&lt;=Assumptions!$C$42,T677=1,X677=0,W677&gt;Assumptions!$C$43),1,0)</f>
        <v>0</v>
      </c>
      <c r="U678" s="58" t="n">
        <f aca="false">W677</f>
        <v>-182.103705036234</v>
      </c>
      <c r="V678" s="58" t="n">
        <f aca="false">IF(T678=1,U678*$B$22,0)</f>
        <v>0</v>
      </c>
      <c r="W678" s="58" t="n">
        <f aca="false">IF(T678=1,U678+V678-$B$27,U678)</f>
        <v>-182.103705036234</v>
      </c>
      <c r="X678" s="56" t="n">
        <f aca="false">IF(T678=1,IF($B$27&lt;=V678,1,0),0)</f>
        <v>0</v>
      </c>
      <c r="Y678" s="58" t="n">
        <f aca="false">Y677+V678</f>
        <v>113000.408372882</v>
      </c>
    </row>
    <row r="679" customFormat="false" ht="15" hidden="false" customHeight="false" outlineLevel="0" collapsed="false">
      <c r="K679" s="56" t="n">
        <f aca="false">K678+1</f>
        <v>672</v>
      </c>
      <c r="L679" s="57" t="n">
        <f aca="false">IF(AND(K679&lt;=Assumptions!$C$42,L678=1,P678=0,O678&gt;Assumptions!$C$43),1,0)</f>
        <v>0</v>
      </c>
      <c r="M679" s="58" t="n">
        <f aca="false">O678</f>
        <v>8.10541678220034E-009</v>
      </c>
      <c r="N679" s="58" t="n">
        <f aca="false">IF(L679=1,M679*$B$22,0)</f>
        <v>0</v>
      </c>
      <c r="O679" s="58" t="n">
        <f aca="false">IF(L679=1,M679+N679-$B$26,M679)</f>
        <v>8.10541678220034E-009</v>
      </c>
      <c r="P679" s="56" t="n">
        <f aca="false">IF(L679=1,IF($B$26&lt;=N679,1,0),0)</f>
        <v>0</v>
      </c>
      <c r="Q679" s="58" t="n">
        <f aca="false">Q678+N679</f>
        <v>145877.630223336</v>
      </c>
      <c r="S679" s="56" t="n">
        <f aca="false">S678+1</f>
        <v>672</v>
      </c>
      <c r="T679" s="57" t="n">
        <f aca="false">IF(AND(S679&lt;=Assumptions!$C$42,T678=1,X678=0,W678&gt;Assumptions!$C$43),1,0)</f>
        <v>0</v>
      </c>
      <c r="U679" s="58" t="n">
        <f aca="false">W678</f>
        <v>-182.103705036234</v>
      </c>
      <c r="V679" s="58" t="n">
        <f aca="false">IF(T679=1,U679*$B$22,0)</f>
        <v>0</v>
      </c>
      <c r="W679" s="58" t="n">
        <f aca="false">IF(T679=1,U679+V679-$B$27,U679)</f>
        <v>-182.103705036234</v>
      </c>
      <c r="X679" s="56" t="n">
        <f aca="false">IF(T679=1,IF($B$27&lt;=V679,1,0),0)</f>
        <v>0</v>
      </c>
      <c r="Y679" s="58" t="n">
        <f aca="false">Y678+V679</f>
        <v>113000.408372882</v>
      </c>
    </row>
    <row r="680" customFormat="false" ht="15" hidden="false" customHeight="false" outlineLevel="0" collapsed="false">
      <c r="K680" s="56" t="n">
        <f aca="false">K679+1</f>
        <v>673</v>
      </c>
      <c r="L680" s="57" t="n">
        <f aca="false">IF(AND(K680&lt;=Assumptions!$C$42,L679=1,P679=0,O679&gt;Assumptions!$C$43),1,0)</f>
        <v>0</v>
      </c>
      <c r="M680" s="58" t="n">
        <f aca="false">O679</f>
        <v>8.10541678220034E-009</v>
      </c>
      <c r="N680" s="58" t="n">
        <f aca="false">IF(L680=1,M680*$B$22,0)</f>
        <v>0</v>
      </c>
      <c r="O680" s="58" t="n">
        <f aca="false">IF(L680=1,M680+N680-$B$26,M680)</f>
        <v>8.10541678220034E-009</v>
      </c>
      <c r="P680" s="56" t="n">
        <f aca="false">IF(L680=1,IF($B$26&lt;=N680,1,0),0)</f>
        <v>0</v>
      </c>
      <c r="Q680" s="58" t="n">
        <f aca="false">Q679+N680</f>
        <v>145877.630223336</v>
      </c>
      <c r="S680" s="56" t="n">
        <f aca="false">S679+1</f>
        <v>673</v>
      </c>
      <c r="T680" s="57" t="n">
        <f aca="false">IF(AND(S680&lt;=Assumptions!$C$42,T679=1,X679=0,W679&gt;Assumptions!$C$43),1,0)</f>
        <v>0</v>
      </c>
      <c r="U680" s="58" t="n">
        <f aca="false">W679</f>
        <v>-182.103705036234</v>
      </c>
      <c r="V680" s="58" t="n">
        <f aca="false">IF(T680=1,U680*$B$22,0)</f>
        <v>0</v>
      </c>
      <c r="W680" s="58" t="n">
        <f aca="false">IF(T680=1,U680+V680-$B$27,U680)</f>
        <v>-182.103705036234</v>
      </c>
      <c r="X680" s="56" t="n">
        <f aca="false">IF(T680=1,IF($B$27&lt;=V680,1,0),0)</f>
        <v>0</v>
      </c>
      <c r="Y680" s="58" t="n">
        <f aca="false">Y679+V680</f>
        <v>113000.408372882</v>
      </c>
    </row>
    <row r="681" customFormat="false" ht="15" hidden="false" customHeight="false" outlineLevel="0" collapsed="false">
      <c r="K681" s="56" t="n">
        <f aca="false">K680+1</f>
        <v>674</v>
      </c>
      <c r="L681" s="57" t="n">
        <f aca="false">IF(AND(K681&lt;=Assumptions!$C$42,L680=1,P680=0,O680&gt;Assumptions!$C$43),1,0)</f>
        <v>0</v>
      </c>
      <c r="M681" s="58" t="n">
        <f aca="false">O680</f>
        <v>8.10541678220034E-009</v>
      </c>
      <c r="N681" s="58" t="n">
        <f aca="false">IF(L681=1,M681*$B$22,0)</f>
        <v>0</v>
      </c>
      <c r="O681" s="58" t="n">
        <f aca="false">IF(L681=1,M681+N681-$B$26,M681)</f>
        <v>8.10541678220034E-009</v>
      </c>
      <c r="P681" s="56" t="n">
        <f aca="false">IF(L681=1,IF($B$26&lt;=N681,1,0),0)</f>
        <v>0</v>
      </c>
      <c r="Q681" s="58" t="n">
        <f aca="false">Q680+N681</f>
        <v>145877.630223336</v>
      </c>
      <c r="S681" s="56" t="n">
        <f aca="false">S680+1</f>
        <v>674</v>
      </c>
      <c r="T681" s="57" t="n">
        <f aca="false">IF(AND(S681&lt;=Assumptions!$C$42,T680=1,X680=0,W680&gt;Assumptions!$C$43),1,0)</f>
        <v>0</v>
      </c>
      <c r="U681" s="58" t="n">
        <f aca="false">W680</f>
        <v>-182.103705036234</v>
      </c>
      <c r="V681" s="58" t="n">
        <f aca="false">IF(T681=1,U681*$B$22,0)</f>
        <v>0</v>
      </c>
      <c r="W681" s="58" t="n">
        <f aca="false">IF(T681=1,U681+V681-$B$27,U681)</f>
        <v>-182.103705036234</v>
      </c>
      <c r="X681" s="56" t="n">
        <f aca="false">IF(T681=1,IF($B$27&lt;=V681,1,0),0)</f>
        <v>0</v>
      </c>
      <c r="Y681" s="58" t="n">
        <f aca="false">Y680+V681</f>
        <v>113000.408372882</v>
      </c>
    </row>
    <row r="682" customFormat="false" ht="15" hidden="false" customHeight="false" outlineLevel="0" collapsed="false">
      <c r="K682" s="56" t="n">
        <f aca="false">K681+1</f>
        <v>675</v>
      </c>
      <c r="L682" s="57" t="n">
        <f aca="false">IF(AND(K682&lt;=Assumptions!$C$42,L681=1,P681=0,O681&gt;Assumptions!$C$43),1,0)</f>
        <v>0</v>
      </c>
      <c r="M682" s="58" t="n">
        <f aca="false">O681</f>
        <v>8.10541678220034E-009</v>
      </c>
      <c r="N682" s="58" t="n">
        <f aca="false">IF(L682=1,M682*$B$22,0)</f>
        <v>0</v>
      </c>
      <c r="O682" s="58" t="n">
        <f aca="false">IF(L682=1,M682+N682-$B$26,M682)</f>
        <v>8.10541678220034E-009</v>
      </c>
      <c r="P682" s="56" t="n">
        <f aca="false">IF(L682=1,IF($B$26&lt;=N682,1,0),0)</f>
        <v>0</v>
      </c>
      <c r="Q682" s="58" t="n">
        <f aca="false">Q681+N682</f>
        <v>145877.630223336</v>
      </c>
      <c r="S682" s="56" t="n">
        <f aca="false">S681+1</f>
        <v>675</v>
      </c>
      <c r="T682" s="57" t="n">
        <f aca="false">IF(AND(S682&lt;=Assumptions!$C$42,T681=1,X681=0,W681&gt;Assumptions!$C$43),1,0)</f>
        <v>0</v>
      </c>
      <c r="U682" s="58" t="n">
        <f aca="false">W681</f>
        <v>-182.103705036234</v>
      </c>
      <c r="V682" s="58" t="n">
        <f aca="false">IF(T682=1,U682*$B$22,0)</f>
        <v>0</v>
      </c>
      <c r="W682" s="58" t="n">
        <f aca="false">IF(T682=1,U682+V682-$B$27,U682)</f>
        <v>-182.103705036234</v>
      </c>
      <c r="X682" s="56" t="n">
        <f aca="false">IF(T682=1,IF($B$27&lt;=V682,1,0),0)</f>
        <v>0</v>
      </c>
      <c r="Y682" s="58" t="n">
        <f aca="false">Y681+V682</f>
        <v>113000.408372882</v>
      </c>
    </row>
    <row r="683" customFormat="false" ht="15" hidden="false" customHeight="false" outlineLevel="0" collapsed="false">
      <c r="K683" s="56" t="n">
        <f aca="false">K682+1</f>
        <v>676</v>
      </c>
      <c r="L683" s="57" t="n">
        <f aca="false">IF(AND(K683&lt;=Assumptions!$C$42,L682=1,P682=0,O682&gt;Assumptions!$C$43),1,0)</f>
        <v>0</v>
      </c>
      <c r="M683" s="58" t="n">
        <f aca="false">O682</f>
        <v>8.10541678220034E-009</v>
      </c>
      <c r="N683" s="58" t="n">
        <f aca="false">IF(L683=1,M683*$B$22,0)</f>
        <v>0</v>
      </c>
      <c r="O683" s="58" t="n">
        <f aca="false">IF(L683=1,M683+N683-$B$26,M683)</f>
        <v>8.10541678220034E-009</v>
      </c>
      <c r="P683" s="56" t="n">
        <f aca="false">IF(L683=1,IF($B$26&lt;=N683,1,0),0)</f>
        <v>0</v>
      </c>
      <c r="Q683" s="58" t="n">
        <f aca="false">Q682+N683</f>
        <v>145877.630223336</v>
      </c>
      <c r="S683" s="56" t="n">
        <f aca="false">S682+1</f>
        <v>676</v>
      </c>
      <c r="T683" s="57" t="n">
        <f aca="false">IF(AND(S683&lt;=Assumptions!$C$42,T682=1,X682=0,W682&gt;Assumptions!$C$43),1,0)</f>
        <v>0</v>
      </c>
      <c r="U683" s="58" t="n">
        <f aca="false">W682</f>
        <v>-182.103705036234</v>
      </c>
      <c r="V683" s="58" t="n">
        <f aca="false">IF(T683=1,U683*$B$22,0)</f>
        <v>0</v>
      </c>
      <c r="W683" s="58" t="n">
        <f aca="false">IF(T683=1,U683+V683-$B$27,U683)</f>
        <v>-182.103705036234</v>
      </c>
      <c r="X683" s="56" t="n">
        <f aca="false">IF(T683=1,IF($B$27&lt;=V683,1,0),0)</f>
        <v>0</v>
      </c>
      <c r="Y683" s="58" t="n">
        <f aca="false">Y682+V683</f>
        <v>113000.408372882</v>
      </c>
    </row>
    <row r="684" customFormat="false" ht="15" hidden="false" customHeight="false" outlineLevel="0" collapsed="false">
      <c r="K684" s="56" t="n">
        <f aca="false">K683+1</f>
        <v>677</v>
      </c>
      <c r="L684" s="57" t="n">
        <f aca="false">IF(AND(K684&lt;=Assumptions!$C$42,L683=1,P683=0,O683&gt;Assumptions!$C$43),1,0)</f>
        <v>0</v>
      </c>
      <c r="M684" s="58" t="n">
        <f aca="false">O683</f>
        <v>8.10541678220034E-009</v>
      </c>
      <c r="N684" s="58" t="n">
        <f aca="false">IF(L684=1,M684*$B$22,0)</f>
        <v>0</v>
      </c>
      <c r="O684" s="58" t="n">
        <f aca="false">IF(L684=1,M684+N684-$B$26,M684)</f>
        <v>8.10541678220034E-009</v>
      </c>
      <c r="P684" s="56" t="n">
        <f aca="false">IF(L684=1,IF($B$26&lt;=N684,1,0),0)</f>
        <v>0</v>
      </c>
      <c r="Q684" s="58" t="n">
        <f aca="false">Q683+N684</f>
        <v>145877.630223336</v>
      </c>
      <c r="S684" s="56" t="n">
        <f aca="false">S683+1</f>
        <v>677</v>
      </c>
      <c r="T684" s="57" t="n">
        <f aca="false">IF(AND(S684&lt;=Assumptions!$C$42,T683=1,X683=0,W683&gt;Assumptions!$C$43),1,0)</f>
        <v>0</v>
      </c>
      <c r="U684" s="58" t="n">
        <f aca="false">W683</f>
        <v>-182.103705036234</v>
      </c>
      <c r="V684" s="58" t="n">
        <f aca="false">IF(T684=1,U684*$B$22,0)</f>
        <v>0</v>
      </c>
      <c r="W684" s="58" t="n">
        <f aca="false">IF(T684=1,U684+V684-$B$27,U684)</f>
        <v>-182.103705036234</v>
      </c>
      <c r="X684" s="56" t="n">
        <f aca="false">IF(T684=1,IF($B$27&lt;=V684,1,0),0)</f>
        <v>0</v>
      </c>
      <c r="Y684" s="58" t="n">
        <f aca="false">Y683+V684</f>
        <v>113000.408372882</v>
      </c>
    </row>
    <row r="685" customFormat="false" ht="15" hidden="false" customHeight="false" outlineLevel="0" collapsed="false">
      <c r="K685" s="56" t="n">
        <f aca="false">K684+1</f>
        <v>678</v>
      </c>
      <c r="L685" s="57" t="n">
        <f aca="false">IF(AND(K685&lt;=Assumptions!$C$42,L684=1,P684=0,O684&gt;Assumptions!$C$43),1,0)</f>
        <v>0</v>
      </c>
      <c r="M685" s="58" t="n">
        <f aca="false">O684</f>
        <v>8.10541678220034E-009</v>
      </c>
      <c r="N685" s="58" t="n">
        <f aca="false">IF(L685=1,M685*$B$22,0)</f>
        <v>0</v>
      </c>
      <c r="O685" s="58" t="n">
        <f aca="false">IF(L685=1,M685+N685-$B$26,M685)</f>
        <v>8.10541678220034E-009</v>
      </c>
      <c r="P685" s="56" t="n">
        <f aca="false">IF(L685=1,IF($B$26&lt;=N685,1,0),0)</f>
        <v>0</v>
      </c>
      <c r="Q685" s="58" t="n">
        <f aca="false">Q684+N685</f>
        <v>145877.630223336</v>
      </c>
      <c r="S685" s="56" t="n">
        <f aca="false">S684+1</f>
        <v>678</v>
      </c>
      <c r="T685" s="57" t="n">
        <f aca="false">IF(AND(S685&lt;=Assumptions!$C$42,T684=1,X684=0,W684&gt;Assumptions!$C$43),1,0)</f>
        <v>0</v>
      </c>
      <c r="U685" s="58" t="n">
        <f aca="false">W684</f>
        <v>-182.103705036234</v>
      </c>
      <c r="V685" s="58" t="n">
        <f aca="false">IF(T685=1,U685*$B$22,0)</f>
        <v>0</v>
      </c>
      <c r="W685" s="58" t="n">
        <f aca="false">IF(T685=1,U685+V685-$B$27,U685)</f>
        <v>-182.103705036234</v>
      </c>
      <c r="X685" s="56" t="n">
        <f aca="false">IF(T685=1,IF($B$27&lt;=V685,1,0),0)</f>
        <v>0</v>
      </c>
      <c r="Y685" s="58" t="n">
        <f aca="false">Y684+V685</f>
        <v>113000.408372882</v>
      </c>
    </row>
    <row r="686" customFormat="false" ht="15" hidden="false" customHeight="false" outlineLevel="0" collapsed="false">
      <c r="K686" s="56" t="n">
        <f aca="false">K685+1</f>
        <v>679</v>
      </c>
      <c r="L686" s="57" t="n">
        <f aca="false">IF(AND(K686&lt;=Assumptions!$C$42,L685=1,P685=0,O685&gt;Assumptions!$C$43),1,0)</f>
        <v>0</v>
      </c>
      <c r="M686" s="58" t="n">
        <f aca="false">O685</f>
        <v>8.10541678220034E-009</v>
      </c>
      <c r="N686" s="58" t="n">
        <f aca="false">IF(L686=1,M686*$B$22,0)</f>
        <v>0</v>
      </c>
      <c r="O686" s="58" t="n">
        <f aca="false">IF(L686=1,M686+N686-$B$26,M686)</f>
        <v>8.10541678220034E-009</v>
      </c>
      <c r="P686" s="56" t="n">
        <f aca="false">IF(L686=1,IF($B$26&lt;=N686,1,0),0)</f>
        <v>0</v>
      </c>
      <c r="Q686" s="58" t="n">
        <f aca="false">Q685+N686</f>
        <v>145877.630223336</v>
      </c>
      <c r="S686" s="56" t="n">
        <f aca="false">S685+1</f>
        <v>679</v>
      </c>
      <c r="T686" s="57" t="n">
        <f aca="false">IF(AND(S686&lt;=Assumptions!$C$42,T685=1,X685=0,W685&gt;Assumptions!$C$43),1,0)</f>
        <v>0</v>
      </c>
      <c r="U686" s="58" t="n">
        <f aca="false">W685</f>
        <v>-182.103705036234</v>
      </c>
      <c r="V686" s="58" t="n">
        <f aca="false">IF(T686=1,U686*$B$22,0)</f>
        <v>0</v>
      </c>
      <c r="W686" s="58" t="n">
        <f aca="false">IF(T686=1,U686+V686-$B$27,U686)</f>
        <v>-182.103705036234</v>
      </c>
      <c r="X686" s="56" t="n">
        <f aca="false">IF(T686=1,IF($B$27&lt;=V686,1,0),0)</f>
        <v>0</v>
      </c>
      <c r="Y686" s="58" t="n">
        <f aca="false">Y685+V686</f>
        <v>113000.408372882</v>
      </c>
    </row>
    <row r="687" customFormat="false" ht="15" hidden="false" customHeight="false" outlineLevel="0" collapsed="false">
      <c r="K687" s="56" t="n">
        <f aca="false">K686+1</f>
        <v>680</v>
      </c>
      <c r="L687" s="57" t="n">
        <f aca="false">IF(AND(K687&lt;=Assumptions!$C$42,L686=1,P686=0,O686&gt;Assumptions!$C$43),1,0)</f>
        <v>0</v>
      </c>
      <c r="M687" s="58" t="n">
        <f aca="false">O686</f>
        <v>8.10541678220034E-009</v>
      </c>
      <c r="N687" s="58" t="n">
        <f aca="false">IF(L687=1,M687*$B$22,0)</f>
        <v>0</v>
      </c>
      <c r="O687" s="58" t="n">
        <f aca="false">IF(L687=1,M687+N687-$B$26,M687)</f>
        <v>8.10541678220034E-009</v>
      </c>
      <c r="P687" s="56" t="n">
        <f aca="false">IF(L687=1,IF($B$26&lt;=N687,1,0),0)</f>
        <v>0</v>
      </c>
      <c r="Q687" s="58" t="n">
        <f aca="false">Q686+N687</f>
        <v>145877.630223336</v>
      </c>
      <c r="S687" s="56" t="n">
        <f aca="false">S686+1</f>
        <v>680</v>
      </c>
      <c r="T687" s="57" t="n">
        <f aca="false">IF(AND(S687&lt;=Assumptions!$C$42,T686=1,X686=0,W686&gt;Assumptions!$C$43),1,0)</f>
        <v>0</v>
      </c>
      <c r="U687" s="58" t="n">
        <f aca="false">W686</f>
        <v>-182.103705036234</v>
      </c>
      <c r="V687" s="58" t="n">
        <f aca="false">IF(T687=1,U687*$B$22,0)</f>
        <v>0</v>
      </c>
      <c r="W687" s="58" t="n">
        <f aca="false">IF(T687=1,U687+V687-$B$27,U687)</f>
        <v>-182.103705036234</v>
      </c>
      <c r="X687" s="56" t="n">
        <f aca="false">IF(T687=1,IF($B$27&lt;=V687,1,0),0)</f>
        <v>0</v>
      </c>
      <c r="Y687" s="58" t="n">
        <f aca="false">Y686+V687</f>
        <v>113000.408372882</v>
      </c>
    </row>
    <row r="688" customFormat="false" ht="15" hidden="false" customHeight="false" outlineLevel="0" collapsed="false">
      <c r="K688" s="56" t="n">
        <f aca="false">K687+1</f>
        <v>681</v>
      </c>
      <c r="L688" s="57" t="n">
        <f aca="false">IF(AND(K688&lt;=Assumptions!$C$42,L687=1,P687=0,O687&gt;Assumptions!$C$43),1,0)</f>
        <v>0</v>
      </c>
      <c r="M688" s="58" t="n">
        <f aca="false">O687</f>
        <v>8.10541678220034E-009</v>
      </c>
      <c r="N688" s="58" t="n">
        <f aca="false">IF(L688=1,M688*$B$22,0)</f>
        <v>0</v>
      </c>
      <c r="O688" s="58" t="n">
        <f aca="false">IF(L688=1,M688+N688-$B$26,M688)</f>
        <v>8.10541678220034E-009</v>
      </c>
      <c r="P688" s="56" t="n">
        <f aca="false">IF(L688=1,IF($B$26&lt;=N688,1,0),0)</f>
        <v>0</v>
      </c>
      <c r="Q688" s="58" t="n">
        <f aca="false">Q687+N688</f>
        <v>145877.630223336</v>
      </c>
      <c r="S688" s="56" t="n">
        <f aca="false">S687+1</f>
        <v>681</v>
      </c>
      <c r="T688" s="57" t="n">
        <f aca="false">IF(AND(S688&lt;=Assumptions!$C$42,T687=1,X687=0,W687&gt;Assumptions!$C$43),1,0)</f>
        <v>0</v>
      </c>
      <c r="U688" s="58" t="n">
        <f aca="false">W687</f>
        <v>-182.103705036234</v>
      </c>
      <c r="V688" s="58" t="n">
        <f aca="false">IF(T688=1,U688*$B$22,0)</f>
        <v>0</v>
      </c>
      <c r="W688" s="58" t="n">
        <f aca="false">IF(T688=1,U688+V688-$B$27,U688)</f>
        <v>-182.103705036234</v>
      </c>
      <c r="X688" s="56" t="n">
        <f aca="false">IF(T688=1,IF($B$27&lt;=V688,1,0),0)</f>
        <v>0</v>
      </c>
      <c r="Y688" s="58" t="n">
        <f aca="false">Y687+V688</f>
        <v>113000.408372882</v>
      </c>
    </row>
    <row r="689" customFormat="false" ht="15" hidden="false" customHeight="false" outlineLevel="0" collapsed="false">
      <c r="K689" s="56" t="n">
        <f aca="false">K688+1</f>
        <v>682</v>
      </c>
      <c r="L689" s="57" t="n">
        <f aca="false">IF(AND(K689&lt;=Assumptions!$C$42,L688=1,P688=0,O688&gt;Assumptions!$C$43),1,0)</f>
        <v>0</v>
      </c>
      <c r="M689" s="58" t="n">
        <f aca="false">O688</f>
        <v>8.10541678220034E-009</v>
      </c>
      <c r="N689" s="58" t="n">
        <f aca="false">IF(L689=1,M689*$B$22,0)</f>
        <v>0</v>
      </c>
      <c r="O689" s="58" t="n">
        <f aca="false">IF(L689=1,M689+N689-$B$26,M689)</f>
        <v>8.10541678220034E-009</v>
      </c>
      <c r="P689" s="56" t="n">
        <f aca="false">IF(L689=1,IF($B$26&lt;=N689,1,0),0)</f>
        <v>0</v>
      </c>
      <c r="Q689" s="58" t="n">
        <f aca="false">Q688+N689</f>
        <v>145877.630223336</v>
      </c>
      <c r="S689" s="56" t="n">
        <f aca="false">S688+1</f>
        <v>682</v>
      </c>
      <c r="T689" s="57" t="n">
        <f aca="false">IF(AND(S689&lt;=Assumptions!$C$42,T688=1,X688=0,W688&gt;Assumptions!$C$43),1,0)</f>
        <v>0</v>
      </c>
      <c r="U689" s="58" t="n">
        <f aca="false">W688</f>
        <v>-182.103705036234</v>
      </c>
      <c r="V689" s="58" t="n">
        <f aca="false">IF(T689=1,U689*$B$22,0)</f>
        <v>0</v>
      </c>
      <c r="W689" s="58" t="n">
        <f aca="false">IF(T689=1,U689+V689-$B$27,U689)</f>
        <v>-182.103705036234</v>
      </c>
      <c r="X689" s="56" t="n">
        <f aca="false">IF(T689=1,IF($B$27&lt;=V689,1,0),0)</f>
        <v>0</v>
      </c>
      <c r="Y689" s="58" t="n">
        <f aca="false">Y688+V689</f>
        <v>113000.408372882</v>
      </c>
    </row>
    <row r="690" customFormat="false" ht="15" hidden="false" customHeight="false" outlineLevel="0" collapsed="false">
      <c r="K690" s="56" t="n">
        <f aca="false">K689+1</f>
        <v>683</v>
      </c>
      <c r="L690" s="57" t="n">
        <f aca="false">IF(AND(K690&lt;=Assumptions!$C$42,L689=1,P689=0,O689&gt;Assumptions!$C$43),1,0)</f>
        <v>0</v>
      </c>
      <c r="M690" s="58" t="n">
        <f aca="false">O689</f>
        <v>8.10541678220034E-009</v>
      </c>
      <c r="N690" s="58" t="n">
        <f aca="false">IF(L690=1,M690*$B$22,0)</f>
        <v>0</v>
      </c>
      <c r="O690" s="58" t="n">
        <f aca="false">IF(L690=1,M690+N690-$B$26,M690)</f>
        <v>8.10541678220034E-009</v>
      </c>
      <c r="P690" s="56" t="n">
        <f aca="false">IF(L690=1,IF($B$26&lt;=N690,1,0),0)</f>
        <v>0</v>
      </c>
      <c r="Q690" s="58" t="n">
        <f aca="false">Q689+N690</f>
        <v>145877.630223336</v>
      </c>
      <c r="S690" s="56" t="n">
        <f aca="false">S689+1</f>
        <v>683</v>
      </c>
      <c r="T690" s="57" t="n">
        <f aca="false">IF(AND(S690&lt;=Assumptions!$C$42,T689=1,X689=0,W689&gt;Assumptions!$C$43),1,0)</f>
        <v>0</v>
      </c>
      <c r="U690" s="58" t="n">
        <f aca="false">W689</f>
        <v>-182.103705036234</v>
      </c>
      <c r="V690" s="58" t="n">
        <f aca="false">IF(T690=1,U690*$B$22,0)</f>
        <v>0</v>
      </c>
      <c r="W690" s="58" t="n">
        <f aca="false">IF(T690=1,U690+V690-$B$27,U690)</f>
        <v>-182.103705036234</v>
      </c>
      <c r="X690" s="56" t="n">
        <f aca="false">IF(T690=1,IF($B$27&lt;=V690,1,0),0)</f>
        <v>0</v>
      </c>
      <c r="Y690" s="58" t="n">
        <f aca="false">Y689+V690</f>
        <v>113000.408372882</v>
      </c>
    </row>
    <row r="691" customFormat="false" ht="15" hidden="false" customHeight="false" outlineLevel="0" collapsed="false">
      <c r="K691" s="56" t="n">
        <f aca="false">K690+1</f>
        <v>684</v>
      </c>
      <c r="L691" s="57" t="n">
        <f aca="false">IF(AND(K691&lt;=Assumptions!$C$42,L690=1,P690=0,O690&gt;Assumptions!$C$43),1,0)</f>
        <v>0</v>
      </c>
      <c r="M691" s="58" t="n">
        <f aca="false">O690</f>
        <v>8.10541678220034E-009</v>
      </c>
      <c r="N691" s="58" t="n">
        <f aca="false">IF(L691=1,M691*$B$22,0)</f>
        <v>0</v>
      </c>
      <c r="O691" s="58" t="n">
        <f aca="false">IF(L691=1,M691+N691-$B$26,M691)</f>
        <v>8.10541678220034E-009</v>
      </c>
      <c r="P691" s="56" t="n">
        <f aca="false">IF(L691=1,IF($B$26&lt;=N691,1,0),0)</f>
        <v>0</v>
      </c>
      <c r="Q691" s="58" t="n">
        <f aca="false">Q690+N691</f>
        <v>145877.630223336</v>
      </c>
      <c r="S691" s="56" t="n">
        <f aca="false">S690+1</f>
        <v>684</v>
      </c>
      <c r="T691" s="57" t="n">
        <f aca="false">IF(AND(S691&lt;=Assumptions!$C$42,T690=1,X690=0,W690&gt;Assumptions!$C$43),1,0)</f>
        <v>0</v>
      </c>
      <c r="U691" s="58" t="n">
        <f aca="false">W690</f>
        <v>-182.103705036234</v>
      </c>
      <c r="V691" s="58" t="n">
        <f aca="false">IF(T691=1,U691*$B$22,0)</f>
        <v>0</v>
      </c>
      <c r="W691" s="58" t="n">
        <f aca="false">IF(T691=1,U691+V691-$B$27,U691)</f>
        <v>-182.103705036234</v>
      </c>
      <c r="X691" s="56" t="n">
        <f aca="false">IF(T691=1,IF($B$27&lt;=V691,1,0),0)</f>
        <v>0</v>
      </c>
      <c r="Y691" s="58" t="n">
        <f aca="false">Y690+V691</f>
        <v>113000.408372882</v>
      </c>
    </row>
    <row r="692" customFormat="false" ht="15" hidden="false" customHeight="false" outlineLevel="0" collapsed="false">
      <c r="K692" s="56" t="n">
        <f aca="false">K691+1</f>
        <v>685</v>
      </c>
      <c r="L692" s="57" t="n">
        <f aca="false">IF(AND(K692&lt;=Assumptions!$C$42,L691=1,P691=0,O691&gt;Assumptions!$C$43),1,0)</f>
        <v>0</v>
      </c>
      <c r="M692" s="58" t="n">
        <f aca="false">O691</f>
        <v>8.10541678220034E-009</v>
      </c>
      <c r="N692" s="58" t="n">
        <f aca="false">IF(L692=1,M692*$B$22,0)</f>
        <v>0</v>
      </c>
      <c r="O692" s="58" t="n">
        <f aca="false">IF(L692=1,M692+N692-$B$26,M692)</f>
        <v>8.10541678220034E-009</v>
      </c>
      <c r="P692" s="56" t="n">
        <f aca="false">IF(L692=1,IF($B$26&lt;=N692,1,0),0)</f>
        <v>0</v>
      </c>
      <c r="Q692" s="58" t="n">
        <f aca="false">Q691+N692</f>
        <v>145877.630223336</v>
      </c>
      <c r="S692" s="56" t="n">
        <f aca="false">S691+1</f>
        <v>685</v>
      </c>
      <c r="T692" s="57" t="n">
        <f aca="false">IF(AND(S692&lt;=Assumptions!$C$42,T691=1,X691=0,W691&gt;Assumptions!$C$43),1,0)</f>
        <v>0</v>
      </c>
      <c r="U692" s="58" t="n">
        <f aca="false">W691</f>
        <v>-182.103705036234</v>
      </c>
      <c r="V692" s="58" t="n">
        <f aca="false">IF(T692=1,U692*$B$22,0)</f>
        <v>0</v>
      </c>
      <c r="W692" s="58" t="n">
        <f aca="false">IF(T692=1,U692+V692-$B$27,U692)</f>
        <v>-182.103705036234</v>
      </c>
      <c r="X692" s="56" t="n">
        <f aca="false">IF(T692=1,IF($B$27&lt;=V692,1,0),0)</f>
        <v>0</v>
      </c>
      <c r="Y692" s="58" t="n">
        <f aca="false">Y691+V692</f>
        <v>113000.408372882</v>
      </c>
    </row>
    <row r="693" customFormat="false" ht="15" hidden="false" customHeight="false" outlineLevel="0" collapsed="false">
      <c r="K693" s="56" t="n">
        <f aca="false">K692+1</f>
        <v>686</v>
      </c>
      <c r="L693" s="57" t="n">
        <f aca="false">IF(AND(K693&lt;=Assumptions!$C$42,L692=1,P692=0,O692&gt;Assumptions!$C$43),1,0)</f>
        <v>0</v>
      </c>
      <c r="M693" s="58" t="n">
        <f aca="false">O692</f>
        <v>8.10541678220034E-009</v>
      </c>
      <c r="N693" s="58" t="n">
        <f aca="false">IF(L693=1,M693*$B$22,0)</f>
        <v>0</v>
      </c>
      <c r="O693" s="58" t="n">
        <f aca="false">IF(L693=1,M693+N693-$B$26,M693)</f>
        <v>8.10541678220034E-009</v>
      </c>
      <c r="P693" s="56" t="n">
        <f aca="false">IF(L693=1,IF($B$26&lt;=N693,1,0),0)</f>
        <v>0</v>
      </c>
      <c r="Q693" s="58" t="n">
        <f aca="false">Q692+N693</f>
        <v>145877.630223336</v>
      </c>
      <c r="S693" s="56" t="n">
        <f aca="false">S692+1</f>
        <v>686</v>
      </c>
      <c r="T693" s="57" t="n">
        <f aca="false">IF(AND(S693&lt;=Assumptions!$C$42,T692=1,X692=0,W692&gt;Assumptions!$C$43),1,0)</f>
        <v>0</v>
      </c>
      <c r="U693" s="58" t="n">
        <f aca="false">W692</f>
        <v>-182.103705036234</v>
      </c>
      <c r="V693" s="58" t="n">
        <f aca="false">IF(T693=1,U693*$B$22,0)</f>
        <v>0</v>
      </c>
      <c r="W693" s="58" t="n">
        <f aca="false">IF(T693=1,U693+V693-$B$27,U693)</f>
        <v>-182.103705036234</v>
      </c>
      <c r="X693" s="56" t="n">
        <f aca="false">IF(T693=1,IF($B$27&lt;=V693,1,0),0)</f>
        <v>0</v>
      </c>
      <c r="Y693" s="58" t="n">
        <f aca="false">Y692+V693</f>
        <v>113000.408372882</v>
      </c>
    </row>
    <row r="694" customFormat="false" ht="15" hidden="false" customHeight="false" outlineLevel="0" collapsed="false">
      <c r="K694" s="56" t="n">
        <f aca="false">K693+1</f>
        <v>687</v>
      </c>
      <c r="L694" s="57" t="n">
        <f aca="false">IF(AND(K694&lt;=Assumptions!$C$42,L693=1,P693=0,O693&gt;Assumptions!$C$43),1,0)</f>
        <v>0</v>
      </c>
      <c r="M694" s="58" t="n">
        <f aca="false">O693</f>
        <v>8.10541678220034E-009</v>
      </c>
      <c r="N694" s="58" t="n">
        <f aca="false">IF(L694=1,M694*$B$22,0)</f>
        <v>0</v>
      </c>
      <c r="O694" s="58" t="n">
        <f aca="false">IF(L694=1,M694+N694-$B$26,M694)</f>
        <v>8.10541678220034E-009</v>
      </c>
      <c r="P694" s="56" t="n">
        <f aca="false">IF(L694=1,IF($B$26&lt;=N694,1,0),0)</f>
        <v>0</v>
      </c>
      <c r="Q694" s="58" t="n">
        <f aca="false">Q693+N694</f>
        <v>145877.630223336</v>
      </c>
      <c r="S694" s="56" t="n">
        <f aca="false">S693+1</f>
        <v>687</v>
      </c>
      <c r="T694" s="57" t="n">
        <f aca="false">IF(AND(S694&lt;=Assumptions!$C$42,T693=1,X693=0,W693&gt;Assumptions!$C$43),1,0)</f>
        <v>0</v>
      </c>
      <c r="U694" s="58" t="n">
        <f aca="false">W693</f>
        <v>-182.103705036234</v>
      </c>
      <c r="V694" s="58" t="n">
        <f aca="false">IF(T694=1,U694*$B$22,0)</f>
        <v>0</v>
      </c>
      <c r="W694" s="58" t="n">
        <f aca="false">IF(T694=1,U694+V694-$B$27,U694)</f>
        <v>-182.103705036234</v>
      </c>
      <c r="X694" s="56" t="n">
        <f aca="false">IF(T694=1,IF($B$27&lt;=V694,1,0),0)</f>
        <v>0</v>
      </c>
      <c r="Y694" s="58" t="n">
        <f aca="false">Y693+V694</f>
        <v>113000.408372882</v>
      </c>
    </row>
    <row r="695" customFormat="false" ht="15" hidden="false" customHeight="false" outlineLevel="0" collapsed="false">
      <c r="K695" s="56" t="n">
        <f aca="false">K694+1</f>
        <v>688</v>
      </c>
      <c r="L695" s="57" t="n">
        <f aca="false">IF(AND(K695&lt;=Assumptions!$C$42,L694=1,P694=0,O694&gt;Assumptions!$C$43),1,0)</f>
        <v>0</v>
      </c>
      <c r="M695" s="58" t="n">
        <f aca="false">O694</f>
        <v>8.10541678220034E-009</v>
      </c>
      <c r="N695" s="58" t="n">
        <f aca="false">IF(L695=1,M695*$B$22,0)</f>
        <v>0</v>
      </c>
      <c r="O695" s="58" t="n">
        <f aca="false">IF(L695=1,M695+N695-$B$26,M695)</f>
        <v>8.10541678220034E-009</v>
      </c>
      <c r="P695" s="56" t="n">
        <f aca="false">IF(L695=1,IF($B$26&lt;=N695,1,0),0)</f>
        <v>0</v>
      </c>
      <c r="Q695" s="58" t="n">
        <f aca="false">Q694+N695</f>
        <v>145877.630223336</v>
      </c>
      <c r="S695" s="56" t="n">
        <f aca="false">S694+1</f>
        <v>688</v>
      </c>
      <c r="T695" s="57" t="n">
        <f aca="false">IF(AND(S695&lt;=Assumptions!$C$42,T694=1,X694=0,W694&gt;Assumptions!$C$43),1,0)</f>
        <v>0</v>
      </c>
      <c r="U695" s="58" t="n">
        <f aca="false">W694</f>
        <v>-182.103705036234</v>
      </c>
      <c r="V695" s="58" t="n">
        <f aca="false">IF(T695=1,U695*$B$22,0)</f>
        <v>0</v>
      </c>
      <c r="W695" s="58" t="n">
        <f aca="false">IF(T695=1,U695+V695-$B$27,U695)</f>
        <v>-182.103705036234</v>
      </c>
      <c r="X695" s="56" t="n">
        <f aca="false">IF(T695=1,IF($B$27&lt;=V695,1,0),0)</f>
        <v>0</v>
      </c>
      <c r="Y695" s="58" t="n">
        <f aca="false">Y694+V695</f>
        <v>113000.408372882</v>
      </c>
    </row>
    <row r="696" customFormat="false" ht="15" hidden="false" customHeight="false" outlineLevel="0" collapsed="false">
      <c r="K696" s="56" t="n">
        <f aca="false">K695+1</f>
        <v>689</v>
      </c>
      <c r="L696" s="57" t="n">
        <f aca="false">IF(AND(K696&lt;=Assumptions!$C$42,L695=1,P695=0,O695&gt;Assumptions!$C$43),1,0)</f>
        <v>0</v>
      </c>
      <c r="M696" s="58" t="n">
        <f aca="false">O695</f>
        <v>8.10541678220034E-009</v>
      </c>
      <c r="N696" s="58" t="n">
        <f aca="false">IF(L696=1,M696*$B$22,0)</f>
        <v>0</v>
      </c>
      <c r="O696" s="58" t="n">
        <f aca="false">IF(L696=1,M696+N696-$B$26,M696)</f>
        <v>8.10541678220034E-009</v>
      </c>
      <c r="P696" s="56" t="n">
        <f aca="false">IF(L696=1,IF($B$26&lt;=N696,1,0),0)</f>
        <v>0</v>
      </c>
      <c r="Q696" s="58" t="n">
        <f aca="false">Q695+N696</f>
        <v>145877.630223336</v>
      </c>
      <c r="S696" s="56" t="n">
        <f aca="false">S695+1</f>
        <v>689</v>
      </c>
      <c r="T696" s="57" t="n">
        <f aca="false">IF(AND(S696&lt;=Assumptions!$C$42,T695=1,X695=0,W695&gt;Assumptions!$C$43),1,0)</f>
        <v>0</v>
      </c>
      <c r="U696" s="58" t="n">
        <f aca="false">W695</f>
        <v>-182.103705036234</v>
      </c>
      <c r="V696" s="58" t="n">
        <f aca="false">IF(T696=1,U696*$B$22,0)</f>
        <v>0</v>
      </c>
      <c r="W696" s="58" t="n">
        <f aca="false">IF(T696=1,U696+V696-$B$27,U696)</f>
        <v>-182.103705036234</v>
      </c>
      <c r="X696" s="56" t="n">
        <f aca="false">IF(T696=1,IF($B$27&lt;=V696,1,0),0)</f>
        <v>0</v>
      </c>
      <c r="Y696" s="58" t="n">
        <f aca="false">Y695+V696</f>
        <v>113000.408372882</v>
      </c>
    </row>
    <row r="697" customFormat="false" ht="15" hidden="false" customHeight="false" outlineLevel="0" collapsed="false">
      <c r="K697" s="56" t="n">
        <f aca="false">K696+1</f>
        <v>690</v>
      </c>
      <c r="L697" s="57" t="n">
        <f aca="false">IF(AND(K697&lt;=Assumptions!$C$42,L696=1,P696=0,O696&gt;Assumptions!$C$43),1,0)</f>
        <v>0</v>
      </c>
      <c r="M697" s="58" t="n">
        <f aca="false">O696</f>
        <v>8.10541678220034E-009</v>
      </c>
      <c r="N697" s="58" t="n">
        <f aca="false">IF(L697=1,M697*$B$22,0)</f>
        <v>0</v>
      </c>
      <c r="O697" s="58" t="n">
        <f aca="false">IF(L697=1,M697+N697-$B$26,M697)</f>
        <v>8.10541678220034E-009</v>
      </c>
      <c r="P697" s="56" t="n">
        <f aca="false">IF(L697=1,IF($B$26&lt;=N697,1,0),0)</f>
        <v>0</v>
      </c>
      <c r="Q697" s="58" t="n">
        <f aca="false">Q696+N697</f>
        <v>145877.630223336</v>
      </c>
      <c r="S697" s="56" t="n">
        <f aca="false">S696+1</f>
        <v>690</v>
      </c>
      <c r="T697" s="57" t="n">
        <f aca="false">IF(AND(S697&lt;=Assumptions!$C$42,T696=1,X696=0,W696&gt;Assumptions!$C$43),1,0)</f>
        <v>0</v>
      </c>
      <c r="U697" s="58" t="n">
        <f aca="false">W696</f>
        <v>-182.103705036234</v>
      </c>
      <c r="V697" s="58" t="n">
        <f aca="false">IF(T697=1,U697*$B$22,0)</f>
        <v>0</v>
      </c>
      <c r="W697" s="58" t="n">
        <f aca="false">IF(T697=1,U697+V697-$B$27,U697)</f>
        <v>-182.103705036234</v>
      </c>
      <c r="X697" s="56" t="n">
        <f aca="false">IF(T697=1,IF($B$27&lt;=V697,1,0),0)</f>
        <v>0</v>
      </c>
      <c r="Y697" s="58" t="n">
        <f aca="false">Y696+V697</f>
        <v>113000.408372882</v>
      </c>
    </row>
    <row r="698" customFormat="false" ht="15" hidden="false" customHeight="false" outlineLevel="0" collapsed="false">
      <c r="K698" s="56" t="n">
        <f aca="false">K697+1</f>
        <v>691</v>
      </c>
      <c r="L698" s="57" t="n">
        <f aca="false">IF(AND(K698&lt;=Assumptions!$C$42,L697=1,P697=0,O697&gt;Assumptions!$C$43),1,0)</f>
        <v>0</v>
      </c>
      <c r="M698" s="58" t="n">
        <f aca="false">O697</f>
        <v>8.10541678220034E-009</v>
      </c>
      <c r="N698" s="58" t="n">
        <f aca="false">IF(L698=1,M698*$B$22,0)</f>
        <v>0</v>
      </c>
      <c r="O698" s="58" t="n">
        <f aca="false">IF(L698=1,M698+N698-$B$26,M698)</f>
        <v>8.10541678220034E-009</v>
      </c>
      <c r="P698" s="56" t="n">
        <f aca="false">IF(L698=1,IF($B$26&lt;=N698,1,0),0)</f>
        <v>0</v>
      </c>
      <c r="Q698" s="58" t="n">
        <f aca="false">Q697+N698</f>
        <v>145877.630223336</v>
      </c>
      <c r="S698" s="56" t="n">
        <f aca="false">S697+1</f>
        <v>691</v>
      </c>
      <c r="T698" s="57" t="n">
        <f aca="false">IF(AND(S698&lt;=Assumptions!$C$42,T697=1,X697=0,W697&gt;Assumptions!$C$43),1,0)</f>
        <v>0</v>
      </c>
      <c r="U698" s="58" t="n">
        <f aca="false">W697</f>
        <v>-182.103705036234</v>
      </c>
      <c r="V698" s="58" t="n">
        <f aca="false">IF(T698=1,U698*$B$22,0)</f>
        <v>0</v>
      </c>
      <c r="W698" s="58" t="n">
        <f aca="false">IF(T698=1,U698+V698-$B$27,U698)</f>
        <v>-182.103705036234</v>
      </c>
      <c r="X698" s="56" t="n">
        <f aca="false">IF(T698=1,IF($B$27&lt;=V698,1,0),0)</f>
        <v>0</v>
      </c>
      <c r="Y698" s="58" t="n">
        <f aca="false">Y697+V698</f>
        <v>113000.408372882</v>
      </c>
    </row>
    <row r="699" customFormat="false" ht="15" hidden="false" customHeight="false" outlineLevel="0" collapsed="false">
      <c r="K699" s="56" t="n">
        <f aca="false">K698+1</f>
        <v>692</v>
      </c>
      <c r="L699" s="57" t="n">
        <f aca="false">IF(AND(K699&lt;=Assumptions!$C$42,L698=1,P698=0,O698&gt;Assumptions!$C$43),1,0)</f>
        <v>0</v>
      </c>
      <c r="M699" s="58" t="n">
        <f aca="false">O698</f>
        <v>8.10541678220034E-009</v>
      </c>
      <c r="N699" s="58" t="n">
        <f aca="false">IF(L699=1,M699*$B$22,0)</f>
        <v>0</v>
      </c>
      <c r="O699" s="58" t="n">
        <f aca="false">IF(L699=1,M699+N699-$B$26,M699)</f>
        <v>8.10541678220034E-009</v>
      </c>
      <c r="P699" s="56" t="n">
        <f aca="false">IF(L699=1,IF($B$26&lt;=N699,1,0),0)</f>
        <v>0</v>
      </c>
      <c r="Q699" s="58" t="n">
        <f aca="false">Q698+N699</f>
        <v>145877.630223336</v>
      </c>
      <c r="S699" s="56" t="n">
        <f aca="false">S698+1</f>
        <v>692</v>
      </c>
      <c r="T699" s="57" t="n">
        <f aca="false">IF(AND(S699&lt;=Assumptions!$C$42,T698=1,X698=0,W698&gt;Assumptions!$C$43),1,0)</f>
        <v>0</v>
      </c>
      <c r="U699" s="58" t="n">
        <f aca="false">W698</f>
        <v>-182.103705036234</v>
      </c>
      <c r="V699" s="58" t="n">
        <f aca="false">IF(T699=1,U699*$B$22,0)</f>
        <v>0</v>
      </c>
      <c r="W699" s="58" t="n">
        <f aca="false">IF(T699=1,U699+V699-$B$27,U699)</f>
        <v>-182.103705036234</v>
      </c>
      <c r="X699" s="56" t="n">
        <f aca="false">IF(T699=1,IF($B$27&lt;=V699,1,0),0)</f>
        <v>0</v>
      </c>
      <c r="Y699" s="58" t="n">
        <f aca="false">Y698+V699</f>
        <v>113000.408372882</v>
      </c>
    </row>
    <row r="700" customFormat="false" ht="15" hidden="false" customHeight="false" outlineLevel="0" collapsed="false">
      <c r="K700" s="56" t="n">
        <f aca="false">K699+1</f>
        <v>693</v>
      </c>
      <c r="L700" s="57" t="n">
        <f aca="false">IF(AND(K700&lt;=Assumptions!$C$42,L699=1,P699=0,O699&gt;Assumptions!$C$43),1,0)</f>
        <v>0</v>
      </c>
      <c r="M700" s="58" t="n">
        <f aca="false">O699</f>
        <v>8.10541678220034E-009</v>
      </c>
      <c r="N700" s="58" t="n">
        <f aca="false">IF(L700=1,M700*$B$22,0)</f>
        <v>0</v>
      </c>
      <c r="O700" s="58" t="n">
        <f aca="false">IF(L700=1,M700+N700-$B$26,M700)</f>
        <v>8.10541678220034E-009</v>
      </c>
      <c r="P700" s="56" t="n">
        <f aca="false">IF(L700=1,IF($B$26&lt;=N700,1,0),0)</f>
        <v>0</v>
      </c>
      <c r="Q700" s="58" t="n">
        <f aca="false">Q699+N700</f>
        <v>145877.630223336</v>
      </c>
      <c r="S700" s="56" t="n">
        <f aca="false">S699+1</f>
        <v>693</v>
      </c>
      <c r="T700" s="57" t="n">
        <f aca="false">IF(AND(S700&lt;=Assumptions!$C$42,T699=1,X699=0,W699&gt;Assumptions!$C$43),1,0)</f>
        <v>0</v>
      </c>
      <c r="U700" s="58" t="n">
        <f aca="false">W699</f>
        <v>-182.103705036234</v>
      </c>
      <c r="V700" s="58" t="n">
        <f aca="false">IF(T700=1,U700*$B$22,0)</f>
        <v>0</v>
      </c>
      <c r="W700" s="58" t="n">
        <f aca="false">IF(T700=1,U700+V700-$B$27,U700)</f>
        <v>-182.103705036234</v>
      </c>
      <c r="X700" s="56" t="n">
        <f aca="false">IF(T700=1,IF($B$27&lt;=V700,1,0),0)</f>
        <v>0</v>
      </c>
      <c r="Y700" s="58" t="n">
        <f aca="false">Y699+V700</f>
        <v>113000.408372882</v>
      </c>
    </row>
    <row r="701" customFormat="false" ht="15" hidden="false" customHeight="false" outlineLevel="0" collapsed="false">
      <c r="K701" s="56" t="n">
        <f aca="false">K700+1</f>
        <v>694</v>
      </c>
      <c r="L701" s="57" t="n">
        <f aca="false">IF(AND(K701&lt;=Assumptions!$C$42,L700=1,P700=0,O700&gt;Assumptions!$C$43),1,0)</f>
        <v>0</v>
      </c>
      <c r="M701" s="58" t="n">
        <f aca="false">O700</f>
        <v>8.10541678220034E-009</v>
      </c>
      <c r="N701" s="58" t="n">
        <f aca="false">IF(L701=1,M701*$B$22,0)</f>
        <v>0</v>
      </c>
      <c r="O701" s="58" t="n">
        <f aca="false">IF(L701=1,M701+N701-$B$26,M701)</f>
        <v>8.10541678220034E-009</v>
      </c>
      <c r="P701" s="56" t="n">
        <f aca="false">IF(L701=1,IF($B$26&lt;=N701,1,0),0)</f>
        <v>0</v>
      </c>
      <c r="Q701" s="58" t="n">
        <f aca="false">Q700+N701</f>
        <v>145877.630223336</v>
      </c>
      <c r="S701" s="56" t="n">
        <f aca="false">S700+1</f>
        <v>694</v>
      </c>
      <c r="T701" s="57" t="n">
        <f aca="false">IF(AND(S701&lt;=Assumptions!$C$42,T700=1,X700=0,W700&gt;Assumptions!$C$43),1,0)</f>
        <v>0</v>
      </c>
      <c r="U701" s="58" t="n">
        <f aca="false">W700</f>
        <v>-182.103705036234</v>
      </c>
      <c r="V701" s="58" t="n">
        <f aca="false">IF(T701=1,U701*$B$22,0)</f>
        <v>0</v>
      </c>
      <c r="W701" s="58" t="n">
        <f aca="false">IF(T701=1,U701+V701-$B$27,U701)</f>
        <v>-182.103705036234</v>
      </c>
      <c r="X701" s="56" t="n">
        <f aca="false">IF(T701=1,IF($B$27&lt;=V701,1,0),0)</f>
        <v>0</v>
      </c>
      <c r="Y701" s="58" t="n">
        <f aca="false">Y700+V701</f>
        <v>113000.408372882</v>
      </c>
    </row>
    <row r="702" customFormat="false" ht="15" hidden="false" customHeight="false" outlineLevel="0" collapsed="false">
      <c r="K702" s="56" t="n">
        <f aca="false">K701+1</f>
        <v>695</v>
      </c>
      <c r="L702" s="57" t="n">
        <f aca="false">IF(AND(K702&lt;=Assumptions!$C$42,L701=1,P701=0,O701&gt;Assumptions!$C$43),1,0)</f>
        <v>0</v>
      </c>
      <c r="M702" s="58" t="n">
        <f aca="false">O701</f>
        <v>8.10541678220034E-009</v>
      </c>
      <c r="N702" s="58" t="n">
        <f aca="false">IF(L702=1,M702*$B$22,0)</f>
        <v>0</v>
      </c>
      <c r="O702" s="58" t="n">
        <f aca="false">IF(L702=1,M702+N702-$B$26,M702)</f>
        <v>8.10541678220034E-009</v>
      </c>
      <c r="P702" s="56" t="n">
        <f aca="false">IF(L702=1,IF($B$26&lt;=N702,1,0),0)</f>
        <v>0</v>
      </c>
      <c r="Q702" s="58" t="n">
        <f aca="false">Q701+N702</f>
        <v>145877.630223336</v>
      </c>
      <c r="S702" s="56" t="n">
        <f aca="false">S701+1</f>
        <v>695</v>
      </c>
      <c r="T702" s="57" t="n">
        <f aca="false">IF(AND(S702&lt;=Assumptions!$C$42,T701=1,X701=0,W701&gt;Assumptions!$C$43),1,0)</f>
        <v>0</v>
      </c>
      <c r="U702" s="58" t="n">
        <f aca="false">W701</f>
        <v>-182.103705036234</v>
      </c>
      <c r="V702" s="58" t="n">
        <f aca="false">IF(T702=1,U702*$B$22,0)</f>
        <v>0</v>
      </c>
      <c r="W702" s="58" t="n">
        <f aca="false">IF(T702=1,U702+V702-$B$27,U702)</f>
        <v>-182.103705036234</v>
      </c>
      <c r="X702" s="56" t="n">
        <f aca="false">IF(T702=1,IF($B$27&lt;=V702,1,0),0)</f>
        <v>0</v>
      </c>
      <c r="Y702" s="58" t="n">
        <f aca="false">Y701+V702</f>
        <v>113000.408372882</v>
      </c>
    </row>
    <row r="703" customFormat="false" ht="15" hidden="false" customHeight="false" outlineLevel="0" collapsed="false">
      <c r="K703" s="56" t="n">
        <f aca="false">K702+1</f>
        <v>696</v>
      </c>
      <c r="L703" s="57" t="n">
        <f aca="false">IF(AND(K703&lt;=Assumptions!$C$42,L702=1,P702=0,O702&gt;Assumptions!$C$43),1,0)</f>
        <v>0</v>
      </c>
      <c r="M703" s="58" t="n">
        <f aca="false">O702</f>
        <v>8.10541678220034E-009</v>
      </c>
      <c r="N703" s="58" t="n">
        <f aca="false">IF(L703=1,M703*$B$22,0)</f>
        <v>0</v>
      </c>
      <c r="O703" s="58" t="n">
        <f aca="false">IF(L703=1,M703+N703-$B$26,M703)</f>
        <v>8.10541678220034E-009</v>
      </c>
      <c r="P703" s="56" t="n">
        <f aca="false">IF(L703=1,IF($B$26&lt;=N703,1,0),0)</f>
        <v>0</v>
      </c>
      <c r="Q703" s="58" t="n">
        <f aca="false">Q702+N703</f>
        <v>145877.630223336</v>
      </c>
      <c r="S703" s="56" t="n">
        <f aca="false">S702+1</f>
        <v>696</v>
      </c>
      <c r="T703" s="57" t="n">
        <f aca="false">IF(AND(S703&lt;=Assumptions!$C$42,T702=1,X702=0,W702&gt;Assumptions!$C$43),1,0)</f>
        <v>0</v>
      </c>
      <c r="U703" s="58" t="n">
        <f aca="false">W702</f>
        <v>-182.103705036234</v>
      </c>
      <c r="V703" s="58" t="n">
        <f aca="false">IF(T703=1,U703*$B$22,0)</f>
        <v>0</v>
      </c>
      <c r="W703" s="58" t="n">
        <f aca="false">IF(T703=1,U703+V703-$B$27,U703)</f>
        <v>-182.103705036234</v>
      </c>
      <c r="X703" s="56" t="n">
        <f aca="false">IF(T703=1,IF($B$27&lt;=V703,1,0),0)</f>
        <v>0</v>
      </c>
      <c r="Y703" s="58" t="n">
        <f aca="false">Y702+V703</f>
        <v>113000.408372882</v>
      </c>
    </row>
    <row r="704" customFormat="false" ht="15" hidden="false" customHeight="false" outlineLevel="0" collapsed="false">
      <c r="K704" s="56" t="n">
        <f aca="false">K703+1</f>
        <v>697</v>
      </c>
      <c r="L704" s="57" t="n">
        <f aca="false">IF(AND(K704&lt;=Assumptions!$C$42,L703=1,P703=0,O703&gt;Assumptions!$C$43),1,0)</f>
        <v>0</v>
      </c>
      <c r="M704" s="58" t="n">
        <f aca="false">O703</f>
        <v>8.10541678220034E-009</v>
      </c>
      <c r="N704" s="58" t="n">
        <f aca="false">IF(L704=1,M704*$B$22,0)</f>
        <v>0</v>
      </c>
      <c r="O704" s="58" t="n">
        <f aca="false">IF(L704=1,M704+N704-$B$26,M704)</f>
        <v>8.10541678220034E-009</v>
      </c>
      <c r="P704" s="56" t="n">
        <f aca="false">IF(L704=1,IF($B$26&lt;=N704,1,0),0)</f>
        <v>0</v>
      </c>
      <c r="Q704" s="58" t="n">
        <f aca="false">Q703+N704</f>
        <v>145877.630223336</v>
      </c>
      <c r="S704" s="56" t="n">
        <f aca="false">S703+1</f>
        <v>697</v>
      </c>
      <c r="T704" s="57" t="n">
        <f aca="false">IF(AND(S704&lt;=Assumptions!$C$42,T703=1,X703=0,W703&gt;Assumptions!$C$43),1,0)</f>
        <v>0</v>
      </c>
      <c r="U704" s="58" t="n">
        <f aca="false">W703</f>
        <v>-182.103705036234</v>
      </c>
      <c r="V704" s="58" t="n">
        <f aca="false">IF(T704=1,U704*$B$22,0)</f>
        <v>0</v>
      </c>
      <c r="W704" s="58" t="n">
        <f aca="false">IF(T704=1,U704+V704-$B$27,U704)</f>
        <v>-182.103705036234</v>
      </c>
      <c r="X704" s="56" t="n">
        <f aca="false">IF(T704=1,IF($B$27&lt;=V704,1,0),0)</f>
        <v>0</v>
      </c>
      <c r="Y704" s="58" t="n">
        <f aca="false">Y703+V704</f>
        <v>113000.408372882</v>
      </c>
    </row>
    <row r="705" customFormat="false" ht="15" hidden="false" customHeight="false" outlineLevel="0" collapsed="false">
      <c r="K705" s="56" t="n">
        <f aca="false">K704+1</f>
        <v>698</v>
      </c>
      <c r="L705" s="57" t="n">
        <f aca="false">IF(AND(K705&lt;=Assumptions!$C$42,L704=1,P704=0,O704&gt;Assumptions!$C$43),1,0)</f>
        <v>0</v>
      </c>
      <c r="M705" s="58" t="n">
        <f aca="false">O704</f>
        <v>8.10541678220034E-009</v>
      </c>
      <c r="N705" s="58" t="n">
        <f aca="false">IF(L705=1,M705*$B$22,0)</f>
        <v>0</v>
      </c>
      <c r="O705" s="58" t="n">
        <f aca="false">IF(L705=1,M705+N705-$B$26,M705)</f>
        <v>8.10541678220034E-009</v>
      </c>
      <c r="P705" s="56" t="n">
        <f aca="false">IF(L705=1,IF($B$26&lt;=N705,1,0),0)</f>
        <v>0</v>
      </c>
      <c r="Q705" s="58" t="n">
        <f aca="false">Q704+N705</f>
        <v>145877.630223336</v>
      </c>
      <c r="S705" s="56" t="n">
        <f aca="false">S704+1</f>
        <v>698</v>
      </c>
      <c r="T705" s="57" t="n">
        <f aca="false">IF(AND(S705&lt;=Assumptions!$C$42,T704=1,X704=0,W704&gt;Assumptions!$C$43),1,0)</f>
        <v>0</v>
      </c>
      <c r="U705" s="58" t="n">
        <f aca="false">W704</f>
        <v>-182.103705036234</v>
      </c>
      <c r="V705" s="58" t="n">
        <f aca="false">IF(T705=1,U705*$B$22,0)</f>
        <v>0</v>
      </c>
      <c r="W705" s="58" t="n">
        <f aca="false">IF(T705=1,U705+V705-$B$27,U705)</f>
        <v>-182.103705036234</v>
      </c>
      <c r="X705" s="56" t="n">
        <f aca="false">IF(T705=1,IF($B$27&lt;=V705,1,0),0)</f>
        <v>0</v>
      </c>
      <c r="Y705" s="58" t="n">
        <f aca="false">Y704+V705</f>
        <v>113000.408372882</v>
      </c>
    </row>
    <row r="706" customFormat="false" ht="15" hidden="false" customHeight="false" outlineLevel="0" collapsed="false">
      <c r="K706" s="56" t="n">
        <f aca="false">K705+1</f>
        <v>699</v>
      </c>
      <c r="L706" s="57" t="n">
        <f aca="false">IF(AND(K706&lt;=Assumptions!$C$42,L705=1,P705=0,O705&gt;Assumptions!$C$43),1,0)</f>
        <v>0</v>
      </c>
      <c r="M706" s="58" t="n">
        <f aca="false">O705</f>
        <v>8.10541678220034E-009</v>
      </c>
      <c r="N706" s="58" t="n">
        <f aca="false">IF(L706=1,M706*$B$22,0)</f>
        <v>0</v>
      </c>
      <c r="O706" s="58" t="n">
        <f aca="false">IF(L706=1,M706+N706-$B$26,M706)</f>
        <v>8.10541678220034E-009</v>
      </c>
      <c r="P706" s="56" t="n">
        <f aca="false">IF(L706=1,IF($B$26&lt;=N706,1,0),0)</f>
        <v>0</v>
      </c>
      <c r="Q706" s="58" t="n">
        <f aca="false">Q705+N706</f>
        <v>145877.630223336</v>
      </c>
      <c r="S706" s="56" t="n">
        <f aca="false">S705+1</f>
        <v>699</v>
      </c>
      <c r="T706" s="57" t="n">
        <f aca="false">IF(AND(S706&lt;=Assumptions!$C$42,T705=1,X705=0,W705&gt;Assumptions!$C$43),1,0)</f>
        <v>0</v>
      </c>
      <c r="U706" s="58" t="n">
        <f aca="false">W705</f>
        <v>-182.103705036234</v>
      </c>
      <c r="V706" s="58" t="n">
        <f aca="false">IF(T706=1,U706*$B$22,0)</f>
        <v>0</v>
      </c>
      <c r="W706" s="58" t="n">
        <f aca="false">IF(T706=1,U706+V706-$B$27,U706)</f>
        <v>-182.103705036234</v>
      </c>
      <c r="X706" s="56" t="n">
        <f aca="false">IF(T706=1,IF($B$27&lt;=V706,1,0),0)</f>
        <v>0</v>
      </c>
      <c r="Y706" s="58" t="n">
        <f aca="false">Y705+V706</f>
        <v>113000.408372882</v>
      </c>
    </row>
    <row r="707" customFormat="false" ht="15" hidden="false" customHeight="false" outlineLevel="0" collapsed="false">
      <c r="K707" s="56" t="n">
        <f aca="false">K706+1</f>
        <v>700</v>
      </c>
      <c r="L707" s="57" t="n">
        <f aca="false">IF(AND(K707&lt;=Assumptions!$C$42,L706=1,P706=0,O706&gt;Assumptions!$C$43),1,0)</f>
        <v>0</v>
      </c>
      <c r="M707" s="58" t="n">
        <f aca="false">O706</f>
        <v>8.10541678220034E-009</v>
      </c>
      <c r="N707" s="58" t="n">
        <f aca="false">IF(L707=1,M707*$B$22,0)</f>
        <v>0</v>
      </c>
      <c r="O707" s="58" t="n">
        <f aca="false">IF(L707=1,M707+N707-$B$26,M707)</f>
        <v>8.10541678220034E-009</v>
      </c>
      <c r="P707" s="56" t="n">
        <f aca="false">IF(L707=1,IF($B$26&lt;=N707,1,0),0)</f>
        <v>0</v>
      </c>
      <c r="Q707" s="58" t="n">
        <f aca="false">Q706+N707</f>
        <v>145877.630223336</v>
      </c>
      <c r="S707" s="56" t="n">
        <f aca="false">S706+1</f>
        <v>700</v>
      </c>
      <c r="T707" s="57" t="n">
        <f aca="false">IF(AND(S707&lt;=Assumptions!$C$42,T706=1,X706=0,W706&gt;Assumptions!$C$43),1,0)</f>
        <v>0</v>
      </c>
      <c r="U707" s="58" t="n">
        <f aca="false">W706</f>
        <v>-182.103705036234</v>
      </c>
      <c r="V707" s="58" t="n">
        <f aca="false">IF(T707=1,U707*$B$22,0)</f>
        <v>0</v>
      </c>
      <c r="W707" s="58" t="n">
        <f aca="false">IF(T707=1,U707+V707-$B$27,U707)</f>
        <v>-182.103705036234</v>
      </c>
      <c r="X707" s="56" t="n">
        <f aca="false">IF(T707=1,IF($B$27&lt;=V707,1,0),0)</f>
        <v>0</v>
      </c>
      <c r="Y707" s="58" t="n">
        <f aca="false">Y706+V707</f>
        <v>113000.408372882</v>
      </c>
    </row>
    <row r="708" customFormat="false" ht="15" hidden="false" customHeight="false" outlineLevel="0" collapsed="false">
      <c r="K708" s="56" t="n">
        <f aca="false">K707+1</f>
        <v>701</v>
      </c>
      <c r="L708" s="57" t="n">
        <f aca="false">IF(AND(K708&lt;=Assumptions!$C$42,L707=1,P707=0,O707&gt;Assumptions!$C$43),1,0)</f>
        <v>0</v>
      </c>
      <c r="M708" s="58" t="n">
        <f aca="false">O707</f>
        <v>8.10541678220034E-009</v>
      </c>
      <c r="N708" s="58" t="n">
        <f aca="false">IF(L708=1,M708*$B$22,0)</f>
        <v>0</v>
      </c>
      <c r="O708" s="58" t="n">
        <f aca="false">IF(L708=1,M708+N708-$B$26,M708)</f>
        <v>8.10541678220034E-009</v>
      </c>
      <c r="P708" s="56" t="n">
        <f aca="false">IF(L708=1,IF($B$26&lt;=N708,1,0),0)</f>
        <v>0</v>
      </c>
      <c r="Q708" s="58" t="n">
        <f aca="false">Q707+N708</f>
        <v>145877.630223336</v>
      </c>
      <c r="S708" s="56" t="n">
        <f aca="false">S707+1</f>
        <v>701</v>
      </c>
      <c r="T708" s="57" t="n">
        <f aca="false">IF(AND(S708&lt;=Assumptions!$C$42,T707=1,X707=0,W707&gt;Assumptions!$C$43),1,0)</f>
        <v>0</v>
      </c>
      <c r="U708" s="58" t="n">
        <f aca="false">W707</f>
        <v>-182.103705036234</v>
      </c>
      <c r="V708" s="58" t="n">
        <f aca="false">IF(T708=1,U708*$B$22,0)</f>
        <v>0</v>
      </c>
      <c r="W708" s="58" t="n">
        <f aca="false">IF(T708=1,U708+V708-$B$27,U708)</f>
        <v>-182.103705036234</v>
      </c>
      <c r="X708" s="56" t="n">
        <f aca="false">IF(T708=1,IF($B$27&lt;=V708,1,0),0)</f>
        <v>0</v>
      </c>
      <c r="Y708" s="58" t="n">
        <f aca="false">Y707+V708</f>
        <v>113000.408372882</v>
      </c>
    </row>
    <row r="709" customFormat="false" ht="15" hidden="false" customHeight="false" outlineLevel="0" collapsed="false">
      <c r="K709" s="56" t="n">
        <f aca="false">K708+1</f>
        <v>702</v>
      </c>
      <c r="L709" s="57" t="n">
        <f aca="false">IF(AND(K709&lt;=Assumptions!$C$42,L708=1,P708=0,O708&gt;Assumptions!$C$43),1,0)</f>
        <v>0</v>
      </c>
      <c r="M709" s="58" t="n">
        <f aca="false">O708</f>
        <v>8.10541678220034E-009</v>
      </c>
      <c r="N709" s="58" t="n">
        <f aca="false">IF(L709=1,M709*$B$22,0)</f>
        <v>0</v>
      </c>
      <c r="O709" s="58" t="n">
        <f aca="false">IF(L709=1,M709+N709-$B$26,M709)</f>
        <v>8.10541678220034E-009</v>
      </c>
      <c r="P709" s="56" t="n">
        <f aca="false">IF(L709=1,IF($B$26&lt;=N709,1,0),0)</f>
        <v>0</v>
      </c>
      <c r="Q709" s="58" t="n">
        <f aca="false">Q708+N709</f>
        <v>145877.630223336</v>
      </c>
      <c r="S709" s="56" t="n">
        <f aca="false">S708+1</f>
        <v>702</v>
      </c>
      <c r="T709" s="57" t="n">
        <f aca="false">IF(AND(S709&lt;=Assumptions!$C$42,T708=1,X708=0,W708&gt;Assumptions!$C$43),1,0)</f>
        <v>0</v>
      </c>
      <c r="U709" s="58" t="n">
        <f aca="false">W708</f>
        <v>-182.103705036234</v>
      </c>
      <c r="V709" s="58" t="n">
        <f aca="false">IF(T709=1,U709*$B$22,0)</f>
        <v>0</v>
      </c>
      <c r="W709" s="58" t="n">
        <f aca="false">IF(T709=1,U709+V709-$B$27,U709)</f>
        <v>-182.103705036234</v>
      </c>
      <c r="X709" s="56" t="n">
        <f aca="false">IF(T709=1,IF($B$27&lt;=V709,1,0),0)</f>
        <v>0</v>
      </c>
      <c r="Y709" s="58" t="n">
        <f aca="false">Y708+V709</f>
        <v>113000.408372882</v>
      </c>
    </row>
    <row r="710" customFormat="false" ht="15" hidden="false" customHeight="false" outlineLevel="0" collapsed="false">
      <c r="K710" s="56" t="n">
        <f aca="false">K709+1</f>
        <v>703</v>
      </c>
      <c r="L710" s="57" t="n">
        <f aca="false">IF(AND(K710&lt;=Assumptions!$C$42,L709=1,P709=0,O709&gt;Assumptions!$C$43),1,0)</f>
        <v>0</v>
      </c>
      <c r="M710" s="58" t="n">
        <f aca="false">O709</f>
        <v>8.10541678220034E-009</v>
      </c>
      <c r="N710" s="58" t="n">
        <f aca="false">IF(L710=1,M710*$B$22,0)</f>
        <v>0</v>
      </c>
      <c r="O710" s="58" t="n">
        <f aca="false">IF(L710=1,M710+N710-$B$26,M710)</f>
        <v>8.10541678220034E-009</v>
      </c>
      <c r="P710" s="56" t="n">
        <f aca="false">IF(L710=1,IF($B$26&lt;=N710,1,0),0)</f>
        <v>0</v>
      </c>
      <c r="Q710" s="58" t="n">
        <f aca="false">Q709+N710</f>
        <v>145877.630223336</v>
      </c>
      <c r="S710" s="56" t="n">
        <f aca="false">S709+1</f>
        <v>703</v>
      </c>
      <c r="T710" s="57" t="n">
        <f aca="false">IF(AND(S710&lt;=Assumptions!$C$42,T709=1,X709=0,W709&gt;Assumptions!$C$43),1,0)</f>
        <v>0</v>
      </c>
      <c r="U710" s="58" t="n">
        <f aca="false">W709</f>
        <v>-182.103705036234</v>
      </c>
      <c r="V710" s="58" t="n">
        <f aca="false">IF(T710=1,U710*$B$22,0)</f>
        <v>0</v>
      </c>
      <c r="W710" s="58" t="n">
        <f aca="false">IF(T710=1,U710+V710-$B$27,U710)</f>
        <v>-182.103705036234</v>
      </c>
      <c r="X710" s="56" t="n">
        <f aca="false">IF(T710=1,IF($B$27&lt;=V710,1,0),0)</f>
        <v>0</v>
      </c>
      <c r="Y710" s="58" t="n">
        <f aca="false">Y709+V710</f>
        <v>113000.408372882</v>
      </c>
    </row>
    <row r="711" customFormat="false" ht="15" hidden="false" customHeight="false" outlineLevel="0" collapsed="false">
      <c r="K711" s="56" t="n">
        <f aca="false">K710+1</f>
        <v>704</v>
      </c>
      <c r="L711" s="57" t="n">
        <f aca="false">IF(AND(K711&lt;=Assumptions!$C$42,L710=1,P710=0,O710&gt;Assumptions!$C$43),1,0)</f>
        <v>0</v>
      </c>
      <c r="M711" s="58" t="n">
        <f aca="false">O710</f>
        <v>8.10541678220034E-009</v>
      </c>
      <c r="N711" s="58" t="n">
        <f aca="false">IF(L711=1,M711*$B$22,0)</f>
        <v>0</v>
      </c>
      <c r="O711" s="58" t="n">
        <f aca="false">IF(L711=1,M711+N711-$B$26,M711)</f>
        <v>8.10541678220034E-009</v>
      </c>
      <c r="P711" s="56" t="n">
        <f aca="false">IF(L711=1,IF($B$26&lt;=N711,1,0),0)</f>
        <v>0</v>
      </c>
      <c r="Q711" s="58" t="n">
        <f aca="false">Q710+N711</f>
        <v>145877.630223336</v>
      </c>
      <c r="S711" s="56" t="n">
        <f aca="false">S710+1</f>
        <v>704</v>
      </c>
      <c r="T711" s="57" t="n">
        <f aca="false">IF(AND(S711&lt;=Assumptions!$C$42,T710=1,X710=0,W710&gt;Assumptions!$C$43),1,0)</f>
        <v>0</v>
      </c>
      <c r="U711" s="58" t="n">
        <f aca="false">W710</f>
        <v>-182.103705036234</v>
      </c>
      <c r="V711" s="58" t="n">
        <f aca="false">IF(T711=1,U711*$B$22,0)</f>
        <v>0</v>
      </c>
      <c r="W711" s="58" t="n">
        <f aca="false">IF(T711=1,U711+V711-$B$27,U711)</f>
        <v>-182.103705036234</v>
      </c>
      <c r="X711" s="56" t="n">
        <f aca="false">IF(T711=1,IF($B$27&lt;=V711,1,0),0)</f>
        <v>0</v>
      </c>
      <c r="Y711" s="58" t="n">
        <f aca="false">Y710+V711</f>
        <v>113000.408372882</v>
      </c>
    </row>
    <row r="712" customFormat="false" ht="15" hidden="false" customHeight="false" outlineLevel="0" collapsed="false">
      <c r="K712" s="56" t="n">
        <f aca="false">K711+1</f>
        <v>705</v>
      </c>
      <c r="L712" s="57" t="n">
        <f aca="false">IF(AND(K712&lt;=Assumptions!$C$42,L711=1,P711=0,O711&gt;Assumptions!$C$43),1,0)</f>
        <v>0</v>
      </c>
      <c r="M712" s="58" t="n">
        <f aca="false">O711</f>
        <v>8.10541678220034E-009</v>
      </c>
      <c r="N712" s="58" t="n">
        <f aca="false">IF(L712=1,M712*$B$22,0)</f>
        <v>0</v>
      </c>
      <c r="O712" s="58" t="n">
        <f aca="false">IF(L712=1,M712+N712-$B$26,M712)</f>
        <v>8.10541678220034E-009</v>
      </c>
      <c r="P712" s="56" t="n">
        <f aca="false">IF(L712=1,IF($B$26&lt;=N712,1,0),0)</f>
        <v>0</v>
      </c>
      <c r="Q712" s="58" t="n">
        <f aca="false">Q711+N712</f>
        <v>145877.630223336</v>
      </c>
      <c r="S712" s="56" t="n">
        <f aca="false">S711+1</f>
        <v>705</v>
      </c>
      <c r="T712" s="57" t="n">
        <f aca="false">IF(AND(S712&lt;=Assumptions!$C$42,T711=1,X711=0,W711&gt;Assumptions!$C$43),1,0)</f>
        <v>0</v>
      </c>
      <c r="U712" s="58" t="n">
        <f aca="false">W711</f>
        <v>-182.103705036234</v>
      </c>
      <c r="V712" s="58" t="n">
        <f aca="false">IF(T712=1,U712*$B$22,0)</f>
        <v>0</v>
      </c>
      <c r="W712" s="58" t="n">
        <f aca="false">IF(T712=1,U712+V712-$B$27,U712)</f>
        <v>-182.103705036234</v>
      </c>
      <c r="X712" s="56" t="n">
        <f aca="false">IF(T712=1,IF($B$27&lt;=V712,1,0),0)</f>
        <v>0</v>
      </c>
      <c r="Y712" s="58" t="n">
        <f aca="false">Y711+V712</f>
        <v>113000.408372882</v>
      </c>
    </row>
    <row r="713" customFormat="false" ht="15" hidden="false" customHeight="false" outlineLevel="0" collapsed="false">
      <c r="K713" s="56" t="n">
        <f aca="false">K712+1</f>
        <v>706</v>
      </c>
      <c r="L713" s="57" t="n">
        <f aca="false">IF(AND(K713&lt;=Assumptions!$C$42,L712=1,P712=0,O712&gt;Assumptions!$C$43),1,0)</f>
        <v>0</v>
      </c>
      <c r="M713" s="58" t="n">
        <f aca="false">O712</f>
        <v>8.10541678220034E-009</v>
      </c>
      <c r="N713" s="58" t="n">
        <f aca="false">IF(L713=1,M713*$B$22,0)</f>
        <v>0</v>
      </c>
      <c r="O713" s="58" t="n">
        <f aca="false">IF(L713=1,M713+N713-$B$26,M713)</f>
        <v>8.10541678220034E-009</v>
      </c>
      <c r="P713" s="56" t="n">
        <f aca="false">IF(L713=1,IF($B$26&lt;=N713,1,0),0)</f>
        <v>0</v>
      </c>
      <c r="Q713" s="58" t="n">
        <f aca="false">Q712+N713</f>
        <v>145877.630223336</v>
      </c>
      <c r="S713" s="56" t="n">
        <f aca="false">S712+1</f>
        <v>706</v>
      </c>
      <c r="T713" s="57" t="n">
        <f aca="false">IF(AND(S713&lt;=Assumptions!$C$42,T712=1,X712=0,W712&gt;Assumptions!$C$43),1,0)</f>
        <v>0</v>
      </c>
      <c r="U713" s="58" t="n">
        <f aca="false">W712</f>
        <v>-182.103705036234</v>
      </c>
      <c r="V713" s="58" t="n">
        <f aca="false">IF(T713=1,U713*$B$22,0)</f>
        <v>0</v>
      </c>
      <c r="W713" s="58" t="n">
        <f aca="false">IF(T713=1,U713+V713-$B$27,U713)</f>
        <v>-182.103705036234</v>
      </c>
      <c r="X713" s="56" t="n">
        <f aca="false">IF(T713=1,IF($B$27&lt;=V713,1,0),0)</f>
        <v>0</v>
      </c>
      <c r="Y713" s="58" t="n">
        <f aca="false">Y712+V713</f>
        <v>113000.408372882</v>
      </c>
    </row>
    <row r="714" customFormat="false" ht="15" hidden="false" customHeight="false" outlineLevel="0" collapsed="false">
      <c r="K714" s="56" t="n">
        <f aca="false">K713+1</f>
        <v>707</v>
      </c>
      <c r="L714" s="57" t="n">
        <f aca="false">IF(AND(K714&lt;=Assumptions!$C$42,L713=1,P713=0,O713&gt;Assumptions!$C$43),1,0)</f>
        <v>0</v>
      </c>
      <c r="M714" s="58" t="n">
        <f aca="false">O713</f>
        <v>8.10541678220034E-009</v>
      </c>
      <c r="N714" s="58" t="n">
        <f aca="false">IF(L714=1,M714*$B$22,0)</f>
        <v>0</v>
      </c>
      <c r="O714" s="58" t="n">
        <f aca="false">IF(L714=1,M714+N714-$B$26,M714)</f>
        <v>8.10541678220034E-009</v>
      </c>
      <c r="P714" s="56" t="n">
        <f aca="false">IF(L714=1,IF($B$26&lt;=N714,1,0),0)</f>
        <v>0</v>
      </c>
      <c r="Q714" s="58" t="n">
        <f aca="false">Q713+N714</f>
        <v>145877.630223336</v>
      </c>
      <c r="S714" s="56" t="n">
        <f aca="false">S713+1</f>
        <v>707</v>
      </c>
      <c r="T714" s="57" t="n">
        <f aca="false">IF(AND(S714&lt;=Assumptions!$C$42,T713=1,X713=0,W713&gt;Assumptions!$C$43),1,0)</f>
        <v>0</v>
      </c>
      <c r="U714" s="58" t="n">
        <f aca="false">W713</f>
        <v>-182.103705036234</v>
      </c>
      <c r="V714" s="58" t="n">
        <f aca="false">IF(T714=1,U714*$B$22,0)</f>
        <v>0</v>
      </c>
      <c r="W714" s="58" t="n">
        <f aca="false">IF(T714=1,U714+V714-$B$27,U714)</f>
        <v>-182.103705036234</v>
      </c>
      <c r="X714" s="56" t="n">
        <f aca="false">IF(T714=1,IF($B$27&lt;=V714,1,0),0)</f>
        <v>0</v>
      </c>
      <c r="Y714" s="58" t="n">
        <f aca="false">Y713+V714</f>
        <v>113000.408372882</v>
      </c>
    </row>
    <row r="715" customFormat="false" ht="15" hidden="false" customHeight="false" outlineLevel="0" collapsed="false">
      <c r="K715" s="56" t="n">
        <f aca="false">K714+1</f>
        <v>708</v>
      </c>
      <c r="L715" s="57" t="n">
        <f aca="false">IF(AND(K715&lt;=Assumptions!$C$42,L714=1,P714=0,O714&gt;Assumptions!$C$43),1,0)</f>
        <v>0</v>
      </c>
      <c r="M715" s="58" t="n">
        <f aca="false">O714</f>
        <v>8.10541678220034E-009</v>
      </c>
      <c r="N715" s="58" t="n">
        <f aca="false">IF(L715=1,M715*$B$22,0)</f>
        <v>0</v>
      </c>
      <c r="O715" s="58" t="n">
        <f aca="false">IF(L715=1,M715+N715-$B$26,M715)</f>
        <v>8.10541678220034E-009</v>
      </c>
      <c r="P715" s="56" t="n">
        <f aca="false">IF(L715=1,IF($B$26&lt;=N715,1,0),0)</f>
        <v>0</v>
      </c>
      <c r="Q715" s="58" t="n">
        <f aca="false">Q714+N715</f>
        <v>145877.630223336</v>
      </c>
      <c r="S715" s="56" t="n">
        <f aca="false">S714+1</f>
        <v>708</v>
      </c>
      <c r="T715" s="57" t="n">
        <f aca="false">IF(AND(S715&lt;=Assumptions!$C$42,T714=1,X714=0,W714&gt;Assumptions!$C$43),1,0)</f>
        <v>0</v>
      </c>
      <c r="U715" s="58" t="n">
        <f aca="false">W714</f>
        <v>-182.103705036234</v>
      </c>
      <c r="V715" s="58" t="n">
        <f aca="false">IF(T715=1,U715*$B$22,0)</f>
        <v>0</v>
      </c>
      <c r="W715" s="58" t="n">
        <f aca="false">IF(T715=1,U715+V715-$B$27,U715)</f>
        <v>-182.103705036234</v>
      </c>
      <c r="X715" s="56" t="n">
        <f aca="false">IF(T715=1,IF($B$27&lt;=V715,1,0),0)</f>
        <v>0</v>
      </c>
      <c r="Y715" s="58" t="n">
        <f aca="false">Y714+V715</f>
        <v>113000.408372882</v>
      </c>
    </row>
    <row r="716" customFormat="false" ht="15" hidden="false" customHeight="false" outlineLevel="0" collapsed="false">
      <c r="K716" s="56" t="n">
        <f aca="false">K715+1</f>
        <v>709</v>
      </c>
      <c r="L716" s="57" t="n">
        <f aca="false">IF(AND(K716&lt;=Assumptions!$C$42,L715=1,P715=0,O715&gt;Assumptions!$C$43),1,0)</f>
        <v>0</v>
      </c>
      <c r="M716" s="58" t="n">
        <f aca="false">O715</f>
        <v>8.10541678220034E-009</v>
      </c>
      <c r="N716" s="58" t="n">
        <f aca="false">IF(L716=1,M716*$B$22,0)</f>
        <v>0</v>
      </c>
      <c r="O716" s="58" t="n">
        <f aca="false">IF(L716=1,M716+N716-$B$26,M716)</f>
        <v>8.10541678220034E-009</v>
      </c>
      <c r="P716" s="56" t="n">
        <f aca="false">IF(L716=1,IF($B$26&lt;=N716,1,0),0)</f>
        <v>0</v>
      </c>
      <c r="Q716" s="58" t="n">
        <f aca="false">Q715+N716</f>
        <v>145877.630223336</v>
      </c>
      <c r="S716" s="56" t="n">
        <f aca="false">S715+1</f>
        <v>709</v>
      </c>
      <c r="T716" s="57" t="n">
        <f aca="false">IF(AND(S716&lt;=Assumptions!$C$42,T715=1,X715=0,W715&gt;Assumptions!$C$43),1,0)</f>
        <v>0</v>
      </c>
      <c r="U716" s="58" t="n">
        <f aca="false">W715</f>
        <v>-182.103705036234</v>
      </c>
      <c r="V716" s="58" t="n">
        <f aca="false">IF(T716=1,U716*$B$22,0)</f>
        <v>0</v>
      </c>
      <c r="W716" s="58" t="n">
        <f aca="false">IF(T716=1,U716+V716-$B$27,U716)</f>
        <v>-182.103705036234</v>
      </c>
      <c r="X716" s="56" t="n">
        <f aca="false">IF(T716=1,IF($B$27&lt;=V716,1,0),0)</f>
        <v>0</v>
      </c>
      <c r="Y716" s="58" t="n">
        <f aca="false">Y715+V716</f>
        <v>113000.408372882</v>
      </c>
    </row>
    <row r="717" customFormat="false" ht="15" hidden="false" customHeight="false" outlineLevel="0" collapsed="false">
      <c r="K717" s="56" t="n">
        <f aca="false">K716+1</f>
        <v>710</v>
      </c>
      <c r="L717" s="57" t="n">
        <f aca="false">IF(AND(K717&lt;=Assumptions!$C$42,L716=1,P716=0,O716&gt;Assumptions!$C$43),1,0)</f>
        <v>0</v>
      </c>
      <c r="M717" s="58" t="n">
        <f aca="false">O716</f>
        <v>8.10541678220034E-009</v>
      </c>
      <c r="N717" s="58" t="n">
        <f aca="false">IF(L717=1,M717*$B$22,0)</f>
        <v>0</v>
      </c>
      <c r="O717" s="58" t="n">
        <f aca="false">IF(L717=1,M717+N717-$B$26,M717)</f>
        <v>8.10541678220034E-009</v>
      </c>
      <c r="P717" s="56" t="n">
        <f aca="false">IF(L717=1,IF($B$26&lt;=N717,1,0),0)</f>
        <v>0</v>
      </c>
      <c r="Q717" s="58" t="n">
        <f aca="false">Q716+N717</f>
        <v>145877.630223336</v>
      </c>
      <c r="S717" s="56" t="n">
        <f aca="false">S716+1</f>
        <v>710</v>
      </c>
      <c r="T717" s="57" t="n">
        <f aca="false">IF(AND(S717&lt;=Assumptions!$C$42,T716=1,X716=0,W716&gt;Assumptions!$C$43),1,0)</f>
        <v>0</v>
      </c>
      <c r="U717" s="58" t="n">
        <f aca="false">W716</f>
        <v>-182.103705036234</v>
      </c>
      <c r="V717" s="58" t="n">
        <f aca="false">IF(T717=1,U717*$B$22,0)</f>
        <v>0</v>
      </c>
      <c r="W717" s="58" t="n">
        <f aca="false">IF(T717=1,U717+V717-$B$27,U717)</f>
        <v>-182.103705036234</v>
      </c>
      <c r="X717" s="56" t="n">
        <f aca="false">IF(T717=1,IF($B$27&lt;=V717,1,0),0)</f>
        <v>0</v>
      </c>
      <c r="Y717" s="58" t="n">
        <f aca="false">Y716+V717</f>
        <v>113000.408372882</v>
      </c>
    </row>
    <row r="718" customFormat="false" ht="15" hidden="false" customHeight="false" outlineLevel="0" collapsed="false">
      <c r="K718" s="56" t="n">
        <f aca="false">K717+1</f>
        <v>711</v>
      </c>
      <c r="L718" s="57" t="n">
        <f aca="false">IF(AND(K718&lt;=Assumptions!$C$42,L717=1,P717=0,O717&gt;Assumptions!$C$43),1,0)</f>
        <v>0</v>
      </c>
      <c r="M718" s="58" t="n">
        <f aca="false">O717</f>
        <v>8.10541678220034E-009</v>
      </c>
      <c r="N718" s="58" t="n">
        <f aca="false">IF(L718=1,M718*$B$22,0)</f>
        <v>0</v>
      </c>
      <c r="O718" s="58" t="n">
        <f aca="false">IF(L718=1,M718+N718-$B$26,M718)</f>
        <v>8.10541678220034E-009</v>
      </c>
      <c r="P718" s="56" t="n">
        <f aca="false">IF(L718=1,IF($B$26&lt;=N718,1,0),0)</f>
        <v>0</v>
      </c>
      <c r="Q718" s="58" t="n">
        <f aca="false">Q717+N718</f>
        <v>145877.630223336</v>
      </c>
      <c r="S718" s="56" t="n">
        <f aca="false">S717+1</f>
        <v>711</v>
      </c>
      <c r="T718" s="57" t="n">
        <f aca="false">IF(AND(S718&lt;=Assumptions!$C$42,T717=1,X717=0,W717&gt;Assumptions!$C$43),1,0)</f>
        <v>0</v>
      </c>
      <c r="U718" s="58" t="n">
        <f aca="false">W717</f>
        <v>-182.103705036234</v>
      </c>
      <c r="V718" s="58" t="n">
        <f aca="false">IF(T718=1,U718*$B$22,0)</f>
        <v>0</v>
      </c>
      <c r="W718" s="58" t="n">
        <f aca="false">IF(T718=1,U718+V718-$B$27,U718)</f>
        <v>-182.103705036234</v>
      </c>
      <c r="X718" s="56" t="n">
        <f aca="false">IF(T718=1,IF($B$27&lt;=V718,1,0),0)</f>
        <v>0</v>
      </c>
      <c r="Y718" s="58" t="n">
        <f aca="false">Y717+V718</f>
        <v>113000.408372882</v>
      </c>
    </row>
    <row r="719" customFormat="false" ht="15" hidden="false" customHeight="false" outlineLevel="0" collapsed="false">
      <c r="K719" s="56" t="n">
        <f aca="false">K718+1</f>
        <v>712</v>
      </c>
      <c r="L719" s="57" t="n">
        <f aca="false">IF(AND(K719&lt;=Assumptions!$C$42,L718=1,P718=0,O718&gt;Assumptions!$C$43),1,0)</f>
        <v>0</v>
      </c>
      <c r="M719" s="58" t="n">
        <f aca="false">O718</f>
        <v>8.10541678220034E-009</v>
      </c>
      <c r="N719" s="58" t="n">
        <f aca="false">IF(L719=1,M719*$B$22,0)</f>
        <v>0</v>
      </c>
      <c r="O719" s="58" t="n">
        <f aca="false">IF(L719=1,M719+N719-$B$26,M719)</f>
        <v>8.10541678220034E-009</v>
      </c>
      <c r="P719" s="56" t="n">
        <f aca="false">IF(L719=1,IF($B$26&lt;=N719,1,0),0)</f>
        <v>0</v>
      </c>
      <c r="Q719" s="58" t="n">
        <f aca="false">Q718+N719</f>
        <v>145877.630223336</v>
      </c>
      <c r="S719" s="56" t="n">
        <f aca="false">S718+1</f>
        <v>712</v>
      </c>
      <c r="T719" s="57" t="n">
        <f aca="false">IF(AND(S719&lt;=Assumptions!$C$42,T718=1,X718=0,W718&gt;Assumptions!$C$43),1,0)</f>
        <v>0</v>
      </c>
      <c r="U719" s="58" t="n">
        <f aca="false">W718</f>
        <v>-182.103705036234</v>
      </c>
      <c r="V719" s="58" t="n">
        <f aca="false">IF(T719=1,U719*$B$22,0)</f>
        <v>0</v>
      </c>
      <c r="W719" s="58" t="n">
        <f aca="false">IF(T719=1,U719+V719-$B$27,U719)</f>
        <v>-182.103705036234</v>
      </c>
      <c r="X719" s="56" t="n">
        <f aca="false">IF(T719=1,IF($B$27&lt;=V719,1,0),0)</f>
        <v>0</v>
      </c>
      <c r="Y719" s="58" t="n">
        <f aca="false">Y718+V719</f>
        <v>113000.408372882</v>
      </c>
    </row>
    <row r="720" customFormat="false" ht="15" hidden="false" customHeight="false" outlineLevel="0" collapsed="false">
      <c r="K720" s="56" t="n">
        <f aca="false">K719+1</f>
        <v>713</v>
      </c>
      <c r="L720" s="57" t="n">
        <f aca="false">IF(AND(K720&lt;=Assumptions!$C$42,L719=1,P719=0,O719&gt;Assumptions!$C$43),1,0)</f>
        <v>0</v>
      </c>
      <c r="M720" s="58" t="n">
        <f aca="false">O719</f>
        <v>8.10541678220034E-009</v>
      </c>
      <c r="N720" s="58" t="n">
        <f aca="false">IF(L720=1,M720*$B$22,0)</f>
        <v>0</v>
      </c>
      <c r="O720" s="58" t="n">
        <f aca="false">IF(L720=1,M720+N720-$B$26,M720)</f>
        <v>8.10541678220034E-009</v>
      </c>
      <c r="P720" s="56" t="n">
        <f aca="false">IF(L720=1,IF($B$26&lt;=N720,1,0),0)</f>
        <v>0</v>
      </c>
      <c r="Q720" s="58" t="n">
        <f aca="false">Q719+N720</f>
        <v>145877.630223336</v>
      </c>
      <c r="S720" s="56" t="n">
        <f aca="false">S719+1</f>
        <v>713</v>
      </c>
      <c r="T720" s="57" t="n">
        <f aca="false">IF(AND(S720&lt;=Assumptions!$C$42,T719=1,X719=0,W719&gt;Assumptions!$C$43),1,0)</f>
        <v>0</v>
      </c>
      <c r="U720" s="58" t="n">
        <f aca="false">W719</f>
        <v>-182.103705036234</v>
      </c>
      <c r="V720" s="58" t="n">
        <f aca="false">IF(T720=1,U720*$B$22,0)</f>
        <v>0</v>
      </c>
      <c r="W720" s="58" t="n">
        <f aca="false">IF(T720=1,U720+V720-$B$27,U720)</f>
        <v>-182.103705036234</v>
      </c>
      <c r="X720" s="56" t="n">
        <f aca="false">IF(T720=1,IF($B$27&lt;=V720,1,0),0)</f>
        <v>0</v>
      </c>
      <c r="Y720" s="58" t="n">
        <f aca="false">Y719+V720</f>
        <v>113000.408372882</v>
      </c>
    </row>
    <row r="721" customFormat="false" ht="15" hidden="false" customHeight="false" outlineLevel="0" collapsed="false">
      <c r="K721" s="56" t="n">
        <f aca="false">K720+1</f>
        <v>714</v>
      </c>
      <c r="L721" s="57" t="n">
        <f aca="false">IF(AND(K721&lt;=Assumptions!$C$42,L720=1,P720=0,O720&gt;Assumptions!$C$43),1,0)</f>
        <v>0</v>
      </c>
      <c r="M721" s="58" t="n">
        <f aca="false">O720</f>
        <v>8.10541678220034E-009</v>
      </c>
      <c r="N721" s="58" t="n">
        <f aca="false">IF(L721=1,M721*$B$22,0)</f>
        <v>0</v>
      </c>
      <c r="O721" s="58" t="n">
        <f aca="false">IF(L721=1,M721+N721-$B$26,M721)</f>
        <v>8.10541678220034E-009</v>
      </c>
      <c r="P721" s="56" t="n">
        <f aca="false">IF(L721=1,IF($B$26&lt;=N721,1,0),0)</f>
        <v>0</v>
      </c>
      <c r="Q721" s="58" t="n">
        <f aca="false">Q720+N721</f>
        <v>145877.630223336</v>
      </c>
      <c r="S721" s="56" t="n">
        <f aca="false">S720+1</f>
        <v>714</v>
      </c>
      <c r="T721" s="57" t="n">
        <f aca="false">IF(AND(S721&lt;=Assumptions!$C$42,T720=1,X720=0,W720&gt;Assumptions!$C$43),1,0)</f>
        <v>0</v>
      </c>
      <c r="U721" s="58" t="n">
        <f aca="false">W720</f>
        <v>-182.103705036234</v>
      </c>
      <c r="V721" s="58" t="n">
        <f aca="false">IF(T721=1,U721*$B$22,0)</f>
        <v>0</v>
      </c>
      <c r="W721" s="58" t="n">
        <f aca="false">IF(T721=1,U721+V721-$B$27,U721)</f>
        <v>-182.103705036234</v>
      </c>
      <c r="X721" s="56" t="n">
        <f aca="false">IF(T721=1,IF($B$27&lt;=V721,1,0),0)</f>
        <v>0</v>
      </c>
      <c r="Y721" s="58" t="n">
        <f aca="false">Y720+V721</f>
        <v>113000.408372882</v>
      </c>
    </row>
    <row r="722" customFormat="false" ht="15" hidden="false" customHeight="false" outlineLevel="0" collapsed="false">
      <c r="K722" s="56" t="n">
        <f aca="false">K721+1</f>
        <v>715</v>
      </c>
      <c r="L722" s="57" t="n">
        <f aca="false">IF(AND(K722&lt;=Assumptions!$C$42,L721=1,P721=0,O721&gt;Assumptions!$C$43),1,0)</f>
        <v>0</v>
      </c>
      <c r="M722" s="58" t="n">
        <f aca="false">O721</f>
        <v>8.10541678220034E-009</v>
      </c>
      <c r="N722" s="58" t="n">
        <f aca="false">IF(L722=1,M722*$B$22,0)</f>
        <v>0</v>
      </c>
      <c r="O722" s="58" t="n">
        <f aca="false">IF(L722=1,M722+N722-$B$26,M722)</f>
        <v>8.10541678220034E-009</v>
      </c>
      <c r="P722" s="56" t="n">
        <f aca="false">IF(L722=1,IF($B$26&lt;=N722,1,0),0)</f>
        <v>0</v>
      </c>
      <c r="Q722" s="58" t="n">
        <f aca="false">Q721+N722</f>
        <v>145877.630223336</v>
      </c>
      <c r="S722" s="56" t="n">
        <f aca="false">S721+1</f>
        <v>715</v>
      </c>
      <c r="T722" s="57" t="n">
        <f aca="false">IF(AND(S722&lt;=Assumptions!$C$42,T721=1,X721=0,W721&gt;Assumptions!$C$43),1,0)</f>
        <v>0</v>
      </c>
      <c r="U722" s="58" t="n">
        <f aca="false">W721</f>
        <v>-182.103705036234</v>
      </c>
      <c r="V722" s="58" t="n">
        <f aca="false">IF(T722=1,U722*$B$22,0)</f>
        <v>0</v>
      </c>
      <c r="W722" s="58" t="n">
        <f aca="false">IF(T722=1,U722+V722-$B$27,U722)</f>
        <v>-182.103705036234</v>
      </c>
      <c r="X722" s="56" t="n">
        <f aca="false">IF(T722=1,IF($B$27&lt;=V722,1,0),0)</f>
        <v>0</v>
      </c>
      <c r="Y722" s="58" t="n">
        <f aca="false">Y721+V722</f>
        <v>113000.408372882</v>
      </c>
    </row>
    <row r="723" customFormat="false" ht="15" hidden="false" customHeight="false" outlineLevel="0" collapsed="false">
      <c r="K723" s="56" t="n">
        <f aca="false">K722+1</f>
        <v>716</v>
      </c>
      <c r="L723" s="57" t="n">
        <f aca="false">IF(AND(K723&lt;=Assumptions!$C$42,L722=1,P722=0,O722&gt;Assumptions!$C$43),1,0)</f>
        <v>0</v>
      </c>
      <c r="M723" s="58" t="n">
        <f aca="false">O722</f>
        <v>8.10541678220034E-009</v>
      </c>
      <c r="N723" s="58" t="n">
        <f aca="false">IF(L723=1,M723*$B$22,0)</f>
        <v>0</v>
      </c>
      <c r="O723" s="58" t="n">
        <f aca="false">IF(L723=1,M723+N723-$B$26,M723)</f>
        <v>8.10541678220034E-009</v>
      </c>
      <c r="P723" s="56" t="n">
        <f aca="false">IF(L723=1,IF($B$26&lt;=N723,1,0),0)</f>
        <v>0</v>
      </c>
      <c r="Q723" s="58" t="n">
        <f aca="false">Q722+N723</f>
        <v>145877.630223336</v>
      </c>
      <c r="S723" s="56" t="n">
        <f aca="false">S722+1</f>
        <v>716</v>
      </c>
      <c r="T723" s="57" t="n">
        <f aca="false">IF(AND(S723&lt;=Assumptions!$C$42,T722=1,X722=0,W722&gt;Assumptions!$C$43),1,0)</f>
        <v>0</v>
      </c>
      <c r="U723" s="58" t="n">
        <f aca="false">W722</f>
        <v>-182.103705036234</v>
      </c>
      <c r="V723" s="58" t="n">
        <f aca="false">IF(T723=1,U723*$B$22,0)</f>
        <v>0</v>
      </c>
      <c r="W723" s="58" t="n">
        <f aca="false">IF(T723=1,U723+V723-$B$27,U723)</f>
        <v>-182.103705036234</v>
      </c>
      <c r="X723" s="56" t="n">
        <f aca="false">IF(T723=1,IF($B$27&lt;=V723,1,0),0)</f>
        <v>0</v>
      </c>
      <c r="Y723" s="58" t="n">
        <f aca="false">Y722+V723</f>
        <v>113000.408372882</v>
      </c>
    </row>
    <row r="724" customFormat="false" ht="15" hidden="false" customHeight="false" outlineLevel="0" collapsed="false">
      <c r="K724" s="56" t="n">
        <f aca="false">K723+1</f>
        <v>717</v>
      </c>
      <c r="L724" s="57" t="n">
        <f aca="false">IF(AND(K724&lt;=Assumptions!$C$42,L723=1,P723=0,O723&gt;Assumptions!$C$43),1,0)</f>
        <v>0</v>
      </c>
      <c r="M724" s="58" t="n">
        <f aca="false">O723</f>
        <v>8.10541678220034E-009</v>
      </c>
      <c r="N724" s="58" t="n">
        <f aca="false">IF(L724=1,M724*$B$22,0)</f>
        <v>0</v>
      </c>
      <c r="O724" s="58" t="n">
        <f aca="false">IF(L724=1,M724+N724-$B$26,M724)</f>
        <v>8.10541678220034E-009</v>
      </c>
      <c r="P724" s="56" t="n">
        <f aca="false">IF(L724=1,IF($B$26&lt;=N724,1,0),0)</f>
        <v>0</v>
      </c>
      <c r="Q724" s="58" t="n">
        <f aca="false">Q723+N724</f>
        <v>145877.630223336</v>
      </c>
      <c r="S724" s="56" t="n">
        <f aca="false">S723+1</f>
        <v>717</v>
      </c>
      <c r="T724" s="57" t="n">
        <f aca="false">IF(AND(S724&lt;=Assumptions!$C$42,T723=1,X723=0,W723&gt;Assumptions!$C$43),1,0)</f>
        <v>0</v>
      </c>
      <c r="U724" s="58" t="n">
        <f aca="false">W723</f>
        <v>-182.103705036234</v>
      </c>
      <c r="V724" s="58" t="n">
        <f aca="false">IF(T724=1,U724*$B$22,0)</f>
        <v>0</v>
      </c>
      <c r="W724" s="58" t="n">
        <f aca="false">IF(T724=1,U724+V724-$B$27,U724)</f>
        <v>-182.103705036234</v>
      </c>
      <c r="X724" s="56" t="n">
        <f aca="false">IF(T724=1,IF($B$27&lt;=V724,1,0),0)</f>
        <v>0</v>
      </c>
      <c r="Y724" s="58" t="n">
        <f aca="false">Y723+V724</f>
        <v>113000.408372882</v>
      </c>
    </row>
    <row r="725" customFormat="false" ht="15" hidden="false" customHeight="false" outlineLevel="0" collapsed="false">
      <c r="K725" s="56" t="n">
        <f aca="false">K724+1</f>
        <v>718</v>
      </c>
      <c r="L725" s="57" t="n">
        <f aca="false">IF(AND(K725&lt;=Assumptions!$C$42,L724=1,P724=0,O724&gt;Assumptions!$C$43),1,0)</f>
        <v>0</v>
      </c>
      <c r="M725" s="58" t="n">
        <f aca="false">O724</f>
        <v>8.10541678220034E-009</v>
      </c>
      <c r="N725" s="58" t="n">
        <f aca="false">IF(L725=1,M725*$B$22,0)</f>
        <v>0</v>
      </c>
      <c r="O725" s="58" t="n">
        <f aca="false">IF(L725=1,M725+N725-$B$26,M725)</f>
        <v>8.10541678220034E-009</v>
      </c>
      <c r="P725" s="56" t="n">
        <f aca="false">IF(L725=1,IF($B$26&lt;=N725,1,0),0)</f>
        <v>0</v>
      </c>
      <c r="Q725" s="58" t="n">
        <f aca="false">Q724+N725</f>
        <v>145877.630223336</v>
      </c>
      <c r="S725" s="56" t="n">
        <f aca="false">S724+1</f>
        <v>718</v>
      </c>
      <c r="T725" s="57" t="n">
        <f aca="false">IF(AND(S725&lt;=Assumptions!$C$42,T724=1,X724=0,W724&gt;Assumptions!$C$43),1,0)</f>
        <v>0</v>
      </c>
      <c r="U725" s="58" t="n">
        <f aca="false">W724</f>
        <v>-182.103705036234</v>
      </c>
      <c r="V725" s="58" t="n">
        <f aca="false">IF(T725=1,U725*$B$22,0)</f>
        <v>0</v>
      </c>
      <c r="W725" s="58" t="n">
        <f aca="false">IF(T725=1,U725+V725-$B$27,U725)</f>
        <v>-182.103705036234</v>
      </c>
      <c r="X725" s="56" t="n">
        <f aca="false">IF(T725=1,IF($B$27&lt;=V725,1,0),0)</f>
        <v>0</v>
      </c>
      <c r="Y725" s="58" t="n">
        <f aca="false">Y724+V725</f>
        <v>113000.408372882</v>
      </c>
    </row>
    <row r="726" customFormat="false" ht="15" hidden="false" customHeight="false" outlineLevel="0" collapsed="false">
      <c r="K726" s="56" t="n">
        <f aca="false">K725+1</f>
        <v>719</v>
      </c>
      <c r="L726" s="57" t="n">
        <f aca="false">IF(AND(K726&lt;=Assumptions!$C$42,L725=1,P725=0,O725&gt;Assumptions!$C$43),1,0)</f>
        <v>0</v>
      </c>
      <c r="M726" s="58" t="n">
        <f aca="false">O725</f>
        <v>8.10541678220034E-009</v>
      </c>
      <c r="N726" s="58" t="n">
        <f aca="false">IF(L726=1,M726*$B$22,0)</f>
        <v>0</v>
      </c>
      <c r="O726" s="58" t="n">
        <f aca="false">IF(L726=1,M726+N726-$B$26,M726)</f>
        <v>8.10541678220034E-009</v>
      </c>
      <c r="P726" s="56" t="n">
        <f aca="false">IF(L726=1,IF($B$26&lt;=N726,1,0),0)</f>
        <v>0</v>
      </c>
      <c r="Q726" s="58" t="n">
        <f aca="false">Q725+N726</f>
        <v>145877.630223336</v>
      </c>
      <c r="S726" s="56" t="n">
        <f aca="false">S725+1</f>
        <v>719</v>
      </c>
      <c r="T726" s="57" t="n">
        <f aca="false">IF(AND(S726&lt;=Assumptions!$C$42,T725=1,X725=0,W725&gt;Assumptions!$C$43),1,0)</f>
        <v>0</v>
      </c>
      <c r="U726" s="58" t="n">
        <f aca="false">W725</f>
        <v>-182.103705036234</v>
      </c>
      <c r="V726" s="58" t="n">
        <f aca="false">IF(T726=1,U726*$B$22,0)</f>
        <v>0</v>
      </c>
      <c r="W726" s="58" t="n">
        <f aca="false">IF(T726=1,U726+V726-$B$27,U726)</f>
        <v>-182.103705036234</v>
      </c>
      <c r="X726" s="56" t="n">
        <f aca="false">IF(T726=1,IF($B$27&lt;=V726,1,0),0)</f>
        <v>0</v>
      </c>
      <c r="Y726" s="58" t="n">
        <f aca="false">Y725+V726</f>
        <v>113000.408372882</v>
      </c>
    </row>
    <row r="727" customFormat="false" ht="15" hidden="false" customHeight="false" outlineLevel="0" collapsed="false">
      <c r="K727" s="56" t="n">
        <f aca="false">K726+1</f>
        <v>720</v>
      </c>
      <c r="L727" s="57" t="n">
        <f aca="false">IF(AND(K727&lt;=Assumptions!$C$42,L726=1,P726=0,O726&gt;Assumptions!$C$43),1,0)</f>
        <v>0</v>
      </c>
      <c r="M727" s="58" t="n">
        <f aca="false">O726</f>
        <v>8.10541678220034E-009</v>
      </c>
      <c r="N727" s="58" t="n">
        <f aca="false">IF(L727=1,M727*$B$22,0)</f>
        <v>0</v>
      </c>
      <c r="O727" s="58" t="n">
        <f aca="false">IF(L727=1,M727+N727-$B$26,M727)</f>
        <v>8.10541678220034E-009</v>
      </c>
      <c r="P727" s="56" t="n">
        <f aca="false">IF(L727=1,IF($B$26&lt;=N727,1,0),0)</f>
        <v>0</v>
      </c>
      <c r="Q727" s="58" t="n">
        <f aca="false">Q726+N727</f>
        <v>145877.630223336</v>
      </c>
      <c r="S727" s="56" t="n">
        <f aca="false">S726+1</f>
        <v>720</v>
      </c>
      <c r="T727" s="57" t="n">
        <f aca="false">IF(AND(S727&lt;=Assumptions!$C$42,T726=1,X726=0,W726&gt;Assumptions!$C$43),1,0)</f>
        <v>0</v>
      </c>
      <c r="U727" s="58" t="n">
        <f aca="false">W726</f>
        <v>-182.103705036234</v>
      </c>
      <c r="V727" s="58" t="n">
        <f aca="false">IF(T727=1,U727*$B$22,0)</f>
        <v>0</v>
      </c>
      <c r="W727" s="58" t="n">
        <f aca="false">IF(T727=1,U727+V727-$B$27,U727)</f>
        <v>-182.103705036234</v>
      </c>
      <c r="X727" s="56" t="n">
        <f aca="false">IF(T727=1,IF($B$27&lt;=V727,1,0),0)</f>
        <v>0</v>
      </c>
      <c r="Y727" s="58" t="n">
        <f aca="false">Y726+V727</f>
        <v>113000.408372882</v>
      </c>
    </row>
    <row r="728" customFormat="false" ht="15" hidden="false" customHeight="false" outlineLevel="0" collapsed="false">
      <c r="K728" s="56" t="n">
        <f aca="false">K727+1</f>
        <v>721</v>
      </c>
      <c r="L728" s="57" t="n">
        <f aca="false">IF(AND(K728&lt;=Assumptions!$C$42,L727=1,P727=0,O727&gt;Assumptions!$C$43),1,0)</f>
        <v>0</v>
      </c>
      <c r="M728" s="58" t="n">
        <f aca="false">O727</f>
        <v>8.10541678220034E-009</v>
      </c>
      <c r="N728" s="58" t="n">
        <f aca="false">IF(L728=1,M728*$B$22,0)</f>
        <v>0</v>
      </c>
      <c r="O728" s="58" t="n">
        <f aca="false">IF(L728=1,M728+N728-$B$26,M728)</f>
        <v>8.10541678220034E-009</v>
      </c>
      <c r="P728" s="56" t="n">
        <f aca="false">IF(L728=1,IF($B$26&lt;=N728,1,0),0)</f>
        <v>0</v>
      </c>
      <c r="Q728" s="58" t="n">
        <f aca="false">Q727+N728</f>
        <v>145877.630223336</v>
      </c>
      <c r="S728" s="56" t="n">
        <f aca="false">S727+1</f>
        <v>721</v>
      </c>
      <c r="T728" s="57" t="n">
        <f aca="false">IF(AND(S728&lt;=Assumptions!$C$42,T727=1,X727=0,W727&gt;Assumptions!$C$43),1,0)</f>
        <v>0</v>
      </c>
      <c r="U728" s="58" t="n">
        <f aca="false">W727</f>
        <v>-182.103705036234</v>
      </c>
      <c r="V728" s="58" t="n">
        <f aca="false">IF(T728=1,U728*$B$22,0)</f>
        <v>0</v>
      </c>
      <c r="W728" s="58" t="n">
        <f aca="false">IF(T728=1,U728+V728-$B$27,U728)</f>
        <v>-182.103705036234</v>
      </c>
      <c r="X728" s="56" t="n">
        <f aca="false">IF(T728=1,IF($B$27&lt;=V728,1,0),0)</f>
        <v>0</v>
      </c>
      <c r="Y728" s="58" t="n">
        <f aca="false">Y727+V728</f>
        <v>113000.408372882</v>
      </c>
    </row>
    <row r="729" customFormat="false" ht="15" hidden="false" customHeight="false" outlineLevel="0" collapsed="false">
      <c r="K729" s="56" t="n">
        <f aca="false">K728+1</f>
        <v>722</v>
      </c>
      <c r="L729" s="57" t="n">
        <f aca="false">IF(AND(K729&lt;=Assumptions!$C$42,L728=1,P728=0,O728&gt;Assumptions!$C$43),1,0)</f>
        <v>0</v>
      </c>
      <c r="M729" s="58" t="n">
        <f aca="false">O728</f>
        <v>8.10541678220034E-009</v>
      </c>
      <c r="N729" s="58" t="n">
        <f aca="false">IF(L729=1,M729*$B$22,0)</f>
        <v>0</v>
      </c>
      <c r="O729" s="58" t="n">
        <f aca="false">IF(L729=1,M729+N729-$B$26,M729)</f>
        <v>8.10541678220034E-009</v>
      </c>
      <c r="P729" s="56" t="n">
        <f aca="false">IF(L729=1,IF($B$26&lt;=N729,1,0),0)</f>
        <v>0</v>
      </c>
      <c r="Q729" s="58" t="n">
        <f aca="false">Q728+N729</f>
        <v>145877.630223336</v>
      </c>
      <c r="S729" s="56" t="n">
        <f aca="false">S728+1</f>
        <v>722</v>
      </c>
      <c r="T729" s="57" t="n">
        <f aca="false">IF(AND(S729&lt;=Assumptions!$C$42,T728=1,X728=0,W728&gt;Assumptions!$C$43),1,0)</f>
        <v>0</v>
      </c>
      <c r="U729" s="58" t="n">
        <f aca="false">W728</f>
        <v>-182.103705036234</v>
      </c>
      <c r="V729" s="58" t="n">
        <f aca="false">IF(T729=1,U729*$B$22,0)</f>
        <v>0</v>
      </c>
      <c r="W729" s="58" t="n">
        <f aca="false">IF(T729=1,U729+V729-$B$27,U729)</f>
        <v>-182.103705036234</v>
      </c>
      <c r="X729" s="56" t="n">
        <f aca="false">IF(T729=1,IF($B$27&lt;=V729,1,0),0)</f>
        <v>0</v>
      </c>
      <c r="Y729" s="58" t="n">
        <f aca="false">Y728+V729</f>
        <v>113000.408372882</v>
      </c>
    </row>
    <row r="730" customFormat="false" ht="15" hidden="false" customHeight="false" outlineLevel="0" collapsed="false">
      <c r="K730" s="56" t="n">
        <f aca="false">K729+1</f>
        <v>723</v>
      </c>
      <c r="L730" s="57" t="n">
        <f aca="false">IF(AND(K730&lt;=Assumptions!$C$42,L729=1,P729=0,O729&gt;Assumptions!$C$43),1,0)</f>
        <v>0</v>
      </c>
      <c r="M730" s="58" t="n">
        <f aca="false">O729</f>
        <v>8.10541678220034E-009</v>
      </c>
      <c r="N730" s="58" t="n">
        <f aca="false">IF(L730=1,M730*$B$22,0)</f>
        <v>0</v>
      </c>
      <c r="O730" s="58" t="n">
        <f aca="false">IF(L730=1,M730+N730-$B$26,M730)</f>
        <v>8.10541678220034E-009</v>
      </c>
      <c r="P730" s="56" t="n">
        <f aca="false">IF(L730=1,IF($B$26&lt;=N730,1,0),0)</f>
        <v>0</v>
      </c>
      <c r="Q730" s="58" t="n">
        <f aca="false">Q729+N730</f>
        <v>145877.630223336</v>
      </c>
      <c r="S730" s="56" t="n">
        <f aca="false">S729+1</f>
        <v>723</v>
      </c>
      <c r="T730" s="57" t="n">
        <f aca="false">IF(AND(S730&lt;=Assumptions!$C$42,T729=1,X729=0,W729&gt;Assumptions!$C$43),1,0)</f>
        <v>0</v>
      </c>
      <c r="U730" s="58" t="n">
        <f aca="false">W729</f>
        <v>-182.103705036234</v>
      </c>
      <c r="V730" s="58" t="n">
        <f aca="false">IF(T730=1,U730*$B$22,0)</f>
        <v>0</v>
      </c>
      <c r="W730" s="58" t="n">
        <f aca="false">IF(T730=1,U730+V730-$B$27,U730)</f>
        <v>-182.103705036234</v>
      </c>
      <c r="X730" s="56" t="n">
        <f aca="false">IF(T730=1,IF($B$27&lt;=V730,1,0),0)</f>
        <v>0</v>
      </c>
      <c r="Y730" s="58" t="n">
        <f aca="false">Y729+V730</f>
        <v>113000.408372882</v>
      </c>
    </row>
    <row r="731" customFormat="false" ht="15" hidden="false" customHeight="false" outlineLevel="0" collapsed="false">
      <c r="K731" s="56" t="n">
        <f aca="false">K730+1</f>
        <v>724</v>
      </c>
      <c r="L731" s="57" t="n">
        <f aca="false">IF(AND(K731&lt;=Assumptions!$C$42,L730=1,P730=0,O730&gt;Assumptions!$C$43),1,0)</f>
        <v>0</v>
      </c>
      <c r="M731" s="58" t="n">
        <f aca="false">O730</f>
        <v>8.10541678220034E-009</v>
      </c>
      <c r="N731" s="58" t="n">
        <f aca="false">IF(L731=1,M731*$B$22,0)</f>
        <v>0</v>
      </c>
      <c r="O731" s="58" t="n">
        <f aca="false">IF(L731=1,M731+N731-$B$26,M731)</f>
        <v>8.10541678220034E-009</v>
      </c>
      <c r="P731" s="56" t="n">
        <f aca="false">IF(L731=1,IF($B$26&lt;=N731,1,0),0)</f>
        <v>0</v>
      </c>
      <c r="Q731" s="58" t="n">
        <f aca="false">Q730+N731</f>
        <v>145877.630223336</v>
      </c>
      <c r="S731" s="56" t="n">
        <f aca="false">S730+1</f>
        <v>724</v>
      </c>
      <c r="T731" s="57" t="n">
        <f aca="false">IF(AND(S731&lt;=Assumptions!$C$42,T730=1,X730=0,W730&gt;Assumptions!$C$43),1,0)</f>
        <v>0</v>
      </c>
      <c r="U731" s="58" t="n">
        <f aca="false">W730</f>
        <v>-182.103705036234</v>
      </c>
      <c r="V731" s="58" t="n">
        <f aca="false">IF(T731=1,U731*$B$22,0)</f>
        <v>0</v>
      </c>
      <c r="W731" s="58" t="n">
        <f aca="false">IF(T731=1,U731+V731-$B$27,U731)</f>
        <v>-182.103705036234</v>
      </c>
      <c r="X731" s="56" t="n">
        <f aca="false">IF(T731=1,IF($B$27&lt;=V731,1,0),0)</f>
        <v>0</v>
      </c>
      <c r="Y731" s="58" t="n">
        <f aca="false">Y730+V731</f>
        <v>113000.408372882</v>
      </c>
    </row>
    <row r="732" customFormat="false" ht="15" hidden="false" customHeight="false" outlineLevel="0" collapsed="false">
      <c r="K732" s="56" t="n">
        <f aca="false">K731+1</f>
        <v>725</v>
      </c>
      <c r="L732" s="57" t="n">
        <f aca="false">IF(AND(K732&lt;=Assumptions!$C$42,L731=1,P731=0,O731&gt;Assumptions!$C$43),1,0)</f>
        <v>0</v>
      </c>
      <c r="M732" s="58" t="n">
        <f aca="false">O731</f>
        <v>8.10541678220034E-009</v>
      </c>
      <c r="N732" s="58" t="n">
        <f aca="false">IF(L732=1,M732*$B$22,0)</f>
        <v>0</v>
      </c>
      <c r="O732" s="58" t="n">
        <f aca="false">IF(L732=1,M732+N732-$B$26,M732)</f>
        <v>8.10541678220034E-009</v>
      </c>
      <c r="P732" s="56" t="n">
        <f aca="false">IF(L732=1,IF($B$26&lt;=N732,1,0),0)</f>
        <v>0</v>
      </c>
      <c r="Q732" s="58" t="n">
        <f aca="false">Q731+N732</f>
        <v>145877.630223336</v>
      </c>
      <c r="S732" s="56" t="n">
        <f aca="false">S731+1</f>
        <v>725</v>
      </c>
      <c r="T732" s="57" t="n">
        <f aca="false">IF(AND(S732&lt;=Assumptions!$C$42,T731=1,X731=0,W731&gt;Assumptions!$C$43),1,0)</f>
        <v>0</v>
      </c>
      <c r="U732" s="58" t="n">
        <f aca="false">W731</f>
        <v>-182.103705036234</v>
      </c>
      <c r="V732" s="58" t="n">
        <f aca="false">IF(T732=1,U732*$B$22,0)</f>
        <v>0</v>
      </c>
      <c r="W732" s="58" t="n">
        <f aca="false">IF(T732=1,U732+V732-$B$27,U732)</f>
        <v>-182.103705036234</v>
      </c>
      <c r="X732" s="56" t="n">
        <f aca="false">IF(T732=1,IF($B$27&lt;=V732,1,0),0)</f>
        <v>0</v>
      </c>
      <c r="Y732" s="58" t="n">
        <f aca="false">Y731+V732</f>
        <v>113000.408372882</v>
      </c>
    </row>
    <row r="733" customFormat="false" ht="15" hidden="false" customHeight="false" outlineLevel="0" collapsed="false">
      <c r="K733" s="56" t="n">
        <f aca="false">K732+1</f>
        <v>726</v>
      </c>
      <c r="L733" s="57" t="n">
        <f aca="false">IF(AND(K733&lt;=Assumptions!$C$42,L732=1,P732=0,O732&gt;Assumptions!$C$43),1,0)</f>
        <v>0</v>
      </c>
      <c r="M733" s="58" t="n">
        <f aca="false">O732</f>
        <v>8.10541678220034E-009</v>
      </c>
      <c r="N733" s="58" t="n">
        <f aca="false">IF(L733=1,M733*$B$22,0)</f>
        <v>0</v>
      </c>
      <c r="O733" s="58" t="n">
        <f aca="false">IF(L733=1,M733+N733-$B$26,M733)</f>
        <v>8.10541678220034E-009</v>
      </c>
      <c r="P733" s="56" t="n">
        <f aca="false">IF(L733=1,IF($B$26&lt;=N733,1,0),0)</f>
        <v>0</v>
      </c>
      <c r="Q733" s="58" t="n">
        <f aca="false">Q732+N733</f>
        <v>145877.630223336</v>
      </c>
      <c r="S733" s="56" t="n">
        <f aca="false">S732+1</f>
        <v>726</v>
      </c>
      <c r="T733" s="57" t="n">
        <f aca="false">IF(AND(S733&lt;=Assumptions!$C$42,T732=1,X732=0,W732&gt;Assumptions!$C$43),1,0)</f>
        <v>0</v>
      </c>
      <c r="U733" s="58" t="n">
        <f aca="false">W732</f>
        <v>-182.103705036234</v>
      </c>
      <c r="V733" s="58" t="n">
        <f aca="false">IF(T733=1,U733*$B$22,0)</f>
        <v>0</v>
      </c>
      <c r="W733" s="58" t="n">
        <f aca="false">IF(T733=1,U733+V733-$B$27,U733)</f>
        <v>-182.103705036234</v>
      </c>
      <c r="X733" s="56" t="n">
        <f aca="false">IF(T733=1,IF($B$27&lt;=V733,1,0),0)</f>
        <v>0</v>
      </c>
      <c r="Y733" s="58" t="n">
        <f aca="false">Y732+V733</f>
        <v>113000.408372882</v>
      </c>
    </row>
    <row r="734" customFormat="false" ht="15" hidden="false" customHeight="false" outlineLevel="0" collapsed="false">
      <c r="K734" s="56" t="n">
        <f aca="false">K733+1</f>
        <v>727</v>
      </c>
      <c r="L734" s="57" t="n">
        <f aca="false">IF(AND(K734&lt;=Assumptions!$C$42,L733=1,P733=0,O733&gt;Assumptions!$C$43),1,0)</f>
        <v>0</v>
      </c>
      <c r="M734" s="58" t="n">
        <f aca="false">O733</f>
        <v>8.10541678220034E-009</v>
      </c>
      <c r="N734" s="58" t="n">
        <f aca="false">IF(L734=1,M734*$B$22,0)</f>
        <v>0</v>
      </c>
      <c r="O734" s="58" t="n">
        <f aca="false">IF(L734=1,M734+N734-$B$26,M734)</f>
        <v>8.10541678220034E-009</v>
      </c>
      <c r="P734" s="56" t="n">
        <f aca="false">IF(L734=1,IF($B$26&lt;=N734,1,0),0)</f>
        <v>0</v>
      </c>
      <c r="Q734" s="58" t="n">
        <f aca="false">Q733+N734</f>
        <v>145877.630223336</v>
      </c>
      <c r="S734" s="56" t="n">
        <f aca="false">S733+1</f>
        <v>727</v>
      </c>
      <c r="T734" s="57" t="n">
        <f aca="false">IF(AND(S734&lt;=Assumptions!$C$42,T733=1,X733=0,W733&gt;Assumptions!$C$43),1,0)</f>
        <v>0</v>
      </c>
      <c r="U734" s="58" t="n">
        <f aca="false">W733</f>
        <v>-182.103705036234</v>
      </c>
      <c r="V734" s="58" t="n">
        <f aca="false">IF(T734=1,U734*$B$22,0)</f>
        <v>0</v>
      </c>
      <c r="W734" s="58" t="n">
        <f aca="false">IF(T734=1,U734+V734-$B$27,U734)</f>
        <v>-182.103705036234</v>
      </c>
      <c r="X734" s="56" t="n">
        <f aca="false">IF(T734=1,IF($B$27&lt;=V734,1,0),0)</f>
        <v>0</v>
      </c>
      <c r="Y734" s="58" t="n">
        <f aca="false">Y733+V734</f>
        <v>113000.408372882</v>
      </c>
    </row>
    <row r="735" customFormat="false" ht="15" hidden="false" customHeight="false" outlineLevel="0" collapsed="false">
      <c r="K735" s="56" t="n">
        <f aca="false">K734+1</f>
        <v>728</v>
      </c>
      <c r="L735" s="57" t="n">
        <f aca="false">IF(AND(K735&lt;=Assumptions!$C$42,L734=1,P734=0,O734&gt;Assumptions!$C$43),1,0)</f>
        <v>0</v>
      </c>
      <c r="M735" s="58" t="n">
        <f aca="false">O734</f>
        <v>8.10541678220034E-009</v>
      </c>
      <c r="N735" s="58" t="n">
        <f aca="false">IF(L735=1,M735*$B$22,0)</f>
        <v>0</v>
      </c>
      <c r="O735" s="58" t="n">
        <f aca="false">IF(L735=1,M735+N735-$B$26,M735)</f>
        <v>8.10541678220034E-009</v>
      </c>
      <c r="P735" s="56" t="n">
        <f aca="false">IF(L735=1,IF($B$26&lt;=N735,1,0),0)</f>
        <v>0</v>
      </c>
      <c r="Q735" s="58" t="n">
        <f aca="false">Q734+N735</f>
        <v>145877.630223336</v>
      </c>
      <c r="S735" s="56" t="n">
        <f aca="false">S734+1</f>
        <v>728</v>
      </c>
      <c r="T735" s="57" t="n">
        <f aca="false">IF(AND(S735&lt;=Assumptions!$C$42,T734=1,X734=0,W734&gt;Assumptions!$C$43),1,0)</f>
        <v>0</v>
      </c>
      <c r="U735" s="58" t="n">
        <f aca="false">W734</f>
        <v>-182.103705036234</v>
      </c>
      <c r="V735" s="58" t="n">
        <f aca="false">IF(T735=1,U735*$B$22,0)</f>
        <v>0</v>
      </c>
      <c r="W735" s="58" t="n">
        <f aca="false">IF(T735=1,U735+V735-$B$27,U735)</f>
        <v>-182.103705036234</v>
      </c>
      <c r="X735" s="56" t="n">
        <f aca="false">IF(T735=1,IF($B$27&lt;=V735,1,0),0)</f>
        <v>0</v>
      </c>
      <c r="Y735" s="58" t="n">
        <f aca="false">Y734+V735</f>
        <v>113000.408372882</v>
      </c>
    </row>
    <row r="736" customFormat="false" ht="15" hidden="false" customHeight="false" outlineLevel="0" collapsed="false">
      <c r="K736" s="56" t="n">
        <f aca="false">K735+1</f>
        <v>729</v>
      </c>
      <c r="L736" s="57" t="n">
        <f aca="false">IF(AND(K736&lt;=Assumptions!$C$42,L735=1,P735=0,O735&gt;Assumptions!$C$43),1,0)</f>
        <v>0</v>
      </c>
      <c r="M736" s="58" t="n">
        <f aca="false">O735</f>
        <v>8.10541678220034E-009</v>
      </c>
      <c r="N736" s="58" t="n">
        <f aca="false">IF(L736=1,M736*$B$22,0)</f>
        <v>0</v>
      </c>
      <c r="O736" s="58" t="n">
        <f aca="false">IF(L736=1,M736+N736-$B$26,M736)</f>
        <v>8.10541678220034E-009</v>
      </c>
      <c r="P736" s="56" t="n">
        <f aca="false">IF(L736=1,IF($B$26&lt;=N736,1,0),0)</f>
        <v>0</v>
      </c>
      <c r="Q736" s="58" t="n">
        <f aca="false">Q735+N736</f>
        <v>145877.630223336</v>
      </c>
      <c r="S736" s="56" t="n">
        <f aca="false">S735+1</f>
        <v>729</v>
      </c>
      <c r="T736" s="57" t="n">
        <f aca="false">IF(AND(S736&lt;=Assumptions!$C$42,T735=1,X735=0,W735&gt;Assumptions!$C$43),1,0)</f>
        <v>0</v>
      </c>
      <c r="U736" s="58" t="n">
        <f aca="false">W735</f>
        <v>-182.103705036234</v>
      </c>
      <c r="V736" s="58" t="n">
        <f aca="false">IF(T736=1,U736*$B$22,0)</f>
        <v>0</v>
      </c>
      <c r="W736" s="58" t="n">
        <f aca="false">IF(T736=1,U736+V736-$B$27,U736)</f>
        <v>-182.103705036234</v>
      </c>
      <c r="X736" s="56" t="n">
        <f aca="false">IF(T736=1,IF($B$27&lt;=V736,1,0),0)</f>
        <v>0</v>
      </c>
      <c r="Y736" s="58" t="n">
        <f aca="false">Y735+V736</f>
        <v>113000.408372882</v>
      </c>
    </row>
    <row r="737" customFormat="false" ht="15" hidden="false" customHeight="false" outlineLevel="0" collapsed="false">
      <c r="K737" s="56" t="n">
        <f aca="false">K736+1</f>
        <v>730</v>
      </c>
      <c r="L737" s="57" t="n">
        <f aca="false">IF(AND(K737&lt;=Assumptions!$C$42,L736=1,P736=0,O736&gt;Assumptions!$C$43),1,0)</f>
        <v>0</v>
      </c>
      <c r="M737" s="58" t="n">
        <f aca="false">O736</f>
        <v>8.10541678220034E-009</v>
      </c>
      <c r="N737" s="58" t="n">
        <f aca="false">IF(L737=1,M737*$B$22,0)</f>
        <v>0</v>
      </c>
      <c r="O737" s="58" t="n">
        <f aca="false">IF(L737=1,M737+N737-$B$26,M737)</f>
        <v>8.10541678220034E-009</v>
      </c>
      <c r="P737" s="56" t="n">
        <f aca="false">IF(L737=1,IF($B$26&lt;=N737,1,0),0)</f>
        <v>0</v>
      </c>
      <c r="Q737" s="58" t="n">
        <f aca="false">Q736+N737</f>
        <v>145877.630223336</v>
      </c>
      <c r="S737" s="56" t="n">
        <f aca="false">S736+1</f>
        <v>730</v>
      </c>
      <c r="T737" s="57" t="n">
        <f aca="false">IF(AND(S737&lt;=Assumptions!$C$42,T736=1,X736=0,W736&gt;Assumptions!$C$43),1,0)</f>
        <v>0</v>
      </c>
      <c r="U737" s="58" t="n">
        <f aca="false">W736</f>
        <v>-182.103705036234</v>
      </c>
      <c r="V737" s="58" t="n">
        <f aca="false">IF(T737=1,U737*$B$22,0)</f>
        <v>0</v>
      </c>
      <c r="W737" s="58" t="n">
        <f aca="false">IF(T737=1,U737+V737-$B$27,U737)</f>
        <v>-182.103705036234</v>
      </c>
      <c r="X737" s="56" t="n">
        <f aca="false">IF(T737=1,IF($B$27&lt;=V737,1,0),0)</f>
        <v>0</v>
      </c>
      <c r="Y737" s="58" t="n">
        <f aca="false">Y736+V737</f>
        <v>113000.408372882</v>
      </c>
    </row>
    <row r="738" customFormat="false" ht="15" hidden="false" customHeight="false" outlineLevel="0" collapsed="false">
      <c r="K738" s="56" t="n">
        <f aca="false">K737+1</f>
        <v>731</v>
      </c>
      <c r="L738" s="57" t="n">
        <f aca="false">IF(AND(K738&lt;=Assumptions!$C$42,L737=1,P737=0,O737&gt;Assumptions!$C$43),1,0)</f>
        <v>0</v>
      </c>
      <c r="M738" s="58" t="n">
        <f aca="false">O737</f>
        <v>8.10541678220034E-009</v>
      </c>
      <c r="N738" s="58" t="n">
        <f aca="false">IF(L738=1,M738*$B$22,0)</f>
        <v>0</v>
      </c>
      <c r="O738" s="58" t="n">
        <f aca="false">IF(L738=1,M738+N738-$B$26,M738)</f>
        <v>8.10541678220034E-009</v>
      </c>
      <c r="P738" s="56" t="n">
        <f aca="false">IF(L738=1,IF($B$26&lt;=N738,1,0),0)</f>
        <v>0</v>
      </c>
      <c r="Q738" s="58" t="n">
        <f aca="false">Q737+N738</f>
        <v>145877.630223336</v>
      </c>
      <c r="S738" s="56" t="n">
        <f aca="false">S737+1</f>
        <v>731</v>
      </c>
      <c r="T738" s="57" t="n">
        <f aca="false">IF(AND(S738&lt;=Assumptions!$C$42,T737=1,X737=0,W737&gt;Assumptions!$C$43),1,0)</f>
        <v>0</v>
      </c>
      <c r="U738" s="58" t="n">
        <f aca="false">W737</f>
        <v>-182.103705036234</v>
      </c>
      <c r="V738" s="58" t="n">
        <f aca="false">IF(T738=1,U738*$B$22,0)</f>
        <v>0</v>
      </c>
      <c r="W738" s="58" t="n">
        <f aca="false">IF(T738=1,U738+V738-$B$27,U738)</f>
        <v>-182.103705036234</v>
      </c>
      <c r="X738" s="56" t="n">
        <f aca="false">IF(T738=1,IF($B$27&lt;=V738,1,0),0)</f>
        <v>0</v>
      </c>
      <c r="Y738" s="58" t="n">
        <f aca="false">Y737+V738</f>
        <v>113000.408372882</v>
      </c>
    </row>
    <row r="739" customFormat="false" ht="15" hidden="false" customHeight="false" outlineLevel="0" collapsed="false">
      <c r="K739" s="56" t="n">
        <f aca="false">K738+1</f>
        <v>732</v>
      </c>
      <c r="L739" s="57" t="n">
        <f aca="false">IF(AND(K739&lt;=Assumptions!$C$42,L738=1,P738=0,O738&gt;Assumptions!$C$43),1,0)</f>
        <v>0</v>
      </c>
      <c r="M739" s="58" t="n">
        <f aca="false">O738</f>
        <v>8.10541678220034E-009</v>
      </c>
      <c r="N739" s="58" t="n">
        <f aca="false">IF(L739=1,M739*$B$22,0)</f>
        <v>0</v>
      </c>
      <c r="O739" s="58" t="n">
        <f aca="false">IF(L739=1,M739+N739-$B$26,M739)</f>
        <v>8.10541678220034E-009</v>
      </c>
      <c r="P739" s="56" t="n">
        <f aca="false">IF(L739=1,IF($B$26&lt;=N739,1,0),0)</f>
        <v>0</v>
      </c>
      <c r="Q739" s="58" t="n">
        <f aca="false">Q738+N739</f>
        <v>145877.630223336</v>
      </c>
      <c r="S739" s="56" t="n">
        <f aca="false">S738+1</f>
        <v>732</v>
      </c>
      <c r="T739" s="57" t="n">
        <f aca="false">IF(AND(S739&lt;=Assumptions!$C$42,T738=1,X738=0,W738&gt;Assumptions!$C$43),1,0)</f>
        <v>0</v>
      </c>
      <c r="U739" s="58" t="n">
        <f aca="false">W738</f>
        <v>-182.103705036234</v>
      </c>
      <c r="V739" s="58" t="n">
        <f aca="false">IF(T739=1,U739*$B$22,0)</f>
        <v>0</v>
      </c>
      <c r="W739" s="58" t="n">
        <f aca="false">IF(T739=1,U739+V739-$B$27,U739)</f>
        <v>-182.103705036234</v>
      </c>
      <c r="X739" s="56" t="n">
        <f aca="false">IF(T739=1,IF($B$27&lt;=V739,1,0),0)</f>
        <v>0</v>
      </c>
      <c r="Y739" s="58" t="n">
        <f aca="false">Y738+V739</f>
        <v>113000.408372882</v>
      </c>
    </row>
    <row r="740" customFormat="false" ht="15" hidden="false" customHeight="false" outlineLevel="0" collapsed="false">
      <c r="K740" s="56" t="n">
        <f aca="false">K739+1</f>
        <v>733</v>
      </c>
      <c r="L740" s="57" t="n">
        <f aca="false">IF(AND(K740&lt;=Assumptions!$C$42,L739=1,P739=0,O739&gt;Assumptions!$C$43),1,0)</f>
        <v>0</v>
      </c>
      <c r="M740" s="58" t="n">
        <f aca="false">O739</f>
        <v>8.10541678220034E-009</v>
      </c>
      <c r="N740" s="58" t="n">
        <f aca="false">IF(L740=1,M740*$B$22,0)</f>
        <v>0</v>
      </c>
      <c r="O740" s="58" t="n">
        <f aca="false">IF(L740=1,M740+N740-$B$26,M740)</f>
        <v>8.10541678220034E-009</v>
      </c>
      <c r="P740" s="56" t="n">
        <f aca="false">IF(L740=1,IF($B$26&lt;=N740,1,0),0)</f>
        <v>0</v>
      </c>
      <c r="Q740" s="58" t="n">
        <f aca="false">Q739+N740</f>
        <v>145877.630223336</v>
      </c>
      <c r="S740" s="56" t="n">
        <f aca="false">S739+1</f>
        <v>733</v>
      </c>
      <c r="T740" s="57" t="n">
        <f aca="false">IF(AND(S740&lt;=Assumptions!$C$42,T739=1,X739=0,W739&gt;Assumptions!$C$43),1,0)</f>
        <v>0</v>
      </c>
      <c r="U740" s="58" t="n">
        <f aca="false">W739</f>
        <v>-182.103705036234</v>
      </c>
      <c r="V740" s="58" t="n">
        <f aca="false">IF(T740=1,U740*$B$22,0)</f>
        <v>0</v>
      </c>
      <c r="W740" s="58" t="n">
        <f aca="false">IF(T740=1,U740+V740-$B$27,U740)</f>
        <v>-182.103705036234</v>
      </c>
      <c r="X740" s="56" t="n">
        <f aca="false">IF(T740=1,IF($B$27&lt;=V740,1,0),0)</f>
        <v>0</v>
      </c>
      <c r="Y740" s="58" t="n">
        <f aca="false">Y739+V740</f>
        <v>113000.408372882</v>
      </c>
    </row>
    <row r="741" customFormat="false" ht="15" hidden="false" customHeight="false" outlineLevel="0" collapsed="false">
      <c r="K741" s="56" t="n">
        <f aca="false">K740+1</f>
        <v>734</v>
      </c>
      <c r="L741" s="57" t="n">
        <f aca="false">IF(AND(K741&lt;=Assumptions!$C$42,L740=1,P740=0,O740&gt;Assumptions!$C$43),1,0)</f>
        <v>0</v>
      </c>
      <c r="M741" s="58" t="n">
        <f aca="false">O740</f>
        <v>8.10541678220034E-009</v>
      </c>
      <c r="N741" s="58" t="n">
        <f aca="false">IF(L741=1,M741*$B$22,0)</f>
        <v>0</v>
      </c>
      <c r="O741" s="58" t="n">
        <f aca="false">IF(L741=1,M741+N741-$B$26,M741)</f>
        <v>8.10541678220034E-009</v>
      </c>
      <c r="P741" s="56" t="n">
        <f aca="false">IF(L741=1,IF($B$26&lt;=N741,1,0),0)</f>
        <v>0</v>
      </c>
      <c r="Q741" s="58" t="n">
        <f aca="false">Q740+N741</f>
        <v>145877.630223336</v>
      </c>
      <c r="S741" s="56" t="n">
        <f aca="false">S740+1</f>
        <v>734</v>
      </c>
      <c r="T741" s="57" t="n">
        <f aca="false">IF(AND(S741&lt;=Assumptions!$C$42,T740=1,X740=0,W740&gt;Assumptions!$C$43),1,0)</f>
        <v>0</v>
      </c>
      <c r="U741" s="58" t="n">
        <f aca="false">W740</f>
        <v>-182.103705036234</v>
      </c>
      <c r="V741" s="58" t="n">
        <f aca="false">IF(T741=1,U741*$B$22,0)</f>
        <v>0</v>
      </c>
      <c r="W741" s="58" t="n">
        <f aca="false">IF(T741=1,U741+V741-$B$27,U741)</f>
        <v>-182.103705036234</v>
      </c>
      <c r="X741" s="56" t="n">
        <f aca="false">IF(T741=1,IF($B$27&lt;=V741,1,0),0)</f>
        <v>0</v>
      </c>
      <c r="Y741" s="58" t="n">
        <f aca="false">Y740+V741</f>
        <v>113000.408372882</v>
      </c>
    </row>
    <row r="742" customFormat="false" ht="15" hidden="false" customHeight="false" outlineLevel="0" collapsed="false">
      <c r="K742" s="56" t="n">
        <f aca="false">K741+1</f>
        <v>735</v>
      </c>
      <c r="L742" s="57" t="n">
        <f aca="false">IF(AND(K742&lt;=Assumptions!$C$42,L741=1,P741=0,O741&gt;Assumptions!$C$43),1,0)</f>
        <v>0</v>
      </c>
      <c r="M742" s="58" t="n">
        <f aca="false">O741</f>
        <v>8.10541678220034E-009</v>
      </c>
      <c r="N742" s="58" t="n">
        <f aca="false">IF(L742=1,M742*$B$22,0)</f>
        <v>0</v>
      </c>
      <c r="O742" s="58" t="n">
        <f aca="false">IF(L742=1,M742+N742-$B$26,M742)</f>
        <v>8.10541678220034E-009</v>
      </c>
      <c r="P742" s="56" t="n">
        <f aca="false">IF(L742=1,IF($B$26&lt;=N742,1,0),0)</f>
        <v>0</v>
      </c>
      <c r="Q742" s="58" t="n">
        <f aca="false">Q741+N742</f>
        <v>145877.630223336</v>
      </c>
      <c r="S742" s="56" t="n">
        <f aca="false">S741+1</f>
        <v>735</v>
      </c>
      <c r="T742" s="57" t="n">
        <f aca="false">IF(AND(S742&lt;=Assumptions!$C$42,T741=1,X741=0,W741&gt;Assumptions!$C$43),1,0)</f>
        <v>0</v>
      </c>
      <c r="U742" s="58" t="n">
        <f aca="false">W741</f>
        <v>-182.103705036234</v>
      </c>
      <c r="V742" s="58" t="n">
        <f aca="false">IF(T742=1,U742*$B$22,0)</f>
        <v>0</v>
      </c>
      <c r="W742" s="58" t="n">
        <f aca="false">IF(T742=1,U742+V742-$B$27,U742)</f>
        <v>-182.103705036234</v>
      </c>
      <c r="X742" s="56" t="n">
        <f aca="false">IF(T742=1,IF($B$27&lt;=V742,1,0),0)</f>
        <v>0</v>
      </c>
      <c r="Y742" s="58" t="n">
        <f aca="false">Y741+V742</f>
        <v>113000.408372882</v>
      </c>
    </row>
    <row r="743" customFormat="false" ht="15" hidden="false" customHeight="false" outlineLevel="0" collapsed="false">
      <c r="K743" s="56" t="n">
        <f aca="false">K742+1</f>
        <v>736</v>
      </c>
      <c r="L743" s="57" t="n">
        <f aca="false">IF(AND(K743&lt;=Assumptions!$C$42,L742=1,P742=0,O742&gt;Assumptions!$C$43),1,0)</f>
        <v>0</v>
      </c>
      <c r="M743" s="58" t="n">
        <f aca="false">O742</f>
        <v>8.10541678220034E-009</v>
      </c>
      <c r="N743" s="58" t="n">
        <f aca="false">IF(L743=1,M743*$B$22,0)</f>
        <v>0</v>
      </c>
      <c r="O743" s="58" t="n">
        <f aca="false">IF(L743=1,M743+N743-$B$26,M743)</f>
        <v>8.10541678220034E-009</v>
      </c>
      <c r="P743" s="56" t="n">
        <f aca="false">IF(L743=1,IF($B$26&lt;=N743,1,0),0)</f>
        <v>0</v>
      </c>
      <c r="Q743" s="58" t="n">
        <f aca="false">Q742+N743</f>
        <v>145877.630223336</v>
      </c>
      <c r="S743" s="56" t="n">
        <f aca="false">S742+1</f>
        <v>736</v>
      </c>
      <c r="T743" s="57" t="n">
        <f aca="false">IF(AND(S743&lt;=Assumptions!$C$42,T742=1,X742=0,W742&gt;Assumptions!$C$43),1,0)</f>
        <v>0</v>
      </c>
      <c r="U743" s="58" t="n">
        <f aca="false">W742</f>
        <v>-182.103705036234</v>
      </c>
      <c r="V743" s="58" t="n">
        <f aca="false">IF(T743=1,U743*$B$22,0)</f>
        <v>0</v>
      </c>
      <c r="W743" s="58" t="n">
        <f aca="false">IF(T743=1,U743+V743-$B$27,U743)</f>
        <v>-182.103705036234</v>
      </c>
      <c r="X743" s="56" t="n">
        <f aca="false">IF(T743=1,IF($B$27&lt;=V743,1,0),0)</f>
        <v>0</v>
      </c>
      <c r="Y743" s="58" t="n">
        <f aca="false">Y742+V743</f>
        <v>113000.408372882</v>
      </c>
    </row>
    <row r="744" customFormat="false" ht="15" hidden="false" customHeight="false" outlineLevel="0" collapsed="false">
      <c r="K744" s="56" t="n">
        <f aca="false">K743+1</f>
        <v>737</v>
      </c>
      <c r="L744" s="57" t="n">
        <f aca="false">IF(AND(K744&lt;=Assumptions!$C$42,L743=1,P743=0,O743&gt;Assumptions!$C$43),1,0)</f>
        <v>0</v>
      </c>
      <c r="M744" s="58" t="n">
        <f aca="false">O743</f>
        <v>8.10541678220034E-009</v>
      </c>
      <c r="N744" s="58" t="n">
        <f aca="false">IF(L744=1,M744*$B$22,0)</f>
        <v>0</v>
      </c>
      <c r="O744" s="58" t="n">
        <f aca="false">IF(L744=1,M744+N744-$B$26,M744)</f>
        <v>8.10541678220034E-009</v>
      </c>
      <c r="P744" s="56" t="n">
        <f aca="false">IF(L744=1,IF($B$26&lt;=N744,1,0),0)</f>
        <v>0</v>
      </c>
      <c r="Q744" s="58" t="n">
        <f aca="false">Q743+N744</f>
        <v>145877.630223336</v>
      </c>
      <c r="S744" s="56" t="n">
        <f aca="false">S743+1</f>
        <v>737</v>
      </c>
      <c r="T744" s="57" t="n">
        <f aca="false">IF(AND(S744&lt;=Assumptions!$C$42,T743=1,X743=0,W743&gt;Assumptions!$C$43),1,0)</f>
        <v>0</v>
      </c>
      <c r="U744" s="58" t="n">
        <f aca="false">W743</f>
        <v>-182.103705036234</v>
      </c>
      <c r="V744" s="58" t="n">
        <f aca="false">IF(T744=1,U744*$B$22,0)</f>
        <v>0</v>
      </c>
      <c r="W744" s="58" t="n">
        <f aca="false">IF(T744=1,U744+V744-$B$27,U744)</f>
        <v>-182.103705036234</v>
      </c>
      <c r="X744" s="56" t="n">
        <f aca="false">IF(T744=1,IF($B$27&lt;=V744,1,0),0)</f>
        <v>0</v>
      </c>
      <c r="Y744" s="58" t="n">
        <f aca="false">Y743+V744</f>
        <v>113000.408372882</v>
      </c>
    </row>
    <row r="745" customFormat="false" ht="15" hidden="false" customHeight="false" outlineLevel="0" collapsed="false">
      <c r="K745" s="56" t="n">
        <f aca="false">K744+1</f>
        <v>738</v>
      </c>
      <c r="L745" s="57" t="n">
        <f aca="false">IF(AND(K745&lt;=Assumptions!$C$42,L744=1,P744=0,O744&gt;Assumptions!$C$43),1,0)</f>
        <v>0</v>
      </c>
      <c r="M745" s="58" t="n">
        <f aca="false">O744</f>
        <v>8.10541678220034E-009</v>
      </c>
      <c r="N745" s="58" t="n">
        <f aca="false">IF(L745=1,M745*$B$22,0)</f>
        <v>0</v>
      </c>
      <c r="O745" s="58" t="n">
        <f aca="false">IF(L745=1,M745+N745-$B$26,M745)</f>
        <v>8.10541678220034E-009</v>
      </c>
      <c r="P745" s="56" t="n">
        <f aca="false">IF(L745=1,IF($B$26&lt;=N745,1,0),0)</f>
        <v>0</v>
      </c>
      <c r="Q745" s="58" t="n">
        <f aca="false">Q744+N745</f>
        <v>145877.630223336</v>
      </c>
      <c r="S745" s="56" t="n">
        <f aca="false">S744+1</f>
        <v>738</v>
      </c>
      <c r="T745" s="57" t="n">
        <f aca="false">IF(AND(S745&lt;=Assumptions!$C$42,T744=1,X744=0,W744&gt;Assumptions!$C$43),1,0)</f>
        <v>0</v>
      </c>
      <c r="U745" s="58" t="n">
        <f aca="false">W744</f>
        <v>-182.103705036234</v>
      </c>
      <c r="V745" s="58" t="n">
        <f aca="false">IF(T745=1,U745*$B$22,0)</f>
        <v>0</v>
      </c>
      <c r="W745" s="58" t="n">
        <f aca="false">IF(T745=1,U745+V745-$B$27,U745)</f>
        <v>-182.103705036234</v>
      </c>
      <c r="X745" s="56" t="n">
        <f aca="false">IF(T745=1,IF($B$27&lt;=V745,1,0),0)</f>
        <v>0</v>
      </c>
      <c r="Y745" s="58" t="n">
        <f aca="false">Y744+V745</f>
        <v>113000.408372882</v>
      </c>
    </row>
    <row r="746" customFormat="false" ht="15" hidden="false" customHeight="false" outlineLevel="0" collapsed="false">
      <c r="K746" s="56" t="n">
        <f aca="false">K745+1</f>
        <v>739</v>
      </c>
      <c r="L746" s="57" t="n">
        <f aca="false">IF(AND(K746&lt;=Assumptions!$C$42,L745=1,P745=0,O745&gt;Assumptions!$C$43),1,0)</f>
        <v>0</v>
      </c>
      <c r="M746" s="58" t="n">
        <f aca="false">O745</f>
        <v>8.10541678220034E-009</v>
      </c>
      <c r="N746" s="58" t="n">
        <f aca="false">IF(L746=1,M746*$B$22,0)</f>
        <v>0</v>
      </c>
      <c r="O746" s="58" t="n">
        <f aca="false">IF(L746=1,M746+N746-$B$26,M746)</f>
        <v>8.10541678220034E-009</v>
      </c>
      <c r="P746" s="56" t="n">
        <f aca="false">IF(L746=1,IF($B$26&lt;=N746,1,0),0)</f>
        <v>0</v>
      </c>
      <c r="Q746" s="58" t="n">
        <f aca="false">Q745+N746</f>
        <v>145877.630223336</v>
      </c>
      <c r="S746" s="56" t="n">
        <f aca="false">S745+1</f>
        <v>739</v>
      </c>
      <c r="T746" s="57" t="n">
        <f aca="false">IF(AND(S746&lt;=Assumptions!$C$42,T745=1,X745=0,W745&gt;Assumptions!$C$43),1,0)</f>
        <v>0</v>
      </c>
      <c r="U746" s="58" t="n">
        <f aca="false">W745</f>
        <v>-182.103705036234</v>
      </c>
      <c r="V746" s="58" t="n">
        <f aca="false">IF(T746=1,U746*$B$22,0)</f>
        <v>0</v>
      </c>
      <c r="W746" s="58" t="n">
        <f aca="false">IF(T746=1,U746+V746-$B$27,U746)</f>
        <v>-182.103705036234</v>
      </c>
      <c r="X746" s="56" t="n">
        <f aca="false">IF(T746=1,IF($B$27&lt;=V746,1,0),0)</f>
        <v>0</v>
      </c>
      <c r="Y746" s="58" t="n">
        <f aca="false">Y745+V746</f>
        <v>113000.408372882</v>
      </c>
    </row>
    <row r="747" customFormat="false" ht="15" hidden="false" customHeight="false" outlineLevel="0" collapsed="false">
      <c r="K747" s="56" t="n">
        <f aca="false">K746+1</f>
        <v>740</v>
      </c>
      <c r="L747" s="57" t="n">
        <f aca="false">IF(AND(K747&lt;=Assumptions!$C$42,L746=1,P746=0,O746&gt;Assumptions!$C$43),1,0)</f>
        <v>0</v>
      </c>
      <c r="M747" s="58" t="n">
        <f aca="false">O746</f>
        <v>8.10541678220034E-009</v>
      </c>
      <c r="N747" s="58" t="n">
        <f aca="false">IF(L747=1,M747*$B$22,0)</f>
        <v>0</v>
      </c>
      <c r="O747" s="58" t="n">
        <f aca="false">IF(L747=1,M747+N747-$B$26,M747)</f>
        <v>8.10541678220034E-009</v>
      </c>
      <c r="P747" s="56" t="n">
        <f aca="false">IF(L747=1,IF($B$26&lt;=N747,1,0),0)</f>
        <v>0</v>
      </c>
      <c r="Q747" s="58" t="n">
        <f aca="false">Q746+N747</f>
        <v>145877.630223336</v>
      </c>
      <c r="S747" s="56" t="n">
        <f aca="false">S746+1</f>
        <v>740</v>
      </c>
      <c r="T747" s="57" t="n">
        <f aca="false">IF(AND(S747&lt;=Assumptions!$C$42,T746=1,X746=0,W746&gt;Assumptions!$C$43),1,0)</f>
        <v>0</v>
      </c>
      <c r="U747" s="58" t="n">
        <f aca="false">W746</f>
        <v>-182.103705036234</v>
      </c>
      <c r="V747" s="58" t="n">
        <f aca="false">IF(T747=1,U747*$B$22,0)</f>
        <v>0</v>
      </c>
      <c r="W747" s="58" t="n">
        <f aca="false">IF(T747=1,U747+V747-$B$27,U747)</f>
        <v>-182.103705036234</v>
      </c>
      <c r="X747" s="56" t="n">
        <f aca="false">IF(T747=1,IF($B$27&lt;=V747,1,0),0)</f>
        <v>0</v>
      </c>
      <c r="Y747" s="58" t="n">
        <f aca="false">Y746+V747</f>
        <v>113000.408372882</v>
      </c>
    </row>
    <row r="748" customFormat="false" ht="15" hidden="false" customHeight="false" outlineLevel="0" collapsed="false">
      <c r="K748" s="56" t="n">
        <f aca="false">K747+1</f>
        <v>741</v>
      </c>
      <c r="L748" s="57" t="n">
        <f aca="false">IF(AND(K748&lt;=Assumptions!$C$42,L747=1,P747=0,O747&gt;Assumptions!$C$43),1,0)</f>
        <v>0</v>
      </c>
      <c r="M748" s="58" t="n">
        <f aca="false">O747</f>
        <v>8.10541678220034E-009</v>
      </c>
      <c r="N748" s="58" t="n">
        <f aca="false">IF(L748=1,M748*$B$22,0)</f>
        <v>0</v>
      </c>
      <c r="O748" s="58" t="n">
        <f aca="false">IF(L748=1,M748+N748-$B$26,M748)</f>
        <v>8.10541678220034E-009</v>
      </c>
      <c r="P748" s="56" t="n">
        <f aca="false">IF(L748=1,IF($B$26&lt;=N748,1,0),0)</f>
        <v>0</v>
      </c>
      <c r="Q748" s="58" t="n">
        <f aca="false">Q747+N748</f>
        <v>145877.630223336</v>
      </c>
      <c r="S748" s="56" t="n">
        <f aca="false">S747+1</f>
        <v>741</v>
      </c>
      <c r="T748" s="57" t="n">
        <f aca="false">IF(AND(S748&lt;=Assumptions!$C$42,T747=1,X747=0,W747&gt;Assumptions!$C$43),1,0)</f>
        <v>0</v>
      </c>
      <c r="U748" s="58" t="n">
        <f aca="false">W747</f>
        <v>-182.103705036234</v>
      </c>
      <c r="V748" s="58" t="n">
        <f aca="false">IF(T748=1,U748*$B$22,0)</f>
        <v>0</v>
      </c>
      <c r="W748" s="58" t="n">
        <f aca="false">IF(T748=1,U748+V748-$B$27,U748)</f>
        <v>-182.103705036234</v>
      </c>
      <c r="X748" s="56" t="n">
        <f aca="false">IF(T748=1,IF($B$27&lt;=V748,1,0),0)</f>
        <v>0</v>
      </c>
      <c r="Y748" s="58" t="n">
        <f aca="false">Y747+V748</f>
        <v>113000.408372882</v>
      </c>
    </row>
    <row r="749" customFormat="false" ht="15" hidden="false" customHeight="false" outlineLevel="0" collapsed="false">
      <c r="K749" s="56" t="n">
        <f aca="false">K748+1</f>
        <v>742</v>
      </c>
      <c r="L749" s="57" t="n">
        <f aca="false">IF(AND(K749&lt;=Assumptions!$C$42,L748=1,P748=0,O748&gt;Assumptions!$C$43),1,0)</f>
        <v>0</v>
      </c>
      <c r="M749" s="58" t="n">
        <f aca="false">O748</f>
        <v>8.10541678220034E-009</v>
      </c>
      <c r="N749" s="58" t="n">
        <f aca="false">IF(L749=1,M749*$B$22,0)</f>
        <v>0</v>
      </c>
      <c r="O749" s="58" t="n">
        <f aca="false">IF(L749=1,M749+N749-$B$26,M749)</f>
        <v>8.10541678220034E-009</v>
      </c>
      <c r="P749" s="56" t="n">
        <f aca="false">IF(L749=1,IF($B$26&lt;=N749,1,0),0)</f>
        <v>0</v>
      </c>
      <c r="Q749" s="58" t="n">
        <f aca="false">Q748+N749</f>
        <v>145877.630223336</v>
      </c>
      <c r="S749" s="56" t="n">
        <f aca="false">S748+1</f>
        <v>742</v>
      </c>
      <c r="T749" s="57" t="n">
        <f aca="false">IF(AND(S749&lt;=Assumptions!$C$42,T748=1,X748=0,W748&gt;Assumptions!$C$43),1,0)</f>
        <v>0</v>
      </c>
      <c r="U749" s="58" t="n">
        <f aca="false">W748</f>
        <v>-182.103705036234</v>
      </c>
      <c r="V749" s="58" t="n">
        <f aca="false">IF(T749=1,U749*$B$22,0)</f>
        <v>0</v>
      </c>
      <c r="W749" s="58" t="n">
        <f aca="false">IF(T749=1,U749+V749-$B$27,U749)</f>
        <v>-182.103705036234</v>
      </c>
      <c r="X749" s="56" t="n">
        <f aca="false">IF(T749=1,IF($B$27&lt;=V749,1,0),0)</f>
        <v>0</v>
      </c>
      <c r="Y749" s="58" t="n">
        <f aca="false">Y748+V749</f>
        <v>113000.408372882</v>
      </c>
    </row>
    <row r="750" customFormat="false" ht="15" hidden="false" customHeight="false" outlineLevel="0" collapsed="false">
      <c r="K750" s="56" t="n">
        <f aca="false">K749+1</f>
        <v>743</v>
      </c>
      <c r="L750" s="57" t="n">
        <f aca="false">IF(AND(K750&lt;=Assumptions!$C$42,L749=1,P749=0,O749&gt;Assumptions!$C$43),1,0)</f>
        <v>0</v>
      </c>
      <c r="M750" s="58" t="n">
        <f aca="false">O749</f>
        <v>8.10541678220034E-009</v>
      </c>
      <c r="N750" s="58" t="n">
        <f aca="false">IF(L750=1,M750*$B$22,0)</f>
        <v>0</v>
      </c>
      <c r="O750" s="58" t="n">
        <f aca="false">IF(L750=1,M750+N750-$B$26,M750)</f>
        <v>8.10541678220034E-009</v>
      </c>
      <c r="P750" s="56" t="n">
        <f aca="false">IF(L750=1,IF($B$26&lt;=N750,1,0),0)</f>
        <v>0</v>
      </c>
      <c r="Q750" s="58" t="n">
        <f aca="false">Q749+N750</f>
        <v>145877.630223336</v>
      </c>
      <c r="S750" s="56" t="n">
        <f aca="false">S749+1</f>
        <v>743</v>
      </c>
      <c r="T750" s="57" t="n">
        <f aca="false">IF(AND(S750&lt;=Assumptions!$C$42,T749=1,X749=0,W749&gt;Assumptions!$C$43),1,0)</f>
        <v>0</v>
      </c>
      <c r="U750" s="58" t="n">
        <f aca="false">W749</f>
        <v>-182.103705036234</v>
      </c>
      <c r="V750" s="58" t="n">
        <f aca="false">IF(T750=1,U750*$B$22,0)</f>
        <v>0</v>
      </c>
      <c r="W750" s="58" t="n">
        <f aca="false">IF(T750=1,U750+V750-$B$27,U750)</f>
        <v>-182.103705036234</v>
      </c>
      <c r="X750" s="56" t="n">
        <f aca="false">IF(T750=1,IF($B$27&lt;=V750,1,0),0)</f>
        <v>0</v>
      </c>
      <c r="Y750" s="58" t="n">
        <f aca="false">Y749+V750</f>
        <v>113000.408372882</v>
      </c>
    </row>
    <row r="751" customFormat="false" ht="15" hidden="false" customHeight="false" outlineLevel="0" collapsed="false">
      <c r="K751" s="56" t="n">
        <f aca="false">K750+1</f>
        <v>744</v>
      </c>
      <c r="L751" s="57" t="n">
        <f aca="false">IF(AND(K751&lt;=Assumptions!$C$42,L750=1,P750=0,O750&gt;Assumptions!$C$43),1,0)</f>
        <v>0</v>
      </c>
      <c r="M751" s="58" t="n">
        <f aca="false">O750</f>
        <v>8.10541678220034E-009</v>
      </c>
      <c r="N751" s="58" t="n">
        <f aca="false">IF(L751=1,M751*$B$22,0)</f>
        <v>0</v>
      </c>
      <c r="O751" s="58" t="n">
        <f aca="false">IF(L751=1,M751+N751-$B$26,M751)</f>
        <v>8.10541678220034E-009</v>
      </c>
      <c r="P751" s="56" t="n">
        <f aca="false">IF(L751=1,IF($B$26&lt;=N751,1,0),0)</f>
        <v>0</v>
      </c>
      <c r="Q751" s="58" t="n">
        <f aca="false">Q750+N751</f>
        <v>145877.630223336</v>
      </c>
      <c r="S751" s="56" t="n">
        <f aca="false">S750+1</f>
        <v>744</v>
      </c>
      <c r="T751" s="57" t="n">
        <f aca="false">IF(AND(S751&lt;=Assumptions!$C$42,T750=1,X750=0,W750&gt;Assumptions!$C$43),1,0)</f>
        <v>0</v>
      </c>
      <c r="U751" s="58" t="n">
        <f aca="false">W750</f>
        <v>-182.103705036234</v>
      </c>
      <c r="V751" s="58" t="n">
        <f aca="false">IF(T751=1,U751*$B$22,0)</f>
        <v>0</v>
      </c>
      <c r="W751" s="58" t="n">
        <f aca="false">IF(T751=1,U751+V751-$B$27,U751)</f>
        <v>-182.103705036234</v>
      </c>
      <c r="X751" s="56" t="n">
        <f aca="false">IF(T751=1,IF($B$27&lt;=V751,1,0),0)</f>
        <v>0</v>
      </c>
      <c r="Y751" s="58" t="n">
        <f aca="false">Y750+V751</f>
        <v>113000.408372882</v>
      </c>
    </row>
    <row r="752" customFormat="false" ht="15" hidden="false" customHeight="false" outlineLevel="0" collapsed="false">
      <c r="K752" s="56" t="n">
        <f aca="false">K751+1</f>
        <v>745</v>
      </c>
      <c r="L752" s="57" t="n">
        <f aca="false">IF(AND(K752&lt;=Assumptions!$C$42,L751=1,P751=0,O751&gt;Assumptions!$C$43),1,0)</f>
        <v>0</v>
      </c>
      <c r="M752" s="58" t="n">
        <f aca="false">O751</f>
        <v>8.10541678220034E-009</v>
      </c>
      <c r="N752" s="58" t="n">
        <f aca="false">IF(L752=1,M752*$B$22,0)</f>
        <v>0</v>
      </c>
      <c r="O752" s="58" t="n">
        <f aca="false">IF(L752=1,M752+N752-$B$26,M752)</f>
        <v>8.10541678220034E-009</v>
      </c>
      <c r="P752" s="56" t="n">
        <f aca="false">IF(L752=1,IF($B$26&lt;=N752,1,0),0)</f>
        <v>0</v>
      </c>
      <c r="Q752" s="58" t="n">
        <f aca="false">Q751+N752</f>
        <v>145877.630223336</v>
      </c>
      <c r="S752" s="56" t="n">
        <f aca="false">S751+1</f>
        <v>745</v>
      </c>
      <c r="T752" s="57" t="n">
        <f aca="false">IF(AND(S752&lt;=Assumptions!$C$42,T751=1,X751=0,W751&gt;Assumptions!$C$43),1,0)</f>
        <v>0</v>
      </c>
      <c r="U752" s="58" t="n">
        <f aca="false">W751</f>
        <v>-182.103705036234</v>
      </c>
      <c r="V752" s="58" t="n">
        <f aca="false">IF(T752=1,U752*$B$22,0)</f>
        <v>0</v>
      </c>
      <c r="W752" s="58" t="n">
        <f aca="false">IF(T752=1,U752+V752-$B$27,U752)</f>
        <v>-182.103705036234</v>
      </c>
      <c r="X752" s="56" t="n">
        <f aca="false">IF(T752=1,IF($B$27&lt;=V752,1,0),0)</f>
        <v>0</v>
      </c>
      <c r="Y752" s="58" t="n">
        <f aca="false">Y751+V752</f>
        <v>113000.408372882</v>
      </c>
    </row>
    <row r="753" customFormat="false" ht="15" hidden="false" customHeight="false" outlineLevel="0" collapsed="false">
      <c r="K753" s="56" t="n">
        <f aca="false">K752+1</f>
        <v>746</v>
      </c>
      <c r="L753" s="57" t="n">
        <f aca="false">IF(AND(K753&lt;=Assumptions!$C$42,L752=1,P752=0,O752&gt;Assumptions!$C$43),1,0)</f>
        <v>0</v>
      </c>
      <c r="M753" s="58" t="n">
        <f aca="false">O752</f>
        <v>8.10541678220034E-009</v>
      </c>
      <c r="N753" s="58" t="n">
        <f aca="false">IF(L753=1,M753*$B$22,0)</f>
        <v>0</v>
      </c>
      <c r="O753" s="58" t="n">
        <f aca="false">IF(L753=1,M753+N753-$B$26,M753)</f>
        <v>8.10541678220034E-009</v>
      </c>
      <c r="P753" s="56" t="n">
        <f aca="false">IF(L753=1,IF($B$26&lt;=N753,1,0),0)</f>
        <v>0</v>
      </c>
      <c r="Q753" s="58" t="n">
        <f aca="false">Q752+N753</f>
        <v>145877.630223336</v>
      </c>
      <c r="S753" s="56" t="n">
        <f aca="false">S752+1</f>
        <v>746</v>
      </c>
      <c r="T753" s="57" t="n">
        <f aca="false">IF(AND(S753&lt;=Assumptions!$C$42,T752=1,X752=0,W752&gt;Assumptions!$C$43),1,0)</f>
        <v>0</v>
      </c>
      <c r="U753" s="58" t="n">
        <f aca="false">W752</f>
        <v>-182.103705036234</v>
      </c>
      <c r="V753" s="58" t="n">
        <f aca="false">IF(T753=1,U753*$B$22,0)</f>
        <v>0</v>
      </c>
      <c r="W753" s="58" t="n">
        <f aca="false">IF(T753=1,U753+V753-$B$27,U753)</f>
        <v>-182.103705036234</v>
      </c>
      <c r="X753" s="56" t="n">
        <f aca="false">IF(T753=1,IF($B$27&lt;=V753,1,0),0)</f>
        <v>0</v>
      </c>
      <c r="Y753" s="58" t="n">
        <f aca="false">Y752+V753</f>
        <v>113000.408372882</v>
      </c>
    </row>
    <row r="754" customFormat="false" ht="15" hidden="false" customHeight="false" outlineLevel="0" collapsed="false">
      <c r="K754" s="56" t="n">
        <f aca="false">K753+1</f>
        <v>747</v>
      </c>
      <c r="L754" s="57" t="n">
        <f aca="false">IF(AND(K754&lt;=Assumptions!$C$42,L753=1,P753=0,O753&gt;Assumptions!$C$43),1,0)</f>
        <v>0</v>
      </c>
      <c r="M754" s="58" t="n">
        <f aca="false">O753</f>
        <v>8.10541678220034E-009</v>
      </c>
      <c r="N754" s="58" t="n">
        <f aca="false">IF(L754=1,M754*$B$22,0)</f>
        <v>0</v>
      </c>
      <c r="O754" s="58" t="n">
        <f aca="false">IF(L754=1,M754+N754-$B$26,M754)</f>
        <v>8.10541678220034E-009</v>
      </c>
      <c r="P754" s="56" t="n">
        <f aca="false">IF(L754=1,IF($B$26&lt;=N754,1,0),0)</f>
        <v>0</v>
      </c>
      <c r="Q754" s="58" t="n">
        <f aca="false">Q753+N754</f>
        <v>145877.630223336</v>
      </c>
      <c r="S754" s="56" t="n">
        <f aca="false">S753+1</f>
        <v>747</v>
      </c>
      <c r="T754" s="57" t="n">
        <f aca="false">IF(AND(S754&lt;=Assumptions!$C$42,T753=1,X753=0,W753&gt;Assumptions!$C$43),1,0)</f>
        <v>0</v>
      </c>
      <c r="U754" s="58" t="n">
        <f aca="false">W753</f>
        <v>-182.103705036234</v>
      </c>
      <c r="V754" s="58" t="n">
        <f aca="false">IF(T754=1,U754*$B$22,0)</f>
        <v>0</v>
      </c>
      <c r="W754" s="58" t="n">
        <f aca="false">IF(T754=1,U754+V754-$B$27,U754)</f>
        <v>-182.103705036234</v>
      </c>
      <c r="X754" s="56" t="n">
        <f aca="false">IF(T754=1,IF($B$27&lt;=V754,1,0),0)</f>
        <v>0</v>
      </c>
      <c r="Y754" s="58" t="n">
        <f aca="false">Y753+V754</f>
        <v>113000.408372882</v>
      </c>
    </row>
    <row r="755" customFormat="false" ht="15" hidden="false" customHeight="false" outlineLevel="0" collapsed="false">
      <c r="K755" s="56" t="n">
        <f aca="false">K754+1</f>
        <v>748</v>
      </c>
      <c r="L755" s="57" t="n">
        <f aca="false">IF(AND(K755&lt;=Assumptions!$C$42,L754=1,P754=0,O754&gt;Assumptions!$C$43),1,0)</f>
        <v>0</v>
      </c>
      <c r="M755" s="58" t="n">
        <f aca="false">O754</f>
        <v>8.10541678220034E-009</v>
      </c>
      <c r="N755" s="58" t="n">
        <f aca="false">IF(L755=1,M755*$B$22,0)</f>
        <v>0</v>
      </c>
      <c r="O755" s="58" t="n">
        <f aca="false">IF(L755=1,M755+N755-$B$26,M755)</f>
        <v>8.10541678220034E-009</v>
      </c>
      <c r="P755" s="56" t="n">
        <f aca="false">IF(L755=1,IF($B$26&lt;=N755,1,0),0)</f>
        <v>0</v>
      </c>
      <c r="Q755" s="58" t="n">
        <f aca="false">Q754+N755</f>
        <v>145877.630223336</v>
      </c>
      <c r="S755" s="56" t="n">
        <f aca="false">S754+1</f>
        <v>748</v>
      </c>
      <c r="T755" s="57" t="n">
        <f aca="false">IF(AND(S755&lt;=Assumptions!$C$42,T754=1,X754=0,W754&gt;Assumptions!$C$43),1,0)</f>
        <v>0</v>
      </c>
      <c r="U755" s="58" t="n">
        <f aca="false">W754</f>
        <v>-182.103705036234</v>
      </c>
      <c r="V755" s="58" t="n">
        <f aca="false">IF(T755=1,U755*$B$22,0)</f>
        <v>0</v>
      </c>
      <c r="W755" s="58" t="n">
        <f aca="false">IF(T755=1,U755+V755-$B$27,U755)</f>
        <v>-182.103705036234</v>
      </c>
      <c r="X755" s="56" t="n">
        <f aca="false">IF(T755=1,IF($B$27&lt;=V755,1,0),0)</f>
        <v>0</v>
      </c>
      <c r="Y755" s="58" t="n">
        <f aca="false">Y754+V755</f>
        <v>113000.408372882</v>
      </c>
    </row>
    <row r="756" customFormat="false" ht="15" hidden="false" customHeight="false" outlineLevel="0" collapsed="false">
      <c r="K756" s="56" t="n">
        <f aca="false">K755+1</f>
        <v>749</v>
      </c>
      <c r="L756" s="57" t="n">
        <f aca="false">IF(AND(K756&lt;=Assumptions!$C$42,L755=1,P755=0,O755&gt;Assumptions!$C$43),1,0)</f>
        <v>0</v>
      </c>
      <c r="M756" s="58" t="n">
        <f aca="false">O755</f>
        <v>8.10541678220034E-009</v>
      </c>
      <c r="N756" s="58" t="n">
        <f aca="false">IF(L756=1,M756*$B$22,0)</f>
        <v>0</v>
      </c>
      <c r="O756" s="58" t="n">
        <f aca="false">IF(L756=1,M756+N756-$B$26,M756)</f>
        <v>8.10541678220034E-009</v>
      </c>
      <c r="P756" s="56" t="n">
        <f aca="false">IF(L756=1,IF($B$26&lt;=N756,1,0),0)</f>
        <v>0</v>
      </c>
      <c r="Q756" s="58" t="n">
        <f aca="false">Q755+N756</f>
        <v>145877.630223336</v>
      </c>
      <c r="S756" s="56" t="n">
        <f aca="false">S755+1</f>
        <v>749</v>
      </c>
      <c r="T756" s="57" t="n">
        <f aca="false">IF(AND(S756&lt;=Assumptions!$C$42,T755=1,X755=0,W755&gt;Assumptions!$C$43),1,0)</f>
        <v>0</v>
      </c>
      <c r="U756" s="58" t="n">
        <f aca="false">W755</f>
        <v>-182.103705036234</v>
      </c>
      <c r="V756" s="58" t="n">
        <f aca="false">IF(T756=1,U756*$B$22,0)</f>
        <v>0</v>
      </c>
      <c r="W756" s="58" t="n">
        <f aca="false">IF(T756=1,U756+V756-$B$27,U756)</f>
        <v>-182.103705036234</v>
      </c>
      <c r="X756" s="56" t="n">
        <f aca="false">IF(T756=1,IF($B$27&lt;=V756,1,0),0)</f>
        <v>0</v>
      </c>
      <c r="Y756" s="58" t="n">
        <f aca="false">Y755+V756</f>
        <v>113000.408372882</v>
      </c>
    </row>
    <row r="757" customFormat="false" ht="15" hidden="false" customHeight="false" outlineLevel="0" collapsed="false">
      <c r="K757" s="56" t="n">
        <f aca="false">K756+1</f>
        <v>750</v>
      </c>
      <c r="L757" s="57" t="n">
        <f aca="false">IF(AND(K757&lt;=Assumptions!$C$42,L756=1,P756=0,O756&gt;Assumptions!$C$43),1,0)</f>
        <v>0</v>
      </c>
      <c r="M757" s="58" t="n">
        <f aca="false">O756</f>
        <v>8.10541678220034E-009</v>
      </c>
      <c r="N757" s="58" t="n">
        <f aca="false">IF(L757=1,M757*$B$22,0)</f>
        <v>0</v>
      </c>
      <c r="O757" s="58" t="n">
        <f aca="false">IF(L757=1,M757+N757-$B$26,M757)</f>
        <v>8.10541678220034E-009</v>
      </c>
      <c r="P757" s="56" t="n">
        <f aca="false">IF(L757=1,IF($B$26&lt;=N757,1,0),0)</f>
        <v>0</v>
      </c>
      <c r="Q757" s="58" t="n">
        <f aca="false">Q756+N757</f>
        <v>145877.630223336</v>
      </c>
      <c r="S757" s="56" t="n">
        <f aca="false">S756+1</f>
        <v>750</v>
      </c>
      <c r="T757" s="57" t="n">
        <f aca="false">IF(AND(S757&lt;=Assumptions!$C$42,T756=1,X756=0,W756&gt;Assumptions!$C$43),1,0)</f>
        <v>0</v>
      </c>
      <c r="U757" s="58" t="n">
        <f aca="false">W756</f>
        <v>-182.103705036234</v>
      </c>
      <c r="V757" s="58" t="n">
        <f aca="false">IF(T757=1,U757*$B$22,0)</f>
        <v>0</v>
      </c>
      <c r="W757" s="58" t="n">
        <f aca="false">IF(T757=1,U757+V757-$B$27,U757)</f>
        <v>-182.103705036234</v>
      </c>
      <c r="X757" s="56" t="n">
        <f aca="false">IF(T757=1,IF($B$27&lt;=V757,1,0),0)</f>
        <v>0</v>
      </c>
      <c r="Y757" s="58" t="n">
        <f aca="false">Y756+V757</f>
        <v>113000.408372882</v>
      </c>
    </row>
    <row r="758" customFormat="false" ht="15" hidden="false" customHeight="false" outlineLevel="0" collapsed="false">
      <c r="K758" s="56" t="n">
        <f aca="false">K757+1</f>
        <v>751</v>
      </c>
      <c r="L758" s="57" t="n">
        <f aca="false">IF(AND(K758&lt;=Assumptions!$C$42,L757=1,P757=0,O757&gt;Assumptions!$C$43),1,0)</f>
        <v>0</v>
      </c>
      <c r="M758" s="58" t="n">
        <f aca="false">O757</f>
        <v>8.10541678220034E-009</v>
      </c>
      <c r="N758" s="58" t="n">
        <f aca="false">IF(L758=1,M758*$B$22,0)</f>
        <v>0</v>
      </c>
      <c r="O758" s="58" t="n">
        <f aca="false">IF(L758=1,M758+N758-$B$26,M758)</f>
        <v>8.10541678220034E-009</v>
      </c>
      <c r="P758" s="56" t="n">
        <f aca="false">IF(L758=1,IF($B$26&lt;=N758,1,0),0)</f>
        <v>0</v>
      </c>
      <c r="Q758" s="58" t="n">
        <f aca="false">Q757+N758</f>
        <v>145877.630223336</v>
      </c>
      <c r="S758" s="56" t="n">
        <f aca="false">S757+1</f>
        <v>751</v>
      </c>
      <c r="T758" s="57" t="n">
        <f aca="false">IF(AND(S758&lt;=Assumptions!$C$42,T757=1,X757=0,W757&gt;Assumptions!$C$43),1,0)</f>
        <v>0</v>
      </c>
      <c r="U758" s="58" t="n">
        <f aca="false">W757</f>
        <v>-182.103705036234</v>
      </c>
      <c r="V758" s="58" t="n">
        <f aca="false">IF(T758=1,U758*$B$22,0)</f>
        <v>0</v>
      </c>
      <c r="W758" s="58" t="n">
        <f aca="false">IF(T758=1,U758+V758-$B$27,U758)</f>
        <v>-182.103705036234</v>
      </c>
      <c r="X758" s="56" t="n">
        <f aca="false">IF(T758=1,IF($B$27&lt;=V758,1,0),0)</f>
        <v>0</v>
      </c>
      <c r="Y758" s="58" t="n">
        <f aca="false">Y757+V758</f>
        <v>113000.408372882</v>
      </c>
    </row>
    <row r="759" customFormat="false" ht="15" hidden="false" customHeight="false" outlineLevel="0" collapsed="false">
      <c r="K759" s="56" t="n">
        <f aca="false">K758+1</f>
        <v>752</v>
      </c>
      <c r="L759" s="57" t="n">
        <f aca="false">IF(AND(K759&lt;=Assumptions!$C$42,L758=1,P758=0,O758&gt;Assumptions!$C$43),1,0)</f>
        <v>0</v>
      </c>
      <c r="M759" s="58" t="n">
        <f aca="false">O758</f>
        <v>8.10541678220034E-009</v>
      </c>
      <c r="N759" s="58" t="n">
        <f aca="false">IF(L759=1,M759*$B$22,0)</f>
        <v>0</v>
      </c>
      <c r="O759" s="58" t="n">
        <f aca="false">IF(L759=1,M759+N759-$B$26,M759)</f>
        <v>8.10541678220034E-009</v>
      </c>
      <c r="P759" s="56" t="n">
        <f aca="false">IF(L759=1,IF($B$26&lt;=N759,1,0),0)</f>
        <v>0</v>
      </c>
      <c r="Q759" s="58" t="n">
        <f aca="false">Q758+N759</f>
        <v>145877.630223336</v>
      </c>
      <c r="S759" s="56" t="n">
        <f aca="false">S758+1</f>
        <v>752</v>
      </c>
      <c r="T759" s="57" t="n">
        <f aca="false">IF(AND(S759&lt;=Assumptions!$C$42,T758=1,X758=0,W758&gt;Assumptions!$C$43),1,0)</f>
        <v>0</v>
      </c>
      <c r="U759" s="58" t="n">
        <f aca="false">W758</f>
        <v>-182.103705036234</v>
      </c>
      <c r="V759" s="58" t="n">
        <f aca="false">IF(T759=1,U759*$B$22,0)</f>
        <v>0</v>
      </c>
      <c r="W759" s="58" t="n">
        <f aca="false">IF(T759=1,U759+V759-$B$27,U759)</f>
        <v>-182.103705036234</v>
      </c>
      <c r="X759" s="56" t="n">
        <f aca="false">IF(T759=1,IF($B$27&lt;=V759,1,0),0)</f>
        <v>0</v>
      </c>
      <c r="Y759" s="58" t="n">
        <f aca="false">Y758+V759</f>
        <v>113000.408372882</v>
      </c>
    </row>
    <row r="760" customFormat="false" ht="15" hidden="false" customHeight="false" outlineLevel="0" collapsed="false">
      <c r="K760" s="56" t="n">
        <f aca="false">K759+1</f>
        <v>753</v>
      </c>
      <c r="L760" s="57" t="n">
        <f aca="false">IF(AND(K760&lt;=Assumptions!$C$42,L759=1,P759=0,O759&gt;Assumptions!$C$43),1,0)</f>
        <v>0</v>
      </c>
      <c r="M760" s="58" t="n">
        <f aca="false">O759</f>
        <v>8.10541678220034E-009</v>
      </c>
      <c r="N760" s="58" t="n">
        <f aca="false">IF(L760=1,M760*$B$22,0)</f>
        <v>0</v>
      </c>
      <c r="O760" s="58" t="n">
        <f aca="false">IF(L760=1,M760+N760-$B$26,M760)</f>
        <v>8.10541678220034E-009</v>
      </c>
      <c r="P760" s="56" t="n">
        <f aca="false">IF(L760=1,IF($B$26&lt;=N760,1,0),0)</f>
        <v>0</v>
      </c>
      <c r="Q760" s="58" t="n">
        <f aca="false">Q759+N760</f>
        <v>145877.630223336</v>
      </c>
      <c r="S760" s="56" t="n">
        <f aca="false">S759+1</f>
        <v>753</v>
      </c>
      <c r="T760" s="57" t="n">
        <f aca="false">IF(AND(S760&lt;=Assumptions!$C$42,T759=1,X759=0,W759&gt;Assumptions!$C$43),1,0)</f>
        <v>0</v>
      </c>
      <c r="U760" s="58" t="n">
        <f aca="false">W759</f>
        <v>-182.103705036234</v>
      </c>
      <c r="V760" s="58" t="n">
        <f aca="false">IF(T760=1,U760*$B$22,0)</f>
        <v>0</v>
      </c>
      <c r="W760" s="58" t="n">
        <f aca="false">IF(T760=1,U760+V760-$B$27,U760)</f>
        <v>-182.103705036234</v>
      </c>
      <c r="X760" s="56" t="n">
        <f aca="false">IF(T760=1,IF($B$27&lt;=V760,1,0),0)</f>
        <v>0</v>
      </c>
      <c r="Y760" s="58" t="n">
        <f aca="false">Y759+V760</f>
        <v>113000.408372882</v>
      </c>
    </row>
    <row r="761" customFormat="false" ht="15" hidden="false" customHeight="false" outlineLevel="0" collapsed="false">
      <c r="K761" s="56" t="n">
        <f aca="false">K760+1</f>
        <v>754</v>
      </c>
      <c r="L761" s="57" t="n">
        <f aca="false">IF(AND(K761&lt;=Assumptions!$C$42,L760=1,P760=0,O760&gt;Assumptions!$C$43),1,0)</f>
        <v>0</v>
      </c>
      <c r="M761" s="58" t="n">
        <f aca="false">O760</f>
        <v>8.10541678220034E-009</v>
      </c>
      <c r="N761" s="58" t="n">
        <f aca="false">IF(L761=1,M761*$B$22,0)</f>
        <v>0</v>
      </c>
      <c r="O761" s="58" t="n">
        <f aca="false">IF(L761=1,M761+N761-$B$26,M761)</f>
        <v>8.10541678220034E-009</v>
      </c>
      <c r="P761" s="56" t="n">
        <f aca="false">IF(L761=1,IF($B$26&lt;=N761,1,0),0)</f>
        <v>0</v>
      </c>
      <c r="Q761" s="58" t="n">
        <f aca="false">Q760+N761</f>
        <v>145877.630223336</v>
      </c>
      <c r="S761" s="56" t="n">
        <f aca="false">S760+1</f>
        <v>754</v>
      </c>
      <c r="T761" s="57" t="n">
        <f aca="false">IF(AND(S761&lt;=Assumptions!$C$42,T760=1,X760=0,W760&gt;Assumptions!$C$43),1,0)</f>
        <v>0</v>
      </c>
      <c r="U761" s="58" t="n">
        <f aca="false">W760</f>
        <v>-182.103705036234</v>
      </c>
      <c r="V761" s="58" t="n">
        <f aca="false">IF(T761=1,U761*$B$22,0)</f>
        <v>0</v>
      </c>
      <c r="W761" s="58" t="n">
        <f aca="false">IF(T761=1,U761+V761-$B$27,U761)</f>
        <v>-182.103705036234</v>
      </c>
      <c r="X761" s="56" t="n">
        <f aca="false">IF(T761=1,IF($B$27&lt;=V761,1,0),0)</f>
        <v>0</v>
      </c>
      <c r="Y761" s="58" t="n">
        <f aca="false">Y760+V761</f>
        <v>113000.408372882</v>
      </c>
    </row>
    <row r="762" customFormat="false" ht="15" hidden="false" customHeight="false" outlineLevel="0" collapsed="false">
      <c r="K762" s="56" t="n">
        <f aca="false">K761+1</f>
        <v>755</v>
      </c>
      <c r="L762" s="57" t="n">
        <f aca="false">IF(AND(K762&lt;=Assumptions!$C$42,L761=1,P761=0,O761&gt;Assumptions!$C$43),1,0)</f>
        <v>0</v>
      </c>
      <c r="M762" s="58" t="n">
        <f aca="false">O761</f>
        <v>8.10541678220034E-009</v>
      </c>
      <c r="N762" s="58" t="n">
        <f aca="false">IF(L762=1,M762*$B$22,0)</f>
        <v>0</v>
      </c>
      <c r="O762" s="58" t="n">
        <f aca="false">IF(L762=1,M762+N762-$B$26,M762)</f>
        <v>8.10541678220034E-009</v>
      </c>
      <c r="P762" s="56" t="n">
        <f aca="false">IF(L762=1,IF($B$26&lt;=N762,1,0),0)</f>
        <v>0</v>
      </c>
      <c r="Q762" s="58" t="n">
        <f aca="false">Q761+N762</f>
        <v>145877.630223336</v>
      </c>
      <c r="S762" s="56" t="n">
        <f aca="false">S761+1</f>
        <v>755</v>
      </c>
      <c r="T762" s="57" t="n">
        <f aca="false">IF(AND(S762&lt;=Assumptions!$C$42,T761=1,X761=0,W761&gt;Assumptions!$C$43),1,0)</f>
        <v>0</v>
      </c>
      <c r="U762" s="58" t="n">
        <f aca="false">W761</f>
        <v>-182.103705036234</v>
      </c>
      <c r="V762" s="58" t="n">
        <f aca="false">IF(T762=1,U762*$B$22,0)</f>
        <v>0</v>
      </c>
      <c r="W762" s="58" t="n">
        <f aca="false">IF(T762=1,U762+V762-$B$27,U762)</f>
        <v>-182.103705036234</v>
      </c>
      <c r="X762" s="56" t="n">
        <f aca="false">IF(T762=1,IF($B$27&lt;=V762,1,0),0)</f>
        <v>0</v>
      </c>
      <c r="Y762" s="58" t="n">
        <f aca="false">Y761+V762</f>
        <v>113000.408372882</v>
      </c>
    </row>
    <row r="763" customFormat="false" ht="15" hidden="false" customHeight="false" outlineLevel="0" collapsed="false">
      <c r="K763" s="56" t="n">
        <f aca="false">K762+1</f>
        <v>756</v>
      </c>
      <c r="L763" s="57" t="n">
        <f aca="false">IF(AND(K763&lt;=Assumptions!$C$42,L762=1,P762=0,O762&gt;Assumptions!$C$43),1,0)</f>
        <v>0</v>
      </c>
      <c r="M763" s="58" t="n">
        <f aca="false">O762</f>
        <v>8.10541678220034E-009</v>
      </c>
      <c r="N763" s="58" t="n">
        <f aca="false">IF(L763=1,M763*$B$22,0)</f>
        <v>0</v>
      </c>
      <c r="O763" s="58" t="n">
        <f aca="false">IF(L763=1,M763+N763-$B$26,M763)</f>
        <v>8.10541678220034E-009</v>
      </c>
      <c r="P763" s="56" t="n">
        <f aca="false">IF(L763=1,IF($B$26&lt;=N763,1,0),0)</f>
        <v>0</v>
      </c>
      <c r="Q763" s="58" t="n">
        <f aca="false">Q762+N763</f>
        <v>145877.630223336</v>
      </c>
      <c r="S763" s="56" t="n">
        <f aca="false">S762+1</f>
        <v>756</v>
      </c>
      <c r="T763" s="57" t="n">
        <f aca="false">IF(AND(S763&lt;=Assumptions!$C$42,T762=1,X762=0,W762&gt;Assumptions!$C$43),1,0)</f>
        <v>0</v>
      </c>
      <c r="U763" s="58" t="n">
        <f aca="false">W762</f>
        <v>-182.103705036234</v>
      </c>
      <c r="V763" s="58" t="n">
        <f aca="false">IF(T763=1,U763*$B$22,0)</f>
        <v>0</v>
      </c>
      <c r="W763" s="58" t="n">
        <f aca="false">IF(T763=1,U763+V763-$B$27,U763)</f>
        <v>-182.103705036234</v>
      </c>
      <c r="X763" s="56" t="n">
        <f aca="false">IF(T763=1,IF($B$27&lt;=V763,1,0),0)</f>
        <v>0</v>
      </c>
      <c r="Y763" s="58" t="n">
        <f aca="false">Y762+V763</f>
        <v>113000.408372882</v>
      </c>
    </row>
    <row r="764" customFormat="false" ht="15" hidden="false" customHeight="false" outlineLevel="0" collapsed="false">
      <c r="K764" s="56" t="n">
        <f aca="false">K763+1</f>
        <v>757</v>
      </c>
      <c r="L764" s="57" t="n">
        <f aca="false">IF(AND(K764&lt;=Assumptions!$C$42,L763=1,P763=0,O763&gt;Assumptions!$C$43),1,0)</f>
        <v>0</v>
      </c>
      <c r="M764" s="58" t="n">
        <f aca="false">O763</f>
        <v>8.10541678220034E-009</v>
      </c>
      <c r="N764" s="58" t="n">
        <f aca="false">IF(L764=1,M764*$B$22,0)</f>
        <v>0</v>
      </c>
      <c r="O764" s="58" t="n">
        <f aca="false">IF(L764=1,M764+N764-$B$26,M764)</f>
        <v>8.10541678220034E-009</v>
      </c>
      <c r="P764" s="56" t="n">
        <f aca="false">IF(L764=1,IF($B$26&lt;=N764,1,0),0)</f>
        <v>0</v>
      </c>
      <c r="Q764" s="58" t="n">
        <f aca="false">Q763+N764</f>
        <v>145877.630223336</v>
      </c>
      <c r="S764" s="56" t="n">
        <f aca="false">S763+1</f>
        <v>757</v>
      </c>
      <c r="T764" s="57" t="n">
        <f aca="false">IF(AND(S764&lt;=Assumptions!$C$42,T763=1,X763=0,W763&gt;Assumptions!$C$43),1,0)</f>
        <v>0</v>
      </c>
      <c r="U764" s="58" t="n">
        <f aca="false">W763</f>
        <v>-182.103705036234</v>
      </c>
      <c r="V764" s="58" t="n">
        <f aca="false">IF(T764=1,U764*$B$22,0)</f>
        <v>0</v>
      </c>
      <c r="W764" s="58" t="n">
        <f aca="false">IF(T764=1,U764+V764-$B$27,U764)</f>
        <v>-182.103705036234</v>
      </c>
      <c r="X764" s="56" t="n">
        <f aca="false">IF(T764=1,IF($B$27&lt;=V764,1,0),0)</f>
        <v>0</v>
      </c>
      <c r="Y764" s="58" t="n">
        <f aca="false">Y763+V764</f>
        <v>113000.408372882</v>
      </c>
    </row>
    <row r="765" customFormat="false" ht="15" hidden="false" customHeight="false" outlineLevel="0" collapsed="false">
      <c r="K765" s="56" t="n">
        <f aca="false">K764+1</f>
        <v>758</v>
      </c>
      <c r="L765" s="57" t="n">
        <f aca="false">IF(AND(K765&lt;=Assumptions!$C$42,L764=1,P764=0,O764&gt;Assumptions!$C$43),1,0)</f>
        <v>0</v>
      </c>
      <c r="M765" s="58" t="n">
        <f aca="false">O764</f>
        <v>8.10541678220034E-009</v>
      </c>
      <c r="N765" s="58" t="n">
        <f aca="false">IF(L765=1,M765*$B$22,0)</f>
        <v>0</v>
      </c>
      <c r="O765" s="58" t="n">
        <f aca="false">IF(L765=1,M765+N765-$B$26,M765)</f>
        <v>8.10541678220034E-009</v>
      </c>
      <c r="P765" s="56" t="n">
        <f aca="false">IF(L765=1,IF($B$26&lt;=N765,1,0),0)</f>
        <v>0</v>
      </c>
      <c r="Q765" s="58" t="n">
        <f aca="false">Q764+N765</f>
        <v>145877.630223336</v>
      </c>
      <c r="S765" s="56" t="n">
        <f aca="false">S764+1</f>
        <v>758</v>
      </c>
      <c r="T765" s="57" t="n">
        <f aca="false">IF(AND(S765&lt;=Assumptions!$C$42,T764=1,X764=0,W764&gt;Assumptions!$C$43),1,0)</f>
        <v>0</v>
      </c>
      <c r="U765" s="58" t="n">
        <f aca="false">W764</f>
        <v>-182.103705036234</v>
      </c>
      <c r="V765" s="58" t="n">
        <f aca="false">IF(T765=1,U765*$B$22,0)</f>
        <v>0</v>
      </c>
      <c r="W765" s="58" t="n">
        <f aca="false">IF(T765=1,U765+V765-$B$27,U765)</f>
        <v>-182.103705036234</v>
      </c>
      <c r="X765" s="56" t="n">
        <f aca="false">IF(T765=1,IF($B$27&lt;=V765,1,0),0)</f>
        <v>0</v>
      </c>
      <c r="Y765" s="58" t="n">
        <f aca="false">Y764+V765</f>
        <v>113000.408372882</v>
      </c>
    </row>
    <row r="766" customFormat="false" ht="15" hidden="false" customHeight="false" outlineLevel="0" collapsed="false">
      <c r="K766" s="56" t="n">
        <f aca="false">K765+1</f>
        <v>759</v>
      </c>
      <c r="L766" s="57" t="n">
        <f aca="false">IF(AND(K766&lt;=Assumptions!$C$42,L765=1,P765=0,O765&gt;Assumptions!$C$43),1,0)</f>
        <v>0</v>
      </c>
      <c r="M766" s="58" t="n">
        <f aca="false">O765</f>
        <v>8.10541678220034E-009</v>
      </c>
      <c r="N766" s="58" t="n">
        <f aca="false">IF(L766=1,M766*$B$22,0)</f>
        <v>0</v>
      </c>
      <c r="O766" s="58" t="n">
        <f aca="false">IF(L766=1,M766+N766-$B$26,M766)</f>
        <v>8.10541678220034E-009</v>
      </c>
      <c r="P766" s="56" t="n">
        <f aca="false">IF(L766=1,IF($B$26&lt;=N766,1,0),0)</f>
        <v>0</v>
      </c>
      <c r="Q766" s="58" t="n">
        <f aca="false">Q765+N766</f>
        <v>145877.630223336</v>
      </c>
      <c r="S766" s="56" t="n">
        <f aca="false">S765+1</f>
        <v>759</v>
      </c>
      <c r="T766" s="57" t="n">
        <f aca="false">IF(AND(S766&lt;=Assumptions!$C$42,T765=1,X765=0,W765&gt;Assumptions!$C$43),1,0)</f>
        <v>0</v>
      </c>
      <c r="U766" s="58" t="n">
        <f aca="false">W765</f>
        <v>-182.103705036234</v>
      </c>
      <c r="V766" s="58" t="n">
        <f aca="false">IF(T766=1,U766*$B$22,0)</f>
        <v>0</v>
      </c>
      <c r="W766" s="58" t="n">
        <f aca="false">IF(T766=1,U766+V766-$B$27,U766)</f>
        <v>-182.103705036234</v>
      </c>
      <c r="X766" s="56" t="n">
        <f aca="false">IF(T766=1,IF($B$27&lt;=V766,1,0),0)</f>
        <v>0</v>
      </c>
      <c r="Y766" s="58" t="n">
        <f aca="false">Y765+V766</f>
        <v>113000.408372882</v>
      </c>
    </row>
    <row r="767" customFormat="false" ht="15" hidden="false" customHeight="false" outlineLevel="0" collapsed="false">
      <c r="K767" s="56" t="n">
        <f aca="false">K766+1</f>
        <v>760</v>
      </c>
      <c r="L767" s="57" t="n">
        <f aca="false">IF(AND(K767&lt;=Assumptions!$C$42,L766=1,P766=0,O766&gt;Assumptions!$C$43),1,0)</f>
        <v>0</v>
      </c>
      <c r="M767" s="58" t="n">
        <f aca="false">O766</f>
        <v>8.10541678220034E-009</v>
      </c>
      <c r="N767" s="58" t="n">
        <f aca="false">IF(L767=1,M767*$B$22,0)</f>
        <v>0</v>
      </c>
      <c r="O767" s="58" t="n">
        <f aca="false">IF(L767=1,M767+N767-$B$26,M767)</f>
        <v>8.10541678220034E-009</v>
      </c>
      <c r="P767" s="56" t="n">
        <f aca="false">IF(L767=1,IF($B$26&lt;=N767,1,0),0)</f>
        <v>0</v>
      </c>
      <c r="Q767" s="58" t="n">
        <f aca="false">Q766+N767</f>
        <v>145877.630223336</v>
      </c>
      <c r="S767" s="56" t="n">
        <f aca="false">S766+1</f>
        <v>760</v>
      </c>
      <c r="T767" s="57" t="n">
        <f aca="false">IF(AND(S767&lt;=Assumptions!$C$42,T766=1,X766=0,W766&gt;Assumptions!$C$43),1,0)</f>
        <v>0</v>
      </c>
      <c r="U767" s="58" t="n">
        <f aca="false">W766</f>
        <v>-182.103705036234</v>
      </c>
      <c r="V767" s="58" t="n">
        <f aca="false">IF(T767=1,U767*$B$22,0)</f>
        <v>0</v>
      </c>
      <c r="W767" s="58" t="n">
        <f aca="false">IF(T767=1,U767+V767-$B$27,U767)</f>
        <v>-182.103705036234</v>
      </c>
      <c r="X767" s="56" t="n">
        <f aca="false">IF(T767=1,IF($B$27&lt;=V767,1,0),0)</f>
        <v>0</v>
      </c>
      <c r="Y767" s="58" t="n">
        <f aca="false">Y766+V767</f>
        <v>113000.408372882</v>
      </c>
    </row>
    <row r="768" customFormat="false" ht="15" hidden="false" customHeight="false" outlineLevel="0" collapsed="false">
      <c r="K768" s="56" t="n">
        <f aca="false">K767+1</f>
        <v>761</v>
      </c>
      <c r="L768" s="57" t="n">
        <f aca="false">IF(AND(K768&lt;=Assumptions!$C$42,L767=1,P767=0,O767&gt;Assumptions!$C$43),1,0)</f>
        <v>0</v>
      </c>
      <c r="M768" s="58" t="n">
        <f aca="false">O767</f>
        <v>8.10541678220034E-009</v>
      </c>
      <c r="N768" s="58" t="n">
        <f aca="false">IF(L768=1,M768*$B$22,0)</f>
        <v>0</v>
      </c>
      <c r="O768" s="58" t="n">
        <f aca="false">IF(L768=1,M768+N768-$B$26,M768)</f>
        <v>8.10541678220034E-009</v>
      </c>
      <c r="P768" s="56" t="n">
        <f aca="false">IF(L768=1,IF($B$26&lt;=N768,1,0),0)</f>
        <v>0</v>
      </c>
      <c r="Q768" s="58" t="n">
        <f aca="false">Q767+N768</f>
        <v>145877.630223336</v>
      </c>
      <c r="S768" s="56" t="n">
        <f aca="false">S767+1</f>
        <v>761</v>
      </c>
      <c r="T768" s="57" t="n">
        <f aca="false">IF(AND(S768&lt;=Assumptions!$C$42,T767=1,X767=0,W767&gt;Assumptions!$C$43),1,0)</f>
        <v>0</v>
      </c>
      <c r="U768" s="58" t="n">
        <f aca="false">W767</f>
        <v>-182.103705036234</v>
      </c>
      <c r="V768" s="58" t="n">
        <f aca="false">IF(T768=1,U768*$B$22,0)</f>
        <v>0</v>
      </c>
      <c r="W768" s="58" t="n">
        <f aca="false">IF(T768=1,U768+V768-$B$27,U768)</f>
        <v>-182.103705036234</v>
      </c>
      <c r="X768" s="56" t="n">
        <f aca="false">IF(T768=1,IF($B$27&lt;=V768,1,0),0)</f>
        <v>0</v>
      </c>
      <c r="Y768" s="58" t="n">
        <f aca="false">Y767+V768</f>
        <v>113000.408372882</v>
      </c>
    </row>
    <row r="769" customFormat="false" ht="15" hidden="false" customHeight="false" outlineLevel="0" collapsed="false">
      <c r="K769" s="56" t="n">
        <f aca="false">K768+1</f>
        <v>762</v>
      </c>
      <c r="L769" s="57" t="n">
        <f aca="false">IF(AND(K769&lt;=Assumptions!$C$42,L768=1,P768=0,O768&gt;Assumptions!$C$43),1,0)</f>
        <v>0</v>
      </c>
      <c r="M769" s="58" t="n">
        <f aca="false">O768</f>
        <v>8.10541678220034E-009</v>
      </c>
      <c r="N769" s="58" t="n">
        <f aca="false">IF(L769=1,M769*$B$22,0)</f>
        <v>0</v>
      </c>
      <c r="O769" s="58" t="n">
        <f aca="false">IF(L769=1,M769+N769-$B$26,M769)</f>
        <v>8.10541678220034E-009</v>
      </c>
      <c r="P769" s="56" t="n">
        <f aca="false">IF(L769=1,IF($B$26&lt;=N769,1,0),0)</f>
        <v>0</v>
      </c>
      <c r="Q769" s="58" t="n">
        <f aca="false">Q768+N769</f>
        <v>145877.630223336</v>
      </c>
      <c r="S769" s="56" t="n">
        <f aca="false">S768+1</f>
        <v>762</v>
      </c>
      <c r="T769" s="57" t="n">
        <f aca="false">IF(AND(S769&lt;=Assumptions!$C$42,T768=1,X768=0,W768&gt;Assumptions!$C$43),1,0)</f>
        <v>0</v>
      </c>
      <c r="U769" s="58" t="n">
        <f aca="false">W768</f>
        <v>-182.103705036234</v>
      </c>
      <c r="V769" s="58" t="n">
        <f aca="false">IF(T769=1,U769*$B$22,0)</f>
        <v>0</v>
      </c>
      <c r="W769" s="58" t="n">
        <f aca="false">IF(T769=1,U769+V769-$B$27,U769)</f>
        <v>-182.103705036234</v>
      </c>
      <c r="X769" s="56" t="n">
        <f aca="false">IF(T769=1,IF($B$27&lt;=V769,1,0),0)</f>
        <v>0</v>
      </c>
      <c r="Y769" s="58" t="n">
        <f aca="false">Y768+V769</f>
        <v>113000.408372882</v>
      </c>
    </row>
    <row r="770" customFormat="false" ht="15" hidden="false" customHeight="false" outlineLevel="0" collapsed="false">
      <c r="K770" s="56" t="n">
        <f aca="false">K769+1</f>
        <v>763</v>
      </c>
      <c r="L770" s="57" t="n">
        <f aca="false">IF(AND(K770&lt;=Assumptions!$C$42,L769=1,P769=0,O769&gt;Assumptions!$C$43),1,0)</f>
        <v>0</v>
      </c>
      <c r="M770" s="58" t="n">
        <f aca="false">O769</f>
        <v>8.10541678220034E-009</v>
      </c>
      <c r="N770" s="58" t="n">
        <f aca="false">IF(L770=1,M770*$B$22,0)</f>
        <v>0</v>
      </c>
      <c r="O770" s="58" t="n">
        <f aca="false">IF(L770=1,M770+N770-$B$26,M770)</f>
        <v>8.10541678220034E-009</v>
      </c>
      <c r="P770" s="56" t="n">
        <f aca="false">IF(L770=1,IF($B$26&lt;=N770,1,0),0)</f>
        <v>0</v>
      </c>
      <c r="Q770" s="58" t="n">
        <f aca="false">Q769+N770</f>
        <v>145877.630223336</v>
      </c>
      <c r="S770" s="56" t="n">
        <f aca="false">S769+1</f>
        <v>763</v>
      </c>
      <c r="T770" s="57" t="n">
        <f aca="false">IF(AND(S770&lt;=Assumptions!$C$42,T769=1,X769=0,W769&gt;Assumptions!$C$43),1,0)</f>
        <v>0</v>
      </c>
      <c r="U770" s="58" t="n">
        <f aca="false">W769</f>
        <v>-182.103705036234</v>
      </c>
      <c r="V770" s="58" t="n">
        <f aca="false">IF(T770=1,U770*$B$22,0)</f>
        <v>0</v>
      </c>
      <c r="W770" s="58" t="n">
        <f aca="false">IF(T770=1,U770+V770-$B$27,U770)</f>
        <v>-182.103705036234</v>
      </c>
      <c r="X770" s="56" t="n">
        <f aca="false">IF(T770=1,IF($B$27&lt;=V770,1,0),0)</f>
        <v>0</v>
      </c>
      <c r="Y770" s="58" t="n">
        <f aca="false">Y769+V770</f>
        <v>113000.408372882</v>
      </c>
    </row>
    <row r="771" customFormat="false" ht="15" hidden="false" customHeight="false" outlineLevel="0" collapsed="false">
      <c r="K771" s="56" t="n">
        <f aca="false">K770+1</f>
        <v>764</v>
      </c>
      <c r="L771" s="57" t="n">
        <f aca="false">IF(AND(K771&lt;=Assumptions!$C$42,L770=1,P770=0,O770&gt;Assumptions!$C$43),1,0)</f>
        <v>0</v>
      </c>
      <c r="M771" s="58" t="n">
        <f aca="false">O770</f>
        <v>8.10541678220034E-009</v>
      </c>
      <c r="N771" s="58" t="n">
        <f aca="false">IF(L771=1,M771*$B$22,0)</f>
        <v>0</v>
      </c>
      <c r="O771" s="58" t="n">
        <f aca="false">IF(L771=1,M771+N771-$B$26,M771)</f>
        <v>8.10541678220034E-009</v>
      </c>
      <c r="P771" s="56" t="n">
        <f aca="false">IF(L771=1,IF($B$26&lt;=N771,1,0),0)</f>
        <v>0</v>
      </c>
      <c r="Q771" s="58" t="n">
        <f aca="false">Q770+N771</f>
        <v>145877.630223336</v>
      </c>
      <c r="S771" s="56" t="n">
        <f aca="false">S770+1</f>
        <v>764</v>
      </c>
      <c r="T771" s="57" t="n">
        <f aca="false">IF(AND(S771&lt;=Assumptions!$C$42,T770=1,X770=0,W770&gt;Assumptions!$C$43),1,0)</f>
        <v>0</v>
      </c>
      <c r="U771" s="58" t="n">
        <f aca="false">W770</f>
        <v>-182.103705036234</v>
      </c>
      <c r="V771" s="58" t="n">
        <f aca="false">IF(T771=1,U771*$B$22,0)</f>
        <v>0</v>
      </c>
      <c r="W771" s="58" t="n">
        <f aca="false">IF(T771=1,U771+V771-$B$27,U771)</f>
        <v>-182.103705036234</v>
      </c>
      <c r="X771" s="56" t="n">
        <f aca="false">IF(T771=1,IF($B$27&lt;=V771,1,0),0)</f>
        <v>0</v>
      </c>
      <c r="Y771" s="58" t="n">
        <f aca="false">Y770+V771</f>
        <v>113000.408372882</v>
      </c>
    </row>
    <row r="772" customFormat="false" ht="15" hidden="false" customHeight="false" outlineLevel="0" collapsed="false">
      <c r="K772" s="56" t="n">
        <f aca="false">K771+1</f>
        <v>765</v>
      </c>
      <c r="L772" s="57" t="n">
        <f aca="false">IF(AND(K772&lt;=Assumptions!$C$42,L771=1,P771=0,O771&gt;Assumptions!$C$43),1,0)</f>
        <v>0</v>
      </c>
      <c r="M772" s="58" t="n">
        <f aca="false">O771</f>
        <v>8.10541678220034E-009</v>
      </c>
      <c r="N772" s="58" t="n">
        <f aca="false">IF(L772=1,M772*$B$22,0)</f>
        <v>0</v>
      </c>
      <c r="O772" s="58" t="n">
        <f aca="false">IF(L772=1,M772+N772-$B$26,M772)</f>
        <v>8.10541678220034E-009</v>
      </c>
      <c r="P772" s="56" t="n">
        <f aca="false">IF(L772=1,IF($B$26&lt;=N772,1,0),0)</f>
        <v>0</v>
      </c>
      <c r="Q772" s="58" t="n">
        <f aca="false">Q771+N772</f>
        <v>145877.630223336</v>
      </c>
      <c r="S772" s="56" t="n">
        <f aca="false">S771+1</f>
        <v>765</v>
      </c>
      <c r="T772" s="57" t="n">
        <f aca="false">IF(AND(S772&lt;=Assumptions!$C$42,T771=1,X771=0,W771&gt;Assumptions!$C$43),1,0)</f>
        <v>0</v>
      </c>
      <c r="U772" s="58" t="n">
        <f aca="false">W771</f>
        <v>-182.103705036234</v>
      </c>
      <c r="V772" s="58" t="n">
        <f aca="false">IF(T772=1,U772*$B$22,0)</f>
        <v>0</v>
      </c>
      <c r="W772" s="58" t="n">
        <f aca="false">IF(T772=1,U772+V772-$B$27,U772)</f>
        <v>-182.103705036234</v>
      </c>
      <c r="X772" s="56" t="n">
        <f aca="false">IF(T772=1,IF($B$27&lt;=V772,1,0),0)</f>
        <v>0</v>
      </c>
      <c r="Y772" s="58" t="n">
        <f aca="false">Y771+V772</f>
        <v>113000.408372882</v>
      </c>
    </row>
    <row r="773" customFormat="false" ht="15" hidden="false" customHeight="false" outlineLevel="0" collapsed="false">
      <c r="K773" s="56" t="n">
        <f aca="false">K772+1</f>
        <v>766</v>
      </c>
      <c r="L773" s="57" t="n">
        <f aca="false">IF(AND(K773&lt;=Assumptions!$C$42,L772=1,P772=0,O772&gt;Assumptions!$C$43),1,0)</f>
        <v>0</v>
      </c>
      <c r="M773" s="58" t="n">
        <f aca="false">O772</f>
        <v>8.10541678220034E-009</v>
      </c>
      <c r="N773" s="58" t="n">
        <f aca="false">IF(L773=1,M773*$B$22,0)</f>
        <v>0</v>
      </c>
      <c r="O773" s="58" t="n">
        <f aca="false">IF(L773=1,M773+N773-$B$26,M773)</f>
        <v>8.10541678220034E-009</v>
      </c>
      <c r="P773" s="56" t="n">
        <f aca="false">IF(L773=1,IF($B$26&lt;=N773,1,0),0)</f>
        <v>0</v>
      </c>
      <c r="Q773" s="58" t="n">
        <f aca="false">Q772+N773</f>
        <v>145877.630223336</v>
      </c>
      <c r="S773" s="56" t="n">
        <f aca="false">S772+1</f>
        <v>766</v>
      </c>
      <c r="T773" s="57" t="n">
        <f aca="false">IF(AND(S773&lt;=Assumptions!$C$42,T772=1,X772=0,W772&gt;Assumptions!$C$43),1,0)</f>
        <v>0</v>
      </c>
      <c r="U773" s="58" t="n">
        <f aca="false">W772</f>
        <v>-182.103705036234</v>
      </c>
      <c r="V773" s="58" t="n">
        <f aca="false">IF(T773=1,U773*$B$22,0)</f>
        <v>0</v>
      </c>
      <c r="W773" s="58" t="n">
        <f aca="false">IF(T773=1,U773+V773-$B$27,U773)</f>
        <v>-182.103705036234</v>
      </c>
      <c r="X773" s="56" t="n">
        <f aca="false">IF(T773=1,IF($B$27&lt;=V773,1,0),0)</f>
        <v>0</v>
      </c>
      <c r="Y773" s="58" t="n">
        <f aca="false">Y772+V773</f>
        <v>113000.408372882</v>
      </c>
    </row>
    <row r="774" customFormat="false" ht="15" hidden="false" customHeight="false" outlineLevel="0" collapsed="false">
      <c r="K774" s="56" t="n">
        <f aca="false">K773+1</f>
        <v>767</v>
      </c>
      <c r="L774" s="57" t="n">
        <f aca="false">IF(AND(K774&lt;=Assumptions!$C$42,L773=1,P773=0,O773&gt;Assumptions!$C$43),1,0)</f>
        <v>0</v>
      </c>
      <c r="M774" s="58" t="n">
        <f aca="false">O773</f>
        <v>8.10541678220034E-009</v>
      </c>
      <c r="N774" s="58" t="n">
        <f aca="false">IF(L774=1,M774*$B$22,0)</f>
        <v>0</v>
      </c>
      <c r="O774" s="58" t="n">
        <f aca="false">IF(L774=1,M774+N774-$B$26,M774)</f>
        <v>8.10541678220034E-009</v>
      </c>
      <c r="P774" s="56" t="n">
        <f aca="false">IF(L774=1,IF($B$26&lt;=N774,1,0),0)</f>
        <v>0</v>
      </c>
      <c r="Q774" s="58" t="n">
        <f aca="false">Q773+N774</f>
        <v>145877.630223336</v>
      </c>
      <c r="S774" s="56" t="n">
        <f aca="false">S773+1</f>
        <v>767</v>
      </c>
      <c r="T774" s="57" t="n">
        <f aca="false">IF(AND(S774&lt;=Assumptions!$C$42,T773=1,X773=0,W773&gt;Assumptions!$C$43),1,0)</f>
        <v>0</v>
      </c>
      <c r="U774" s="58" t="n">
        <f aca="false">W773</f>
        <v>-182.103705036234</v>
      </c>
      <c r="V774" s="58" t="n">
        <f aca="false">IF(T774=1,U774*$B$22,0)</f>
        <v>0</v>
      </c>
      <c r="W774" s="58" t="n">
        <f aca="false">IF(T774=1,U774+V774-$B$27,U774)</f>
        <v>-182.103705036234</v>
      </c>
      <c r="X774" s="56" t="n">
        <f aca="false">IF(T774=1,IF($B$27&lt;=V774,1,0),0)</f>
        <v>0</v>
      </c>
      <c r="Y774" s="58" t="n">
        <f aca="false">Y773+V774</f>
        <v>113000.408372882</v>
      </c>
    </row>
    <row r="775" customFormat="false" ht="15" hidden="false" customHeight="false" outlineLevel="0" collapsed="false">
      <c r="K775" s="56" t="n">
        <f aca="false">K774+1</f>
        <v>768</v>
      </c>
      <c r="L775" s="57" t="n">
        <f aca="false">IF(AND(K775&lt;=Assumptions!$C$42,L774=1,P774=0,O774&gt;Assumptions!$C$43),1,0)</f>
        <v>0</v>
      </c>
      <c r="M775" s="58" t="n">
        <f aca="false">O774</f>
        <v>8.10541678220034E-009</v>
      </c>
      <c r="N775" s="58" t="n">
        <f aca="false">IF(L775=1,M775*$B$22,0)</f>
        <v>0</v>
      </c>
      <c r="O775" s="58" t="n">
        <f aca="false">IF(L775=1,M775+N775-$B$26,M775)</f>
        <v>8.10541678220034E-009</v>
      </c>
      <c r="P775" s="56" t="n">
        <f aca="false">IF(L775=1,IF($B$26&lt;=N775,1,0),0)</f>
        <v>0</v>
      </c>
      <c r="Q775" s="58" t="n">
        <f aca="false">Q774+N775</f>
        <v>145877.630223336</v>
      </c>
      <c r="S775" s="56" t="n">
        <f aca="false">S774+1</f>
        <v>768</v>
      </c>
      <c r="T775" s="57" t="n">
        <f aca="false">IF(AND(S775&lt;=Assumptions!$C$42,T774=1,X774=0,W774&gt;Assumptions!$C$43),1,0)</f>
        <v>0</v>
      </c>
      <c r="U775" s="58" t="n">
        <f aca="false">W774</f>
        <v>-182.103705036234</v>
      </c>
      <c r="V775" s="58" t="n">
        <f aca="false">IF(T775=1,U775*$B$22,0)</f>
        <v>0</v>
      </c>
      <c r="W775" s="58" t="n">
        <f aca="false">IF(T775=1,U775+V775-$B$27,U775)</f>
        <v>-182.103705036234</v>
      </c>
      <c r="X775" s="56" t="n">
        <f aca="false">IF(T775=1,IF($B$27&lt;=V775,1,0),0)</f>
        <v>0</v>
      </c>
      <c r="Y775" s="58" t="n">
        <f aca="false">Y774+V775</f>
        <v>113000.408372882</v>
      </c>
    </row>
    <row r="776" customFormat="false" ht="15" hidden="false" customHeight="false" outlineLevel="0" collapsed="false">
      <c r="K776" s="56" t="n">
        <f aca="false">K775+1</f>
        <v>769</v>
      </c>
      <c r="L776" s="57" t="n">
        <f aca="false">IF(AND(K776&lt;=Assumptions!$C$42,L775=1,P775=0,O775&gt;Assumptions!$C$43),1,0)</f>
        <v>0</v>
      </c>
      <c r="M776" s="58" t="n">
        <f aca="false">O775</f>
        <v>8.10541678220034E-009</v>
      </c>
      <c r="N776" s="58" t="n">
        <f aca="false">IF(L776=1,M776*$B$22,0)</f>
        <v>0</v>
      </c>
      <c r="O776" s="58" t="n">
        <f aca="false">IF(L776=1,M776+N776-$B$26,M776)</f>
        <v>8.10541678220034E-009</v>
      </c>
      <c r="P776" s="56" t="n">
        <f aca="false">IF(L776=1,IF($B$26&lt;=N776,1,0),0)</f>
        <v>0</v>
      </c>
      <c r="Q776" s="58" t="n">
        <f aca="false">Q775+N776</f>
        <v>145877.630223336</v>
      </c>
      <c r="S776" s="56" t="n">
        <f aca="false">S775+1</f>
        <v>769</v>
      </c>
      <c r="T776" s="57" t="n">
        <f aca="false">IF(AND(S776&lt;=Assumptions!$C$42,T775=1,X775=0,W775&gt;Assumptions!$C$43),1,0)</f>
        <v>0</v>
      </c>
      <c r="U776" s="58" t="n">
        <f aca="false">W775</f>
        <v>-182.103705036234</v>
      </c>
      <c r="V776" s="58" t="n">
        <f aca="false">IF(T776=1,U776*$B$22,0)</f>
        <v>0</v>
      </c>
      <c r="W776" s="58" t="n">
        <f aca="false">IF(T776=1,U776+V776-$B$27,U776)</f>
        <v>-182.103705036234</v>
      </c>
      <c r="X776" s="56" t="n">
        <f aca="false">IF(T776=1,IF($B$27&lt;=V776,1,0),0)</f>
        <v>0</v>
      </c>
      <c r="Y776" s="58" t="n">
        <f aca="false">Y775+V776</f>
        <v>113000.408372882</v>
      </c>
    </row>
    <row r="777" customFormat="false" ht="15" hidden="false" customHeight="false" outlineLevel="0" collapsed="false">
      <c r="K777" s="56" t="n">
        <f aca="false">K776+1</f>
        <v>770</v>
      </c>
      <c r="L777" s="57" t="n">
        <f aca="false">IF(AND(K777&lt;=Assumptions!$C$42,L776=1,P776=0,O776&gt;Assumptions!$C$43),1,0)</f>
        <v>0</v>
      </c>
      <c r="M777" s="58" t="n">
        <f aca="false">O776</f>
        <v>8.10541678220034E-009</v>
      </c>
      <c r="N777" s="58" t="n">
        <f aca="false">IF(L777=1,M777*$B$22,0)</f>
        <v>0</v>
      </c>
      <c r="O777" s="58" t="n">
        <f aca="false">IF(L777=1,M777+N777-$B$26,M777)</f>
        <v>8.10541678220034E-009</v>
      </c>
      <c r="P777" s="56" t="n">
        <f aca="false">IF(L777=1,IF($B$26&lt;=N777,1,0),0)</f>
        <v>0</v>
      </c>
      <c r="Q777" s="58" t="n">
        <f aca="false">Q776+N777</f>
        <v>145877.630223336</v>
      </c>
      <c r="S777" s="56" t="n">
        <f aca="false">S776+1</f>
        <v>770</v>
      </c>
      <c r="T777" s="57" t="n">
        <f aca="false">IF(AND(S777&lt;=Assumptions!$C$42,T776=1,X776=0,W776&gt;Assumptions!$C$43),1,0)</f>
        <v>0</v>
      </c>
      <c r="U777" s="58" t="n">
        <f aca="false">W776</f>
        <v>-182.103705036234</v>
      </c>
      <c r="V777" s="58" t="n">
        <f aca="false">IF(T777=1,U777*$B$22,0)</f>
        <v>0</v>
      </c>
      <c r="W777" s="58" t="n">
        <f aca="false">IF(T777=1,U777+V777-$B$27,U777)</f>
        <v>-182.103705036234</v>
      </c>
      <c r="X777" s="56" t="n">
        <f aca="false">IF(T777=1,IF($B$27&lt;=V777,1,0),0)</f>
        <v>0</v>
      </c>
      <c r="Y777" s="58" t="n">
        <f aca="false">Y776+V777</f>
        <v>113000.408372882</v>
      </c>
    </row>
    <row r="778" customFormat="false" ht="15" hidden="false" customHeight="false" outlineLevel="0" collapsed="false">
      <c r="K778" s="56" t="n">
        <f aca="false">K777+1</f>
        <v>771</v>
      </c>
      <c r="L778" s="57" t="n">
        <f aca="false">IF(AND(K778&lt;=Assumptions!$C$42,L777=1,P777=0,O777&gt;Assumptions!$C$43),1,0)</f>
        <v>0</v>
      </c>
      <c r="M778" s="58" t="n">
        <f aca="false">O777</f>
        <v>8.10541678220034E-009</v>
      </c>
      <c r="N778" s="58" t="n">
        <f aca="false">IF(L778=1,M778*$B$22,0)</f>
        <v>0</v>
      </c>
      <c r="O778" s="58" t="n">
        <f aca="false">IF(L778=1,M778+N778-$B$26,M778)</f>
        <v>8.10541678220034E-009</v>
      </c>
      <c r="P778" s="56" t="n">
        <f aca="false">IF(L778=1,IF($B$26&lt;=N778,1,0),0)</f>
        <v>0</v>
      </c>
      <c r="Q778" s="58" t="n">
        <f aca="false">Q777+N778</f>
        <v>145877.630223336</v>
      </c>
      <c r="S778" s="56" t="n">
        <f aca="false">S777+1</f>
        <v>771</v>
      </c>
      <c r="T778" s="57" t="n">
        <f aca="false">IF(AND(S778&lt;=Assumptions!$C$42,T777=1,X777=0,W777&gt;Assumptions!$C$43),1,0)</f>
        <v>0</v>
      </c>
      <c r="U778" s="58" t="n">
        <f aca="false">W777</f>
        <v>-182.103705036234</v>
      </c>
      <c r="V778" s="58" t="n">
        <f aca="false">IF(T778=1,U778*$B$22,0)</f>
        <v>0</v>
      </c>
      <c r="W778" s="58" t="n">
        <f aca="false">IF(T778=1,U778+V778-$B$27,U778)</f>
        <v>-182.103705036234</v>
      </c>
      <c r="X778" s="56" t="n">
        <f aca="false">IF(T778=1,IF($B$27&lt;=V778,1,0),0)</f>
        <v>0</v>
      </c>
      <c r="Y778" s="58" t="n">
        <f aca="false">Y777+V778</f>
        <v>113000.408372882</v>
      </c>
    </row>
    <row r="779" customFormat="false" ht="15" hidden="false" customHeight="false" outlineLevel="0" collapsed="false">
      <c r="K779" s="56" t="n">
        <f aca="false">K778+1</f>
        <v>772</v>
      </c>
      <c r="L779" s="57" t="n">
        <f aca="false">IF(AND(K779&lt;=Assumptions!$C$42,L778=1,P778=0,O778&gt;Assumptions!$C$43),1,0)</f>
        <v>0</v>
      </c>
      <c r="M779" s="58" t="n">
        <f aca="false">O778</f>
        <v>8.10541678220034E-009</v>
      </c>
      <c r="N779" s="58" t="n">
        <f aca="false">IF(L779=1,M779*$B$22,0)</f>
        <v>0</v>
      </c>
      <c r="O779" s="58" t="n">
        <f aca="false">IF(L779=1,M779+N779-$B$26,M779)</f>
        <v>8.10541678220034E-009</v>
      </c>
      <c r="P779" s="56" t="n">
        <f aca="false">IF(L779=1,IF($B$26&lt;=N779,1,0),0)</f>
        <v>0</v>
      </c>
      <c r="Q779" s="58" t="n">
        <f aca="false">Q778+N779</f>
        <v>145877.630223336</v>
      </c>
      <c r="S779" s="56" t="n">
        <f aca="false">S778+1</f>
        <v>772</v>
      </c>
      <c r="T779" s="57" t="n">
        <f aca="false">IF(AND(S779&lt;=Assumptions!$C$42,T778=1,X778=0,W778&gt;Assumptions!$C$43),1,0)</f>
        <v>0</v>
      </c>
      <c r="U779" s="58" t="n">
        <f aca="false">W778</f>
        <v>-182.103705036234</v>
      </c>
      <c r="V779" s="58" t="n">
        <f aca="false">IF(T779=1,U779*$B$22,0)</f>
        <v>0</v>
      </c>
      <c r="W779" s="58" t="n">
        <f aca="false">IF(T779=1,U779+V779-$B$27,U779)</f>
        <v>-182.103705036234</v>
      </c>
      <c r="X779" s="56" t="n">
        <f aca="false">IF(T779=1,IF($B$27&lt;=V779,1,0),0)</f>
        <v>0</v>
      </c>
      <c r="Y779" s="58" t="n">
        <f aca="false">Y778+V779</f>
        <v>113000.408372882</v>
      </c>
    </row>
    <row r="780" customFormat="false" ht="15" hidden="false" customHeight="false" outlineLevel="0" collapsed="false">
      <c r="K780" s="56" t="n">
        <f aca="false">K779+1</f>
        <v>773</v>
      </c>
      <c r="L780" s="57" t="n">
        <f aca="false">IF(AND(K780&lt;=Assumptions!$C$42,L779=1,P779=0,O779&gt;Assumptions!$C$43),1,0)</f>
        <v>0</v>
      </c>
      <c r="M780" s="58" t="n">
        <f aca="false">O779</f>
        <v>8.10541678220034E-009</v>
      </c>
      <c r="N780" s="58" t="n">
        <f aca="false">IF(L780=1,M780*$B$22,0)</f>
        <v>0</v>
      </c>
      <c r="O780" s="58" t="n">
        <f aca="false">IF(L780=1,M780+N780-$B$26,M780)</f>
        <v>8.10541678220034E-009</v>
      </c>
      <c r="P780" s="56" t="n">
        <f aca="false">IF(L780=1,IF($B$26&lt;=N780,1,0),0)</f>
        <v>0</v>
      </c>
      <c r="Q780" s="58" t="n">
        <f aca="false">Q779+N780</f>
        <v>145877.630223336</v>
      </c>
      <c r="S780" s="56" t="n">
        <f aca="false">S779+1</f>
        <v>773</v>
      </c>
      <c r="T780" s="57" t="n">
        <f aca="false">IF(AND(S780&lt;=Assumptions!$C$42,T779=1,X779=0,W779&gt;Assumptions!$C$43),1,0)</f>
        <v>0</v>
      </c>
      <c r="U780" s="58" t="n">
        <f aca="false">W779</f>
        <v>-182.103705036234</v>
      </c>
      <c r="V780" s="58" t="n">
        <f aca="false">IF(T780=1,U780*$B$22,0)</f>
        <v>0</v>
      </c>
      <c r="W780" s="58" t="n">
        <f aca="false">IF(T780=1,U780+V780-$B$27,U780)</f>
        <v>-182.103705036234</v>
      </c>
      <c r="X780" s="56" t="n">
        <f aca="false">IF(T780=1,IF($B$27&lt;=V780,1,0),0)</f>
        <v>0</v>
      </c>
      <c r="Y780" s="58" t="n">
        <f aca="false">Y779+V780</f>
        <v>113000.408372882</v>
      </c>
    </row>
    <row r="781" customFormat="false" ht="15" hidden="false" customHeight="false" outlineLevel="0" collapsed="false">
      <c r="K781" s="56" t="n">
        <f aca="false">K780+1</f>
        <v>774</v>
      </c>
      <c r="L781" s="57" t="n">
        <f aca="false">IF(AND(K781&lt;=Assumptions!$C$42,L780=1,P780=0,O780&gt;Assumptions!$C$43),1,0)</f>
        <v>0</v>
      </c>
      <c r="M781" s="58" t="n">
        <f aca="false">O780</f>
        <v>8.10541678220034E-009</v>
      </c>
      <c r="N781" s="58" t="n">
        <f aca="false">IF(L781=1,M781*$B$22,0)</f>
        <v>0</v>
      </c>
      <c r="O781" s="58" t="n">
        <f aca="false">IF(L781=1,M781+N781-$B$26,M781)</f>
        <v>8.10541678220034E-009</v>
      </c>
      <c r="P781" s="56" t="n">
        <f aca="false">IF(L781=1,IF($B$26&lt;=N781,1,0),0)</f>
        <v>0</v>
      </c>
      <c r="Q781" s="58" t="n">
        <f aca="false">Q780+N781</f>
        <v>145877.630223336</v>
      </c>
      <c r="S781" s="56" t="n">
        <f aca="false">S780+1</f>
        <v>774</v>
      </c>
      <c r="T781" s="57" t="n">
        <f aca="false">IF(AND(S781&lt;=Assumptions!$C$42,T780=1,X780=0,W780&gt;Assumptions!$C$43),1,0)</f>
        <v>0</v>
      </c>
      <c r="U781" s="58" t="n">
        <f aca="false">W780</f>
        <v>-182.103705036234</v>
      </c>
      <c r="V781" s="58" t="n">
        <f aca="false">IF(T781=1,U781*$B$22,0)</f>
        <v>0</v>
      </c>
      <c r="W781" s="58" t="n">
        <f aca="false">IF(T781=1,U781+V781-$B$27,U781)</f>
        <v>-182.103705036234</v>
      </c>
      <c r="X781" s="56" t="n">
        <f aca="false">IF(T781=1,IF($B$27&lt;=V781,1,0),0)</f>
        <v>0</v>
      </c>
      <c r="Y781" s="58" t="n">
        <f aca="false">Y780+V781</f>
        <v>113000.408372882</v>
      </c>
    </row>
    <row r="782" customFormat="false" ht="15" hidden="false" customHeight="false" outlineLevel="0" collapsed="false">
      <c r="K782" s="56" t="n">
        <f aca="false">K781+1</f>
        <v>775</v>
      </c>
      <c r="L782" s="57" t="n">
        <f aca="false">IF(AND(K782&lt;=Assumptions!$C$42,L781=1,P781=0,O781&gt;Assumptions!$C$43),1,0)</f>
        <v>0</v>
      </c>
      <c r="M782" s="58" t="n">
        <f aca="false">O781</f>
        <v>8.10541678220034E-009</v>
      </c>
      <c r="N782" s="58" t="n">
        <f aca="false">IF(L782=1,M782*$B$22,0)</f>
        <v>0</v>
      </c>
      <c r="O782" s="58" t="n">
        <f aca="false">IF(L782=1,M782+N782-$B$26,M782)</f>
        <v>8.10541678220034E-009</v>
      </c>
      <c r="P782" s="56" t="n">
        <f aca="false">IF(L782=1,IF($B$26&lt;=N782,1,0),0)</f>
        <v>0</v>
      </c>
      <c r="Q782" s="58" t="n">
        <f aca="false">Q781+N782</f>
        <v>145877.630223336</v>
      </c>
      <c r="S782" s="56" t="n">
        <f aca="false">S781+1</f>
        <v>775</v>
      </c>
      <c r="T782" s="57" t="n">
        <f aca="false">IF(AND(S782&lt;=Assumptions!$C$42,T781=1,X781=0,W781&gt;Assumptions!$C$43),1,0)</f>
        <v>0</v>
      </c>
      <c r="U782" s="58" t="n">
        <f aca="false">W781</f>
        <v>-182.103705036234</v>
      </c>
      <c r="V782" s="58" t="n">
        <f aca="false">IF(T782=1,U782*$B$22,0)</f>
        <v>0</v>
      </c>
      <c r="W782" s="58" t="n">
        <f aca="false">IF(T782=1,U782+V782-$B$27,U782)</f>
        <v>-182.103705036234</v>
      </c>
      <c r="X782" s="56" t="n">
        <f aca="false">IF(T782=1,IF($B$27&lt;=V782,1,0),0)</f>
        <v>0</v>
      </c>
      <c r="Y782" s="58" t="n">
        <f aca="false">Y781+V782</f>
        <v>113000.408372882</v>
      </c>
    </row>
    <row r="783" customFormat="false" ht="15" hidden="false" customHeight="false" outlineLevel="0" collapsed="false">
      <c r="K783" s="56" t="n">
        <f aca="false">K782+1</f>
        <v>776</v>
      </c>
      <c r="L783" s="57" t="n">
        <f aca="false">IF(AND(K783&lt;=Assumptions!$C$42,L782=1,P782=0,O782&gt;Assumptions!$C$43),1,0)</f>
        <v>0</v>
      </c>
      <c r="M783" s="58" t="n">
        <f aca="false">O782</f>
        <v>8.10541678220034E-009</v>
      </c>
      <c r="N783" s="58" t="n">
        <f aca="false">IF(L783=1,M783*$B$22,0)</f>
        <v>0</v>
      </c>
      <c r="O783" s="58" t="n">
        <f aca="false">IF(L783=1,M783+N783-$B$26,M783)</f>
        <v>8.10541678220034E-009</v>
      </c>
      <c r="P783" s="56" t="n">
        <f aca="false">IF(L783=1,IF($B$26&lt;=N783,1,0),0)</f>
        <v>0</v>
      </c>
      <c r="Q783" s="58" t="n">
        <f aca="false">Q782+N783</f>
        <v>145877.630223336</v>
      </c>
      <c r="S783" s="56" t="n">
        <f aca="false">S782+1</f>
        <v>776</v>
      </c>
      <c r="T783" s="57" t="n">
        <f aca="false">IF(AND(S783&lt;=Assumptions!$C$42,T782=1,X782=0,W782&gt;Assumptions!$C$43),1,0)</f>
        <v>0</v>
      </c>
      <c r="U783" s="58" t="n">
        <f aca="false">W782</f>
        <v>-182.103705036234</v>
      </c>
      <c r="V783" s="58" t="n">
        <f aca="false">IF(T783=1,U783*$B$22,0)</f>
        <v>0</v>
      </c>
      <c r="W783" s="58" t="n">
        <f aca="false">IF(T783=1,U783+V783-$B$27,U783)</f>
        <v>-182.103705036234</v>
      </c>
      <c r="X783" s="56" t="n">
        <f aca="false">IF(T783=1,IF($B$27&lt;=V783,1,0),0)</f>
        <v>0</v>
      </c>
      <c r="Y783" s="58" t="n">
        <f aca="false">Y782+V783</f>
        <v>113000.408372882</v>
      </c>
    </row>
    <row r="784" customFormat="false" ht="15" hidden="false" customHeight="false" outlineLevel="0" collapsed="false">
      <c r="K784" s="56" t="n">
        <f aca="false">K783+1</f>
        <v>777</v>
      </c>
      <c r="L784" s="57" t="n">
        <f aca="false">IF(AND(K784&lt;=Assumptions!$C$42,L783=1,P783=0,O783&gt;Assumptions!$C$43),1,0)</f>
        <v>0</v>
      </c>
      <c r="M784" s="58" t="n">
        <f aca="false">O783</f>
        <v>8.10541678220034E-009</v>
      </c>
      <c r="N784" s="58" t="n">
        <f aca="false">IF(L784=1,M784*$B$22,0)</f>
        <v>0</v>
      </c>
      <c r="O784" s="58" t="n">
        <f aca="false">IF(L784=1,M784+N784-$B$26,M784)</f>
        <v>8.10541678220034E-009</v>
      </c>
      <c r="P784" s="56" t="n">
        <f aca="false">IF(L784=1,IF($B$26&lt;=N784,1,0),0)</f>
        <v>0</v>
      </c>
      <c r="Q784" s="58" t="n">
        <f aca="false">Q783+N784</f>
        <v>145877.630223336</v>
      </c>
      <c r="S784" s="56" t="n">
        <f aca="false">S783+1</f>
        <v>777</v>
      </c>
      <c r="T784" s="57" t="n">
        <f aca="false">IF(AND(S784&lt;=Assumptions!$C$42,T783=1,X783=0,W783&gt;Assumptions!$C$43),1,0)</f>
        <v>0</v>
      </c>
      <c r="U784" s="58" t="n">
        <f aca="false">W783</f>
        <v>-182.103705036234</v>
      </c>
      <c r="V784" s="58" t="n">
        <f aca="false">IF(T784=1,U784*$B$22,0)</f>
        <v>0</v>
      </c>
      <c r="W784" s="58" t="n">
        <f aca="false">IF(T784=1,U784+V784-$B$27,U784)</f>
        <v>-182.103705036234</v>
      </c>
      <c r="X784" s="56" t="n">
        <f aca="false">IF(T784=1,IF($B$27&lt;=V784,1,0),0)</f>
        <v>0</v>
      </c>
      <c r="Y784" s="58" t="n">
        <f aca="false">Y783+V784</f>
        <v>113000.408372882</v>
      </c>
    </row>
    <row r="785" customFormat="false" ht="15" hidden="false" customHeight="false" outlineLevel="0" collapsed="false">
      <c r="K785" s="56" t="n">
        <f aca="false">K784+1</f>
        <v>778</v>
      </c>
      <c r="L785" s="57" t="n">
        <f aca="false">IF(AND(K785&lt;=Assumptions!$C$42,L784=1,P784=0,O784&gt;Assumptions!$C$43),1,0)</f>
        <v>0</v>
      </c>
      <c r="M785" s="58" t="n">
        <f aca="false">O784</f>
        <v>8.10541678220034E-009</v>
      </c>
      <c r="N785" s="58" t="n">
        <f aca="false">IF(L785=1,M785*$B$22,0)</f>
        <v>0</v>
      </c>
      <c r="O785" s="58" t="n">
        <f aca="false">IF(L785=1,M785+N785-$B$26,M785)</f>
        <v>8.10541678220034E-009</v>
      </c>
      <c r="P785" s="56" t="n">
        <f aca="false">IF(L785=1,IF($B$26&lt;=N785,1,0),0)</f>
        <v>0</v>
      </c>
      <c r="Q785" s="58" t="n">
        <f aca="false">Q784+N785</f>
        <v>145877.630223336</v>
      </c>
      <c r="S785" s="56" t="n">
        <f aca="false">S784+1</f>
        <v>778</v>
      </c>
      <c r="T785" s="57" t="n">
        <f aca="false">IF(AND(S785&lt;=Assumptions!$C$42,T784=1,X784=0,W784&gt;Assumptions!$C$43),1,0)</f>
        <v>0</v>
      </c>
      <c r="U785" s="58" t="n">
        <f aca="false">W784</f>
        <v>-182.103705036234</v>
      </c>
      <c r="V785" s="58" t="n">
        <f aca="false">IF(T785=1,U785*$B$22,0)</f>
        <v>0</v>
      </c>
      <c r="W785" s="58" t="n">
        <f aca="false">IF(T785=1,U785+V785-$B$27,U785)</f>
        <v>-182.103705036234</v>
      </c>
      <c r="X785" s="56" t="n">
        <f aca="false">IF(T785=1,IF($B$27&lt;=V785,1,0),0)</f>
        <v>0</v>
      </c>
      <c r="Y785" s="58" t="n">
        <f aca="false">Y784+V785</f>
        <v>113000.408372882</v>
      </c>
    </row>
    <row r="786" customFormat="false" ht="15" hidden="false" customHeight="false" outlineLevel="0" collapsed="false">
      <c r="K786" s="56" t="n">
        <f aca="false">K785+1</f>
        <v>779</v>
      </c>
      <c r="L786" s="57" t="n">
        <f aca="false">IF(AND(K786&lt;=Assumptions!$C$42,L785=1,P785=0,O785&gt;Assumptions!$C$43),1,0)</f>
        <v>0</v>
      </c>
      <c r="M786" s="58" t="n">
        <f aca="false">O785</f>
        <v>8.10541678220034E-009</v>
      </c>
      <c r="N786" s="58" t="n">
        <f aca="false">IF(L786=1,M786*$B$22,0)</f>
        <v>0</v>
      </c>
      <c r="O786" s="58" t="n">
        <f aca="false">IF(L786=1,M786+N786-$B$26,M786)</f>
        <v>8.10541678220034E-009</v>
      </c>
      <c r="P786" s="56" t="n">
        <f aca="false">IF(L786=1,IF($B$26&lt;=N786,1,0),0)</f>
        <v>0</v>
      </c>
      <c r="Q786" s="58" t="n">
        <f aca="false">Q785+N786</f>
        <v>145877.630223336</v>
      </c>
      <c r="S786" s="56" t="n">
        <f aca="false">S785+1</f>
        <v>779</v>
      </c>
      <c r="T786" s="57" t="n">
        <f aca="false">IF(AND(S786&lt;=Assumptions!$C$42,T785=1,X785=0,W785&gt;Assumptions!$C$43),1,0)</f>
        <v>0</v>
      </c>
      <c r="U786" s="58" t="n">
        <f aca="false">W785</f>
        <v>-182.103705036234</v>
      </c>
      <c r="V786" s="58" t="n">
        <f aca="false">IF(T786=1,U786*$B$22,0)</f>
        <v>0</v>
      </c>
      <c r="W786" s="58" t="n">
        <f aca="false">IF(T786=1,U786+V786-$B$27,U786)</f>
        <v>-182.103705036234</v>
      </c>
      <c r="X786" s="56" t="n">
        <f aca="false">IF(T786=1,IF($B$27&lt;=V786,1,0),0)</f>
        <v>0</v>
      </c>
      <c r="Y786" s="58" t="n">
        <f aca="false">Y785+V786</f>
        <v>113000.408372882</v>
      </c>
    </row>
    <row r="787" customFormat="false" ht="15" hidden="false" customHeight="false" outlineLevel="0" collapsed="false">
      <c r="K787" s="56" t="n">
        <f aca="false">K786+1</f>
        <v>780</v>
      </c>
      <c r="L787" s="57" t="n">
        <f aca="false">IF(AND(K787&lt;=Assumptions!$C$42,L786=1,P786=0,O786&gt;Assumptions!$C$43),1,0)</f>
        <v>0</v>
      </c>
      <c r="M787" s="58" t="n">
        <f aca="false">O786</f>
        <v>8.10541678220034E-009</v>
      </c>
      <c r="N787" s="58" t="n">
        <f aca="false">IF(L787=1,M787*$B$22,0)</f>
        <v>0</v>
      </c>
      <c r="O787" s="58" t="n">
        <f aca="false">IF(L787=1,M787+N787-$B$26,M787)</f>
        <v>8.10541678220034E-009</v>
      </c>
      <c r="P787" s="56" t="n">
        <f aca="false">IF(L787=1,IF($B$26&lt;=N787,1,0),0)</f>
        <v>0</v>
      </c>
      <c r="Q787" s="58" t="n">
        <f aca="false">Q786+N787</f>
        <v>145877.630223336</v>
      </c>
      <c r="S787" s="56" t="n">
        <f aca="false">S786+1</f>
        <v>780</v>
      </c>
      <c r="T787" s="57" t="n">
        <f aca="false">IF(AND(S787&lt;=Assumptions!$C$42,T786=1,X786=0,W786&gt;Assumptions!$C$43),1,0)</f>
        <v>0</v>
      </c>
      <c r="U787" s="58" t="n">
        <f aca="false">W786</f>
        <v>-182.103705036234</v>
      </c>
      <c r="V787" s="58" t="n">
        <f aca="false">IF(T787=1,U787*$B$22,0)</f>
        <v>0</v>
      </c>
      <c r="W787" s="58" t="n">
        <f aca="false">IF(T787=1,U787+V787-$B$27,U787)</f>
        <v>-182.103705036234</v>
      </c>
      <c r="X787" s="56" t="n">
        <f aca="false">IF(T787=1,IF($B$27&lt;=V787,1,0),0)</f>
        <v>0</v>
      </c>
      <c r="Y787" s="58" t="n">
        <f aca="false">Y786+V787</f>
        <v>113000.408372882</v>
      </c>
    </row>
    <row r="788" customFormat="false" ht="15" hidden="false" customHeight="false" outlineLevel="0" collapsed="false">
      <c r="K788" s="56" t="n">
        <f aca="false">K787+1</f>
        <v>781</v>
      </c>
      <c r="L788" s="57" t="n">
        <f aca="false">IF(AND(K788&lt;=Assumptions!$C$42,L787=1,P787=0,O787&gt;Assumptions!$C$43),1,0)</f>
        <v>0</v>
      </c>
      <c r="M788" s="58" t="n">
        <f aca="false">O787</f>
        <v>8.10541678220034E-009</v>
      </c>
      <c r="N788" s="58" t="n">
        <f aca="false">IF(L788=1,M788*$B$22,0)</f>
        <v>0</v>
      </c>
      <c r="O788" s="58" t="n">
        <f aca="false">IF(L788=1,M788+N788-$B$26,M788)</f>
        <v>8.10541678220034E-009</v>
      </c>
      <c r="P788" s="56" t="n">
        <f aca="false">IF(L788=1,IF($B$26&lt;=N788,1,0),0)</f>
        <v>0</v>
      </c>
      <c r="Q788" s="58" t="n">
        <f aca="false">Q787+N788</f>
        <v>145877.630223336</v>
      </c>
      <c r="S788" s="56" t="n">
        <f aca="false">S787+1</f>
        <v>781</v>
      </c>
      <c r="T788" s="57" t="n">
        <f aca="false">IF(AND(S788&lt;=Assumptions!$C$42,T787=1,X787=0,W787&gt;Assumptions!$C$43),1,0)</f>
        <v>0</v>
      </c>
      <c r="U788" s="58" t="n">
        <f aca="false">W787</f>
        <v>-182.103705036234</v>
      </c>
      <c r="V788" s="58" t="n">
        <f aca="false">IF(T788=1,U788*$B$22,0)</f>
        <v>0</v>
      </c>
      <c r="W788" s="58" t="n">
        <f aca="false">IF(T788=1,U788+V788-$B$27,U788)</f>
        <v>-182.103705036234</v>
      </c>
      <c r="X788" s="56" t="n">
        <f aca="false">IF(T788=1,IF($B$27&lt;=V788,1,0),0)</f>
        <v>0</v>
      </c>
      <c r="Y788" s="58" t="n">
        <f aca="false">Y787+V788</f>
        <v>113000.408372882</v>
      </c>
    </row>
    <row r="789" customFormat="false" ht="15" hidden="false" customHeight="false" outlineLevel="0" collapsed="false">
      <c r="K789" s="56" t="n">
        <f aca="false">K788+1</f>
        <v>782</v>
      </c>
      <c r="L789" s="57" t="n">
        <f aca="false">IF(AND(K789&lt;=Assumptions!$C$42,L788=1,P788=0,O788&gt;Assumptions!$C$43),1,0)</f>
        <v>0</v>
      </c>
      <c r="M789" s="58" t="n">
        <f aca="false">O788</f>
        <v>8.10541678220034E-009</v>
      </c>
      <c r="N789" s="58" t="n">
        <f aca="false">IF(L789=1,M789*$B$22,0)</f>
        <v>0</v>
      </c>
      <c r="O789" s="58" t="n">
        <f aca="false">IF(L789=1,M789+N789-$B$26,M789)</f>
        <v>8.10541678220034E-009</v>
      </c>
      <c r="P789" s="56" t="n">
        <f aca="false">IF(L789=1,IF($B$26&lt;=N789,1,0),0)</f>
        <v>0</v>
      </c>
      <c r="Q789" s="58" t="n">
        <f aca="false">Q788+N789</f>
        <v>145877.630223336</v>
      </c>
      <c r="S789" s="56" t="n">
        <f aca="false">S788+1</f>
        <v>782</v>
      </c>
      <c r="T789" s="57" t="n">
        <f aca="false">IF(AND(S789&lt;=Assumptions!$C$42,T788=1,X788=0,W788&gt;Assumptions!$C$43),1,0)</f>
        <v>0</v>
      </c>
      <c r="U789" s="58" t="n">
        <f aca="false">W788</f>
        <v>-182.103705036234</v>
      </c>
      <c r="V789" s="58" t="n">
        <f aca="false">IF(T789=1,U789*$B$22,0)</f>
        <v>0</v>
      </c>
      <c r="W789" s="58" t="n">
        <f aca="false">IF(T789=1,U789+V789-$B$27,U789)</f>
        <v>-182.103705036234</v>
      </c>
      <c r="X789" s="56" t="n">
        <f aca="false">IF(T789=1,IF($B$27&lt;=V789,1,0),0)</f>
        <v>0</v>
      </c>
      <c r="Y789" s="58" t="n">
        <f aca="false">Y788+V789</f>
        <v>113000.408372882</v>
      </c>
    </row>
    <row r="790" customFormat="false" ht="15" hidden="false" customHeight="false" outlineLevel="0" collapsed="false">
      <c r="K790" s="56" t="n">
        <f aca="false">K789+1</f>
        <v>783</v>
      </c>
      <c r="L790" s="57" t="n">
        <f aca="false">IF(AND(K790&lt;=Assumptions!$C$42,L789=1,P789=0,O789&gt;Assumptions!$C$43),1,0)</f>
        <v>0</v>
      </c>
      <c r="M790" s="58" t="n">
        <f aca="false">O789</f>
        <v>8.10541678220034E-009</v>
      </c>
      <c r="N790" s="58" t="n">
        <f aca="false">IF(L790=1,M790*$B$22,0)</f>
        <v>0</v>
      </c>
      <c r="O790" s="58" t="n">
        <f aca="false">IF(L790=1,M790+N790-$B$26,M790)</f>
        <v>8.10541678220034E-009</v>
      </c>
      <c r="P790" s="56" t="n">
        <f aca="false">IF(L790=1,IF($B$26&lt;=N790,1,0),0)</f>
        <v>0</v>
      </c>
      <c r="Q790" s="58" t="n">
        <f aca="false">Q789+N790</f>
        <v>145877.630223336</v>
      </c>
      <c r="S790" s="56" t="n">
        <f aca="false">S789+1</f>
        <v>783</v>
      </c>
      <c r="T790" s="57" t="n">
        <f aca="false">IF(AND(S790&lt;=Assumptions!$C$42,T789=1,X789=0,W789&gt;Assumptions!$C$43),1,0)</f>
        <v>0</v>
      </c>
      <c r="U790" s="58" t="n">
        <f aca="false">W789</f>
        <v>-182.103705036234</v>
      </c>
      <c r="V790" s="58" t="n">
        <f aca="false">IF(T790=1,U790*$B$22,0)</f>
        <v>0</v>
      </c>
      <c r="W790" s="58" t="n">
        <f aca="false">IF(T790=1,U790+V790-$B$27,U790)</f>
        <v>-182.103705036234</v>
      </c>
      <c r="X790" s="56" t="n">
        <f aca="false">IF(T790=1,IF($B$27&lt;=V790,1,0),0)</f>
        <v>0</v>
      </c>
      <c r="Y790" s="58" t="n">
        <f aca="false">Y789+V790</f>
        <v>113000.408372882</v>
      </c>
    </row>
    <row r="791" customFormat="false" ht="15" hidden="false" customHeight="false" outlineLevel="0" collapsed="false">
      <c r="K791" s="56" t="n">
        <f aca="false">K790+1</f>
        <v>784</v>
      </c>
      <c r="L791" s="57" t="n">
        <f aca="false">IF(AND(K791&lt;=Assumptions!$C$42,L790=1,P790=0,O790&gt;Assumptions!$C$43),1,0)</f>
        <v>0</v>
      </c>
      <c r="M791" s="58" t="n">
        <f aca="false">O790</f>
        <v>8.10541678220034E-009</v>
      </c>
      <c r="N791" s="58" t="n">
        <f aca="false">IF(L791=1,M791*$B$22,0)</f>
        <v>0</v>
      </c>
      <c r="O791" s="58" t="n">
        <f aca="false">IF(L791=1,M791+N791-$B$26,M791)</f>
        <v>8.10541678220034E-009</v>
      </c>
      <c r="P791" s="56" t="n">
        <f aca="false">IF(L791=1,IF($B$26&lt;=N791,1,0),0)</f>
        <v>0</v>
      </c>
      <c r="Q791" s="58" t="n">
        <f aca="false">Q790+N791</f>
        <v>145877.630223336</v>
      </c>
      <c r="S791" s="56" t="n">
        <f aca="false">S790+1</f>
        <v>784</v>
      </c>
      <c r="T791" s="57" t="n">
        <f aca="false">IF(AND(S791&lt;=Assumptions!$C$42,T790=1,X790=0,W790&gt;Assumptions!$C$43),1,0)</f>
        <v>0</v>
      </c>
      <c r="U791" s="58" t="n">
        <f aca="false">W790</f>
        <v>-182.103705036234</v>
      </c>
      <c r="V791" s="58" t="n">
        <f aca="false">IF(T791=1,U791*$B$22,0)</f>
        <v>0</v>
      </c>
      <c r="W791" s="58" t="n">
        <f aca="false">IF(T791=1,U791+V791-$B$27,U791)</f>
        <v>-182.103705036234</v>
      </c>
      <c r="X791" s="56" t="n">
        <f aca="false">IF(T791=1,IF($B$27&lt;=V791,1,0),0)</f>
        <v>0</v>
      </c>
      <c r="Y791" s="58" t="n">
        <f aca="false">Y790+V791</f>
        <v>113000.408372882</v>
      </c>
    </row>
    <row r="792" customFormat="false" ht="15" hidden="false" customHeight="false" outlineLevel="0" collapsed="false">
      <c r="K792" s="56" t="n">
        <f aca="false">K791+1</f>
        <v>785</v>
      </c>
      <c r="L792" s="57" t="n">
        <f aca="false">IF(AND(K792&lt;=Assumptions!$C$42,L791=1,P791=0,O791&gt;Assumptions!$C$43),1,0)</f>
        <v>0</v>
      </c>
      <c r="M792" s="58" t="n">
        <f aca="false">O791</f>
        <v>8.10541678220034E-009</v>
      </c>
      <c r="N792" s="58" t="n">
        <f aca="false">IF(L792=1,M792*$B$22,0)</f>
        <v>0</v>
      </c>
      <c r="O792" s="58" t="n">
        <f aca="false">IF(L792=1,M792+N792-$B$26,M792)</f>
        <v>8.10541678220034E-009</v>
      </c>
      <c r="P792" s="56" t="n">
        <f aca="false">IF(L792=1,IF($B$26&lt;=N792,1,0),0)</f>
        <v>0</v>
      </c>
      <c r="Q792" s="58" t="n">
        <f aca="false">Q791+N792</f>
        <v>145877.630223336</v>
      </c>
      <c r="S792" s="56" t="n">
        <f aca="false">S791+1</f>
        <v>785</v>
      </c>
      <c r="T792" s="57" t="n">
        <f aca="false">IF(AND(S792&lt;=Assumptions!$C$42,T791=1,X791=0,W791&gt;Assumptions!$C$43),1,0)</f>
        <v>0</v>
      </c>
      <c r="U792" s="58" t="n">
        <f aca="false">W791</f>
        <v>-182.103705036234</v>
      </c>
      <c r="V792" s="58" t="n">
        <f aca="false">IF(T792=1,U792*$B$22,0)</f>
        <v>0</v>
      </c>
      <c r="W792" s="58" t="n">
        <f aca="false">IF(T792=1,U792+V792-$B$27,U792)</f>
        <v>-182.103705036234</v>
      </c>
      <c r="X792" s="56" t="n">
        <f aca="false">IF(T792=1,IF($B$27&lt;=V792,1,0),0)</f>
        <v>0</v>
      </c>
      <c r="Y792" s="58" t="n">
        <f aca="false">Y791+V792</f>
        <v>113000.408372882</v>
      </c>
    </row>
    <row r="793" customFormat="false" ht="15" hidden="false" customHeight="false" outlineLevel="0" collapsed="false">
      <c r="K793" s="56" t="n">
        <f aca="false">K792+1</f>
        <v>786</v>
      </c>
      <c r="L793" s="57" t="n">
        <f aca="false">IF(AND(K793&lt;=Assumptions!$C$42,L792=1,P792=0,O792&gt;Assumptions!$C$43),1,0)</f>
        <v>0</v>
      </c>
      <c r="M793" s="58" t="n">
        <f aca="false">O792</f>
        <v>8.10541678220034E-009</v>
      </c>
      <c r="N793" s="58" t="n">
        <f aca="false">IF(L793=1,M793*$B$22,0)</f>
        <v>0</v>
      </c>
      <c r="O793" s="58" t="n">
        <f aca="false">IF(L793=1,M793+N793-$B$26,M793)</f>
        <v>8.10541678220034E-009</v>
      </c>
      <c r="P793" s="56" t="n">
        <f aca="false">IF(L793=1,IF($B$26&lt;=N793,1,0),0)</f>
        <v>0</v>
      </c>
      <c r="Q793" s="58" t="n">
        <f aca="false">Q792+N793</f>
        <v>145877.630223336</v>
      </c>
      <c r="S793" s="56" t="n">
        <f aca="false">S792+1</f>
        <v>786</v>
      </c>
      <c r="T793" s="57" t="n">
        <f aca="false">IF(AND(S793&lt;=Assumptions!$C$42,T792=1,X792=0,W792&gt;Assumptions!$C$43),1,0)</f>
        <v>0</v>
      </c>
      <c r="U793" s="58" t="n">
        <f aca="false">W792</f>
        <v>-182.103705036234</v>
      </c>
      <c r="V793" s="58" t="n">
        <f aca="false">IF(T793=1,U793*$B$22,0)</f>
        <v>0</v>
      </c>
      <c r="W793" s="58" t="n">
        <f aca="false">IF(T793=1,U793+V793-$B$27,U793)</f>
        <v>-182.103705036234</v>
      </c>
      <c r="X793" s="56" t="n">
        <f aca="false">IF(T793=1,IF($B$27&lt;=V793,1,0),0)</f>
        <v>0</v>
      </c>
      <c r="Y793" s="58" t="n">
        <f aca="false">Y792+V793</f>
        <v>113000.408372882</v>
      </c>
    </row>
    <row r="794" customFormat="false" ht="15" hidden="false" customHeight="false" outlineLevel="0" collapsed="false">
      <c r="K794" s="56" t="n">
        <f aca="false">K793+1</f>
        <v>787</v>
      </c>
      <c r="L794" s="57" t="n">
        <f aca="false">IF(AND(K794&lt;=Assumptions!$C$42,L793=1,P793=0,O793&gt;Assumptions!$C$43),1,0)</f>
        <v>0</v>
      </c>
      <c r="M794" s="58" t="n">
        <f aca="false">O793</f>
        <v>8.10541678220034E-009</v>
      </c>
      <c r="N794" s="58" t="n">
        <f aca="false">IF(L794=1,M794*$B$22,0)</f>
        <v>0</v>
      </c>
      <c r="O794" s="58" t="n">
        <f aca="false">IF(L794=1,M794+N794-$B$26,M794)</f>
        <v>8.10541678220034E-009</v>
      </c>
      <c r="P794" s="56" t="n">
        <f aca="false">IF(L794=1,IF($B$26&lt;=N794,1,0),0)</f>
        <v>0</v>
      </c>
      <c r="Q794" s="58" t="n">
        <f aca="false">Q793+N794</f>
        <v>145877.630223336</v>
      </c>
      <c r="S794" s="56" t="n">
        <f aca="false">S793+1</f>
        <v>787</v>
      </c>
      <c r="T794" s="57" t="n">
        <f aca="false">IF(AND(S794&lt;=Assumptions!$C$42,T793=1,X793=0,W793&gt;Assumptions!$C$43),1,0)</f>
        <v>0</v>
      </c>
      <c r="U794" s="58" t="n">
        <f aca="false">W793</f>
        <v>-182.103705036234</v>
      </c>
      <c r="V794" s="58" t="n">
        <f aca="false">IF(T794=1,U794*$B$22,0)</f>
        <v>0</v>
      </c>
      <c r="W794" s="58" t="n">
        <f aca="false">IF(T794=1,U794+V794-$B$27,U794)</f>
        <v>-182.103705036234</v>
      </c>
      <c r="X794" s="56" t="n">
        <f aca="false">IF(T794=1,IF($B$27&lt;=V794,1,0),0)</f>
        <v>0</v>
      </c>
      <c r="Y794" s="58" t="n">
        <f aca="false">Y793+V794</f>
        <v>113000.408372882</v>
      </c>
    </row>
    <row r="795" customFormat="false" ht="15" hidden="false" customHeight="false" outlineLevel="0" collapsed="false">
      <c r="K795" s="56" t="n">
        <f aca="false">K794+1</f>
        <v>788</v>
      </c>
      <c r="L795" s="57" t="n">
        <f aca="false">IF(AND(K795&lt;=Assumptions!$C$42,L794=1,P794=0,O794&gt;Assumptions!$C$43),1,0)</f>
        <v>0</v>
      </c>
      <c r="M795" s="58" t="n">
        <f aca="false">O794</f>
        <v>8.10541678220034E-009</v>
      </c>
      <c r="N795" s="58" t="n">
        <f aca="false">IF(L795=1,M795*$B$22,0)</f>
        <v>0</v>
      </c>
      <c r="O795" s="58" t="n">
        <f aca="false">IF(L795=1,M795+N795-$B$26,M795)</f>
        <v>8.10541678220034E-009</v>
      </c>
      <c r="P795" s="56" t="n">
        <f aca="false">IF(L795=1,IF($B$26&lt;=N795,1,0),0)</f>
        <v>0</v>
      </c>
      <c r="Q795" s="58" t="n">
        <f aca="false">Q794+N795</f>
        <v>145877.630223336</v>
      </c>
      <c r="S795" s="56" t="n">
        <f aca="false">S794+1</f>
        <v>788</v>
      </c>
      <c r="T795" s="57" t="n">
        <f aca="false">IF(AND(S795&lt;=Assumptions!$C$42,T794=1,X794=0,W794&gt;Assumptions!$C$43),1,0)</f>
        <v>0</v>
      </c>
      <c r="U795" s="58" t="n">
        <f aca="false">W794</f>
        <v>-182.103705036234</v>
      </c>
      <c r="V795" s="58" t="n">
        <f aca="false">IF(T795=1,U795*$B$22,0)</f>
        <v>0</v>
      </c>
      <c r="W795" s="58" t="n">
        <f aca="false">IF(T795=1,U795+V795-$B$27,U795)</f>
        <v>-182.103705036234</v>
      </c>
      <c r="X795" s="56" t="n">
        <f aca="false">IF(T795=1,IF($B$27&lt;=V795,1,0),0)</f>
        <v>0</v>
      </c>
      <c r="Y795" s="58" t="n">
        <f aca="false">Y794+V795</f>
        <v>113000.408372882</v>
      </c>
    </row>
    <row r="796" customFormat="false" ht="15" hidden="false" customHeight="false" outlineLevel="0" collapsed="false">
      <c r="K796" s="56" t="n">
        <f aca="false">K795+1</f>
        <v>789</v>
      </c>
      <c r="L796" s="57" t="n">
        <f aca="false">IF(AND(K796&lt;=Assumptions!$C$42,L795=1,P795=0,O795&gt;Assumptions!$C$43),1,0)</f>
        <v>0</v>
      </c>
      <c r="M796" s="58" t="n">
        <f aca="false">O795</f>
        <v>8.10541678220034E-009</v>
      </c>
      <c r="N796" s="58" t="n">
        <f aca="false">IF(L796=1,M796*$B$22,0)</f>
        <v>0</v>
      </c>
      <c r="O796" s="58" t="n">
        <f aca="false">IF(L796=1,M796+N796-$B$26,M796)</f>
        <v>8.10541678220034E-009</v>
      </c>
      <c r="P796" s="56" t="n">
        <f aca="false">IF(L796=1,IF($B$26&lt;=N796,1,0),0)</f>
        <v>0</v>
      </c>
      <c r="Q796" s="58" t="n">
        <f aca="false">Q795+N796</f>
        <v>145877.630223336</v>
      </c>
      <c r="S796" s="56" t="n">
        <f aca="false">S795+1</f>
        <v>789</v>
      </c>
      <c r="T796" s="57" t="n">
        <f aca="false">IF(AND(S796&lt;=Assumptions!$C$42,T795=1,X795=0,W795&gt;Assumptions!$C$43),1,0)</f>
        <v>0</v>
      </c>
      <c r="U796" s="58" t="n">
        <f aca="false">W795</f>
        <v>-182.103705036234</v>
      </c>
      <c r="V796" s="58" t="n">
        <f aca="false">IF(T796=1,U796*$B$22,0)</f>
        <v>0</v>
      </c>
      <c r="W796" s="58" t="n">
        <f aca="false">IF(T796=1,U796+V796-$B$27,U796)</f>
        <v>-182.103705036234</v>
      </c>
      <c r="X796" s="56" t="n">
        <f aca="false">IF(T796=1,IF($B$27&lt;=V796,1,0),0)</f>
        <v>0</v>
      </c>
      <c r="Y796" s="58" t="n">
        <f aca="false">Y795+V796</f>
        <v>113000.408372882</v>
      </c>
    </row>
    <row r="797" customFormat="false" ht="15" hidden="false" customHeight="false" outlineLevel="0" collapsed="false">
      <c r="K797" s="56" t="n">
        <f aca="false">K796+1</f>
        <v>790</v>
      </c>
      <c r="L797" s="57" t="n">
        <f aca="false">IF(AND(K797&lt;=Assumptions!$C$42,L796=1,P796=0,O796&gt;Assumptions!$C$43),1,0)</f>
        <v>0</v>
      </c>
      <c r="M797" s="58" t="n">
        <f aca="false">O796</f>
        <v>8.10541678220034E-009</v>
      </c>
      <c r="N797" s="58" t="n">
        <f aca="false">IF(L797=1,M797*$B$22,0)</f>
        <v>0</v>
      </c>
      <c r="O797" s="58" t="n">
        <f aca="false">IF(L797=1,M797+N797-$B$26,M797)</f>
        <v>8.10541678220034E-009</v>
      </c>
      <c r="P797" s="56" t="n">
        <f aca="false">IF(L797=1,IF($B$26&lt;=N797,1,0),0)</f>
        <v>0</v>
      </c>
      <c r="Q797" s="58" t="n">
        <f aca="false">Q796+N797</f>
        <v>145877.630223336</v>
      </c>
      <c r="S797" s="56" t="n">
        <f aca="false">S796+1</f>
        <v>790</v>
      </c>
      <c r="T797" s="57" t="n">
        <f aca="false">IF(AND(S797&lt;=Assumptions!$C$42,T796=1,X796=0,W796&gt;Assumptions!$C$43),1,0)</f>
        <v>0</v>
      </c>
      <c r="U797" s="58" t="n">
        <f aca="false">W796</f>
        <v>-182.103705036234</v>
      </c>
      <c r="V797" s="58" t="n">
        <f aca="false">IF(T797=1,U797*$B$22,0)</f>
        <v>0</v>
      </c>
      <c r="W797" s="58" t="n">
        <f aca="false">IF(T797=1,U797+V797-$B$27,U797)</f>
        <v>-182.103705036234</v>
      </c>
      <c r="X797" s="56" t="n">
        <f aca="false">IF(T797=1,IF($B$27&lt;=V797,1,0),0)</f>
        <v>0</v>
      </c>
      <c r="Y797" s="58" t="n">
        <f aca="false">Y796+V797</f>
        <v>113000.408372882</v>
      </c>
    </row>
    <row r="798" customFormat="false" ht="15" hidden="false" customHeight="false" outlineLevel="0" collapsed="false">
      <c r="K798" s="56" t="n">
        <f aca="false">K797+1</f>
        <v>791</v>
      </c>
      <c r="L798" s="57" t="n">
        <f aca="false">IF(AND(K798&lt;=Assumptions!$C$42,L797=1,P797=0,O797&gt;Assumptions!$C$43),1,0)</f>
        <v>0</v>
      </c>
      <c r="M798" s="58" t="n">
        <f aca="false">O797</f>
        <v>8.10541678220034E-009</v>
      </c>
      <c r="N798" s="58" t="n">
        <f aca="false">IF(L798=1,M798*$B$22,0)</f>
        <v>0</v>
      </c>
      <c r="O798" s="58" t="n">
        <f aca="false">IF(L798=1,M798+N798-$B$26,M798)</f>
        <v>8.10541678220034E-009</v>
      </c>
      <c r="P798" s="56" t="n">
        <f aca="false">IF(L798=1,IF($B$26&lt;=N798,1,0),0)</f>
        <v>0</v>
      </c>
      <c r="Q798" s="58" t="n">
        <f aca="false">Q797+N798</f>
        <v>145877.630223336</v>
      </c>
      <c r="S798" s="56" t="n">
        <f aca="false">S797+1</f>
        <v>791</v>
      </c>
      <c r="T798" s="57" t="n">
        <f aca="false">IF(AND(S798&lt;=Assumptions!$C$42,T797=1,X797=0,W797&gt;Assumptions!$C$43),1,0)</f>
        <v>0</v>
      </c>
      <c r="U798" s="58" t="n">
        <f aca="false">W797</f>
        <v>-182.103705036234</v>
      </c>
      <c r="V798" s="58" t="n">
        <f aca="false">IF(T798=1,U798*$B$22,0)</f>
        <v>0</v>
      </c>
      <c r="W798" s="58" t="n">
        <f aca="false">IF(T798=1,U798+V798-$B$27,U798)</f>
        <v>-182.103705036234</v>
      </c>
      <c r="X798" s="56" t="n">
        <f aca="false">IF(T798=1,IF($B$27&lt;=V798,1,0),0)</f>
        <v>0</v>
      </c>
      <c r="Y798" s="58" t="n">
        <f aca="false">Y797+V798</f>
        <v>113000.408372882</v>
      </c>
    </row>
    <row r="799" customFormat="false" ht="15" hidden="false" customHeight="false" outlineLevel="0" collapsed="false">
      <c r="K799" s="56" t="n">
        <f aca="false">K798+1</f>
        <v>792</v>
      </c>
      <c r="L799" s="57" t="n">
        <f aca="false">IF(AND(K799&lt;=Assumptions!$C$42,L798=1,P798=0,O798&gt;Assumptions!$C$43),1,0)</f>
        <v>0</v>
      </c>
      <c r="M799" s="58" t="n">
        <f aca="false">O798</f>
        <v>8.10541678220034E-009</v>
      </c>
      <c r="N799" s="58" t="n">
        <f aca="false">IF(L799=1,M799*$B$22,0)</f>
        <v>0</v>
      </c>
      <c r="O799" s="58" t="n">
        <f aca="false">IF(L799=1,M799+N799-$B$26,M799)</f>
        <v>8.10541678220034E-009</v>
      </c>
      <c r="P799" s="56" t="n">
        <f aca="false">IF(L799=1,IF($B$26&lt;=N799,1,0),0)</f>
        <v>0</v>
      </c>
      <c r="Q799" s="58" t="n">
        <f aca="false">Q798+N799</f>
        <v>145877.630223336</v>
      </c>
      <c r="S799" s="56" t="n">
        <f aca="false">S798+1</f>
        <v>792</v>
      </c>
      <c r="T799" s="57" t="n">
        <f aca="false">IF(AND(S799&lt;=Assumptions!$C$42,T798=1,X798=0,W798&gt;Assumptions!$C$43),1,0)</f>
        <v>0</v>
      </c>
      <c r="U799" s="58" t="n">
        <f aca="false">W798</f>
        <v>-182.103705036234</v>
      </c>
      <c r="V799" s="58" t="n">
        <f aca="false">IF(T799=1,U799*$B$22,0)</f>
        <v>0</v>
      </c>
      <c r="W799" s="58" t="n">
        <f aca="false">IF(T799=1,U799+V799-$B$27,U799)</f>
        <v>-182.103705036234</v>
      </c>
      <c r="X799" s="56" t="n">
        <f aca="false">IF(T799=1,IF($B$27&lt;=V799,1,0),0)</f>
        <v>0</v>
      </c>
      <c r="Y799" s="58" t="n">
        <f aca="false">Y798+V799</f>
        <v>113000.408372882</v>
      </c>
    </row>
    <row r="800" customFormat="false" ht="15" hidden="false" customHeight="false" outlineLevel="0" collapsed="false">
      <c r="K800" s="56" t="n">
        <f aca="false">K799+1</f>
        <v>793</v>
      </c>
      <c r="L800" s="57" t="n">
        <f aca="false">IF(AND(K800&lt;=Assumptions!$C$42,L799=1,P799=0,O799&gt;Assumptions!$C$43),1,0)</f>
        <v>0</v>
      </c>
      <c r="M800" s="58" t="n">
        <f aca="false">O799</f>
        <v>8.10541678220034E-009</v>
      </c>
      <c r="N800" s="58" t="n">
        <f aca="false">IF(L800=1,M800*$B$22,0)</f>
        <v>0</v>
      </c>
      <c r="O800" s="58" t="n">
        <f aca="false">IF(L800=1,M800+N800-$B$26,M800)</f>
        <v>8.10541678220034E-009</v>
      </c>
      <c r="P800" s="56" t="n">
        <f aca="false">IF(L800=1,IF($B$26&lt;=N800,1,0),0)</f>
        <v>0</v>
      </c>
      <c r="Q800" s="58" t="n">
        <f aca="false">Q799+N800</f>
        <v>145877.630223336</v>
      </c>
      <c r="S800" s="56" t="n">
        <f aca="false">S799+1</f>
        <v>793</v>
      </c>
      <c r="T800" s="57" t="n">
        <f aca="false">IF(AND(S800&lt;=Assumptions!$C$42,T799=1,X799=0,W799&gt;Assumptions!$C$43),1,0)</f>
        <v>0</v>
      </c>
      <c r="U800" s="58" t="n">
        <f aca="false">W799</f>
        <v>-182.103705036234</v>
      </c>
      <c r="V800" s="58" t="n">
        <f aca="false">IF(T800=1,U800*$B$22,0)</f>
        <v>0</v>
      </c>
      <c r="W800" s="58" t="n">
        <f aca="false">IF(T800=1,U800+V800-$B$27,U800)</f>
        <v>-182.103705036234</v>
      </c>
      <c r="X800" s="56" t="n">
        <f aca="false">IF(T800=1,IF($B$27&lt;=V800,1,0),0)</f>
        <v>0</v>
      </c>
      <c r="Y800" s="58" t="n">
        <f aca="false">Y799+V800</f>
        <v>113000.408372882</v>
      </c>
    </row>
    <row r="801" customFormat="false" ht="15" hidden="false" customHeight="false" outlineLevel="0" collapsed="false">
      <c r="K801" s="56" t="n">
        <f aca="false">K800+1</f>
        <v>794</v>
      </c>
      <c r="L801" s="57" t="n">
        <f aca="false">IF(AND(K801&lt;=Assumptions!$C$42,L800=1,P800=0,O800&gt;Assumptions!$C$43),1,0)</f>
        <v>0</v>
      </c>
      <c r="M801" s="58" t="n">
        <f aca="false">O800</f>
        <v>8.10541678220034E-009</v>
      </c>
      <c r="N801" s="58" t="n">
        <f aca="false">IF(L801=1,M801*$B$22,0)</f>
        <v>0</v>
      </c>
      <c r="O801" s="58" t="n">
        <f aca="false">IF(L801=1,M801+N801-$B$26,M801)</f>
        <v>8.10541678220034E-009</v>
      </c>
      <c r="P801" s="56" t="n">
        <f aca="false">IF(L801=1,IF($B$26&lt;=N801,1,0),0)</f>
        <v>0</v>
      </c>
      <c r="Q801" s="58" t="n">
        <f aca="false">Q800+N801</f>
        <v>145877.630223336</v>
      </c>
      <c r="S801" s="56" t="n">
        <f aca="false">S800+1</f>
        <v>794</v>
      </c>
      <c r="T801" s="57" t="n">
        <f aca="false">IF(AND(S801&lt;=Assumptions!$C$42,T800=1,X800=0,W800&gt;Assumptions!$C$43),1,0)</f>
        <v>0</v>
      </c>
      <c r="U801" s="58" t="n">
        <f aca="false">W800</f>
        <v>-182.103705036234</v>
      </c>
      <c r="V801" s="58" t="n">
        <f aca="false">IF(T801=1,U801*$B$22,0)</f>
        <v>0</v>
      </c>
      <c r="W801" s="58" t="n">
        <f aca="false">IF(T801=1,U801+V801-$B$27,U801)</f>
        <v>-182.103705036234</v>
      </c>
      <c r="X801" s="56" t="n">
        <f aca="false">IF(T801=1,IF($B$27&lt;=V801,1,0),0)</f>
        <v>0</v>
      </c>
      <c r="Y801" s="58" t="n">
        <f aca="false">Y800+V801</f>
        <v>113000.408372882</v>
      </c>
    </row>
    <row r="802" customFormat="false" ht="15" hidden="false" customHeight="false" outlineLevel="0" collapsed="false">
      <c r="K802" s="56" t="n">
        <f aca="false">K801+1</f>
        <v>795</v>
      </c>
      <c r="L802" s="57" t="n">
        <f aca="false">IF(AND(K802&lt;=Assumptions!$C$42,L801=1,P801=0,O801&gt;Assumptions!$C$43),1,0)</f>
        <v>0</v>
      </c>
      <c r="M802" s="58" t="n">
        <f aca="false">O801</f>
        <v>8.10541678220034E-009</v>
      </c>
      <c r="N802" s="58" t="n">
        <f aca="false">IF(L802=1,M802*$B$22,0)</f>
        <v>0</v>
      </c>
      <c r="O802" s="58" t="n">
        <f aca="false">IF(L802=1,M802+N802-$B$26,M802)</f>
        <v>8.10541678220034E-009</v>
      </c>
      <c r="P802" s="56" t="n">
        <f aca="false">IF(L802=1,IF($B$26&lt;=N802,1,0),0)</f>
        <v>0</v>
      </c>
      <c r="Q802" s="58" t="n">
        <f aca="false">Q801+N802</f>
        <v>145877.630223336</v>
      </c>
      <c r="S802" s="56" t="n">
        <f aca="false">S801+1</f>
        <v>795</v>
      </c>
      <c r="T802" s="57" t="n">
        <f aca="false">IF(AND(S802&lt;=Assumptions!$C$42,T801=1,X801=0,W801&gt;Assumptions!$C$43),1,0)</f>
        <v>0</v>
      </c>
      <c r="U802" s="58" t="n">
        <f aca="false">W801</f>
        <v>-182.103705036234</v>
      </c>
      <c r="V802" s="58" t="n">
        <f aca="false">IF(T802=1,U802*$B$22,0)</f>
        <v>0</v>
      </c>
      <c r="W802" s="58" t="n">
        <f aca="false">IF(T802=1,U802+V802-$B$27,U802)</f>
        <v>-182.103705036234</v>
      </c>
      <c r="X802" s="56" t="n">
        <f aca="false">IF(T802=1,IF($B$27&lt;=V802,1,0),0)</f>
        <v>0</v>
      </c>
      <c r="Y802" s="58" t="n">
        <f aca="false">Y801+V802</f>
        <v>113000.408372882</v>
      </c>
    </row>
    <row r="803" customFormat="false" ht="15" hidden="false" customHeight="false" outlineLevel="0" collapsed="false">
      <c r="K803" s="56" t="n">
        <f aca="false">K802+1</f>
        <v>796</v>
      </c>
      <c r="L803" s="57" t="n">
        <f aca="false">IF(AND(K803&lt;=Assumptions!$C$42,L802=1,P802=0,O802&gt;Assumptions!$C$43),1,0)</f>
        <v>0</v>
      </c>
      <c r="M803" s="58" t="n">
        <f aca="false">O802</f>
        <v>8.10541678220034E-009</v>
      </c>
      <c r="N803" s="58" t="n">
        <f aca="false">IF(L803=1,M803*$B$22,0)</f>
        <v>0</v>
      </c>
      <c r="O803" s="58" t="n">
        <f aca="false">IF(L803=1,M803+N803-$B$26,M803)</f>
        <v>8.10541678220034E-009</v>
      </c>
      <c r="P803" s="56" t="n">
        <f aca="false">IF(L803=1,IF($B$26&lt;=N803,1,0),0)</f>
        <v>0</v>
      </c>
      <c r="Q803" s="58" t="n">
        <f aca="false">Q802+N803</f>
        <v>145877.630223336</v>
      </c>
      <c r="S803" s="56" t="n">
        <f aca="false">S802+1</f>
        <v>796</v>
      </c>
      <c r="T803" s="57" t="n">
        <f aca="false">IF(AND(S803&lt;=Assumptions!$C$42,T802=1,X802=0,W802&gt;Assumptions!$C$43),1,0)</f>
        <v>0</v>
      </c>
      <c r="U803" s="58" t="n">
        <f aca="false">W802</f>
        <v>-182.103705036234</v>
      </c>
      <c r="V803" s="58" t="n">
        <f aca="false">IF(T803=1,U803*$B$22,0)</f>
        <v>0</v>
      </c>
      <c r="W803" s="58" t="n">
        <f aca="false">IF(T803=1,U803+V803-$B$27,U803)</f>
        <v>-182.103705036234</v>
      </c>
      <c r="X803" s="56" t="n">
        <f aca="false">IF(T803=1,IF($B$27&lt;=V803,1,0),0)</f>
        <v>0</v>
      </c>
      <c r="Y803" s="58" t="n">
        <f aca="false">Y802+V803</f>
        <v>113000.408372882</v>
      </c>
    </row>
    <row r="804" customFormat="false" ht="15" hidden="false" customHeight="false" outlineLevel="0" collapsed="false">
      <c r="K804" s="56" t="n">
        <f aca="false">K803+1</f>
        <v>797</v>
      </c>
      <c r="L804" s="57" t="n">
        <f aca="false">IF(AND(K804&lt;=Assumptions!$C$42,L803=1,P803=0,O803&gt;Assumptions!$C$43),1,0)</f>
        <v>0</v>
      </c>
      <c r="M804" s="58" t="n">
        <f aca="false">O803</f>
        <v>8.10541678220034E-009</v>
      </c>
      <c r="N804" s="58" t="n">
        <f aca="false">IF(L804=1,M804*$B$22,0)</f>
        <v>0</v>
      </c>
      <c r="O804" s="58" t="n">
        <f aca="false">IF(L804=1,M804+N804-$B$26,M804)</f>
        <v>8.10541678220034E-009</v>
      </c>
      <c r="P804" s="56" t="n">
        <f aca="false">IF(L804=1,IF($B$26&lt;=N804,1,0),0)</f>
        <v>0</v>
      </c>
      <c r="Q804" s="58" t="n">
        <f aca="false">Q803+N804</f>
        <v>145877.630223336</v>
      </c>
      <c r="S804" s="56" t="n">
        <f aca="false">S803+1</f>
        <v>797</v>
      </c>
      <c r="T804" s="57" t="n">
        <f aca="false">IF(AND(S804&lt;=Assumptions!$C$42,T803=1,X803=0,W803&gt;Assumptions!$C$43),1,0)</f>
        <v>0</v>
      </c>
      <c r="U804" s="58" t="n">
        <f aca="false">W803</f>
        <v>-182.103705036234</v>
      </c>
      <c r="V804" s="58" t="n">
        <f aca="false">IF(T804=1,U804*$B$22,0)</f>
        <v>0</v>
      </c>
      <c r="W804" s="58" t="n">
        <f aca="false">IF(T804=1,U804+V804-$B$27,U804)</f>
        <v>-182.103705036234</v>
      </c>
      <c r="X804" s="56" t="n">
        <f aca="false">IF(T804=1,IF($B$27&lt;=V804,1,0),0)</f>
        <v>0</v>
      </c>
      <c r="Y804" s="58" t="n">
        <f aca="false">Y803+V804</f>
        <v>113000.408372882</v>
      </c>
    </row>
    <row r="805" customFormat="false" ht="15" hidden="false" customHeight="false" outlineLevel="0" collapsed="false">
      <c r="K805" s="56" t="n">
        <f aca="false">K804+1</f>
        <v>798</v>
      </c>
      <c r="L805" s="57" t="n">
        <f aca="false">IF(AND(K805&lt;=Assumptions!$C$42,L804=1,P804=0,O804&gt;Assumptions!$C$43),1,0)</f>
        <v>0</v>
      </c>
      <c r="M805" s="58" t="n">
        <f aca="false">O804</f>
        <v>8.10541678220034E-009</v>
      </c>
      <c r="N805" s="58" t="n">
        <f aca="false">IF(L805=1,M805*$B$22,0)</f>
        <v>0</v>
      </c>
      <c r="O805" s="58" t="n">
        <f aca="false">IF(L805=1,M805+N805-$B$26,M805)</f>
        <v>8.10541678220034E-009</v>
      </c>
      <c r="P805" s="56" t="n">
        <f aca="false">IF(L805=1,IF($B$26&lt;=N805,1,0),0)</f>
        <v>0</v>
      </c>
      <c r="Q805" s="58" t="n">
        <f aca="false">Q804+N805</f>
        <v>145877.630223336</v>
      </c>
      <c r="S805" s="56" t="n">
        <f aca="false">S804+1</f>
        <v>798</v>
      </c>
      <c r="T805" s="57" t="n">
        <f aca="false">IF(AND(S805&lt;=Assumptions!$C$42,T804=1,X804=0,W804&gt;Assumptions!$C$43),1,0)</f>
        <v>0</v>
      </c>
      <c r="U805" s="58" t="n">
        <f aca="false">W804</f>
        <v>-182.103705036234</v>
      </c>
      <c r="V805" s="58" t="n">
        <f aca="false">IF(T805=1,U805*$B$22,0)</f>
        <v>0</v>
      </c>
      <c r="W805" s="58" t="n">
        <f aca="false">IF(T805=1,U805+V805-$B$27,U805)</f>
        <v>-182.103705036234</v>
      </c>
      <c r="X805" s="56" t="n">
        <f aca="false">IF(T805=1,IF($B$27&lt;=V805,1,0),0)</f>
        <v>0</v>
      </c>
      <c r="Y805" s="58" t="n">
        <f aca="false">Y804+V805</f>
        <v>113000.408372882</v>
      </c>
    </row>
    <row r="806" customFormat="false" ht="15" hidden="false" customHeight="false" outlineLevel="0" collapsed="false">
      <c r="K806" s="56" t="n">
        <f aca="false">K805+1</f>
        <v>799</v>
      </c>
      <c r="L806" s="57" t="n">
        <f aca="false">IF(AND(K806&lt;=Assumptions!$C$42,L805=1,P805=0,O805&gt;Assumptions!$C$43),1,0)</f>
        <v>0</v>
      </c>
      <c r="M806" s="58" t="n">
        <f aca="false">O805</f>
        <v>8.10541678220034E-009</v>
      </c>
      <c r="N806" s="58" t="n">
        <f aca="false">IF(L806=1,M806*$B$22,0)</f>
        <v>0</v>
      </c>
      <c r="O806" s="58" t="n">
        <f aca="false">IF(L806=1,M806+N806-$B$26,M806)</f>
        <v>8.10541678220034E-009</v>
      </c>
      <c r="P806" s="56" t="n">
        <f aca="false">IF(L806=1,IF($B$26&lt;=N806,1,0),0)</f>
        <v>0</v>
      </c>
      <c r="Q806" s="58" t="n">
        <f aca="false">Q805+N806</f>
        <v>145877.630223336</v>
      </c>
      <c r="S806" s="56" t="n">
        <f aca="false">S805+1</f>
        <v>799</v>
      </c>
      <c r="T806" s="57" t="n">
        <f aca="false">IF(AND(S806&lt;=Assumptions!$C$42,T805=1,X805=0,W805&gt;Assumptions!$C$43),1,0)</f>
        <v>0</v>
      </c>
      <c r="U806" s="58" t="n">
        <f aca="false">W805</f>
        <v>-182.103705036234</v>
      </c>
      <c r="V806" s="58" t="n">
        <f aca="false">IF(T806=1,U806*$B$22,0)</f>
        <v>0</v>
      </c>
      <c r="W806" s="58" t="n">
        <f aca="false">IF(T806=1,U806+V806-$B$27,U806)</f>
        <v>-182.103705036234</v>
      </c>
      <c r="X806" s="56" t="n">
        <f aca="false">IF(T806=1,IF($B$27&lt;=V806,1,0),0)</f>
        <v>0</v>
      </c>
      <c r="Y806" s="58" t="n">
        <f aca="false">Y805+V806</f>
        <v>113000.408372882</v>
      </c>
    </row>
    <row r="807" customFormat="false" ht="15" hidden="false" customHeight="false" outlineLevel="0" collapsed="false">
      <c r="K807" s="56" t="n">
        <f aca="false">K806+1</f>
        <v>800</v>
      </c>
      <c r="L807" s="57" t="n">
        <f aca="false">IF(AND(K807&lt;=Assumptions!$C$42,L806=1,P806=0,O806&gt;Assumptions!$C$43),1,0)</f>
        <v>0</v>
      </c>
      <c r="M807" s="58" t="n">
        <f aca="false">O806</f>
        <v>8.10541678220034E-009</v>
      </c>
      <c r="N807" s="58" t="n">
        <f aca="false">IF(L807=1,M807*$B$22,0)</f>
        <v>0</v>
      </c>
      <c r="O807" s="58" t="n">
        <f aca="false">IF(L807=1,M807+N807-$B$26,M807)</f>
        <v>8.10541678220034E-009</v>
      </c>
      <c r="P807" s="56" t="n">
        <f aca="false">IF(L807=1,IF($B$26&lt;=N807,1,0),0)</f>
        <v>0</v>
      </c>
      <c r="Q807" s="58" t="n">
        <f aca="false">Q806+N807</f>
        <v>145877.630223336</v>
      </c>
      <c r="S807" s="56" t="n">
        <f aca="false">S806+1</f>
        <v>800</v>
      </c>
      <c r="T807" s="57" t="n">
        <f aca="false">IF(AND(S807&lt;=Assumptions!$C$42,T806=1,X806=0,W806&gt;Assumptions!$C$43),1,0)</f>
        <v>0</v>
      </c>
      <c r="U807" s="58" t="n">
        <f aca="false">W806</f>
        <v>-182.103705036234</v>
      </c>
      <c r="V807" s="58" t="n">
        <f aca="false">IF(T807=1,U807*$B$22,0)</f>
        <v>0</v>
      </c>
      <c r="W807" s="58" t="n">
        <f aca="false">IF(T807=1,U807+V807-$B$27,U807)</f>
        <v>-182.103705036234</v>
      </c>
      <c r="X807" s="56" t="n">
        <f aca="false">IF(T807=1,IF($B$27&lt;=V807,1,0),0)</f>
        <v>0</v>
      </c>
      <c r="Y807" s="58" t="n">
        <f aca="false">Y806+V807</f>
        <v>113000.408372882</v>
      </c>
    </row>
    <row r="808" customFormat="false" ht="15" hidden="false" customHeight="false" outlineLevel="0" collapsed="false">
      <c r="K808" s="56" t="n">
        <f aca="false">K807+1</f>
        <v>801</v>
      </c>
      <c r="L808" s="57" t="n">
        <f aca="false">IF(AND(K808&lt;=Assumptions!$C$42,L807=1,P807=0,O807&gt;Assumptions!$C$43),1,0)</f>
        <v>0</v>
      </c>
      <c r="M808" s="58" t="n">
        <f aca="false">O807</f>
        <v>8.10541678220034E-009</v>
      </c>
      <c r="N808" s="58" t="n">
        <f aca="false">IF(L808=1,M808*$B$22,0)</f>
        <v>0</v>
      </c>
      <c r="O808" s="58" t="n">
        <f aca="false">IF(L808=1,M808+N808-$B$26,M808)</f>
        <v>8.10541678220034E-009</v>
      </c>
      <c r="P808" s="56" t="n">
        <f aca="false">IF(L808=1,IF($B$26&lt;=N808,1,0),0)</f>
        <v>0</v>
      </c>
      <c r="Q808" s="58" t="n">
        <f aca="false">Q807+N808</f>
        <v>145877.630223336</v>
      </c>
      <c r="S808" s="56" t="n">
        <f aca="false">S807+1</f>
        <v>801</v>
      </c>
      <c r="T808" s="57" t="n">
        <f aca="false">IF(AND(S808&lt;=Assumptions!$C$42,T807=1,X807=0,W807&gt;Assumptions!$C$43),1,0)</f>
        <v>0</v>
      </c>
      <c r="U808" s="58" t="n">
        <f aca="false">W807</f>
        <v>-182.103705036234</v>
      </c>
      <c r="V808" s="58" t="n">
        <f aca="false">IF(T808=1,U808*$B$22,0)</f>
        <v>0</v>
      </c>
      <c r="W808" s="58" t="n">
        <f aca="false">IF(T808=1,U808+V808-$B$27,U808)</f>
        <v>-182.103705036234</v>
      </c>
      <c r="X808" s="56" t="n">
        <f aca="false">IF(T808=1,IF($B$27&lt;=V808,1,0),0)</f>
        <v>0</v>
      </c>
      <c r="Y808" s="58" t="n">
        <f aca="false">Y807+V808</f>
        <v>113000.408372882</v>
      </c>
    </row>
    <row r="809" customFormat="false" ht="15" hidden="false" customHeight="false" outlineLevel="0" collapsed="false">
      <c r="K809" s="56" t="n">
        <f aca="false">K808+1</f>
        <v>802</v>
      </c>
      <c r="L809" s="57" t="n">
        <f aca="false">IF(AND(K809&lt;=Assumptions!$C$42,L808=1,P808=0,O808&gt;Assumptions!$C$43),1,0)</f>
        <v>0</v>
      </c>
      <c r="M809" s="58" t="n">
        <f aca="false">O808</f>
        <v>8.10541678220034E-009</v>
      </c>
      <c r="N809" s="58" t="n">
        <f aca="false">IF(L809=1,M809*$B$22,0)</f>
        <v>0</v>
      </c>
      <c r="O809" s="58" t="n">
        <f aca="false">IF(L809=1,M809+N809-$B$26,M809)</f>
        <v>8.10541678220034E-009</v>
      </c>
      <c r="P809" s="56" t="n">
        <f aca="false">IF(L809=1,IF($B$26&lt;=N809,1,0),0)</f>
        <v>0</v>
      </c>
      <c r="Q809" s="58" t="n">
        <f aca="false">Q808+N809</f>
        <v>145877.630223336</v>
      </c>
      <c r="S809" s="56" t="n">
        <f aca="false">S808+1</f>
        <v>802</v>
      </c>
      <c r="T809" s="57" t="n">
        <f aca="false">IF(AND(S809&lt;=Assumptions!$C$42,T808=1,X808=0,W808&gt;Assumptions!$C$43),1,0)</f>
        <v>0</v>
      </c>
      <c r="U809" s="58" t="n">
        <f aca="false">W808</f>
        <v>-182.103705036234</v>
      </c>
      <c r="V809" s="58" t="n">
        <f aca="false">IF(T809=1,U809*$B$22,0)</f>
        <v>0</v>
      </c>
      <c r="W809" s="58" t="n">
        <f aca="false">IF(T809=1,U809+V809-$B$27,U809)</f>
        <v>-182.103705036234</v>
      </c>
      <c r="X809" s="56" t="n">
        <f aca="false">IF(T809=1,IF($B$27&lt;=V809,1,0),0)</f>
        <v>0</v>
      </c>
      <c r="Y809" s="58" t="n">
        <f aca="false">Y808+V809</f>
        <v>113000.408372882</v>
      </c>
    </row>
    <row r="810" customFormat="false" ht="15" hidden="false" customHeight="false" outlineLevel="0" collapsed="false">
      <c r="K810" s="56" t="n">
        <f aca="false">K809+1</f>
        <v>803</v>
      </c>
      <c r="L810" s="57" t="n">
        <f aca="false">IF(AND(K810&lt;=Assumptions!$C$42,L809=1,P809=0,O809&gt;Assumptions!$C$43),1,0)</f>
        <v>0</v>
      </c>
      <c r="M810" s="58" t="n">
        <f aca="false">O809</f>
        <v>8.10541678220034E-009</v>
      </c>
      <c r="N810" s="58" t="n">
        <f aca="false">IF(L810=1,M810*$B$22,0)</f>
        <v>0</v>
      </c>
      <c r="O810" s="58" t="n">
        <f aca="false">IF(L810=1,M810+N810-$B$26,M810)</f>
        <v>8.10541678220034E-009</v>
      </c>
      <c r="P810" s="56" t="n">
        <f aca="false">IF(L810=1,IF($B$26&lt;=N810,1,0),0)</f>
        <v>0</v>
      </c>
      <c r="Q810" s="58" t="n">
        <f aca="false">Q809+N810</f>
        <v>145877.630223336</v>
      </c>
      <c r="S810" s="56" t="n">
        <f aca="false">S809+1</f>
        <v>803</v>
      </c>
      <c r="T810" s="57" t="n">
        <f aca="false">IF(AND(S810&lt;=Assumptions!$C$42,T809=1,X809=0,W809&gt;Assumptions!$C$43),1,0)</f>
        <v>0</v>
      </c>
      <c r="U810" s="58" t="n">
        <f aca="false">W809</f>
        <v>-182.103705036234</v>
      </c>
      <c r="V810" s="58" t="n">
        <f aca="false">IF(T810=1,U810*$B$22,0)</f>
        <v>0</v>
      </c>
      <c r="W810" s="58" t="n">
        <f aca="false">IF(T810=1,U810+V810-$B$27,U810)</f>
        <v>-182.103705036234</v>
      </c>
      <c r="X810" s="56" t="n">
        <f aca="false">IF(T810=1,IF($B$27&lt;=V810,1,0),0)</f>
        <v>0</v>
      </c>
      <c r="Y810" s="58" t="n">
        <f aca="false">Y809+V810</f>
        <v>113000.408372882</v>
      </c>
    </row>
    <row r="811" customFormat="false" ht="15" hidden="false" customHeight="false" outlineLevel="0" collapsed="false">
      <c r="K811" s="56" t="n">
        <f aca="false">K810+1</f>
        <v>804</v>
      </c>
      <c r="L811" s="57" t="n">
        <f aca="false">IF(AND(K811&lt;=Assumptions!$C$42,L810=1,P810=0,O810&gt;Assumptions!$C$43),1,0)</f>
        <v>0</v>
      </c>
      <c r="M811" s="58" t="n">
        <f aca="false">O810</f>
        <v>8.10541678220034E-009</v>
      </c>
      <c r="N811" s="58" t="n">
        <f aca="false">IF(L811=1,M811*$B$22,0)</f>
        <v>0</v>
      </c>
      <c r="O811" s="58" t="n">
        <f aca="false">IF(L811=1,M811+N811-$B$26,M811)</f>
        <v>8.10541678220034E-009</v>
      </c>
      <c r="P811" s="56" t="n">
        <f aca="false">IF(L811=1,IF($B$26&lt;=N811,1,0),0)</f>
        <v>0</v>
      </c>
      <c r="Q811" s="58" t="n">
        <f aca="false">Q810+N811</f>
        <v>145877.630223336</v>
      </c>
      <c r="S811" s="56" t="n">
        <f aca="false">S810+1</f>
        <v>804</v>
      </c>
      <c r="T811" s="57" t="n">
        <f aca="false">IF(AND(S811&lt;=Assumptions!$C$42,T810=1,X810=0,W810&gt;Assumptions!$C$43),1,0)</f>
        <v>0</v>
      </c>
      <c r="U811" s="58" t="n">
        <f aca="false">W810</f>
        <v>-182.103705036234</v>
      </c>
      <c r="V811" s="58" t="n">
        <f aca="false">IF(T811=1,U811*$B$22,0)</f>
        <v>0</v>
      </c>
      <c r="W811" s="58" t="n">
        <f aca="false">IF(T811=1,U811+V811-$B$27,U811)</f>
        <v>-182.103705036234</v>
      </c>
      <c r="X811" s="56" t="n">
        <f aca="false">IF(T811=1,IF($B$27&lt;=V811,1,0),0)</f>
        <v>0</v>
      </c>
      <c r="Y811" s="58" t="n">
        <f aca="false">Y810+V811</f>
        <v>113000.408372882</v>
      </c>
    </row>
    <row r="812" customFormat="false" ht="15" hidden="false" customHeight="false" outlineLevel="0" collapsed="false">
      <c r="K812" s="56" t="n">
        <f aca="false">K811+1</f>
        <v>805</v>
      </c>
      <c r="L812" s="57" t="n">
        <f aca="false">IF(AND(K812&lt;=Assumptions!$C$42,L811=1,P811=0,O811&gt;Assumptions!$C$43),1,0)</f>
        <v>0</v>
      </c>
      <c r="M812" s="58" t="n">
        <f aca="false">O811</f>
        <v>8.10541678220034E-009</v>
      </c>
      <c r="N812" s="58" t="n">
        <f aca="false">IF(L812=1,M812*$B$22,0)</f>
        <v>0</v>
      </c>
      <c r="O812" s="58" t="n">
        <f aca="false">IF(L812=1,M812+N812-$B$26,M812)</f>
        <v>8.10541678220034E-009</v>
      </c>
      <c r="P812" s="56" t="n">
        <f aca="false">IF(L812=1,IF($B$26&lt;=N812,1,0),0)</f>
        <v>0</v>
      </c>
      <c r="Q812" s="58" t="n">
        <f aca="false">Q811+N812</f>
        <v>145877.630223336</v>
      </c>
      <c r="S812" s="56" t="n">
        <f aca="false">S811+1</f>
        <v>805</v>
      </c>
      <c r="T812" s="57" t="n">
        <f aca="false">IF(AND(S812&lt;=Assumptions!$C$42,T811=1,X811=0,W811&gt;Assumptions!$C$43),1,0)</f>
        <v>0</v>
      </c>
      <c r="U812" s="58" t="n">
        <f aca="false">W811</f>
        <v>-182.103705036234</v>
      </c>
      <c r="V812" s="58" t="n">
        <f aca="false">IF(T812=1,U812*$B$22,0)</f>
        <v>0</v>
      </c>
      <c r="W812" s="58" t="n">
        <f aca="false">IF(T812=1,U812+V812-$B$27,U812)</f>
        <v>-182.103705036234</v>
      </c>
      <c r="X812" s="56" t="n">
        <f aca="false">IF(T812=1,IF($B$27&lt;=V812,1,0),0)</f>
        <v>0</v>
      </c>
      <c r="Y812" s="58" t="n">
        <f aca="false">Y811+V812</f>
        <v>113000.408372882</v>
      </c>
    </row>
    <row r="813" customFormat="false" ht="15" hidden="false" customHeight="false" outlineLevel="0" collapsed="false">
      <c r="K813" s="56" t="n">
        <f aca="false">K812+1</f>
        <v>806</v>
      </c>
      <c r="L813" s="57" t="n">
        <f aca="false">IF(AND(K813&lt;=Assumptions!$C$42,L812=1,P812=0,O812&gt;Assumptions!$C$43),1,0)</f>
        <v>0</v>
      </c>
      <c r="M813" s="58" t="n">
        <f aca="false">O812</f>
        <v>8.10541678220034E-009</v>
      </c>
      <c r="N813" s="58" t="n">
        <f aca="false">IF(L813=1,M813*$B$22,0)</f>
        <v>0</v>
      </c>
      <c r="O813" s="58" t="n">
        <f aca="false">IF(L813=1,M813+N813-$B$26,M813)</f>
        <v>8.10541678220034E-009</v>
      </c>
      <c r="P813" s="56" t="n">
        <f aca="false">IF(L813=1,IF($B$26&lt;=N813,1,0),0)</f>
        <v>0</v>
      </c>
      <c r="Q813" s="58" t="n">
        <f aca="false">Q812+N813</f>
        <v>145877.630223336</v>
      </c>
      <c r="S813" s="56" t="n">
        <f aca="false">S812+1</f>
        <v>806</v>
      </c>
      <c r="T813" s="57" t="n">
        <f aca="false">IF(AND(S813&lt;=Assumptions!$C$42,T812=1,X812=0,W812&gt;Assumptions!$C$43),1,0)</f>
        <v>0</v>
      </c>
      <c r="U813" s="58" t="n">
        <f aca="false">W812</f>
        <v>-182.103705036234</v>
      </c>
      <c r="V813" s="58" t="n">
        <f aca="false">IF(T813=1,U813*$B$22,0)</f>
        <v>0</v>
      </c>
      <c r="W813" s="58" t="n">
        <f aca="false">IF(T813=1,U813+V813-$B$27,U813)</f>
        <v>-182.103705036234</v>
      </c>
      <c r="X813" s="56" t="n">
        <f aca="false">IF(T813=1,IF($B$27&lt;=V813,1,0),0)</f>
        <v>0</v>
      </c>
      <c r="Y813" s="58" t="n">
        <f aca="false">Y812+V813</f>
        <v>113000.408372882</v>
      </c>
    </row>
    <row r="814" customFormat="false" ht="15" hidden="false" customHeight="false" outlineLevel="0" collapsed="false">
      <c r="K814" s="56" t="n">
        <f aca="false">K813+1</f>
        <v>807</v>
      </c>
      <c r="L814" s="57" t="n">
        <f aca="false">IF(AND(K814&lt;=Assumptions!$C$42,L813=1,P813=0,O813&gt;Assumptions!$C$43),1,0)</f>
        <v>0</v>
      </c>
      <c r="M814" s="58" t="n">
        <f aca="false">O813</f>
        <v>8.10541678220034E-009</v>
      </c>
      <c r="N814" s="58" t="n">
        <f aca="false">IF(L814=1,M814*$B$22,0)</f>
        <v>0</v>
      </c>
      <c r="O814" s="58" t="n">
        <f aca="false">IF(L814=1,M814+N814-$B$26,M814)</f>
        <v>8.10541678220034E-009</v>
      </c>
      <c r="P814" s="56" t="n">
        <f aca="false">IF(L814=1,IF($B$26&lt;=N814,1,0),0)</f>
        <v>0</v>
      </c>
      <c r="Q814" s="58" t="n">
        <f aca="false">Q813+N814</f>
        <v>145877.630223336</v>
      </c>
      <c r="S814" s="56" t="n">
        <f aca="false">S813+1</f>
        <v>807</v>
      </c>
      <c r="T814" s="57" t="n">
        <f aca="false">IF(AND(S814&lt;=Assumptions!$C$42,T813=1,X813=0,W813&gt;Assumptions!$C$43),1,0)</f>
        <v>0</v>
      </c>
      <c r="U814" s="58" t="n">
        <f aca="false">W813</f>
        <v>-182.103705036234</v>
      </c>
      <c r="V814" s="58" t="n">
        <f aca="false">IF(T814=1,U814*$B$22,0)</f>
        <v>0</v>
      </c>
      <c r="W814" s="58" t="n">
        <f aca="false">IF(T814=1,U814+V814-$B$27,U814)</f>
        <v>-182.103705036234</v>
      </c>
      <c r="X814" s="56" t="n">
        <f aca="false">IF(T814=1,IF($B$27&lt;=V814,1,0),0)</f>
        <v>0</v>
      </c>
      <c r="Y814" s="58" t="n">
        <f aca="false">Y813+V814</f>
        <v>113000.408372882</v>
      </c>
    </row>
    <row r="815" customFormat="false" ht="15" hidden="false" customHeight="false" outlineLevel="0" collapsed="false">
      <c r="K815" s="56" t="n">
        <f aca="false">K814+1</f>
        <v>808</v>
      </c>
      <c r="L815" s="57" t="n">
        <f aca="false">IF(AND(K815&lt;=Assumptions!$C$42,L814=1,P814=0,O814&gt;Assumptions!$C$43),1,0)</f>
        <v>0</v>
      </c>
      <c r="M815" s="58" t="n">
        <f aca="false">O814</f>
        <v>8.10541678220034E-009</v>
      </c>
      <c r="N815" s="58" t="n">
        <f aca="false">IF(L815=1,M815*$B$22,0)</f>
        <v>0</v>
      </c>
      <c r="O815" s="58" t="n">
        <f aca="false">IF(L815=1,M815+N815-$B$26,M815)</f>
        <v>8.10541678220034E-009</v>
      </c>
      <c r="P815" s="56" t="n">
        <f aca="false">IF(L815=1,IF($B$26&lt;=N815,1,0),0)</f>
        <v>0</v>
      </c>
      <c r="Q815" s="58" t="n">
        <f aca="false">Q814+N815</f>
        <v>145877.630223336</v>
      </c>
      <c r="S815" s="56" t="n">
        <f aca="false">S814+1</f>
        <v>808</v>
      </c>
      <c r="T815" s="57" t="n">
        <f aca="false">IF(AND(S815&lt;=Assumptions!$C$42,T814=1,X814=0,W814&gt;Assumptions!$C$43),1,0)</f>
        <v>0</v>
      </c>
      <c r="U815" s="58" t="n">
        <f aca="false">W814</f>
        <v>-182.103705036234</v>
      </c>
      <c r="V815" s="58" t="n">
        <f aca="false">IF(T815=1,U815*$B$22,0)</f>
        <v>0</v>
      </c>
      <c r="W815" s="58" t="n">
        <f aca="false">IF(T815=1,U815+V815-$B$27,U815)</f>
        <v>-182.103705036234</v>
      </c>
      <c r="X815" s="56" t="n">
        <f aca="false">IF(T815=1,IF($B$27&lt;=V815,1,0),0)</f>
        <v>0</v>
      </c>
      <c r="Y815" s="58" t="n">
        <f aca="false">Y814+V815</f>
        <v>113000.408372882</v>
      </c>
    </row>
    <row r="816" customFormat="false" ht="15" hidden="false" customHeight="false" outlineLevel="0" collapsed="false">
      <c r="K816" s="56" t="n">
        <f aca="false">K815+1</f>
        <v>809</v>
      </c>
      <c r="L816" s="57" t="n">
        <f aca="false">IF(AND(K816&lt;=Assumptions!$C$42,L815=1,P815=0,O815&gt;Assumptions!$C$43),1,0)</f>
        <v>0</v>
      </c>
      <c r="M816" s="58" t="n">
        <f aca="false">O815</f>
        <v>8.10541678220034E-009</v>
      </c>
      <c r="N816" s="58" t="n">
        <f aca="false">IF(L816=1,M816*$B$22,0)</f>
        <v>0</v>
      </c>
      <c r="O816" s="58" t="n">
        <f aca="false">IF(L816=1,M816+N816-$B$26,M816)</f>
        <v>8.10541678220034E-009</v>
      </c>
      <c r="P816" s="56" t="n">
        <f aca="false">IF(L816=1,IF($B$26&lt;=N816,1,0),0)</f>
        <v>0</v>
      </c>
      <c r="Q816" s="58" t="n">
        <f aca="false">Q815+N816</f>
        <v>145877.630223336</v>
      </c>
      <c r="S816" s="56" t="n">
        <f aca="false">S815+1</f>
        <v>809</v>
      </c>
      <c r="T816" s="57" t="n">
        <f aca="false">IF(AND(S816&lt;=Assumptions!$C$42,T815=1,X815=0,W815&gt;Assumptions!$C$43),1,0)</f>
        <v>0</v>
      </c>
      <c r="U816" s="58" t="n">
        <f aca="false">W815</f>
        <v>-182.103705036234</v>
      </c>
      <c r="V816" s="58" t="n">
        <f aca="false">IF(T816=1,U816*$B$22,0)</f>
        <v>0</v>
      </c>
      <c r="W816" s="58" t="n">
        <f aca="false">IF(T816=1,U816+V816-$B$27,U816)</f>
        <v>-182.103705036234</v>
      </c>
      <c r="X816" s="56" t="n">
        <f aca="false">IF(T816=1,IF($B$27&lt;=V816,1,0),0)</f>
        <v>0</v>
      </c>
      <c r="Y816" s="58" t="n">
        <f aca="false">Y815+V816</f>
        <v>113000.408372882</v>
      </c>
    </row>
    <row r="817" customFormat="false" ht="15" hidden="false" customHeight="false" outlineLevel="0" collapsed="false">
      <c r="K817" s="56" t="n">
        <f aca="false">K816+1</f>
        <v>810</v>
      </c>
      <c r="L817" s="57" t="n">
        <f aca="false">IF(AND(K817&lt;=Assumptions!$C$42,L816=1,P816=0,O816&gt;Assumptions!$C$43),1,0)</f>
        <v>0</v>
      </c>
      <c r="M817" s="58" t="n">
        <f aca="false">O816</f>
        <v>8.10541678220034E-009</v>
      </c>
      <c r="N817" s="58" t="n">
        <f aca="false">IF(L817=1,M817*$B$22,0)</f>
        <v>0</v>
      </c>
      <c r="O817" s="58" t="n">
        <f aca="false">IF(L817=1,M817+N817-$B$26,M817)</f>
        <v>8.10541678220034E-009</v>
      </c>
      <c r="P817" s="56" t="n">
        <f aca="false">IF(L817=1,IF($B$26&lt;=N817,1,0),0)</f>
        <v>0</v>
      </c>
      <c r="Q817" s="58" t="n">
        <f aca="false">Q816+N817</f>
        <v>145877.630223336</v>
      </c>
      <c r="S817" s="56" t="n">
        <f aca="false">S816+1</f>
        <v>810</v>
      </c>
      <c r="T817" s="57" t="n">
        <f aca="false">IF(AND(S817&lt;=Assumptions!$C$42,T816=1,X816=0,W816&gt;Assumptions!$C$43),1,0)</f>
        <v>0</v>
      </c>
      <c r="U817" s="58" t="n">
        <f aca="false">W816</f>
        <v>-182.103705036234</v>
      </c>
      <c r="V817" s="58" t="n">
        <f aca="false">IF(T817=1,U817*$B$22,0)</f>
        <v>0</v>
      </c>
      <c r="W817" s="58" t="n">
        <f aca="false">IF(T817=1,U817+V817-$B$27,U817)</f>
        <v>-182.103705036234</v>
      </c>
      <c r="X817" s="56" t="n">
        <f aca="false">IF(T817=1,IF($B$27&lt;=V817,1,0),0)</f>
        <v>0</v>
      </c>
      <c r="Y817" s="58" t="n">
        <f aca="false">Y816+V817</f>
        <v>113000.408372882</v>
      </c>
    </row>
    <row r="818" customFormat="false" ht="15" hidden="false" customHeight="false" outlineLevel="0" collapsed="false">
      <c r="K818" s="56" t="n">
        <f aca="false">K817+1</f>
        <v>811</v>
      </c>
      <c r="L818" s="57" t="n">
        <f aca="false">IF(AND(K818&lt;=Assumptions!$C$42,L817=1,P817=0,O817&gt;Assumptions!$C$43),1,0)</f>
        <v>0</v>
      </c>
      <c r="M818" s="58" t="n">
        <f aca="false">O817</f>
        <v>8.10541678220034E-009</v>
      </c>
      <c r="N818" s="58" t="n">
        <f aca="false">IF(L818=1,M818*$B$22,0)</f>
        <v>0</v>
      </c>
      <c r="O818" s="58" t="n">
        <f aca="false">IF(L818=1,M818+N818-$B$26,M818)</f>
        <v>8.10541678220034E-009</v>
      </c>
      <c r="P818" s="56" t="n">
        <f aca="false">IF(L818=1,IF($B$26&lt;=N818,1,0),0)</f>
        <v>0</v>
      </c>
      <c r="Q818" s="58" t="n">
        <f aca="false">Q817+N818</f>
        <v>145877.630223336</v>
      </c>
      <c r="S818" s="56" t="n">
        <f aca="false">S817+1</f>
        <v>811</v>
      </c>
      <c r="T818" s="57" t="n">
        <f aca="false">IF(AND(S818&lt;=Assumptions!$C$42,T817=1,X817=0,W817&gt;Assumptions!$C$43),1,0)</f>
        <v>0</v>
      </c>
      <c r="U818" s="58" t="n">
        <f aca="false">W817</f>
        <v>-182.103705036234</v>
      </c>
      <c r="V818" s="58" t="n">
        <f aca="false">IF(T818=1,U818*$B$22,0)</f>
        <v>0</v>
      </c>
      <c r="W818" s="58" t="n">
        <f aca="false">IF(T818=1,U818+V818-$B$27,U818)</f>
        <v>-182.103705036234</v>
      </c>
      <c r="X818" s="56" t="n">
        <f aca="false">IF(T818=1,IF($B$27&lt;=V818,1,0),0)</f>
        <v>0</v>
      </c>
      <c r="Y818" s="58" t="n">
        <f aca="false">Y817+V818</f>
        <v>113000.408372882</v>
      </c>
    </row>
    <row r="819" customFormat="false" ht="15" hidden="false" customHeight="false" outlineLevel="0" collapsed="false">
      <c r="K819" s="56" t="n">
        <f aca="false">K818+1</f>
        <v>812</v>
      </c>
      <c r="L819" s="57" t="n">
        <f aca="false">IF(AND(K819&lt;=Assumptions!$C$42,L818=1,P818=0,O818&gt;Assumptions!$C$43),1,0)</f>
        <v>0</v>
      </c>
      <c r="M819" s="58" t="n">
        <f aca="false">O818</f>
        <v>8.10541678220034E-009</v>
      </c>
      <c r="N819" s="58" t="n">
        <f aca="false">IF(L819=1,M819*$B$22,0)</f>
        <v>0</v>
      </c>
      <c r="O819" s="58" t="n">
        <f aca="false">IF(L819=1,M819+N819-$B$26,M819)</f>
        <v>8.10541678220034E-009</v>
      </c>
      <c r="P819" s="56" t="n">
        <f aca="false">IF(L819=1,IF($B$26&lt;=N819,1,0),0)</f>
        <v>0</v>
      </c>
      <c r="Q819" s="58" t="n">
        <f aca="false">Q818+N819</f>
        <v>145877.630223336</v>
      </c>
      <c r="S819" s="56" t="n">
        <f aca="false">S818+1</f>
        <v>812</v>
      </c>
      <c r="T819" s="57" t="n">
        <f aca="false">IF(AND(S819&lt;=Assumptions!$C$42,T818=1,X818=0,W818&gt;Assumptions!$C$43),1,0)</f>
        <v>0</v>
      </c>
      <c r="U819" s="58" t="n">
        <f aca="false">W818</f>
        <v>-182.103705036234</v>
      </c>
      <c r="V819" s="58" t="n">
        <f aca="false">IF(T819=1,U819*$B$22,0)</f>
        <v>0</v>
      </c>
      <c r="W819" s="58" t="n">
        <f aca="false">IF(T819=1,U819+V819-$B$27,U819)</f>
        <v>-182.103705036234</v>
      </c>
      <c r="X819" s="56" t="n">
        <f aca="false">IF(T819=1,IF($B$27&lt;=V819,1,0),0)</f>
        <v>0</v>
      </c>
      <c r="Y819" s="58" t="n">
        <f aca="false">Y818+V819</f>
        <v>113000.408372882</v>
      </c>
    </row>
    <row r="820" customFormat="false" ht="15" hidden="false" customHeight="false" outlineLevel="0" collapsed="false">
      <c r="K820" s="56" t="n">
        <f aca="false">K819+1</f>
        <v>813</v>
      </c>
      <c r="L820" s="57" t="n">
        <f aca="false">IF(AND(K820&lt;=Assumptions!$C$42,L819=1,P819=0,O819&gt;Assumptions!$C$43),1,0)</f>
        <v>0</v>
      </c>
      <c r="M820" s="58" t="n">
        <f aca="false">O819</f>
        <v>8.10541678220034E-009</v>
      </c>
      <c r="N820" s="58" t="n">
        <f aca="false">IF(L820=1,M820*$B$22,0)</f>
        <v>0</v>
      </c>
      <c r="O820" s="58" t="n">
        <f aca="false">IF(L820=1,M820+N820-$B$26,M820)</f>
        <v>8.10541678220034E-009</v>
      </c>
      <c r="P820" s="56" t="n">
        <f aca="false">IF(L820=1,IF($B$26&lt;=N820,1,0),0)</f>
        <v>0</v>
      </c>
      <c r="Q820" s="58" t="n">
        <f aca="false">Q819+N820</f>
        <v>145877.630223336</v>
      </c>
      <c r="S820" s="56" t="n">
        <f aca="false">S819+1</f>
        <v>813</v>
      </c>
      <c r="T820" s="57" t="n">
        <f aca="false">IF(AND(S820&lt;=Assumptions!$C$42,T819=1,X819=0,W819&gt;Assumptions!$C$43),1,0)</f>
        <v>0</v>
      </c>
      <c r="U820" s="58" t="n">
        <f aca="false">W819</f>
        <v>-182.103705036234</v>
      </c>
      <c r="V820" s="58" t="n">
        <f aca="false">IF(T820=1,U820*$B$22,0)</f>
        <v>0</v>
      </c>
      <c r="W820" s="58" t="n">
        <f aca="false">IF(T820=1,U820+V820-$B$27,U820)</f>
        <v>-182.103705036234</v>
      </c>
      <c r="X820" s="56" t="n">
        <f aca="false">IF(T820=1,IF($B$27&lt;=V820,1,0),0)</f>
        <v>0</v>
      </c>
      <c r="Y820" s="58" t="n">
        <f aca="false">Y819+V820</f>
        <v>113000.408372882</v>
      </c>
    </row>
    <row r="821" customFormat="false" ht="15" hidden="false" customHeight="false" outlineLevel="0" collapsed="false">
      <c r="K821" s="56" t="n">
        <f aca="false">K820+1</f>
        <v>814</v>
      </c>
      <c r="L821" s="57" t="n">
        <f aca="false">IF(AND(K821&lt;=Assumptions!$C$42,L820=1,P820=0,O820&gt;Assumptions!$C$43),1,0)</f>
        <v>0</v>
      </c>
      <c r="M821" s="58" t="n">
        <f aca="false">O820</f>
        <v>8.10541678220034E-009</v>
      </c>
      <c r="N821" s="58" t="n">
        <f aca="false">IF(L821=1,M821*$B$22,0)</f>
        <v>0</v>
      </c>
      <c r="O821" s="58" t="n">
        <f aca="false">IF(L821=1,M821+N821-$B$26,M821)</f>
        <v>8.10541678220034E-009</v>
      </c>
      <c r="P821" s="56" t="n">
        <f aca="false">IF(L821=1,IF($B$26&lt;=N821,1,0),0)</f>
        <v>0</v>
      </c>
      <c r="Q821" s="58" t="n">
        <f aca="false">Q820+N821</f>
        <v>145877.630223336</v>
      </c>
      <c r="S821" s="56" t="n">
        <f aca="false">S820+1</f>
        <v>814</v>
      </c>
      <c r="T821" s="57" t="n">
        <f aca="false">IF(AND(S821&lt;=Assumptions!$C$42,T820=1,X820=0,W820&gt;Assumptions!$C$43),1,0)</f>
        <v>0</v>
      </c>
      <c r="U821" s="58" t="n">
        <f aca="false">W820</f>
        <v>-182.103705036234</v>
      </c>
      <c r="V821" s="58" t="n">
        <f aca="false">IF(T821=1,U821*$B$22,0)</f>
        <v>0</v>
      </c>
      <c r="W821" s="58" t="n">
        <f aca="false">IF(T821=1,U821+V821-$B$27,U821)</f>
        <v>-182.103705036234</v>
      </c>
      <c r="X821" s="56" t="n">
        <f aca="false">IF(T821=1,IF($B$27&lt;=V821,1,0),0)</f>
        <v>0</v>
      </c>
      <c r="Y821" s="58" t="n">
        <f aca="false">Y820+V821</f>
        <v>113000.408372882</v>
      </c>
    </row>
    <row r="822" customFormat="false" ht="15" hidden="false" customHeight="false" outlineLevel="0" collapsed="false">
      <c r="K822" s="56" t="n">
        <f aca="false">K821+1</f>
        <v>815</v>
      </c>
      <c r="L822" s="57" t="n">
        <f aca="false">IF(AND(K822&lt;=Assumptions!$C$42,L821=1,P821=0,O821&gt;Assumptions!$C$43),1,0)</f>
        <v>0</v>
      </c>
      <c r="M822" s="58" t="n">
        <f aca="false">O821</f>
        <v>8.10541678220034E-009</v>
      </c>
      <c r="N822" s="58" t="n">
        <f aca="false">IF(L822=1,M822*$B$22,0)</f>
        <v>0</v>
      </c>
      <c r="O822" s="58" t="n">
        <f aca="false">IF(L822=1,M822+N822-$B$26,M822)</f>
        <v>8.10541678220034E-009</v>
      </c>
      <c r="P822" s="56" t="n">
        <f aca="false">IF(L822=1,IF($B$26&lt;=N822,1,0),0)</f>
        <v>0</v>
      </c>
      <c r="Q822" s="58" t="n">
        <f aca="false">Q821+N822</f>
        <v>145877.630223336</v>
      </c>
      <c r="S822" s="56" t="n">
        <f aca="false">S821+1</f>
        <v>815</v>
      </c>
      <c r="T822" s="57" t="n">
        <f aca="false">IF(AND(S822&lt;=Assumptions!$C$42,T821=1,X821=0,W821&gt;Assumptions!$C$43),1,0)</f>
        <v>0</v>
      </c>
      <c r="U822" s="58" t="n">
        <f aca="false">W821</f>
        <v>-182.103705036234</v>
      </c>
      <c r="V822" s="58" t="n">
        <f aca="false">IF(T822=1,U822*$B$22,0)</f>
        <v>0</v>
      </c>
      <c r="W822" s="58" t="n">
        <f aca="false">IF(T822=1,U822+V822-$B$27,U822)</f>
        <v>-182.103705036234</v>
      </c>
      <c r="X822" s="56" t="n">
        <f aca="false">IF(T822=1,IF($B$27&lt;=V822,1,0),0)</f>
        <v>0</v>
      </c>
      <c r="Y822" s="58" t="n">
        <f aca="false">Y821+V822</f>
        <v>113000.408372882</v>
      </c>
    </row>
    <row r="823" customFormat="false" ht="15" hidden="false" customHeight="false" outlineLevel="0" collapsed="false">
      <c r="K823" s="56" t="n">
        <f aca="false">K822+1</f>
        <v>816</v>
      </c>
      <c r="L823" s="57" t="n">
        <f aca="false">IF(AND(K823&lt;=Assumptions!$C$42,L822=1,P822=0,O822&gt;Assumptions!$C$43),1,0)</f>
        <v>0</v>
      </c>
      <c r="M823" s="58" t="n">
        <f aca="false">O822</f>
        <v>8.10541678220034E-009</v>
      </c>
      <c r="N823" s="58" t="n">
        <f aca="false">IF(L823=1,M823*$B$22,0)</f>
        <v>0</v>
      </c>
      <c r="O823" s="58" t="n">
        <f aca="false">IF(L823=1,M823+N823-$B$26,M823)</f>
        <v>8.10541678220034E-009</v>
      </c>
      <c r="P823" s="56" t="n">
        <f aca="false">IF(L823=1,IF($B$26&lt;=N823,1,0),0)</f>
        <v>0</v>
      </c>
      <c r="Q823" s="58" t="n">
        <f aca="false">Q822+N823</f>
        <v>145877.630223336</v>
      </c>
      <c r="S823" s="56" t="n">
        <f aca="false">S822+1</f>
        <v>816</v>
      </c>
      <c r="T823" s="57" t="n">
        <f aca="false">IF(AND(S823&lt;=Assumptions!$C$42,T822=1,X822=0,W822&gt;Assumptions!$C$43),1,0)</f>
        <v>0</v>
      </c>
      <c r="U823" s="58" t="n">
        <f aca="false">W822</f>
        <v>-182.103705036234</v>
      </c>
      <c r="V823" s="58" t="n">
        <f aca="false">IF(T823=1,U823*$B$22,0)</f>
        <v>0</v>
      </c>
      <c r="W823" s="58" t="n">
        <f aca="false">IF(T823=1,U823+V823-$B$27,U823)</f>
        <v>-182.103705036234</v>
      </c>
      <c r="X823" s="56" t="n">
        <f aca="false">IF(T823=1,IF($B$27&lt;=V823,1,0),0)</f>
        <v>0</v>
      </c>
      <c r="Y823" s="58" t="n">
        <f aca="false">Y822+V823</f>
        <v>113000.408372882</v>
      </c>
    </row>
    <row r="824" customFormat="false" ht="15" hidden="false" customHeight="false" outlineLevel="0" collapsed="false">
      <c r="K824" s="56" t="n">
        <f aca="false">K823+1</f>
        <v>817</v>
      </c>
      <c r="L824" s="57" t="n">
        <f aca="false">IF(AND(K824&lt;=Assumptions!$C$42,L823=1,P823=0,O823&gt;Assumptions!$C$43),1,0)</f>
        <v>0</v>
      </c>
      <c r="M824" s="58" t="n">
        <f aca="false">O823</f>
        <v>8.10541678220034E-009</v>
      </c>
      <c r="N824" s="58" t="n">
        <f aca="false">IF(L824=1,M824*$B$22,0)</f>
        <v>0</v>
      </c>
      <c r="O824" s="58" t="n">
        <f aca="false">IF(L824=1,M824+N824-$B$26,M824)</f>
        <v>8.10541678220034E-009</v>
      </c>
      <c r="P824" s="56" t="n">
        <f aca="false">IF(L824=1,IF($B$26&lt;=N824,1,0),0)</f>
        <v>0</v>
      </c>
      <c r="Q824" s="58" t="n">
        <f aca="false">Q823+N824</f>
        <v>145877.630223336</v>
      </c>
      <c r="S824" s="56" t="n">
        <f aca="false">S823+1</f>
        <v>817</v>
      </c>
      <c r="T824" s="57" t="n">
        <f aca="false">IF(AND(S824&lt;=Assumptions!$C$42,T823=1,X823=0,W823&gt;Assumptions!$C$43),1,0)</f>
        <v>0</v>
      </c>
      <c r="U824" s="58" t="n">
        <f aca="false">W823</f>
        <v>-182.103705036234</v>
      </c>
      <c r="V824" s="58" t="n">
        <f aca="false">IF(T824=1,U824*$B$22,0)</f>
        <v>0</v>
      </c>
      <c r="W824" s="58" t="n">
        <f aca="false">IF(T824=1,U824+V824-$B$27,U824)</f>
        <v>-182.103705036234</v>
      </c>
      <c r="X824" s="56" t="n">
        <f aca="false">IF(T824=1,IF($B$27&lt;=V824,1,0),0)</f>
        <v>0</v>
      </c>
      <c r="Y824" s="58" t="n">
        <f aca="false">Y823+V824</f>
        <v>113000.408372882</v>
      </c>
    </row>
    <row r="825" customFormat="false" ht="15" hidden="false" customHeight="false" outlineLevel="0" collapsed="false">
      <c r="K825" s="56" t="n">
        <f aca="false">K824+1</f>
        <v>818</v>
      </c>
      <c r="L825" s="57" t="n">
        <f aca="false">IF(AND(K825&lt;=Assumptions!$C$42,L824=1,P824=0,O824&gt;Assumptions!$C$43),1,0)</f>
        <v>0</v>
      </c>
      <c r="M825" s="58" t="n">
        <f aca="false">O824</f>
        <v>8.10541678220034E-009</v>
      </c>
      <c r="N825" s="58" t="n">
        <f aca="false">IF(L825=1,M825*$B$22,0)</f>
        <v>0</v>
      </c>
      <c r="O825" s="58" t="n">
        <f aca="false">IF(L825=1,M825+N825-$B$26,M825)</f>
        <v>8.10541678220034E-009</v>
      </c>
      <c r="P825" s="56" t="n">
        <f aca="false">IF(L825=1,IF($B$26&lt;=N825,1,0),0)</f>
        <v>0</v>
      </c>
      <c r="Q825" s="58" t="n">
        <f aca="false">Q824+N825</f>
        <v>145877.630223336</v>
      </c>
      <c r="S825" s="56" t="n">
        <f aca="false">S824+1</f>
        <v>818</v>
      </c>
      <c r="T825" s="57" t="n">
        <f aca="false">IF(AND(S825&lt;=Assumptions!$C$42,T824=1,X824=0,W824&gt;Assumptions!$C$43),1,0)</f>
        <v>0</v>
      </c>
      <c r="U825" s="58" t="n">
        <f aca="false">W824</f>
        <v>-182.103705036234</v>
      </c>
      <c r="V825" s="58" t="n">
        <f aca="false">IF(T825=1,U825*$B$22,0)</f>
        <v>0</v>
      </c>
      <c r="W825" s="58" t="n">
        <f aca="false">IF(T825=1,U825+V825-$B$27,U825)</f>
        <v>-182.103705036234</v>
      </c>
      <c r="X825" s="56" t="n">
        <f aca="false">IF(T825=1,IF($B$27&lt;=V825,1,0),0)</f>
        <v>0</v>
      </c>
      <c r="Y825" s="58" t="n">
        <f aca="false">Y824+V825</f>
        <v>113000.408372882</v>
      </c>
    </row>
    <row r="826" customFormat="false" ht="15" hidden="false" customHeight="false" outlineLevel="0" collapsed="false">
      <c r="K826" s="56" t="n">
        <f aca="false">K825+1</f>
        <v>819</v>
      </c>
      <c r="L826" s="57" t="n">
        <f aca="false">IF(AND(K826&lt;=Assumptions!$C$42,L825=1,P825=0,O825&gt;Assumptions!$C$43),1,0)</f>
        <v>0</v>
      </c>
      <c r="M826" s="58" t="n">
        <f aca="false">O825</f>
        <v>8.10541678220034E-009</v>
      </c>
      <c r="N826" s="58" t="n">
        <f aca="false">IF(L826=1,M826*$B$22,0)</f>
        <v>0</v>
      </c>
      <c r="O826" s="58" t="n">
        <f aca="false">IF(L826=1,M826+N826-$B$26,M826)</f>
        <v>8.10541678220034E-009</v>
      </c>
      <c r="P826" s="56" t="n">
        <f aca="false">IF(L826=1,IF($B$26&lt;=N826,1,0),0)</f>
        <v>0</v>
      </c>
      <c r="Q826" s="58" t="n">
        <f aca="false">Q825+N826</f>
        <v>145877.630223336</v>
      </c>
      <c r="S826" s="56" t="n">
        <f aca="false">S825+1</f>
        <v>819</v>
      </c>
      <c r="T826" s="57" t="n">
        <f aca="false">IF(AND(S826&lt;=Assumptions!$C$42,T825=1,X825=0,W825&gt;Assumptions!$C$43),1,0)</f>
        <v>0</v>
      </c>
      <c r="U826" s="58" t="n">
        <f aca="false">W825</f>
        <v>-182.103705036234</v>
      </c>
      <c r="V826" s="58" t="n">
        <f aca="false">IF(T826=1,U826*$B$22,0)</f>
        <v>0</v>
      </c>
      <c r="W826" s="58" t="n">
        <f aca="false">IF(T826=1,U826+V826-$B$27,U826)</f>
        <v>-182.103705036234</v>
      </c>
      <c r="X826" s="56" t="n">
        <f aca="false">IF(T826=1,IF($B$27&lt;=V826,1,0),0)</f>
        <v>0</v>
      </c>
      <c r="Y826" s="58" t="n">
        <f aca="false">Y825+V826</f>
        <v>113000.408372882</v>
      </c>
    </row>
    <row r="827" customFormat="false" ht="15" hidden="false" customHeight="false" outlineLevel="0" collapsed="false">
      <c r="K827" s="56" t="n">
        <f aca="false">K826+1</f>
        <v>820</v>
      </c>
      <c r="L827" s="57" t="n">
        <f aca="false">IF(AND(K827&lt;=Assumptions!$C$42,L826=1,P826=0,O826&gt;Assumptions!$C$43),1,0)</f>
        <v>0</v>
      </c>
      <c r="M827" s="58" t="n">
        <f aca="false">O826</f>
        <v>8.10541678220034E-009</v>
      </c>
      <c r="N827" s="58" t="n">
        <f aca="false">IF(L827=1,M827*$B$22,0)</f>
        <v>0</v>
      </c>
      <c r="O827" s="58" t="n">
        <f aca="false">IF(L827=1,M827+N827-$B$26,M827)</f>
        <v>8.10541678220034E-009</v>
      </c>
      <c r="P827" s="56" t="n">
        <f aca="false">IF(L827=1,IF($B$26&lt;=N827,1,0),0)</f>
        <v>0</v>
      </c>
      <c r="Q827" s="58" t="n">
        <f aca="false">Q826+N827</f>
        <v>145877.630223336</v>
      </c>
      <c r="S827" s="56" t="n">
        <f aca="false">S826+1</f>
        <v>820</v>
      </c>
      <c r="T827" s="57" t="n">
        <f aca="false">IF(AND(S827&lt;=Assumptions!$C$42,T826=1,X826=0,W826&gt;Assumptions!$C$43),1,0)</f>
        <v>0</v>
      </c>
      <c r="U827" s="58" t="n">
        <f aca="false">W826</f>
        <v>-182.103705036234</v>
      </c>
      <c r="V827" s="58" t="n">
        <f aca="false">IF(T827=1,U827*$B$22,0)</f>
        <v>0</v>
      </c>
      <c r="W827" s="58" t="n">
        <f aca="false">IF(T827=1,U827+V827-$B$27,U827)</f>
        <v>-182.103705036234</v>
      </c>
      <c r="X827" s="56" t="n">
        <f aca="false">IF(T827=1,IF($B$27&lt;=V827,1,0),0)</f>
        <v>0</v>
      </c>
      <c r="Y827" s="58" t="n">
        <f aca="false">Y826+V827</f>
        <v>113000.408372882</v>
      </c>
    </row>
    <row r="828" customFormat="false" ht="15" hidden="false" customHeight="false" outlineLevel="0" collapsed="false">
      <c r="K828" s="56" t="n">
        <f aca="false">K827+1</f>
        <v>821</v>
      </c>
      <c r="L828" s="57" t="n">
        <f aca="false">IF(AND(K828&lt;=Assumptions!$C$42,L827=1,P827=0,O827&gt;Assumptions!$C$43),1,0)</f>
        <v>0</v>
      </c>
      <c r="M828" s="58" t="n">
        <f aca="false">O827</f>
        <v>8.10541678220034E-009</v>
      </c>
      <c r="N828" s="58" t="n">
        <f aca="false">IF(L828=1,M828*$B$22,0)</f>
        <v>0</v>
      </c>
      <c r="O828" s="58" t="n">
        <f aca="false">IF(L828=1,M828+N828-$B$26,M828)</f>
        <v>8.10541678220034E-009</v>
      </c>
      <c r="P828" s="56" t="n">
        <f aca="false">IF(L828=1,IF($B$26&lt;=N828,1,0),0)</f>
        <v>0</v>
      </c>
      <c r="Q828" s="58" t="n">
        <f aca="false">Q827+N828</f>
        <v>145877.630223336</v>
      </c>
      <c r="S828" s="56" t="n">
        <f aca="false">S827+1</f>
        <v>821</v>
      </c>
      <c r="T828" s="57" t="n">
        <f aca="false">IF(AND(S828&lt;=Assumptions!$C$42,T827=1,X827=0,W827&gt;Assumptions!$C$43),1,0)</f>
        <v>0</v>
      </c>
      <c r="U828" s="58" t="n">
        <f aca="false">W827</f>
        <v>-182.103705036234</v>
      </c>
      <c r="V828" s="58" t="n">
        <f aca="false">IF(T828=1,U828*$B$22,0)</f>
        <v>0</v>
      </c>
      <c r="W828" s="58" t="n">
        <f aca="false">IF(T828=1,U828+V828-$B$27,U828)</f>
        <v>-182.103705036234</v>
      </c>
      <c r="X828" s="56" t="n">
        <f aca="false">IF(T828=1,IF($B$27&lt;=V828,1,0),0)</f>
        <v>0</v>
      </c>
      <c r="Y828" s="58" t="n">
        <f aca="false">Y827+V828</f>
        <v>113000.408372882</v>
      </c>
    </row>
    <row r="829" customFormat="false" ht="15" hidden="false" customHeight="false" outlineLevel="0" collapsed="false">
      <c r="K829" s="56" t="n">
        <f aca="false">K828+1</f>
        <v>822</v>
      </c>
      <c r="L829" s="57" t="n">
        <f aca="false">IF(AND(K829&lt;=Assumptions!$C$42,L828=1,P828=0,O828&gt;Assumptions!$C$43),1,0)</f>
        <v>0</v>
      </c>
      <c r="M829" s="58" t="n">
        <f aca="false">O828</f>
        <v>8.10541678220034E-009</v>
      </c>
      <c r="N829" s="58" t="n">
        <f aca="false">IF(L829=1,M829*$B$22,0)</f>
        <v>0</v>
      </c>
      <c r="O829" s="58" t="n">
        <f aca="false">IF(L829=1,M829+N829-$B$26,M829)</f>
        <v>8.10541678220034E-009</v>
      </c>
      <c r="P829" s="56" t="n">
        <f aca="false">IF(L829=1,IF($B$26&lt;=N829,1,0),0)</f>
        <v>0</v>
      </c>
      <c r="Q829" s="58" t="n">
        <f aca="false">Q828+N829</f>
        <v>145877.630223336</v>
      </c>
      <c r="S829" s="56" t="n">
        <f aca="false">S828+1</f>
        <v>822</v>
      </c>
      <c r="T829" s="57" t="n">
        <f aca="false">IF(AND(S829&lt;=Assumptions!$C$42,T828=1,X828=0,W828&gt;Assumptions!$C$43),1,0)</f>
        <v>0</v>
      </c>
      <c r="U829" s="58" t="n">
        <f aca="false">W828</f>
        <v>-182.103705036234</v>
      </c>
      <c r="V829" s="58" t="n">
        <f aca="false">IF(T829=1,U829*$B$22,0)</f>
        <v>0</v>
      </c>
      <c r="W829" s="58" t="n">
        <f aca="false">IF(T829=1,U829+V829-$B$27,U829)</f>
        <v>-182.103705036234</v>
      </c>
      <c r="X829" s="56" t="n">
        <f aca="false">IF(T829=1,IF($B$27&lt;=V829,1,0),0)</f>
        <v>0</v>
      </c>
      <c r="Y829" s="58" t="n">
        <f aca="false">Y828+V829</f>
        <v>113000.408372882</v>
      </c>
    </row>
    <row r="830" customFormat="false" ht="15" hidden="false" customHeight="false" outlineLevel="0" collapsed="false">
      <c r="K830" s="56" t="n">
        <f aca="false">K829+1</f>
        <v>823</v>
      </c>
      <c r="L830" s="57" t="n">
        <f aca="false">IF(AND(K830&lt;=Assumptions!$C$42,L829=1,P829=0,O829&gt;Assumptions!$C$43),1,0)</f>
        <v>0</v>
      </c>
      <c r="M830" s="58" t="n">
        <f aca="false">O829</f>
        <v>8.10541678220034E-009</v>
      </c>
      <c r="N830" s="58" t="n">
        <f aca="false">IF(L830=1,M830*$B$22,0)</f>
        <v>0</v>
      </c>
      <c r="O830" s="58" t="n">
        <f aca="false">IF(L830=1,M830+N830-$B$26,M830)</f>
        <v>8.10541678220034E-009</v>
      </c>
      <c r="P830" s="56" t="n">
        <f aca="false">IF(L830=1,IF($B$26&lt;=N830,1,0),0)</f>
        <v>0</v>
      </c>
      <c r="Q830" s="58" t="n">
        <f aca="false">Q829+N830</f>
        <v>145877.630223336</v>
      </c>
      <c r="S830" s="56" t="n">
        <f aca="false">S829+1</f>
        <v>823</v>
      </c>
      <c r="T830" s="57" t="n">
        <f aca="false">IF(AND(S830&lt;=Assumptions!$C$42,T829=1,X829=0,W829&gt;Assumptions!$C$43),1,0)</f>
        <v>0</v>
      </c>
      <c r="U830" s="58" t="n">
        <f aca="false">W829</f>
        <v>-182.103705036234</v>
      </c>
      <c r="V830" s="58" t="n">
        <f aca="false">IF(T830=1,U830*$B$22,0)</f>
        <v>0</v>
      </c>
      <c r="W830" s="58" t="n">
        <f aca="false">IF(T830=1,U830+V830-$B$27,U830)</f>
        <v>-182.103705036234</v>
      </c>
      <c r="X830" s="56" t="n">
        <f aca="false">IF(T830=1,IF($B$27&lt;=V830,1,0),0)</f>
        <v>0</v>
      </c>
      <c r="Y830" s="58" t="n">
        <f aca="false">Y829+V830</f>
        <v>113000.408372882</v>
      </c>
    </row>
    <row r="831" customFormat="false" ht="15" hidden="false" customHeight="false" outlineLevel="0" collapsed="false">
      <c r="K831" s="56" t="n">
        <f aca="false">K830+1</f>
        <v>824</v>
      </c>
      <c r="L831" s="57" t="n">
        <f aca="false">IF(AND(K831&lt;=Assumptions!$C$42,L830=1,P830=0,O830&gt;Assumptions!$C$43),1,0)</f>
        <v>0</v>
      </c>
      <c r="M831" s="58" t="n">
        <f aca="false">O830</f>
        <v>8.10541678220034E-009</v>
      </c>
      <c r="N831" s="58" t="n">
        <f aca="false">IF(L831=1,M831*$B$22,0)</f>
        <v>0</v>
      </c>
      <c r="O831" s="58" t="n">
        <f aca="false">IF(L831=1,M831+N831-$B$26,M831)</f>
        <v>8.10541678220034E-009</v>
      </c>
      <c r="P831" s="56" t="n">
        <f aca="false">IF(L831=1,IF($B$26&lt;=N831,1,0),0)</f>
        <v>0</v>
      </c>
      <c r="Q831" s="58" t="n">
        <f aca="false">Q830+N831</f>
        <v>145877.630223336</v>
      </c>
      <c r="S831" s="56" t="n">
        <f aca="false">S830+1</f>
        <v>824</v>
      </c>
      <c r="T831" s="57" t="n">
        <f aca="false">IF(AND(S831&lt;=Assumptions!$C$42,T830=1,X830=0,W830&gt;Assumptions!$C$43),1,0)</f>
        <v>0</v>
      </c>
      <c r="U831" s="58" t="n">
        <f aca="false">W830</f>
        <v>-182.103705036234</v>
      </c>
      <c r="V831" s="58" t="n">
        <f aca="false">IF(T831=1,U831*$B$22,0)</f>
        <v>0</v>
      </c>
      <c r="W831" s="58" t="n">
        <f aca="false">IF(T831=1,U831+V831-$B$27,U831)</f>
        <v>-182.103705036234</v>
      </c>
      <c r="X831" s="56" t="n">
        <f aca="false">IF(T831=1,IF($B$27&lt;=V831,1,0),0)</f>
        <v>0</v>
      </c>
      <c r="Y831" s="58" t="n">
        <f aca="false">Y830+V831</f>
        <v>113000.408372882</v>
      </c>
    </row>
    <row r="832" customFormat="false" ht="15" hidden="false" customHeight="false" outlineLevel="0" collapsed="false">
      <c r="K832" s="56" t="n">
        <f aca="false">K831+1</f>
        <v>825</v>
      </c>
      <c r="L832" s="57" t="n">
        <f aca="false">IF(AND(K832&lt;=Assumptions!$C$42,L831=1,P831=0,O831&gt;Assumptions!$C$43),1,0)</f>
        <v>0</v>
      </c>
      <c r="M832" s="58" t="n">
        <f aca="false">O831</f>
        <v>8.10541678220034E-009</v>
      </c>
      <c r="N832" s="58" t="n">
        <f aca="false">IF(L832=1,M832*$B$22,0)</f>
        <v>0</v>
      </c>
      <c r="O832" s="58" t="n">
        <f aca="false">IF(L832=1,M832+N832-$B$26,M832)</f>
        <v>8.10541678220034E-009</v>
      </c>
      <c r="P832" s="56" t="n">
        <f aca="false">IF(L832=1,IF($B$26&lt;=N832,1,0),0)</f>
        <v>0</v>
      </c>
      <c r="Q832" s="58" t="n">
        <f aca="false">Q831+N832</f>
        <v>145877.630223336</v>
      </c>
      <c r="S832" s="56" t="n">
        <f aca="false">S831+1</f>
        <v>825</v>
      </c>
      <c r="T832" s="57" t="n">
        <f aca="false">IF(AND(S832&lt;=Assumptions!$C$42,T831=1,X831=0,W831&gt;Assumptions!$C$43),1,0)</f>
        <v>0</v>
      </c>
      <c r="U832" s="58" t="n">
        <f aca="false">W831</f>
        <v>-182.103705036234</v>
      </c>
      <c r="V832" s="58" t="n">
        <f aca="false">IF(T832=1,U832*$B$22,0)</f>
        <v>0</v>
      </c>
      <c r="W832" s="58" t="n">
        <f aca="false">IF(T832=1,U832+V832-$B$27,U832)</f>
        <v>-182.103705036234</v>
      </c>
      <c r="X832" s="56" t="n">
        <f aca="false">IF(T832=1,IF($B$27&lt;=V832,1,0),0)</f>
        <v>0</v>
      </c>
      <c r="Y832" s="58" t="n">
        <f aca="false">Y831+V832</f>
        <v>113000.408372882</v>
      </c>
    </row>
    <row r="833" customFormat="false" ht="15" hidden="false" customHeight="false" outlineLevel="0" collapsed="false">
      <c r="K833" s="56" t="n">
        <f aca="false">K832+1</f>
        <v>826</v>
      </c>
      <c r="L833" s="57" t="n">
        <f aca="false">IF(AND(K833&lt;=Assumptions!$C$42,L832=1,P832=0,O832&gt;Assumptions!$C$43),1,0)</f>
        <v>0</v>
      </c>
      <c r="M833" s="58" t="n">
        <f aca="false">O832</f>
        <v>8.10541678220034E-009</v>
      </c>
      <c r="N833" s="58" t="n">
        <f aca="false">IF(L833=1,M833*$B$22,0)</f>
        <v>0</v>
      </c>
      <c r="O833" s="58" t="n">
        <f aca="false">IF(L833=1,M833+N833-$B$26,M833)</f>
        <v>8.10541678220034E-009</v>
      </c>
      <c r="P833" s="56" t="n">
        <f aca="false">IF(L833=1,IF($B$26&lt;=N833,1,0),0)</f>
        <v>0</v>
      </c>
      <c r="Q833" s="58" t="n">
        <f aca="false">Q832+N833</f>
        <v>145877.630223336</v>
      </c>
      <c r="S833" s="56" t="n">
        <f aca="false">S832+1</f>
        <v>826</v>
      </c>
      <c r="T833" s="57" t="n">
        <f aca="false">IF(AND(S833&lt;=Assumptions!$C$42,T832=1,X832=0,W832&gt;Assumptions!$C$43),1,0)</f>
        <v>0</v>
      </c>
      <c r="U833" s="58" t="n">
        <f aca="false">W832</f>
        <v>-182.103705036234</v>
      </c>
      <c r="V833" s="58" t="n">
        <f aca="false">IF(T833=1,U833*$B$22,0)</f>
        <v>0</v>
      </c>
      <c r="W833" s="58" t="n">
        <f aca="false">IF(T833=1,U833+V833-$B$27,U833)</f>
        <v>-182.103705036234</v>
      </c>
      <c r="X833" s="56" t="n">
        <f aca="false">IF(T833=1,IF($B$27&lt;=V833,1,0),0)</f>
        <v>0</v>
      </c>
      <c r="Y833" s="58" t="n">
        <f aca="false">Y832+V833</f>
        <v>113000.408372882</v>
      </c>
    </row>
    <row r="834" customFormat="false" ht="15" hidden="false" customHeight="false" outlineLevel="0" collapsed="false">
      <c r="K834" s="56" t="n">
        <f aca="false">K833+1</f>
        <v>827</v>
      </c>
      <c r="L834" s="57" t="n">
        <f aca="false">IF(AND(K834&lt;=Assumptions!$C$42,L833=1,P833=0,O833&gt;Assumptions!$C$43),1,0)</f>
        <v>0</v>
      </c>
      <c r="M834" s="58" t="n">
        <f aca="false">O833</f>
        <v>8.10541678220034E-009</v>
      </c>
      <c r="N834" s="58" t="n">
        <f aca="false">IF(L834=1,M834*$B$22,0)</f>
        <v>0</v>
      </c>
      <c r="O834" s="58" t="n">
        <f aca="false">IF(L834=1,M834+N834-$B$26,M834)</f>
        <v>8.10541678220034E-009</v>
      </c>
      <c r="P834" s="56" t="n">
        <f aca="false">IF(L834=1,IF($B$26&lt;=N834,1,0),0)</f>
        <v>0</v>
      </c>
      <c r="Q834" s="58" t="n">
        <f aca="false">Q833+N834</f>
        <v>145877.630223336</v>
      </c>
      <c r="S834" s="56" t="n">
        <f aca="false">S833+1</f>
        <v>827</v>
      </c>
      <c r="T834" s="57" t="n">
        <f aca="false">IF(AND(S834&lt;=Assumptions!$C$42,T833=1,X833=0,W833&gt;Assumptions!$C$43),1,0)</f>
        <v>0</v>
      </c>
      <c r="U834" s="58" t="n">
        <f aca="false">W833</f>
        <v>-182.103705036234</v>
      </c>
      <c r="V834" s="58" t="n">
        <f aca="false">IF(T834=1,U834*$B$22,0)</f>
        <v>0</v>
      </c>
      <c r="W834" s="58" t="n">
        <f aca="false">IF(T834=1,U834+V834-$B$27,U834)</f>
        <v>-182.103705036234</v>
      </c>
      <c r="X834" s="56" t="n">
        <f aca="false">IF(T834=1,IF($B$27&lt;=V834,1,0),0)</f>
        <v>0</v>
      </c>
      <c r="Y834" s="58" t="n">
        <f aca="false">Y833+V834</f>
        <v>113000.408372882</v>
      </c>
    </row>
    <row r="835" customFormat="false" ht="15" hidden="false" customHeight="false" outlineLevel="0" collapsed="false">
      <c r="K835" s="56" t="n">
        <f aca="false">K834+1</f>
        <v>828</v>
      </c>
      <c r="L835" s="57" t="n">
        <f aca="false">IF(AND(K835&lt;=Assumptions!$C$42,L834=1,P834=0,O834&gt;Assumptions!$C$43),1,0)</f>
        <v>0</v>
      </c>
      <c r="M835" s="58" t="n">
        <f aca="false">O834</f>
        <v>8.10541678220034E-009</v>
      </c>
      <c r="N835" s="58" t="n">
        <f aca="false">IF(L835=1,M835*$B$22,0)</f>
        <v>0</v>
      </c>
      <c r="O835" s="58" t="n">
        <f aca="false">IF(L835=1,M835+N835-$B$26,M835)</f>
        <v>8.10541678220034E-009</v>
      </c>
      <c r="P835" s="56" t="n">
        <f aca="false">IF(L835=1,IF($B$26&lt;=N835,1,0),0)</f>
        <v>0</v>
      </c>
      <c r="Q835" s="58" t="n">
        <f aca="false">Q834+N835</f>
        <v>145877.630223336</v>
      </c>
      <c r="S835" s="56" t="n">
        <f aca="false">S834+1</f>
        <v>828</v>
      </c>
      <c r="T835" s="57" t="n">
        <f aca="false">IF(AND(S835&lt;=Assumptions!$C$42,T834=1,X834=0,W834&gt;Assumptions!$C$43),1,0)</f>
        <v>0</v>
      </c>
      <c r="U835" s="58" t="n">
        <f aca="false">W834</f>
        <v>-182.103705036234</v>
      </c>
      <c r="V835" s="58" t="n">
        <f aca="false">IF(T835=1,U835*$B$22,0)</f>
        <v>0</v>
      </c>
      <c r="W835" s="58" t="n">
        <f aca="false">IF(T835=1,U835+V835-$B$27,U835)</f>
        <v>-182.103705036234</v>
      </c>
      <c r="X835" s="56" t="n">
        <f aca="false">IF(T835=1,IF($B$27&lt;=V835,1,0),0)</f>
        <v>0</v>
      </c>
      <c r="Y835" s="58" t="n">
        <f aca="false">Y834+V835</f>
        <v>113000.408372882</v>
      </c>
    </row>
    <row r="836" customFormat="false" ht="15" hidden="false" customHeight="false" outlineLevel="0" collapsed="false">
      <c r="K836" s="56" t="n">
        <f aca="false">K835+1</f>
        <v>829</v>
      </c>
      <c r="L836" s="57" t="n">
        <f aca="false">IF(AND(K836&lt;=Assumptions!$C$42,L835=1,P835=0,O835&gt;Assumptions!$C$43),1,0)</f>
        <v>0</v>
      </c>
      <c r="M836" s="58" t="n">
        <f aca="false">O835</f>
        <v>8.10541678220034E-009</v>
      </c>
      <c r="N836" s="58" t="n">
        <f aca="false">IF(L836=1,M836*$B$22,0)</f>
        <v>0</v>
      </c>
      <c r="O836" s="58" t="n">
        <f aca="false">IF(L836=1,M836+N836-$B$26,M836)</f>
        <v>8.10541678220034E-009</v>
      </c>
      <c r="P836" s="56" t="n">
        <f aca="false">IF(L836=1,IF($B$26&lt;=N836,1,0),0)</f>
        <v>0</v>
      </c>
      <c r="Q836" s="58" t="n">
        <f aca="false">Q835+N836</f>
        <v>145877.630223336</v>
      </c>
      <c r="S836" s="56" t="n">
        <f aca="false">S835+1</f>
        <v>829</v>
      </c>
      <c r="T836" s="57" t="n">
        <f aca="false">IF(AND(S836&lt;=Assumptions!$C$42,T835=1,X835=0,W835&gt;Assumptions!$C$43),1,0)</f>
        <v>0</v>
      </c>
      <c r="U836" s="58" t="n">
        <f aca="false">W835</f>
        <v>-182.103705036234</v>
      </c>
      <c r="V836" s="58" t="n">
        <f aca="false">IF(T836=1,U836*$B$22,0)</f>
        <v>0</v>
      </c>
      <c r="W836" s="58" t="n">
        <f aca="false">IF(T836=1,U836+V836-$B$27,U836)</f>
        <v>-182.103705036234</v>
      </c>
      <c r="X836" s="56" t="n">
        <f aca="false">IF(T836=1,IF($B$27&lt;=V836,1,0),0)</f>
        <v>0</v>
      </c>
      <c r="Y836" s="58" t="n">
        <f aca="false">Y835+V836</f>
        <v>113000.408372882</v>
      </c>
    </row>
    <row r="837" customFormat="false" ht="15" hidden="false" customHeight="false" outlineLevel="0" collapsed="false">
      <c r="K837" s="56" t="n">
        <f aca="false">K836+1</f>
        <v>830</v>
      </c>
      <c r="L837" s="57" t="n">
        <f aca="false">IF(AND(K837&lt;=Assumptions!$C$42,L836=1,P836=0,O836&gt;Assumptions!$C$43),1,0)</f>
        <v>0</v>
      </c>
      <c r="M837" s="58" t="n">
        <f aca="false">O836</f>
        <v>8.10541678220034E-009</v>
      </c>
      <c r="N837" s="58" t="n">
        <f aca="false">IF(L837=1,M837*$B$22,0)</f>
        <v>0</v>
      </c>
      <c r="O837" s="58" t="n">
        <f aca="false">IF(L837=1,M837+N837-$B$26,M837)</f>
        <v>8.10541678220034E-009</v>
      </c>
      <c r="P837" s="56" t="n">
        <f aca="false">IF(L837=1,IF($B$26&lt;=N837,1,0),0)</f>
        <v>0</v>
      </c>
      <c r="Q837" s="58" t="n">
        <f aca="false">Q836+N837</f>
        <v>145877.630223336</v>
      </c>
      <c r="S837" s="56" t="n">
        <f aca="false">S836+1</f>
        <v>830</v>
      </c>
      <c r="T837" s="57" t="n">
        <f aca="false">IF(AND(S837&lt;=Assumptions!$C$42,T836=1,X836=0,W836&gt;Assumptions!$C$43),1,0)</f>
        <v>0</v>
      </c>
      <c r="U837" s="58" t="n">
        <f aca="false">W836</f>
        <v>-182.103705036234</v>
      </c>
      <c r="V837" s="58" t="n">
        <f aca="false">IF(T837=1,U837*$B$22,0)</f>
        <v>0</v>
      </c>
      <c r="W837" s="58" t="n">
        <f aca="false">IF(T837=1,U837+V837-$B$27,U837)</f>
        <v>-182.103705036234</v>
      </c>
      <c r="X837" s="56" t="n">
        <f aca="false">IF(T837=1,IF($B$27&lt;=V837,1,0),0)</f>
        <v>0</v>
      </c>
      <c r="Y837" s="58" t="n">
        <f aca="false">Y836+V837</f>
        <v>113000.408372882</v>
      </c>
    </row>
    <row r="838" customFormat="false" ht="15" hidden="false" customHeight="false" outlineLevel="0" collapsed="false">
      <c r="K838" s="56" t="n">
        <f aca="false">K837+1</f>
        <v>831</v>
      </c>
      <c r="L838" s="57" t="n">
        <f aca="false">IF(AND(K838&lt;=Assumptions!$C$42,L837=1,P837=0,O837&gt;Assumptions!$C$43),1,0)</f>
        <v>0</v>
      </c>
      <c r="M838" s="58" t="n">
        <f aca="false">O837</f>
        <v>8.10541678220034E-009</v>
      </c>
      <c r="N838" s="58" t="n">
        <f aca="false">IF(L838=1,M838*$B$22,0)</f>
        <v>0</v>
      </c>
      <c r="O838" s="58" t="n">
        <f aca="false">IF(L838=1,M838+N838-$B$26,M838)</f>
        <v>8.10541678220034E-009</v>
      </c>
      <c r="P838" s="56" t="n">
        <f aca="false">IF(L838=1,IF($B$26&lt;=N838,1,0),0)</f>
        <v>0</v>
      </c>
      <c r="Q838" s="58" t="n">
        <f aca="false">Q837+N838</f>
        <v>145877.630223336</v>
      </c>
      <c r="S838" s="56" t="n">
        <f aca="false">S837+1</f>
        <v>831</v>
      </c>
      <c r="T838" s="57" t="n">
        <f aca="false">IF(AND(S838&lt;=Assumptions!$C$42,T837=1,X837=0,W837&gt;Assumptions!$C$43),1,0)</f>
        <v>0</v>
      </c>
      <c r="U838" s="58" t="n">
        <f aca="false">W837</f>
        <v>-182.103705036234</v>
      </c>
      <c r="V838" s="58" t="n">
        <f aca="false">IF(T838=1,U838*$B$22,0)</f>
        <v>0</v>
      </c>
      <c r="W838" s="58" t="n">
        <f aca="false">IF(T838=1,U838+V838-$B$27,U838)</f>
        <v>-182.103705036234</v>
      </c>
      <c r="X838" s="56" t="n">
        <f aca="false">IF(T838=1,IF($B$27&lt;=V838,1,0),0)</f>
        <v>0</v>
      </c>
      <c r="Y838" s="58" t="n">
        <f aca="false">Y837+V838</f>
        <v>113000.408372882</v>
      </c>
    </row>
    <row r="839" customFormat="false" ht="15" hidden="false" customHeight="false" outlineLevel="0" collapsed="false">
      <c r="K839" s="56" t="n">
        <f aca="false">K838+1</f>
        <v>832</v>
      </c>
      <c r="L839" s="57" t="n">
        <f aca="false">IF(AND(K839&lt;=Assumptions!$C$42,L838=1,P838=0,O838&gt;Assumptions!$C$43),1,0)</f>
        <v>0</v>
      </c>
      <c r="M839" s="58" t="n">
        <f aca="false">O838</f>
        <v>8.10541678220034E-009</v>
      </c>
      <c r="N839" s="58" t="n">
        <f aca="false">IF(L839=1,M839*$B$22,0)</f>
        <v>0</v>
      </c>
      <c r="O839" s="58" t="n">
        <f aca="false">IF(L839=1,M839+N839-$B$26,M839)</f>
        <v>8.10541678220034E-009</v>
      </c>
      <c r="P839" s="56" t="n">
        <f aca="false">IF(L839=1,IF($B$26&lt;=N839,1,0),0)</f>
        <v>0</v>
      </c>
      <c r="Q839" s="58" t="n">
        <f aca="false">Q838+N839</f>
        <v>145877.630223336</v>
      </c>
      <c r="S839" s="56" t="n">
        <f aca="false">S838+1</f>
        <v>832</v>
      </c>
      <c r="T839" s="57" t="n">
        <f aca="false">IF(AND(S839&lt;=Assumptions!$C$42,T838=1,X838=0,W838&gt;Assumptions!$C$43),1,0)</f>
        <v>0</v>
      </c>
      <c r="U839" s="58" t="n">
        <f aca="false">W838</f>
        <v>-182.103705036234</v>
      </c>
      <c r="V839" s="58" t="n">
        <f aca="false">IF(T839=1,U839*$B$22,0)</f>
        <v>0</v>
      </c>
      <c r="W839" s="58" t="n">
        <f aca="false">IF(T839=1,U839+V839-$B$27,U839)</f>
        <v>-182.103705036234</v>
      </c>
      <c r="X839" s="56" t="n">
        <f aca="false">IF(T839=1,IF($B$27&lt;=V839,1,0),0)</f>
        <v>0</v>
      </c>
      <c r="Y839" s="58" t="n">
        <f aca="false">Y838+V839</f>
        <v>113000.408372882</v>
      </c>
    </row>
    <row r="840" customFormat="false" ht="15" hidden="false" customHeight="false" outlineLevel="0" collapsed="false">
      <c r="K840" s="56" t="n">
        <f aca="false">K839+1</f>
        <v>833</v>
      </c>
      <c r="L840" s="57" t="n">
        <f aca="false">IF(AND(K840&lt;=Assumptions!$C$42,L839=1,P839=0,O839&gt;Assumptions!$C$43),1,0)</f>
        <v>0</v>
      </c>
      <c r="M840" s="58" t="n">
        <f aca="false">O839</f>
        <v>8.10541678220034E-009</v>
      </c>
      <c r="N840" s="58" t="n">
        <f aca="false">IF(L840=1,M840*$B$22,0)</f>
        <v>0</v>
      </c>
      <c r="O840" s="58" t="n">
        <f aca="false">IF(L840=1,M840+N840-$B$26,M840)</f>
        <v>8.10541678220034E-009</v>
      </c>
      <c r="P840" s="56" t="n">
        <f aca="false">IF(L840=1,IF($B$26&lt;=N840,1,0),0)</f>
        <v>0</v>
      </c>
      <c r="Q840" s="58" t="n">
        <f aca="false">Q839+N840</f>
        <v>145877.630223336</v>
      </c>
      <c r="S840" s="56" t="n">
        <f aca="false">S839+1</f>
        <v>833</v>
      </c>
      <c r="T840" s="57" t="n">
        <f aca="false">IF(AND(S840&lt;=Assumptions!$C$42,T839=1,X839=0,W839&gt;Assumptions!$C$43),1,0)</f>
        <v>0</v>
      </c>
      <c r="U840" s="58" t="n">
        <f aca="false">W839</f>
        <v>-182.103705036234</v>
      </c>
      <c r="V840" s="58" t="n">
        <f aca="false">IF(T840=1,U840*$B$22,0)</f>
        <v>0</v>
      </c>
      <c r="W840" s="58" t="n">
        <f aca="false">IF(T840=1,U840+V840-$B$27,U840)</f>
        <v>-182.103705036234</v>
      </c>
      <c r="X840" s="56" t="n">
        <f aca="false">IF(T840=1,IF($B$27&lt;=V840,1,0),0)</f>
        <v>0</v>
      </c>
      <c r="Y840" s="58" t="n">
        <f aca="false">Y839+V840</f>
        <v>113000.408372882</v>
      </c>
    </row>
    <row r="841" customFormat="false" ht="15" hidden="false" customHeight="false" outlineLevel="0" collapsed="false">
      <c r="K841" s="56" t="n">
        <f aca="false">K840+1</f>
        <v>834</v>
      </c>
      <c r="L841" s="57" t="n">
        <f aca="false">IF(AND(K841&lt;=Assumptions!$C$42,L840=1,P840=0,O840&gt;Assumptions!$C$43),1,0)</f>
        <v>0</v>
      </c>
      <c r="M841" s="58" t="n">
        <f aca="false">O840</f>
        <v>8.10541678220034E-009</v>
      </c>
      <c r="N841" s="58" t="n">
        <f aca="false">IF(L841=1,M841*$B$22,0)</f>
        <v>0</v>
      </c>
      <c r="O841" s="58" t="n">
        <f aca="false">IF(L841=1,M841+N841-$B$26,M841)</f>
        <v>8.10541678220034E-009</v>
      </c>
      <c r="P841" s="56" t="n">
        <f aca="false">IF(L841=1,IF($B$26&lt;=N841,1,0),0)</f>
        <v>0</v>
      </c>
      <c r="Q841" s="58" t="n">
        <f aca="false">Q840+N841</f>
        <v>145877.630223336</v>
      </c>
      <c r="S841" s="56" t="n">
        <f aca="false">S840+1</f>
        <v>834</v>
      </c>
      <c r="T841" s="57" t="n">
        <f aca="false">IF(AND(S841&lt;=Assumptions!$C$42,T840=1,X840=0,W840&gt;Assumptions!$C$43),1,0)</f>
        <v>0</v>
      </c>
      <c r="U841" s="58" t="n">
        <f aca="false">W840</f>
        <v>-182.103705036234</v>
      </c>
      <c r="V841" s="58" t="n">
        <f aca="false">IF(T841=1,U841*$B$22,0)</f>
        <v>0</v>
      </c>
      <c r="W841" s="58" t="n">
        <f aca="false">IF(T841=1,U841+V841-$B$27,U841)</f>
        <v>-182.103705036234</v>
      </c>
      <c r="X841" s="56" t="n">
        <f aca="false">IF(T841=1,IF($B$27&lt;=V841,1,0),0)</f>
        <v>0</v>
      </c>
      <c r="Y841" s="58" t="n">
        <f aca="false">Y840+V841</f>
        <v>113000.408372882</v>
      </c>
    </row>
    <row r="842" customFormat="false" ht="15" hidden="false" customHeight="false" outlineLevel="0" collapsed="false">
      <c r="K842" s="56" t="n">
        <f aca="false">K841+1</f>
        <v>835</v>
      </c>
      <c r="L842" s="57" t="n">
        <f aca="false">IF(AND(K842&lt;=Assumptions!$C$42,L841=1,P841=0,O841&gt;Assumptions!$C$43),1,0)</f>
        <v>0</v>
      </c>
      <c r="M842" s="58" t="n">
        <f aca="false">O841</f>
        <v>8.10541678220034E-009</v>
      </c>
      <c r="N842" s="58" t="n">
        <f aca="false">IF(L842=1,M842*$B$22,0)</f>
        <v>0</v>
      </c>
      <c r="O842" s="58" t="n">
        <f aca="false">IF(L842=1,M842+N842-$B$26,M842)</f>
        <v>8.10541678220034E-009</v>
      </c>
      <c r="P842" s="56" t="n">
        <f aca="false">IF(L842=1,IF($B$26&lt;=N842,1,0),0)</f>
        <v>0</v>
      </c>
      <c r="Q842" s="58" t="n">
        <f aca="false">Q841+N842</f>
        <v>145877.630223336</v>
      </c>
      <c r="S842" s="56" t="n">
        <f aca="false">S841+1</f>
        <v>835</v>
      </c>
      <c r="T842" s="57" t="n">
        <f aca="false">IF(AND(S842&lt;=Assumptions!$C$42,T841=1,X841=0,W841&gt;Assumptions!$C$43),1,0)</f>
        <v>0</v>
      </c>
      <c r="U842" s="58" t="n">
        <f aca="false">W841</f>
        <v>-182.103705036234</v>
      </c>
      <c r="V842" s="58" t="n">
        <f aca="false">IF(T842=1,U842*$B$22,0)</f>
        <v>0</v>
      </c>
      <c r="W842" s="58" t="n">
        <f aca="false">IF(T842=1,U842+V842-$B$27,U842)</f>
        <v>-182.103705036234</v>
      </c>
      <c r="X842" s="56" t="n">
        <f aca="false">IF(T842=1,IF($B$27&lt;=V842,1,0),0)</f>
        <v>0</v>
      </c>
      <c r="Y842" s="58" t="n">
        <f aca="false">Y841+V842</f>
        <v>113000.408372882</v>
      </c>
    </row>
    <row r="843" customFormat="false" ht="15" hidden="false" customHeight="false" outlineLevel="0" collapsed="false">
      <c r="K843" s="56" t="n">
        <f aca="false">K842+1</f>
        <v>836</v>
      </c>
      <c r="L843" s="57" t="n">
        <f aca="false">IF(AND(K843&lt;=Assumptions!$C$42,L842=1,P842=0,O842&gt;Assumptions!$C$43),1,0)</f>
        <v>0</v>
      </c>
      <c r="M843" s="58" t="n">
        <f aca="false">O842</f>
        <v>8.10541678220034E-009</v>
      </c>
      <c r="N843" s="58" t="n">
        <f aca="false">IF(L843=1,M843*$B$22,0)</f>
        <v>0</v>
      </c>
      <c r="O843" s="58" t="n">
        <f aca="false">IF(L843=1,M843+N843-$B$26,M843)</f>
        <v>8.10541678220034E-009</v>
      </c>
      <c r="P843" s="56" t="n">
        <f aca="false">IF(L843=1,IF($B$26&lt;=N843,1,0),0)</f>
        <v>0</v>
      </c>
      <c r="Q843" s="58" t="n">
        <f aca="false">Q842+N843</f>
        <v>145877.630223336</v>
      </c>
      <c r="S843" s="56" t="n">
        <f aca="false">S842+1</f>
        <v>836</v>
      </c>
      <c r="T843" s="57" t="n">
        <f aca="false">IF(AND(S843&lt;=Assumptions!$C$42,T842=1,X842=0,W842&gt;Assumptions!$C$43),1,0)</f>
        <v>0</v>
      </c>
      <c r="U843" s="58" t="n">
        <f aca="false">W842</f>
        <v>-182.103705036234</v>
      </c>
      <c r="V843" s="58" t="n">
        <f aca="false">IF(T843=1,U843*$B$22,0)</f>
        <v>0</v>
      </c>
      <c r="W843" s="58" t="n">
        <f aca="false">IF(T843=1,U843+V843-$B$27,U843)</f>
        <v>-182.103705036234</v>
      </c>
      <c r="X843" s="56" t="n">
        <f aca="false">IF(T843=1,IF($B$27&lt;=V843,1,0),0)</f>
        <v>0</v>
      </c>
      <c r="Y843" s="58" t="n">
        <f aca="false">Y842+V843</f>
        <v>113000.408372882</v>
      </c>
    </row>
    <row r="844" customFormat="false" ht="15" hidden="false" customHeight="false" outlineLevel="0" collapsed="false">
      <c r="K844" s="56" t="n">
        <f aca="false">K843+1</f>
        <v>837</v>
      </c>
      <c r="L844" s="57" t="n">
        <f aca="false">IF(AND(K844&lt;=Assumptions!$C$42,L843=1,P843=0,O843&gt;Assumptions!$C$43),1,0)</f>
        <v>0</v>
      </c>
      <c r="M844" s="58" t="n">
        <f aca="false">O843</f>
        <v>8.10541678220034E-009</v>
      </c>
      <c r="N844" s="58" t="n">
        <f aca="false">IF(L844=1,M844*$B$22,0)</f>
        <v>0</v>
      </c>
      <c r="O844" s="58" t="n">
        <f aca="false">IF(L844=1,M844+N844-$B$26,M844)</f>
        <v>8.10541678220034E-009</v>
      </c>
      <c r="P844" s="56" t="n">
        <f aca="false">IF(L844=1,IF($B$26&lt;=N844,1,0),0)</f>
        <v>0</v>
      </c>
      <c r="Q844" s="58" t="n">
        <f aca="false">Q843+N844</f>
        <v>145877.630223336</v>
      </c>
      <c r="S844" s="56" t="n">
        <f aca="false">S843+1</f>
        <v>837</v>
      </c>
      <c r="T844" s="57" t="n">
        <f aca="false">IF(AND(S844&lt;=Assumptions!$C$42,T843=1,X843=0,W843&gt;Assumptions!$C$43),1,0)</f>
        <v>0</v>
      </c>
      <c r="U844" s="58" t="n">
        <f aca="false">W843</f>
        <v>-182.103705036234</v>
      </c>
      <c r="V844" s="58" t="n">
        <f aca="false">IF(T844=1,U844*$B$22,0)</f>
        <v>0</v>
      </c>
      <c r="W844" s="58" t="n">
        <f aca="false">IF(T844=1,U844+V844-$B$27,U844)</f>
        <v>-182.103705036234</v>
      </c>
      <c r="X844" s="56" t="n">
        <f aca="false">IF(T844=1,IF($B$27&lt;=V844,1,0),0)</f>
        <v>0</v>
      </c>
      <c r="Y844" s="58" t="n">
        <f aca="false">Y843+V844</f>
        <v>113000.408372882</v>
      </c>
    </row>
    <row r="845" customFormat="false" ht="15" hidden="false" customHeight="false" outlineLevel="0" collapsed="false">
      <c r="K845" s="56" t="n">
        <f aca="false">K844+1</f>
        <v>838</v>
      </c>
      <c r="L845" s="57" t="n">
        <f aca="false">IF(AND(K845&lt;=Assumptions!$C$42,L844=1,P844=0,O844&gt;Assumptions!$C$43),1,0)</f>
        <v>0</v>
      </c>
      <c r="M845" s="58" t="n">
        <f aca="false">O844</f>
        <v>8.10541678220034E-009</v>
      </c>
      <c r="N845" s="58" t="n">
        <f aca="false">IF(L845=1,M845*$B$22,0)</f>
        <v>0</v>
      </c>
      <c r="O845" s="58" t="n">
        <f aca="false">IF(L845=1,M845+N845-$B$26,M845)</f>
        <v>8.10541678220034E-009</v>
      </c>
      <c r="P845" s="56" t="n">
        <f aca="false">IF(L845=1,IF($B$26&lt;=N845,1,0),0)</f>
        <v>0</v>
      </c>
      <c r="Q845" s="58" t="n">
        <f aca="false">Q844+N845</f>
        <v>145877.630223336</v>
      </c>
      <c r="S845" s="56" t="n">
        <f aca="false">S844+1</f>
        <v>838</v>
      </c>
      <c r="T845" s="57" t="n">
        <f aca="false">IF(AND(S845&lt;=Assumptions!$C$42,T844=1,X844=0,W844&gt;Assumptions!$C$43),1,0)</f>
        <v>0</v>
      </c>
      <c r="U845" s="58" t="n">
        <f aca="false">W844</f>
        <v>-182.103705036234</v>
      </c>
      <c r="V845" s="58" t="n">
        <f aca="false">IF(T845=1,U845*$B$22,0)</f>
        <v>0</v>
      </c>
      <c r="W845" s="58" t="n">
        <f aca="false">IF(T845=1,U845+V845-$B$27,U845)</f>
        <v>-182.103705036234</v>
      </c>
      <c r="X845" s="56" t="n">
        <f aca="false">IF(T845=1,IF($B$27&lt;=V845,1,0),0)</f>
        <v>0</v>
      </c>
      <c r="Y845" s="58" t="n">
        <f aca="false">Y844+V845</f>
        <v>113000.408372882</v>
      </c>
    </row>
    <row r="846" customFormat="false" ht="15" hidden="false" customHeight="false" outlineLevel="0" collapsed="false">
      <c r="K846" s="56" t="n">
        <f aca="false">K845+1</f>
        <v>839</v>
      </c>
      <c r="L846" s="57" t="n">
        <f aca="false">IF(AND(K846&lt;=Assumptions!$C$42,L845=1,P845=0,O845&gt;Assumptions!$C$43),1,0)</f>
        <v>0</v>
      </c>
      <c r="M846" s="58" t="n">
        <f aca="false">O845</f>
        <v>8.10541678220034E-009</v>
      </c>
      <c r="N846" s="58" t="n">
        <f aca="false">IF(L846=1,M846*$B$22,0)</f>
        <v>0</v>
      </c>
      <c r="O846" s="58" t="n">
        <f aca="false">IF(L846=1,M846+N846-$B$26,M846)</f>
        <v>8.10541678220034E-009</v>
      </c>
      <c r="P846" s="56" t="n">
        <f aca="false">IF(L846=1,IF($B$26&lt;=N846,1,0),0)</f>
        <v>0</v>
      </c>
      <c r="Q846" s="58" t="n">
        <f aca="false">Q845+N846</f>
        <v>145877.630223336</v>
      </c>
      <c r="S846" s="56" t="n">
        <f aca="false">S845+1</f>
        <v>839</v>
      </c>
      <c r="T846" s="57" t="n">
        <f aca="false">IF(AND(S846&lt;=Assumptions!$C$42,T845=1,X845=0,W845&gt;Assumptions!$C$43),1,0)</f>
        <v>0</v>
      </c>
      <c r="U846" s="58" t="n">
        <f aca="false">W845</f>
        <v>-182.103705036234</v>
      </c>
      <c r="V846" s="58" t="n">
        <f aca="false">IF(T846=1,U846*$B$22,0)</f>
        <v>0</v>
      </c>
      <c r="W846" s="58" t="n">
        <f aca="false">IF(T846=1,U846+V846-$B$27,U846)</f>
        <v>-182.103705036234</v>
      </c>
      <c r="X846" s="56" t="n">
        <f aca="false">IF(T846=1,IF($B$27&lt;=V846,1,0),0)</f>
        <v>0</v>
      </c>
      <c r="Y846" s="58" t="n">
        <f aca="false">Y845+V846</f>
        <v>113000.408372882</v>
      </c>
    </row>
    <row r="847" customFormat="false" ht="15" hidden="false" customHeight="false" outlineLevel="0" collapsed="false">
      <c r="K847" s="56" t="n">
        <f aca="false">K846+1</f>
        <v>840</v>
      </c>
      <c r="L847" s="57" t="n">
        <f aca="false">IF(AND(K847&lt;=Assumptions!$C$42,L846=1,P846=0,O846&gt;Assumptions!$C$43),1,0)</f>
        <v>0</v>
      </c>
      <c r="M847" s="58" t="n">
        <f aca="false">O846</f>
        <v>8.10541678220034E-009</v>
      </c>
      <c r="N847" s="58" t="n">
        <f aca="false">IF(L847=1,M847*$B$22,0)</f>
        <v>0</v>
      </c>
      <c r="O847" s="58" t="n">
        <f aca="false">IF(L847=1,M847+N847-$B$26,M847)</f>
        <v>8.10541678220034E-009</v>
      </c>
      <c r="P847" s="56" t="n">
        <f aca="false">IF(L847=1,IF($B$26&lt;=N847,1,0),0)</f>
        <v>0</v>
      </c>
      <c r="Q847" s="58" t="n">
        <f aca="false">Q846+N847</f>
        <v>145877.630223336</v>
      </c>
      <c r="S847" s="56" t="n">
        <f aca="false">S846+1</f>
        <v>840</v>
      </c>
      <c r="T847" s="57" t="n">
        <f aca="false">IF(AND(S847&lt;=Assumptions!$C$42,T846=1,X846=0,W846&gt;Assumptions!$C$43),1,0)</f>
        <v>0</v>
      </c>
      <c r="U847" s="58" t="n">
        <f aca="false">W846</f>
        <v>-182.103705036234</v>
      </c>
      <c r="V847" s="58" t="n">
        <f aca="false">IF(T847=1,U847*$B$22,0)</f>
        <v>0</v>
      </c>
      <c r="W847" s="58" t="n">
        <f aca="false">IF(T847=1,U847+V847-$B$27,U847)</f>
        <v>-182.103705036234</v>
      </c>
      <c r="X847" s="56" t="n">
        <f aca="false">IF(T847=1,IF($B$27&lt;=V847,1,0),0)</f>
        <v>0</v>
      </c>
      <c r="Y847" s="58" t="n">
        <f aca="false">Y846+V847</f>
        <v>113000.408372882</v>
      </c>
    </row>
    <row r="848" customFormat="false" ht="15" hidden="false" customHeight="false" outlineLevel="0" collapsed="false">
      <c r="K848" s="56" t="n">
        <f aca="false">K847+1</f>
        <v>841</v>
      </c>
      <c r="L848" s="57" t="n">
        <f aca="false">IF(AND(K848&lt;=Assumptions!$C$42,L847=1,P847=0,O847&gt;Assumptions!$C$43),1,0)</f>
        <v>0</v>
      </c>
      <c r="M848" s="58" t="n">
        <f aca="false">O847</f>
        <v>8.10541678220034E-009</v>
      </c>
      <c r="N848" s="58" t="n">
        <f aca="false">IF(L848=1,M848*$B$22,0)</f>
        <v>0</v>
      </c>
      <c r="O848" s="58" t="n">
        <f aca="false">IF(L848=1,M848+N848-$B$26,M848)</f>
        <v>8.10541678220034E-009</v>
      </c>
      <c r="P848" s="56" t="n">
        <f aca="false">IF(L848=1,IF($B$26&lt;=N848,1,0),0)</f>
        <v>0</v>
      </c>
      <c r="Q848" s="58" t="n">
        <f aca="false">Q847+N848</f>
        <v>145877.630223336</v>
      </c>
      <c r="S848" s="56" t="n">
        <f aca="false">S847+1</f>
        <v>841</v>
      </c>
      <c r="T848" s="57" t="n">
        <f aca="false">IF(AND(S848&lt;=Assumptions!$C$42,T847=1,X847=0,W847&gt;Assumptions!$C$43),1,0)</f>
        <v>0</v>
      </c>
      <c r="U848" s="58" t="n">
        <f aca="false">W847</f>
        <v>-182.103705036234</v>
      </c>
      <c r="V848" s="58" t="n">
        <f aca="false">IF(T848=1,U848*$B$22,0)</f>
        <v>0</v>
      </c>
      <c r="W848" s="58" t="n">
        <f aca="false">IF(T848=1,U848+V848-$B$27,U848)</f>
        <v>-182.103705036234</v>
      </c>
      <c r="X848" s="56" t="n">
        <f aca="false">IF(T848=1,IF($B$27&lt;=V848,1,0),0)</f>
        <v>0</v>
      </c>
      <c r="Y848" s="58" t="n">
        <f aca="false">Y847+V848</f>
        <v>113000.408372882</v>
      </c>
    </row>
    <row r="849" customFormat="false" ht="15" hidden="false" customHeight="false" outlineLevel="0" collapsed="false">
      <c r="K849" s="56" t="n">
        <f aca="false">K848+1</f>
        <v>842</v>
      </c>
      <c r="L849" s="57" t="n">
        <f aca="false">IF(AND(K849&lt;=Assumptions!$C$42,L848=1,P848=0,O848&gt;Assumptions!$C$43),1,0)</f>
        <v>0</v>
      </c>
      <c r="M849" s="58" t="n">
        <f aca="false">O848</f>
        <v>8.10541678220034E-009</v>
      </c>
      <c r="N849" s="58" t="n">
        <f aca="false">IF(L849=1,M849*$B$22,0)</f>
        <v>0</v>
      </c>
      <c r="O849" s="58" t="n">
        <f aca="false">IF(L849=1,M849+N849-$B$26,M849)</f>
        <v>8.10541678220034E-009</v>
      </c>
      <c r="P849" s="56" t="n">
        <f aca="false">IF(L849=1,IF($B$26&lt;=N849,1,0),0)</f>
        <v>0</v>
      </c>
      <c r="Q849" s="58" t="n">
        <f aca="false">Q848+N849</f>
        <v>145877.630223336</v>
      </c>
      <c r="S849" s="56" t="n">
        <f aca="false">S848+1</f>
        <v>842</v>
      </c>
      <c r="T849" s="57" t="n">
        <f aca="false">IF(AND(S849&lt;=Assumptions!$C$42,T848=1,X848=0,W848&gt;Assumptions!$C$43),1,0)</f>
        <v>0</v>
      </c>
      <c r="U849" s="58" t="n">
        <f aca="false">W848</f>
        <v>-182.103705036234</v>
      </c>
      <c r="V849" s="58" t="n">
        <f aca="false">IF(T849=1,U849*$B$22,0)</f>
        <v>0</v>
      </c>
      <c r="W849" s="58" t="n">
        <f aca="false">IF(T849=1,U849+V849-$B$27,U849)</f>
        <v>-182.103705036234</v>
      </c>
      <c r="X849" s="56" t="n">
        <f aca="false">IF(T849=1,IF($B$27&lt;=V849,1,0),0)</f>
        <v>0</v>
      </c>
      <c r="Y849" s="58" t="n">
        <f aca="false">Y848+V849</f>
        <v>113000.408372882</v>
      </c>
    </row>
    <row r="850" customFormat="false" ht="15" hidden="false" customHeight="false" outlineLevel="0" collapsed="false">
      <c r="K850" s="56" t="n">
        <f aca="false">K849+1</f>
        <v>843</v>
      </c>
      <c r="L850" s="57" t="n">
        <f aca="false">IF(AND(K850&lt;=Assumptions!$C$42,L849=1,P849=0,O849&gt;Assumptions!$C$43),1,0)</f>
        <v>0</v>
      </c>
      <c r="M850" s="58" t="n">
        <f aca="false">O849</f>
        <v>8.10541678220034E-009</v>
      </c>
      <c r="N850" s="58" t="n">
        <f aca="false">IF(L850=1,M850*$B$22,0)</f>
        <v>0</v>
      </c>
      <c r="O850" s="58" t="n">
        <f aca="false">IF(L850=1,M850+N850-$B$26,M850)</f>
        <v>8.10541678220034E-009</v>
      </c>
      <c r="P850" s="56" t="n">
        <f aca="false">IF(L850=1,IF($B$26&lt;=N850,1,0),0)</f>
        <v>0</v>
      </c>
      <c r="Q850" s="58" t="n">
        <f aca="false">Q849+N850</f>
        <v>145877.630223336</v>
      </c>
      <c r="S850" s="56" t="n">
        <f aca="false">S849+1</f>
        <v>843</v>
      </c>
      <c r="T850" s="57" t="n">
        <f aca="false">IF(AND(S850&lt;=Assumptions!$C$42,T849=1,X849=0,W849&gt;Assumptions!$C$43),1,0)</f>
        <v>0</v>
      </c>
      <c r="U850" s="58" t="n">
        <f aca="false">W849</f>
        <v>-182.103705036234</v>
      </c>
      <c r="V850" s="58" t="n">
        <f aca="false">IF(T850=1,U850*$B$22,0)</f>
        <v>0</v>
      </c>
      <c r="W850" s="58" t="n">
        <f aca="false">IF(T850=1,U850+V850-$B$27,U850)</f>
        <v>-182.103705036234</v>
      </c>
      <c r="X850" s="56" t="n">
        <f aca="false">IF(T850=1,IF($B$27&lt;=V850,1,0),0)</f>
        <v>0</v>
      </c>
      <c r="Y850" s="58" t="n">
        <f aca="false">Y849+V850</f>
        <v>113000.408372882</v>
      </c>
    </row>
    <row r="851" customFormat="false" ht="15" hidden="false" customHeight="false" outlineLevel="0" collapsed="false">
      <c r="K851" s="56" t="n">
        <f aca="false">K850+1</f>
        <v>844</v>
      </c>
      <c r="L851" s="57" t="n">
        <f aca="false">IF(AND(K851&lt;=Assumptions!$C$42,L850=1,P850=0,O850&gt;Assumptions!$C$43),1,0)</f>
        <v>0</v>
      </c>
      <c r="M851" s="58" t="n">
        <f aca="false">O850</f>
        <v>8.10541678220034E-009</v>
      </c>
      <c r="N851" s="58" t="n">
        <f aca="false">IF(L851=1,M851*$B$22,0)</f>
        <v>0</v>
      </c>
      <c r="O851" s="58" t="n">
        <f aca="false">IF(L851=1,M851+N851-$B$26,M851)</f>
        <v>8.10541678220034E-009</v>
      </c>
      <c r="P851" s="56" t="n">
        <f aca="false">IF(L851=1,IF($B$26&lt;=N851,1,0),0)</f>
        <v>0</v>
      </c>
      <c r="Q851" s="58" t="n">
        <f aca="false">Q850+N851</f>
        <v>145877.630223336</v>
      </c>
      <c r="S851" s="56" t="n">
        <f aca="false">S850+1</f>
        <v>844</v>
      </c>
      <c r="T851" s="57" t="n">
        <f aca="false">IF(AND(S851&lt;=Assumptions!$C$42,T850=1,X850=0,W850&gt;Assumptions!$C$43),1,0)</f>
        <v>0</v>
      </c>
      <c r="U851" s="58" t="n">
        <f aca="false">W850</f>
        <v>-182.103705036234</v>
      </c>
      <c r="V851" s="58" t="n">
        <f aca="false">IF(T851=1,U851*$B$22,0)</f>
        <v>0</v>
      </c>
      <c r="W851" s="58" t="n">
        <f aca="false">IF(T851=1,U851+V851-$B$27,U851)</f>
        <v>-182.103705036234</v>
      </c>
      <c r="X851" s="56" t="n">
        <f aca="false">IF(T851=1,IF($B$27&lt;=V851,1,0),0)</f>
        <v>0</v>
      </c>
      <c r="Y851" s="58" t="n">
        <f aca="false">Y850+V851</f>
        <v>113000.408372882</v>
      </c>
    </row>
    <row r="852" customFormat="false" ht="15" hidden="false" customHeight="false" outlineLevel="0" collapsed="false">
      <c r="K852" s="56" t="n">
        <f aca="false">K851+1</f>
        <v>845</v>
      </c>
      <c r="L852" s="57" t="n">
        <f aca="false">IF(AND(K852&lt;=Assumptions!$C$42,L851=1,P851=0,O851&gt;Assumptions!$C$43),1,0)</f>
        <v>0</v>
      </c>
      <c r="M852" s="58" t="n">
        <f aca="false">O851</f>
        <v>8.10541678220034E-009</v>
      </c>
      <c r="N852" s="58" t="n">
        <f aca="false">IF(L852=1,M852*$B$22,0)</f>
        <v>0</v>
      </c>
      <c r="O852" s="58" t="n">
        <f aca="false">IF(L852=1,M852+N852-$B$26,M852)</f>
        <v>8.10541678220034E-009</v>
      </c>
      <c r="P852" s="56" t="n">
        <f aca="false">IF(L852=1,IF($B$26&lt;=N852,1,0),0)</f>
        <v>0</v>
      </c>
      <c r="Q852" s="58" t="n">
        <f aca="false">Q851+N852</f>
        <v>145877.630223336</v>
      </c>
      <c r="S852" s="56" t="n">
        <f aca="false">S851+1</f>
        <v>845</v>
      </c>
      <c r="T852" s="57" t="n">
        <f aca="false">IF(AND(S852&lt;=Assumptions!$C$42,T851=1,X851=0,W851&gt;Assumptions!$C$43),1,0)</f>
        <v>0</v>
      </c>
      <c r="U852" s="58" t="n">
        <f aca="false">W851</f>
        <v>-182.103705036234</v>
      </c>
      <c r="V852" s="58" t="n">
        <f aca="false">IF(T852=1,U852*$B$22,0)</f>
        <v>0</v>
      </c>
      <c r="W852" s="58" t="n">
        <f aca="false">IF(T852=1,U852+V852-$B$27,U852)</f>
        <v>-182.103705036234</v>
      </c>
      <c r="X852" s="56" t="n">
        <f aca="false">IF(T852=1,IF($B$27&lt;=V852,1,0),0)</f>
        <v>0</v>
      </c>
      <c r="Y852" s="58" t="n">
        <f aca="false">Y851+V852</f>
        <v>113000.408372882</v>
      </c>
    </row>
    <row r="853" customFormat="false" ht="15" hidden="false" customHeight="false" outlineLevel="0" collapsed="false">
      <c r="K853" s="56" t="n">
        <f aca="false">K852+1</f>
        <v>846</v>
      </c>
      <c r="L853" s="57" t="n">
        <f aca="false">IF(AND(K853&lt;=Assumptions!$C$42,L852=1,P852=0,O852&gt;Assumptions!$C$43),1,0)</f>
        <v>0</v>
      </c>
      <c r="M853" s="58" t="n">
        <f aca="false">O852</f>
        <v>8.10541678220034E-009</v>
      </c>
      <c r="N853" s="58" t="n">
        <f aca="false">IF(L853=1,M853*$B$22,0)</f>
        <v>0</v>
      </c>
      <c r="O853" s="58" t="n">
        <f aca="false">IF(L853=1,M853+N853-$B$26,M853)</f>
        <v>8.10541678220034E-009</v>
      </c>
      <c r="P853" s="56" t="n">
        <f aca="false">IF(L853=1,IF($B$26&lt;=N853,1,0),0)</f>
        <v>0</v>
      </c>
      <c r="Q853" s="58" t="n">
        <f aca="false">Q852+N853</f>
        <v>145877.630223336</v>
      </c>
      <c r="S853" s="56" t="n">
        <f aca="false">S852+1</f>
        <v>846</v>
      </c>
      <c r="T853" s="57" t="n">
        <f aca="false">IF(AND(S853&lt;=Assumptions!$C$42,T852=1,X852=0,W852&gt;Assumptions!$C$43),1,0)</f>
        <v>0</v>
      </c>
      <c r="U853" s="58" t="n">
        <f aca="false">W852</f>
        <v>-182.103705036234</v>
      </c>
      <c r="V853" s="58" t="n">
        <f aca="false">IF(T853=1,U853*$B$22,0)</f>
        <v>0</v>
      </c>
      <c r="W853" s="58" t="n">
        <f aca="false">IF(T853=1,U853+V853-$B$27,U853)</f>
        <v>-182.103705036234</v>
      </c>
      <c r="X853" s="56" t="n">
        <f aca="false">IF(T853=1,IF($B$27&lt;=V853,1,0),0)</f>
        <v>0</v>
      </c>
      <c r="Y853" s="58" t="n">
        <f aca="false">Y852+V853</f>
        <v>113000.408372882</v>
      </c>
    </row>
    <row r="854" customFormat="false" ht="15" hidden="false" customHeight="false" outlineLevel="0" collapsed="false">
      <c r="K854" s="56" t="n">
        <f aca="false">K853+1</f>
        <v>847</v>
      </c>
      <c r="L854" s="57" t="n">
        <f aca="false">IF(AND(K854&lt;=Assumptions!$C$42,L853=1,P853=0,O853&gt;Assumptions!$C$43),1,0)</f>
        <v>0</v>
      </c>
      <c r="M854" s="58" t="n">
        <f aca="false">O853</f>
        <v>8.10541678220034E-009</v>
      </c>
      <c r="N854" s="58" t="n">
        <f aca="false">IF(L854=1,M854*$B$22,0)</f>
        <v>0</v>
      </c>
      <c r="O854" s="58" t="n">
        <f aca="false">IF(L854=1,M854+N854-$B$26,M854)</f>
        <v>8.10541678220034E-009</v>
      </c>
      <c r="P854" s="56" t="n">
        <f aca="false">IF(L854=1,IF($B$26&lt;=N854,1,0),0)</f>
        <v>0</v>
      </c>
      <c r="Q854" s="58" t="n">
        <f aca="false">Q853+N854</f>
        <v>145877.630223336</v>
      </c>
      <c r="S854" s="56" t="n">
        <f aca="false">S853+1</f>
        <v>847</v>
      </c>
      <c r="T854" s="57" t="n">
        <f aca="false">IF(AND(S854&lt;=Assumptions!$C$42,T853=1,X853=0,W853&gt;Assumptions!$C$43),1,0)</f>
        <v>0</v>
      </c>
      <c r="U854" s="58" t="n">
        <f aca="false">W853</f>
        <v>-182.103705036234</v>
      </c>
      <c r="V854" s="58" t="n">
        <f aca="false">IF(T854=1,U854*$B$22,0)</f>
        <v>0</v>
      </c>
      <c r="W854" s="58" t="n">
        <f aca="false">IF(T854=1,U854+V854-$B$27,U854)</f>
        <v>-182.103705036234</v>
      </c>
      <c r="X854" s="56" t="n">
        <f aca="false">IF(T854=1,IF($B$27&lt;=V854,1,0),0)</f>
        <v>0</v>
      </c>
      <c r="Y854" s="58" t="n">
        <f aca="false">Y853+V854</f>
        <v>113000.408372882</v>
      </c>
    </row>
    <row r="855" customFormat="false" ht="15" hidden="false" customHeight="false" outlineLevel="0" collapsed="false">
      <c r="K855" s="56" t="n">
        <f aca="false">K854+1</f>
        <v>848</v>
      </c>
      <c r="L855" s="57" t="n">
        <f aca="false">IF(AND(K855&lt;=Assumptions!$C$42,L854=1,P854=0,O854&gt;Assumptions!$C$43),1,0)</f>
        <v>0</v>
      </c>
      <c r="M855" s="58" t="n">
        <f aca="false">O854</f>
        <v>8.10541678220034E-009</v>
      </c>
      <c r="N855" s="58" t="n">
        <f aca="false">IF(L855=1,M855*$B$22,0)</f>
        <v>0</v>
      </c>
      <c r="O855" s="58" t="n">
        <f aca="false">IF(L855=1,M855+N855-$B$26,M855)</f>
        <v>8.10541678220034E-009</v>
      </c>
      <c r="P855" s="56" t="n">
        <f aca="false">IF(L855=1,IF($B$26&lt;=N855,1,0),0)</f>
        <v>0</v>
      </c>
      <c r="Q855" s="58" t="n">
        <f aca="false">Q854+N855</f>
        <v>145877.630223336</v>
      </c>
      <c r="S855" s="56" t="n">
        <f aca="false">S854+1</f>
        <v>848</v>
      </c>
      <c r="T855" s="57" t="n">
        <f aca="false">IF(AND(S855&lt;=Assumptions!$C$42,T854=1,X854=0,W854&gt;Assumptions!$C$43),1,0)</f>
        <v>0</v>
      </c>
      <c r="U855" s="58" t="n">
        <f aca="false">W854</f>
        <v>-182.103705036234</v>
      </c>
      <c r="V855" s="58" t="n">
        <f aca="false">IF(T855=1,U855*$B$22,0)</f>
        <v>0</v>
      </c>
      <c r="W855" s="58" t="n">
        <f aca="false">IF(T855=1,U855+V855-$B$27,U855)</f>
        <v>-182.103705036234</v>
      </c>
      <c r="X855" s="56" t="n">
        <f aca="false">IF(T855=1,IF($B$27&lt;=V855,1,0),0)</f>
        <v>0</v>
      </c>
      <c r="Y855" s="58" t="n">
        <f aca="false">Y854+V855</f>
        <v>113000.408372882</v>
      </c>
    </row>
    <row r="856" customFormat="false" ht="15" hidden="false" customHeight="false" outlineLevel="0" collapsed="false">
      <c r="K856" s="56" t="n">
        <f aca="false">K855+1</f>
        <v>849</v>
      </c>
      <c r="L856" s="57" t="n">
        <f aca="false">IF(AND(K856&lt;=Assumptions!$C$42,L855=1,P855=0,O855&gt;Assumptions!$C$43),1,0)</f>
        <v>0</v>
      </c>
      <c r="M856" s="58" t="n">
        <f aca="false">O855</f>
        <v>8.10541678220034E-009</v>
      </c>
      <c r="N856" s="58" t="n">
        <f aca="false">IF(L856=1,M856*$B$22,0)</f>
        <v>0</v>
      </c>
      <c r="O856" s="58" t="n">
        <f aca="false">IF(L856=1,M856+N856-$B$26,M856)</f>
        <v>8.10541678220034E-009</v>
      </c>
      <c r="P856" s="56" t="n">
        <f aca="false">IF(L856=1,IF($B$26&lt;=N856,1,0),0)</f>
        <v>0</v>
      </c>
      <c r="Q856" s="58" t="n">
        <f aca="false">Q855+N856</f>
        <v>145877.630223336</v>
      </c>
      <c r="S856" s="56" t="n">
        <f aca="false">S855+1</f>
        <v>849</v>
      </c>
      <c r="T856" s="57" t="n">
        <f aca="false">IF(AND(S856&lt;=Assumptions!$C$42,T855=1,X855=0,W855&gt;Assumptions!$C$43),1,0)</f>
        <v>0</v>
      </c>
      <c r="U856" s="58" t="n">
        <f aca="false">W855</f>
        <v>-182.103705036234</v>
      </c>
      <c r="V856" s="58" t="n">
        <f aca="false">IF(T856=1,U856*$B$22,0)</f>
        <v>0</v>
      </c>
      <c r="W856" s="58" t="n">
        <f aca="false">IF(T856=1,U856+V856-$B$27,U856)</f>
        <v>-182.103705036234</v>
      </c>
      <c r="X856" s="56" t="n">
        <f aca="false">IF(T856=1,IF($B$27&lt;=V856,1,0),0)</f>
        <v>0</v>
      </c>
      <c r="Y856" s="58" t="n">
        <f aca="false">Y855+V856</f>
        <v>113000.408372882</v>
      </c>
    </row>
    <row r="857" customFormat="false" ht="15" hidden="false" customHeight="false" outlineLevel="0" collapsed="false">
      <c r="K857" s="56" t="n">
        <f aca="false">K856+1</f>
        <v>850</v>
      </c>
      <c r="L857" s="57" t="n">
        <f aca="false">IF(AND(K857&lt;=Assumptions!$C$42,L856=1,P856=0,O856&gt;Assumptions!$C$43),1,0)</f>
        <v>0</v>
      </c>
      <c r="M857" s="58" t="n">
        <f aca="false">O856</f>
        <v>8.10541678220034E-009</v>
      </c>
      <c r="N857" s="58" t="n">
        <f aca="false">IF(L857=1,M857*$B$22,0)</f>
        <v>0</v>
      </c>
      <c r="O857" s="58" t="n">
        <f aca="false">IF(L857=1,M857+N857-$B$26,M857)</f>
        <v>8.10541678220034E-009</v>
      </c>
      <c r="P857" s="56" t="n">
        <f aca="false">IF(L857=1,IF($B$26&lt;=N857,1,0),0)</f>
        <v>0</v>
      </c>
      <c r="Q857" s="58" t="n">
        <f aca="false">Q856+N857</f>
        <v>145877.630223336</v>
      </c>
      <c r="S857" s="56" t="n">
        <f aca="false">S856+1</f>
        <v>850</v>
      </c>
      <c r="T857" s="57" t="n">
        <f aca="false">IF(AND(S857&lt;=Assumptions!$C$42,T856=1,X856=0,W856&gt;Assumptions!$C$43),1,0)</f>
        <v>0</v>
      </c>
      <c r="U857" s="58" t="n">
        <f aca="false">W856</f>
        <v>-182.103705036234</v>
      </c>
      <c r="V857" s="58" t="n">
        <f aca="false">IF(T857=1,U857*$B$22,0)</f>
        <v>0</v>
      </c>
      <c r="W857" s="58" t="n">
        <f aca="false">IF(T857=1,U857+V857-$B$27,U857)</f>
        <v>-182.103705036234</v>
      </c>
      <c r="X857" s="56" t="n">
        <f aca="false">IF(T857=1,IF($B$27&lt;=V857,1,0),0)</f>
        <v>0</v>
      </c>
      <c r="Y857" s="58" t="n">
        <f aca="false">Y856+V857</f>
        <v>113000.408372882</v>
      </c>
    </row>
    <row r="858" customFormat="false" ht="15" hidden="false" customHeight="false" outlineLevel="0" collapsed="false">
      <c r="K858" s="56" t="n">
        <f aca="false">K857+1</f>
        <v>851</v>
      </c>
      <c r="L858" s="57" t="n">
        <f aca="false">IF(AND(K858&lt;=Assumptions!$C$42,L857=1,P857=0,O857&gt;Assumptions!$C$43),1,0)</f>
        <v>0</v>
      </c>
      <c r="M858" s="58" t="n">
        <f aca="false">O857</f>
        <v>8.10541678220034E-009</v>
      </c>
      <c r="N858" s="58" t="n">
        <f aca="false">IF(L858=1,M858*$B$22,0)</f>
        <v>0</v>
      </c>
      <c r="O858" s="58" t="n">
        <f aca="false">IF(L858=1,M858+N858-$B$26,M858)</f>
        <v>8.10541678220034E-009</v>
      </c>
      <c r="P858" s="56" t="n">
        <f aca="false">IF(L858=1,IF($B$26&lt;=N858,1,0),0)</f>
        <v>0</v>
      </c>
      <c r="Q858" s="58" t="n">
        <f aca="false">Q857+N858</f>
        <v>145877.630223336</v>
      </c>
      <c r="S858" s="56" t="n">
        <f aca="false">S857+1</f>
        <v>851</v>
      </c>
      <c r="T858" s="57" t="n">
        <f aca="false">IF(AND(S858&lt;=Assumptions!$C$42,T857=1,X857=0,W857&gt;Assumptions!$C$43),1,0)</f>
        <v>0</v>
      </c>
      <c r="U858" s="58" t="n">
        <f aca="false">W857</f>
        <v>-182.103705036234</v>
      </c>
      <c r="V858" s="58" t="n">
        <f aca="false">IF(T858=1,U858*$B$22,0)</f>
        <v>0</v>
      </c>
      <c r="W858" s="58" t="n">
        <f aca="false">IF(T858=1,U858+V858-$B$27,U858)</f>
        <v>-182.103705036234</v>
      </c>
      <c r="X858" s="56" t="n">
        <f aca="false">IF(T858=1,IF($B$27&lt;=V858,1,0),0)</f>
        <v>0</v>
      </c>
      <c r="Y858" s="58" t="n">
        <f aca="false">Y857+V858</f>
        <v>113000.408372882</v>
      </c>
    </row>
    <row r="859" customFormat="false" ht="15" hidden="false" customHeight="false" outlineLevel="0" collapsed="false">
      <c r="K859" s="56" t="n">
        <f aca="false">K858+1</f>
        <v>852</v>
      </c>
      <c r="L859" s="57" t="n">
        <f aca="false">IF(AND(K859&lt;=Assumptions!$C$42,L858=1,P858=0,O858&gt;Assumptions!$C$43),1,0)</f>
        <v>0</v>
      </c>
      <c r="M859" s="58" t="n">
        <f aca="false">O858</f>
        <v>8.10541678220034E-009</v>
      </c>
      <c r="N859" s="58" t="n">
        <f aca="false">IF(L859=1,M859*$B$22,0)</f>
        <v>0</v>
      </c>
      <c r="O859" s="58" t="n">
        <f aca="false">IF(L859=1,M859+N859-$B$26,M859)</f>
        <v>8.10541678220034E-009</v>
      </c>
      <c r="P859" s="56" t="n">
        <f aca="false">IF(L859=1,IF($B$26&lt;=N859,1,0),0)</f>
        <v>0</v>
      </c>
      <c r="Q859" s="58" t="n">
        <f aca="false">Q858+N859</f>
        <v>145877.630223336</v>
      </c>
      <c r="S859" s="56" t="n">
        <f aca="false">S858+1</f>
        <v>852</v>
      </c>
      <c r="T859" s="57" t="n">
        <f aca="false">IF(AND(S859&lt;=Assumptions!$C$42,T858=1,X858=0,W858&gt;Assumptions!$C$43),1,0)</f>
        <v>0</v>
      </c>
      <c r="U859" s="58" t="n">
        <f aca="false">W858</f>
        <v>-182.103705036234</v>
      </c>
      <c r="V859" s="58" t="n">
        <f aca="false">IF(T859=1,U859*$B$22,0)</f>
        <v>0</v>
      </c>
      <c r="W859" s="58" t="n">
        <f aca="false">IF(T859=1,U859+V859-$B$27,U859)</f>
        <v>-182.103705036234</v>
      </c>
      <c r="X859" s="56" t="n">
        <f aca="false">IF(T859=1,IF($B$27&lt;=V859,1,0),0)</f>
        <v>0</v>
      </c>
      <c r="Y859" s="58" t="n">
        <f aca="false">Y858+V859</f>
        <v>113000.408372882</v>
      </c>
    </row>
    <row r="860" customFormat="false" ht="15" hidden="false" customHeight="false" outlineLevel="0" collapsed="false">
      <c r="K860" s="56" t="n">
        <f aca="false">K859+1</f>
        <v>853</v>
      </c>
      <c r="L860" s="57" t="n">
        <f aca="false">IF(AND(K860&lt;=Assumptions!$C$42,L859=1,P859=0,O859&gt;Assumptions!$C$43),1,0)</f>
        <v>0</v>
      </c>
      <c r="M860" s="58" t="n">
        <f aca="false">O859</f>
        <v>8.10541678220034E-009</v>
      </c>
      <c r="N860" s="58" t="n">
        <f aca="false">IF(L860=1,M860*$B$22,0)</f>
        <v>0</v>
      </c>
      <c r="O860" s="58" t="n">
        <f aca="false">IF(L860=1,M860+N860-$B$26,M860)</f>
        <v>8.10541678220034E-009</v>
      </c>
      <c r="P860" s="56" t="n">
        <f aca="false">IF(L860=1,IF($B$26&lt;=N860,1,0),0)</f>
        <v>0</v>
      </c>
      <c r="Q860" s="58" t="n">
        <f aca="false">Q859+N860</f>
        <v>145877.630223336</v>
      </c>
      <c r="S860" s="56" t="n">
        <f aca="false">S859+1</f>
        <v>853</v>
      </c>
      <c r="T860" s="57" t="n">
        <f aca="false">IF(AND(S860&lt;=Assumptions!$C$42,T859=1,X859=0,W859&gt;Assumptions!$C$43),1,0)</f>
        <v>0</v>
      </c>
      <c r="U860" s="58" t="n">
        <f aca="false">W859</f>
        <v>-182.103705036234</v>
      </c>
      <c r="V860" s="58" t="n">
        <f aca="false">IF(T860=1,U860*$B$22,0)</f>
        <v>0</v>
      </c>
      <c r="W860" s="58" t="n">
        <f aca="false">IF(T860=1,U860+V860-$B$27,U860)</f>
        <v>-182.103705036234</v>
      </c>
      <c r="X860" s="56" t="n">
        <f aca="false">IF(T860=1,IF($B$27&lt;=V860,1,0),0)</f>
        <v>0</v>
      </c>
      <c r="Y860" s="58" t="n">
        <f aca="false">Y859+V860</f>
        <v>113000.408372882</v>
      </c>
    </row>
    <row r="861" customFormat="false" ht="15" hidden="false" customHeight="false" outlineLevel="0" collapsed="false">
      <c r="K861" s="56" t="n">
        <f aca="false">K860+1</f>
        <v>854</v>
      </c>
      <c r="L861" s="57" t="n">
        <f aca="false">IF(AND(K861&lt;=Assumptions!$C$42,L860=1,P860=0,O860&gt;Assumptions!$C$43),1,0)</f>
        <v>0</v>
      </c>
      <c r="M861" s="58" t="n">
        <f aca="false">O860</f>
        <v>8.10541678220034E-009</v>
      </c>
      <c r="N861" s="58" t="n">
        <f aca="false">IF(L861=1,M861*$B$22,0)</f>
        <v>0</v>
      </c>
      <c r="O861" s="58" t="n">
        <f aca="false">IF(L861=1,M861+N861-$B$26,M861)</f>
        <v>8.10541678220034E-009</v>
      </c>
      <c r="P861" s="56" t="n">
        <f aca="false">IF(L861=1,IF($B$26&lt;=N861,1,0),0)</f>
        <v>0</v>
      </c>
      <c r="Q861" s="58" t="n">
        <f aca="false">Q860+N861</f>
        <v>145877.630223336</v>
      </c>
      <c r="S861" s="56" t="n">
        <f aca="false">S860+1</f>
        <v>854</v>
      </c>
      <c r="T861" s="57" t="n">
        <f aca="false">IF(AND(S861&lt;=Assumptions!$C$42,T860=1,X860=0,W860&gt;Assumptions!$C$43),1,0)</f>
        <v>0</v>
      </c>
      <c r="U861" s="58" t="n">
        <f aca="false">W860</f>
        <v>-182.103705036234</v>
      </c>
      <c r="V861" s="58" t="n">
        <f aca="false">IF(T861=1,U861*$B$22,0)</f>
        <v>0</v>
      </c>
      <c r="W861" s="58" t="n">
        <f aca="false">IF(T861=1,U861+V861-$B$27,U861)</f>
        <v>-182.103705036234</v>
      </c>
      <c r="X861" s="56" t="n">
        <f aca="false">IF(T861=1,IF($B$27&lt;=V861,1,0),0)</f>
        <v>0</v>
      </c>
      <c r="Y861" s="58" t="n">
        <f aca="false">Y860+V861</f>
        <v>113000.408372882</v>
      </c>
    </row>
    <row r="862" customFormat="false" ht="15" hidden="false" customHeight="false" outlineLevel="0" collapsed="false">
      <c r="K862" s="56" t="n">
        <f aca="false">K861+1</f>
        <v>855</v>
      </c>
      <c r="L862" s="57" t="n">
        <f aca="false">IF(AND(K862&lt;=Assumptions!$C$42,L861=1,P861=0,O861&gt;Assumptions!$C$43),1,0)</f>
        <v>0</v>
      </c>
      <c r="M862" s="58" t="n">
        <f aca="false">O861</f>
        <v>8.10541678220034E-009</v>
      </c>
      <c r="N862" s="58" t="n">
        <f aca="false">IF(L862=1,M862*$B$22,0)</f>
        <v>0</v>
      </c>
      <c r="O862" s="58" t="n">
        <f aca="false">IF(L862=1,M862+N862-$B$26,M862)</f>
        <v>8.10541678220034E-009</v>
      </c>
      <c r="P862" s="56" t="n">
        <f aca="false">IF(L862=1,IF($B$26&lt;=N862,1,0),0)</f>
        <v>0</v>
      </c>
      <c r="Q862" s="58" t="n">
        <f aca="false">Q861+N862</f>
        <v>145877.630223336</v>
      </c>
      <c r="S862" s="56" t="n">
        <f aca="false">S861+1</f>
        <v>855</v>
      </c>
      <c r="T862" s="57" t="n">
        <f aca="false">IF(AND(S862&lt;=Assumptions!$C$42,T861=1,X861=0,W861&gt;Assumptions!$C$43),1,0)</f>
        <v>0</v>
      </c>
      <c r="U862" s="58" t="n">
        <f aca="false">W861</f>
        <v>-182.103705036234</v>
      </c>
      <c r="V862" s="58" t="n">
        <f aca="false">IF(T862=1,U862*$B$22,0)</f>
        <v>0</v>
      </c>
      <c r="W862" s="58" t="n">
        <f aca="false">IF(T862=1,U862+V862-$B$27,U862)</f>
        <v>-182.103705036234</v>
      </c>
      <c r="X862" s="56" t="n">
        <f aca="false">IF(T862=1,IF($B$27&lt;=V862,1,0),0)</f>
        <v>0</v>
      </c>
      <c r="Y862" s="58" t="n">
        <f aca="false">Y861+V862</f>
        <v>113000.408372882</v>
      </c>
    </row>
    <row r="863" customFormat="false" ht="15" hidden="false" customHeight="false" outlineLevel="0" collapsed="false">
      <c r="K863" s="56" t="n">
        <f aca="false">K862+1</f>
        <v>856</v>
      </c>
      <c r="L863" s="57" t="n">
        <f aca="false">IF(AND(K863&lt;=Assumptions!$C$42,L862=1,P862=0,O862&gt;Assumptions!$C$43),1,0)</f>
        <v>0</v>
      </c>
      <c r="M863" s="58" t="n">
        <f aca="false">O862</f>
        <v>8.10541678220034E-009</v>
      </c>
      <c r="N863" s="58" t="n">
        <f aca="false">IF(L863=1,M863*$B$22,0)</f>
        <v>0</v>
      </c>
      <c r="O863" s="58" t="n">
        <f aca="false">IF(L863=1,M863+N863-$B$26,M863)</f>
        <v>8.10541678220034E-009</v>
      </c>
      <c r="P863" s="56" t="n">
        <f aca="false">IF(L863=1,IF($B$26&lt;=N863,1,0),0)</f>
        <v>0</v>
      </c>
      <c r="Q863" s="58" t="n">
        <f aca="false">Q862+N863</f>
        <v>145877.630223336</v>
      </c>
      <c r="S863" s="56" t="n">
        <f aca="false">S862+1</f>
        <v>856</v>
      </c>
      <c r="T863" s="57" t="n">
        <f aca="false">IF(AND(S863&lt;=Assumptions!$C$42,T862=1,X862=0,W862&gt;Assumptions!$C$43),1,0)</f>
        <v>0</v>
      </c>
      <c r="U863" s="58" t="n">
        <f aca="false">W862</f>
        <v>-182.103705036234</v>
      </c>
      <c r="V863" s="58" t="n">
        <f aca="false">IF(T863=1,U863*$B$22,0)</f>
        <v>0</v>
      </c>
      <c r="W863" s="58" t="n">
        <f aca="false">IF(T863=1,U863+V863-$B$27,U863)</f>
        <v>-182.103705036234</v>
      </c>
      <c r="X863" s="56" t="n">
        <f aca="false">IF(T863=1,IF($B$27&lt;=V863,1,0),0)</f>
        <v>0</v>
      </c>
      <c r="Y863" s="58" t="n">
        <f aca="false">Y862+V863</f>
        <v>113000.408372882</v>
      </c>
    </row>
    <row r="864" customFormat="false" ht="15" hidden="false" customHeight="false" outlineLevel="0" collapsed="false">
      <c r="K864" s="56" t="n">
        <f aca="false">K863+1</f>
        <v>857</v>
      </c>
      <c r="L864" s="57" t="n">
        <f aca="false">IF(AND(K864&lt;=Assumptions!$C$42,L863=1,P863=0,O863&gt;Assumptions!$C$43),1,0)</f>
        <v>0</v>
      </c>
      <c r="M864" s="58" t="n">
        <f aca="false">O863</f>
        <v>8.10541678220034E-009</v>
      </c>
      <c r="N864" s="58" t="n">
        <f aca="false">IF(L864=1,M864*$B$22,0)</f>
        <v>0</v>
      </c>
      <c r="O864" s="58" t="n">
        <f aca="false">IF(L864=1,M864+N864-$B$26,M864)</f>
        <v>8.10541678220034E-009</v>
      </c>
      <c r="P864" s="56" t="n">
        <f aca="false">IF(L864=1,IF($B$26&lt;=N864,1,0),0)</f>
        <v>0</v>
      </c>
      <c r="Q864" s="58" t="n">
        <f aca="false">Q863+N864</f>
        <v>145877.630223336</v>
      </c>
      <c r="S864" s="56" t="n">
        <f aca="false">S863+1</f>
        <v>857</v>
      </c>
      <c r="T864" s="57" t="n">
        <f aca="false">IF(AND(S864&lt;=Assumptions!$C$42,T863=1,X863=0,W863&gt;Assumptions!$C$43),1,0)</f>
        <v>0</v>
      </c>
      <c r="U864" s="58" t="n">
        <f aca="false">W863</f>
        <v>-182.103705036234</v>
      </c>
      <c r="V864" s="58" t="n">
        <f aca="false">IF(T864=1,U864*$B$22,0)</f>
        <v>0</v>
      </c>
      <c r="W864" s="58" t="n">
        <f aca="false">IF(T864=1,U864+V864-$B$27,U864)</f>
        <v>-182.103705036234</v>
      </c>
      <c r="X864" s="56" t="n">
        <f aca="false">IF(T864=1,IF($B$27&lt;=V864,1,0),0)</f>
        <v>0</v>
      </c>
      <c r="Y864" s="58" t="n">
        <f aca="false">Y863+V864</f>
        <v>113000.408372882</v>
      </c>
    </row>
    <row r="865" customFormat="false" ht="15" hidden="false" customHeight="false" outlineLevel="0" collapsed="false">
      <c r="K865" s="56" t="n">
        <f aca="false">K864+1</f>
        <v>858</v>
      </c>
      <c r="L865" s="57" t="n">
        <f aca="false">IF(AND(K865&lt;=Assumptions!$C$42,L864=1,P864=0,O864&gt;Assumptions!$C$43),1,0)</f>
        <v>0</v>
      </c>
      <c r="M865" s="58" t="n">
        <f aca="false">O864</f>
        <v>8.10541678220034E-009</v>
      </c>
      <c r="N865" s="58" t="n">
        <f aca="false">IF(L865=1,M865*$B$22,0)</f>
        <v>0</v>
      </c>
      <c r="O865" s="58" t="n">
        <f aca="false">IF(L865=1,M865+N865-$B$26,M865)</f>
        <v>8.10541678220034E-009</v>
      </c>
      <c r="P865" s="56" t="n">
        <f aca="false">IF(L865=1,IF($B$26&lt;=N865,1,0),0)</f>
        <v>0</v>
      </c>
      <c r="Q865" s="58" t="n">
        <f aca="false">Q864+N865</f>
        <v>145877.630223336</v>
      </c>
      <c r="S865" s="56" t="n">
        <f aca="false">S864+1</f>
        <v>858</v>
      </c>
      <c r="T865" s="57" t="n">
        <f aca="false">IF(AND(S865&lt;=Assumptions!$C$42,T864=1,X864=0,W864&gt;Assumptions!$C$43),1,0)</f>
        <v>0</v>
      </c>
      <c r="U865" s="58" t="n">
        <f aca="false">W864</f>
        <v>-182.103705036234</v>
      </c>
      <c r="V865" s="58" t="n">
        <f aca="false">IF(T865=1,U865*$B$22,0)</f>
        <v>0</v>
      </c>
      <c r="W865" s="58" t="n">
        <f aca="false">IF(T865=1,U865+V865-$B$27,U865)</f>
        <v>-182.103705036234</v>
      </c>
      <c r="X865" s="56" t="n">
        <f aca="false">IF(T865=1,IF($B$27&lt;=V865,1,0),0)</f>
        <v>0</v>
      </c>
      <c r="Y865" s="58" t="n">
        <f aca="false">Y864+V865</f>
        <v>113000.408372882</v>
      </c>
    </row>
    <row r="866" customFormat="false" ht="15" hidden="false" customHeight="false" outlineLevel="0" collapsed="false">
      <c r="K866" s="56" t="n">
        <f aca="false">K865+1</f>
        <v>859</v>
      </c>
      <c r="L866" s="57" t="n">
        <f aca="false">IF(AND(K866&lt;=Assumptions!$C$42,L865=1,P865=0,O865&gt;Assumptions!$C$43),1,0)</f>
        <v>0</v>
      </c>
      <c r="M866" s="58" t="n">
        <f aca="false">O865</f>
        <v>8.10541678220034E-009</v>
      </c>
      <c r="N866" s="58" t="n">
        <f aca="false">IF(L866=1,M866*$B$22,0)</f>
        <v>0</v>
      </c>
      <c r="O866" s="58" t="n">
        <f aca="false">IF(L866=1,M866+N866-$B$26,M866)</f>
        <v>8.10541678220034E-009</v>
      </c>
      <c r="P866" s="56" t="n">
        <f aca="false">IF(L866=1,IF($B$26&lt;=N866,1,0),0)</f>
        <v>0</v>
      </c>
      <c r="Q866" s="58" t="n">
        <f aca="false">Q865+N866</f>
        <v>145877.630223336</v>
      </c>
      <c r="S866" s="56" t="n">
        <f aca="false">S865+1</f>
        <v>859</v>
      </c>
      <c r="T866" s="57" t="n">
        <f aca="false">IF(AND(S866&lt;=Assumptions!$C$42,T865=1,X865=0,W865&gt;Assumptions!$C$43),1,0)</f>
        <v>0</v>
      </c>
      <c r="U866" s="58" t="n">
        <f aca="false">W865</f>
        <v>-182.103705036234</v>
      </c>
      <c r="V866" s="58" t="n">
        <f aca="false">IF(T866=1,U866*$B$22,0)</f>
        <v>0</v>
      </c>
      <c r="W866" s="58" t="n">
        <f aca="false">IF(T866=1,U866+V866-$B$27,U866)</f>
        <v>-182.103705036234</v>
      </c>
      <c r="X866" s="56" t="n">
        <f aca="false">IF(T866=1,IF($B$27&lt;=V866,1,0),0)</f>
        <v>0</v>
      </c>
      <c r="Y866" s="58" t="n">
        <f aca="false">Y865+V866</f>
        <v>113000.408372882</v>
      </c>
    </row>
    <row r="867" customFormat="false" ht="15" hidden="false" customHeight="false" outlineLevel="0" collapsed="false">
      <c r="K867" s="56" t="n">
        <f aca="false">K866+1</f>
        <v>860</v>
      </c>
      <c r="L867" s="57" t="n">
        <f aca="false">IF(AND(K867&lt;=Assumptions!$C$42,L866=1,P866=0,O866&gt;Assumptions!$C$43),1,0)</f>
        <v>0</v>
      </c>
      <c r="M867" s="58" t="n">
        <f aca="false">O866</f>
        <v>8.10541678220034E-009</v>
      </c>
      <c r="N867" s="58" t="n">
        <f aca="false">IF(L867=1,M867*$B$22,0)</f>
        <v>0</v>
      </c>
      <c r="O867" s="58" t="n">
        <f aca="false">IF(L867=1,M867+N867-$B$26,M867)</f>
        <v>8.10541678220034E-009</v>
      </c>
      <c r="P867" s="56" t="n">
        <f aca="false">IF(L867=1,IF($B$26&lt;=N867,1,0),0)</f>
        <v>0</v>
      </c>
      <c r="Q867" s="58" t="n">
        <f aca="false">Q866+N867</f>
        <v>145877.630223336</v>
      </c>
      <c r="S867" s="56" t="n">
        <f aca="false">S866+1</f>
        <v>860</v>
      </c>
      <c r="T867" s="57" t="n">
        <f aca="false">IF(AND(S867&lt;=Assumptions!$C$42,T866=1,X866=0,W866&gt;Assumptions!$C$43),1,0)</f>
        <v>0</v>
      </c>
      <c r="U867" s="58" t="n">
        <f aca="false">W866</f>
        <v>-182.103705036234</v>
      </c>
      <c r="V867" s="58" t="n">
        <f aca="false">IF(T867=1,U867*$B$22,0)</f>
        <v>0</v>
      </c>
      <c r="W867" s="58" t="n">
        <f aca="false">IF(T867=1,U867+V867-$B$27,U867)</f>
        <v>-182.103705036234</v>
      </c>
      <c r="X867" s="56" t="n">
        <f aca="false">IF(T867=1,IF($B$27&lt;=V867,1,0),0)</f>
        <v>0</v>
      </c>
      <c r="Y867" s="58" t="n">
        <f aca="false">Y866+V867</f>
        <v>113000.408372882</v>
      </c>
    </row>
    <row r="868" customFormat="false" ht="15" hidden="false" customHeight="false" outlineLevel="0" collapsed="false">
      <c r="K868" s="56" t="n">
        <f aca="false">K867+1</f>
        <v>861</v>
      </c>
      <c r="L868" s="57" t="n">
        <f aca="false">IF(AND(K868&lt;=Assumptions!$C$42,L867=1,P867=0,O867&gt;Assumptions!$C$43),1,0)</f>
        <v>0</v>
      </c>
      <c r="M868" s="58" t="n">
        <f aca="false">O867</f>
        <v>8.10541678220034E-009</v>
      </c>
      <c r="N868" s="58" t="n">
        <f aca="false">IF(L868=1,M868*$B$22,0)</f>
        <v>0</v>
      </c>
      <c r="O868" s="58" t="n">
        <f aca="false">IF(L868=1,M868+N868-$B$26,M868)</f>
        <v>8.10541678220034E-009</v>
      </c>
      <c r="P868" s="56" t="n">
        <f aca="false">IF(L868=1,IF($B$26&lt;=N868,1,0),0)</f>
        <v>0</v>
      </c>
      <c r="Q868" s="58" t="n">
        <f aca="false">Q867+N868</f>
        <v>145877.630223336</v>
      </c>
      <c r="S868" s="56" t="n">
        <f aca="false">S867+1</f>
        <v>861</v>
      </c>
      <c r="T868" s="57" t="n">
        <f aca="false">IF(AND(S868&lt;=Assumptions!$C$42,T867=1,X867=0,W867&gt;Assumptions!$C$43),1,0)</f>
        <v>0</v>
      </c>
      <c r="U868" s="58" t="n">
        <f aca="false">W867</f>
        <v>-182.103705036234</v>
      </c>
      <c r="V868" s="58" t="n">
        <f aca="false">IF(T868=1,U868*$B$22,0)</f>
        <v>0</v>
      </c>
      <c r="W868" s="58" t="n">
        <f aca="false">IF(T868=1,U868+V868-$B$27,U868)</f>
        <v>-182.103705036234</v>
      </c>
      <c r="X868" s="56" t="n">
        <f aca="false">IF(T868=1,IF($B$27&lt;=V868,1,0),0)</f>
        <v>0</v>
      </c>
      <c r="Y868" s="58" t="n">
        <f aca="false">Y867+V868</f>
        <v>113000.408372882</v>
      </c>
    </row>
    <row r="869" customFormat="false" ht="15" hidden="false" customHeight="false" outlineLevel="0" collapsed="false">
      <c r="K869" s="56" t="n">
        <f aca="false">K868+1</f>
        <v>862</v>
      </c>
      <c r="L869" s="57" t="n">
        <f aca="false">IF(AND(K869&lt;=Assumptions!$C$42,L868=1,P868=0,O868&gt;Assumptions!$C$43),1,0)</f>
        <v>0</v>
      </c>
      <c r="M869" s="58" t="n">
        <f aca="false">O868</f>
        <v>8.10541678220034E-009</v>
      </c>
      <c r="N869" s="58" t="n">
        <f aca="false">IF(L869=1,M869*$B$22,0)</f>
        <v>0</v>
      </c>
      <c r="O869" s="58" t="n">
        <f aca="false">IF(L869=1,M869+N869-$B$26,M869)</f>
        <v>8.10541678220034E-009</v>
      </c>
      <c r="P869" s="56" t="n">
        <f aca="false">IF(L869=1,IF($B$26&lt;=N869,1,0),0)</f>
        <v>0</v>
      </c>
      <c r="Q869" s="58" t="n">
        <f aca="false">Q868+N869</f>
        <v>145877.630223336</v>
      </c>
      <c r="S869" s="56" t="n">
        <f aca="false">S868+1</f>
        <v>862</v>
      </c>
      <c r="T869" s="57" t="n">
        <f aca="false">IF(AND(S869&lt;=Assumptions!$C$42,T868=1,X868=0,W868&gt;Assumptions!$C$43),1,0)</f>
        <v>0</v>
      </c>
      <c r="U869" s="58" t="n">
        <f aca="false">W868</f>
        <v>-182.103705036234</v>
      </c>
      <c r="V869" s="58" t="n">
        <f aca="false">IF(T869=1,U869*$B$22,0)</f>
        <v>0</v>
      </c>
      <c r="W869" s="58" t="n">
        <f aca="false">IF(T869=1,U869+V869-$B$27,U869)</f>
        <v>-182.103705036234</v>
      </c>
      <c r="X869" s="56" t="n">
        <f aca="false">IF(T869=1,IF($B$27&lt;=V869,1,0),0)</f>
        <v>0</v>
      </c>
      <c r="Y869" s="58" t="n">
        <f aca="false">Y868+V869</f>
        <v>113000.408372882</v>
      </c>
    </row>
    <row r="870" customFormat="false" ht="15" hidden="false" customHeight="false" outlineLevel="0" collapsed="false">
      <c r="K870" s="56" t="n">
        <f aca="false">K869+1</f>
        <v>863</v>
      </c>
      <c r="L870" s="57" t="n">
        <f aca="false">IF(AND(K870&lt;=Assumptions!$C$42,L869=1,P869=0,O869&gt;Assumptions!$C$43),1,0)</f>
        <v>0</v>
      </c>
      <c r="M870" s="58" t="n">
        <f aca="false">O869</f>
        <v>8.10541678220034E-009</v>
      </c>
      <c r="N870" s="58" t="n">
        <f aca="false">IF(L870=1,M870*$B$22,0)</f>
        <v>0</v>
      </c>
      <c r="O870" s="58" t="n">
        <f aca="false">IF(L870=1,M870+N870-$B$26,M870)</f>
        <v>8.10541678220034E-009</v>
      </c>
      <c r="P870" s="56" t="n">
        <f aca="false">IF(L870=1,IF($B$26&lt;=N870,1,0),0)</f>
        <v>0</v>
      </c>
      <c r="Q870" s="58" t="n">
        <f aca="false">Q869+N870</f>
        <v>145877.630223336</v>
      </c>
      <c r="S870" s="56" t="n">
        <f aca="false">S869+1</f>
        <v>863</v>
      </c>
      <c r="T870" s="57" t="n">
        <f aca="false">IF(AND(S870&lt;=Assumptions!$C$42,T869=1,X869=0,W869&gt;Assumptions!$C$43),1,0)</f>
        <v>0</v>
      </c>
      <c r="U870" s="58" t="n">
        <f aca="false">W869</f>
        <v>-182.103705036234</v>
      </c>
      <c r="V870" s="58" t="n">
        <f aca="false">IF(T870=1,U870*$B$22,0)</f>
        <v>0</v>
      </c>
      <c r="W870" s="58" t="n">
        <f aca="false">IF(T870=1,U870+V870-$B$27,U870)</f>
        <v>-182.103705036234</v>
      </c>
      <c r="X870" s="56" t="n">
        <f aca="false">IF(T870=1,IF($B$27&lt;=V870,1,0),0)</f>
        <v>0</v>
      </c>
      <c r="Y870" s="58" t="n">
        <f aca="false">Y869+V870</f>
        <v>113000.408372882</v>
      </c>
    </row>
    <row r="871" customFormat="false" ht="15" hidden="false" customHeight="false" outlineLevel="0" collapsed="false">
      <c r="K871" s="56" t="n">
        <f aca="false">K870+1</f>
        <v>864</v>
      </c>
      <c r="L871" s="57" t="n">
        <f aca="false">IF(AND(K871&lt;=Assumptions!$C$42,L870=1,P870=0,O870&gt;Assumptions!$C$43),1,0)</f>
        <v>0</v>
      </c>
      <c r="M871" s="58" t="n">
        <f aca="false">O870</f>
        <v>8.10541678220034E-009</v>
      </c>
      <c r="N871" s="58" t="n">
        <f aca="false">IF(L871=1,M871*$B$22,0)</f>
        <v>0</v>
      </c>
      <c r="O871" s="58" t="n">
        <f aca="false">IF(L871=1,M871+N871-$B$26,M871)</f>
        <v>8.10541678220034E-009</v>
      </c>
      <c r="P871" s="56" t="n">
        <f aca="false">IF(L871=1,IF($B$26&lt;=N871,1,0),0)</f>
        <v>0</v>
      </c>
      <c r="Q871" s="58" t="n">
        <f aca="false">Q870+N871</f>
        <v>145877.630223336</v>
      </c>
      <c r="S871" s="56" t="n">
        <f aca="false">S870+1</f>
        <v>864</v>
      </c>
      <c r="T871" s="57" t="n">
        <f aca="false">IF(AND(S871&lt;=Assumptions!$C$42,T870=1,X870=0,W870&gt;Assumptions!$C$43),1,0)</f>
        <v>0</v>
      </c>
      <c r="U871" s="58" t="n">
        <f aca="false">W870</f>
        <v>-182.103705036234</v>
      </c>
      <c r="V871" s="58" t="n">
        <f aca="false">IF(T871=1,U871*$B$22,0)</f>
        <v>0</v>
      </c>
      <c r="W871" s="58" t="n">
        <f aca="false">IF(T871=1,U871+V871-$B$27,U871)</f>
        <v>-182.103705036234</v>
      </c>
      <c r="X871" s="56" t="n">
        <f aca="false">IF(T871=1,IF($B$27&lt;=V871,1,0),0)</f>
        <v>0</v>
      </c>
      <c r="Y871" s="58" t="n">
        <f aca="false">Y870+V871</f>
        <v>113000.408372882</v>
      </c>
    </row>
    <row r="872" customFormat="false" ht="15" hidden="false" customHeight="false" outlineLevel="0" collapsed="false">
      <c r="K872" s="56" t="n">
        <f aca="false">K871+1</f>
        <v>865</v>
      </c>
      <c r="L872" s="57" t="n">
        <f aca="false">IF(AND(K872&lt;=Assumptions!$C$42,L871=1,P871=0,O871&gt;Assumptions!$C$43),1,0)</f>
        <v>0</v>
      </c>
      <c r="M872" s="58" t="n">
        <f aca="false">O871</f>
        <v>8.10541678220034E-009</v>
      </c>
      <c r="N872" s="58" t="n">
        <f aca="false">IF(L872=1,M872*$B$22,0)</f>
        <v>0</v>
      </c>
      <c r="O872" s="58" t="n">
        <f aca="false">IF(L872=1,M872+N872-$B$26,M872)</f>
        <v>8.10541678220034E-009</v>
      </c>
      <c r="P872" s="56" t="n">
        <f aca="false">IF(L872=1,IF($B$26&lt;=N872,1,0),0)</f>
        <v>0</v>
      </c>
      <c r="Q872" s="58" t="n">
        <f aca="false">Q871+N872</f>
        <v>145877.630223336</v>
      </c>
      <c r="S872" s="56" t="n">
        <f aca="false">S871+1</f>
        <v>865</v>
      </c>
      <c r="T872" s="57" t="n">
        <f aca="false">IF(AND(S872&lt;=Assumptions!$C$42,T871=1,X871=0,W871&gt;Assumptions!$C$43),1,0)</f>
        <v>0</v>
      </c>
      <c r="U872" s="58" t="n">
        <f aca="false">W871</f>
        <v>-182.103705036234</v>
      </c>
      <c r="V872" s="58" t="n">
        <f aca="false">IF(T872=1,U872*$B$22,0)</f>
        <v>0</v>
      </c>
      <c r="W872" s="58" t="n">
        <f aca="false">IF(T872=1,U872+V872-$B$27,U872)</f>
        <v>-182.103705036234</v>
      </c>
      <c r="X872" s="56" t="n">
        <f aca="false">IF(T872=1,IF($B$27&lt;=V872,1,0),0)</f>
        <v>0</v>
      </c>
      <c r="Y872" s="58" t="n">
        <f aca="false">Y871+V872</f>
        <v>113000.408372882</v>
      </c>
    </row>
    <row r="873" customFormat="false" ht="15" hidden="false" customHeight="false" outlineLevel="0" collapsed="false">
      <c r="K873" s="56" t="n">
        <f aca="false">K872+1</f>
        <v>866</v>
      </c>
      <c r="L873" s="57" t="n">
        <f aca="false">IF(AND(K873&lt;=Assumptions!$C$42,L872=1,P872=0,O872&gt;Assumptions!$C$43),1,0)</f>
        <v>0</v>
      </c>
      <c r="M873" s="58" t="n">
        <f aca="false">O872</f>
        <v>8.10541678220034E-009</v>
      </c>
      <c r="N873" s="58" t="n">
        <f aca="false">IF(L873=1,M873*$B$22,0)</f>
        <v>0</v>
      </c>
      <c r="O873" s="58" t="n">
        <f aca="false">IF(L873=1,M873+N873-$B$26,M873)</f>
        <v>8.10541678220034E-009</v>
      </c>
      <c r="P873" s="56" t="n">
        <f aca="false">IF(L873=1,IF($B$26&lt;=N873,1,0),0)</f>
        <v>0</v>
      </c>
      <c r="Q873" s="58" t="n">
        <f aca="false">Q872+N873</f>
        <v>145877.630223336</v>
      </c>
      <c r="S873" s="56" t="n">
        <f aca="false">S872+1</f>
        <v>866</v>
      </c>
      <c r="T873" s="57" t="n">
        <f aca="false">IF(AND(S873&lt;=Assumptions!$C$42,T872=1,X872=0,W872&gt;Assumptions!$C$43),1,0)</f>
        <v>0</v>
      </c>
      <c r="U873" s="58" t="n">
        <f aca="false">W872</f>
        <v>-182.103705036234</v>
      </c>
      <c r="V873" s="58" t="n">
        <f aca="false">IF(T873=1,U873*$B$22,0)</f>
        <v>0</v>
      </c>
      <c r="W873" s="58" t="n">
        <f aca="false">IF(T873=1,U873+V873-$B$27,U873)</f>
        <v>-182.103705036234</v>
      </c>
      <c r="X873" s="56" t="n">
        <f aca="false">IF(T873=1,IF($B$27&lt;=V873,1,0),0)</f>
        <v>0</v>
      </c>
      <c r="Y873" s="58" t="n">
        <f aca="false">Y872+V873</f>
        <v>113000.408372882</v>
      </c>
    </row>
    <row r="874" customFormat="false" ht="15" hidden="false" customHeight="false" outlineLevel="0" collapsed="false">
      <c r="K874" s="56" t="n">
        <f aca="false">K873+1</f>
        <v>867</v>
      </c>
      <c r="L874" s="57" t="n">
        <f aca="false">IF(AND(K874&lt;=Assumptions!$C$42,L873=1,P873=0,O873&gt;Assumptions!$C$43),1,0)</f>
        <v>0</v>
      </c>
      <c r="M874" s="58" t="n">
        <f aca="false">O873</f>
        <v>8.10541678220034E-009</v>
      </c>
      <c r="N874" s="58" t="n">
        <f aca="false">IF(L874=1,M874*$B$22,0)</f>
        <v>0</v>
      </c>
      <c r="O874" s="58" t="n">
        <f aca="false">IF(L874=1,M874+N874-$B$26,M874)</f>
        <v>8.10541678220034E-009</v>
      </c>
      <c r="P874" s="56" t="n">
        <f aca="false">IF(L874=1,IF($B$26&lt;=N874,1,0),0)</f>
        <v>0</v>
      </c>
      <c r="Q874" s="58" t="n">
        <f aca="false">Q873+N874</f>
        <v>145877.630223336</v>
      </c>
      <c r="S874" s="56" t="n">
        <f aca="false">S873+1</f>
        <v>867</v>
      </c>
      <c r="T874" s="57" t="n">
        <f aca="false">IF(AND(S874&lt;=Assumptions!$C$42,T873=1,X873=0,W873&gt;Assumptions!$C$43),1,0)</f>
        <v>0</v>
      </c>
      <c r="U874" s="58" t="n">
        <f aca="false">W873</f>
        <v>-182.103705036234</v>
      </c>
      <c r="V874" s="58" t="n">
        <f aca="false">IF(T874=1,U874*$B$22,0)</f>
        <v>0</v>
      </c>
      <c r="W874" s="58" t="n">
        <f aca="false">IF(T874=1,U874+V874-$B$27,U874)</f>
        <v>-182.103705036234</v>
      </c>
      <c r="X874" s="56" t="n">
        <f aca="false">IF(T874=1,IF($B$27&lt;=V874,1,0),0)</f>
        <v>0</v>
      </c>
      <c r="Y874" s="58" t="n">
        <f aca="false">Y873+V874</f>
        <v>113000.408372882</v>
      </c>
    </row>
    <row r="875" customFormat="false" ht="15" hidden="false" customHeight="false" outlineLevel="0" collapsed="false">
      <c r="K875" s="56" t="n">
        <f aca="false">K874+1</f>
        <v>868</v>
      </c>
      <c r="L875" s="57" t="n">
        <f aca="false">IF(AND(K875&lt;=Assumptions!$C$42,L874=1,P874=0,O874&gt;Assumptions!$C$43),1,0)</f>
        <v>0</v>
      </c>
      <c r="M875" s="58" t="n">
        <f aca="false">O874</f>
        <v>8.10541678220034E-009</v>
      </c>
      <c r="N875" s="58" t="n">
        <f aca="false">IF(L875=1,M875*$B$22,0)</f>
        <v>0</v>
      </c>
      <c r="O875" s="58" t="n">
        <f aca="false">IF(L875=1,M875+N875-$B$26,M875)</f>
        <v>8.10541678220034E-009</v>
      </c>
      <c r="P875" s="56" t="n">
        <f aca="false">IF(L875=1,IF($B$26&lt;=N875,1,0),0)</f>
        <v>0</v>
      </c>
      <c r="Q875" s="58" t="n">
        <f aca="false">Q874+N875</f>
        <v>145877.630223336</v>
      </c>
      <c r="S875" s="56" t="n">
        <f aca="false">S874+1</f>
        <v>868</v>
      </c>
      <c r="T875" s="57" t="n">
        <f aca="false">IF(AND(S875&lt;=Assumptions!$C$42,T874=1,X874=0,W874&gt;Assumptions!$C$43),1,0)</f>
        <v>0</v>
      </c>
      <c r="U875" s="58" t="n">
        <f aca="false">W874</f>
        <v>-182.103705036234</v>
      </c>
      <c r="V875" s="58" t="n">
        <f aca="false">IF(T875=1,U875*$B$22,0)</f>
        <v>0</v>
      </c>
      <c r="W875" s="58" t="n">
        <f aca="false">IF(T875=1,U875+V875-$B$27,U875)</f>
        <v>-182.103705036234</v>
      </c>
      <c r="X875" s="56" t="n">
        <f aca="false">IF(T875=1,IF($B$27&lt;=V875,1,0),0)</f>
        <v>0</v>
      </c>
      <c r="Y875" s="58" t="n">
        <f aca="false">Y874+V875</f>
        <v>113000.408372882</v>
      </c>
    </row>
    <row r="876" customFormat="false" ht="15" hidden="false" customHeight="false" outlineLevel="0" collapsed="false">
      <c r="K876" s="56" t="n">
        <f aca="false">K875+1</f>
        <v>869</v>
      </c>
      <c r="L876" s="57" t="n">
        <f aca="false">IF(AND(K876&lt;=Assumptions!$C$42,L875=1,P875=0,O875&gt;Assumptions!$C$43),1,0)</f>
        <v>0</v>
      </c>
      <c r="M876" s="58" t="n">
        <f aca="false">O875</f>
        <v>8.10541678220034E-009</v>
      </c>
      <c r="N876" s="58" t="n">
        <f aca="false">IF(L876=1,M876*$B$22,0)</f>
        <v>0</v>
      </c>
      <c r="O876" s="58" t="n">
        <f aca="false">IF(L876=1,M876+N876-$B$26,M876)</f>
        <v>8.10541678220034E-009</v>
      </c>
      <c r="P876" s="56" t="n">
        <f aca="false">IF(L876=1,IF($B$26&lt;=N876,1,0),0)</f>
        <v>0</v>
      </c>
      <c r="Q876" s="58" t="n">
        <f aca="false">Q875+N876</f>
        <v>145877.630223336</v>
      </c>
      <c r="S876" s="56" t="n">
        <f aca="false">S875+1</f>
        <v>869</v>
      </c>
      <c r="T876" s="57" t="n">
        <f aca="false">IF(AND(S876&lt;=Assumptions!$C$42,T875=1,X875=0,W875&gt;Assumptions!$C$43),1,0)</f>
        <v>0</v>
      </c>
      <c r="U876" s="58" t="n">
        <f aca="false">W875</f>
        <v>-182.103705036234</v>
      </c>
      <c r="V876" s="58" t="n">
        <f aca="false">IF(T876=1,U876*$B$22,0)</f>
        <v>0</v>
      </c>
      <c r="W876" s="58" t="n">
        <f aca="false">IF(T876=1,U876+V876-$B$27,U876)</f>
        <v>-182.103705036234</v>
      </c>
      <c r="X876" s="56" t="n">
        <f aca="false">IF(T876=1,IF($B$27&lt;=V876,1,0),0)</f>
        <v>0</v>
      </c>
      <c r="Y876" s="58" t="n">
        <f aca="false">Y875+V876</f>
        <v>113000.408372882</v>
      </c>
    </row>
    <row r="877" customFormat="false" ht="15" hidden="false" customHeight="false" outlineLevel="0" collapsed="false">
      <c r="K877" s="56" t="n">
        <f aca="false">K876+1</f>
        <v>870</v>
      </c>
      <c r="L877" s="57" t="n">
        <f aca="false">IF(AND(K877&lt;=Assumptions!$C$42,L876=1,P876=0,O876&gt;Assumptions!$C$43),1,0)</f>
        <v>0</v>
      </c>
      <c r="M877" s="58" t="n">
        <f aca="false">O876</f>
        <v>8.10541678220034E-009</v>
      </c>
      <c r="N877" s="58" t="n">
        <f aca="false">IF(L877=1,M877*$B$22,0)</f>
        <v>0</v>
      </c>
      <c r="O877" s="58" t="n">
        <f aca="false">IF(L877=1,M877+N877-$B$26,M877)</f>
        <v>8.10541678220034E-009</v>
      </c>
      <c r="P877" s="56" t="n">
        <f aca="false">IF(L877=1,IF($B$26&lt;=N877,1,0),0)</f>
        <v>0</v>
      </c>
      <c r="Q877" s="58" t="n">
        <f aca="false">Q876+N877</f>
        <v>145877.630223336</v>
      </c>
      <c r="S877" s="56" t="n">
        <f aca="false">S876+1</f>
        <v>870</v>
      </c>
      <c r="T877" s="57" t="n">
        <f aca="false">IF(AND(S877&lt;=Assumptions!$C$42,T876=1,X876=0,W876&gt;Assumptions!$C$43),1,0)</f>
        <v>0</v>
      </c>
      <c r="U877" s="58" t="n">
        <f aca="false">W876</f>
        <v>-182.103705036234</v>
      </c>
      <c r="V877" s="58" t="n">
        <f aca="false">IF(T877=1,U877*$B$22,0)</f>
        <v>0</v>
      </c>
      <c r="W877" s="58" t="n">
        <f aca="false">IF(T877=1,U877+V877-$B$27,U877)</f>
        <v>-182.103705036234</v>
      </c>
      <c r="X877" s="56" t="n">
        <f aca="false">IF(T877=1,IF($B$27&lt;=V877,1,0),0)</f>
        <v>0</v>
      </c>
      <c r="Y877" s="58" t="n">
        <f aca="false">Y876+V877</f>
        <v>113000.408372882</v>
      </c>
    </row>
    <row r="878" customFormat="false" ht="15" hidden="false" customHeight="false" outlineLevel="0" collapsed="false">
      <c r="K878" s="56" t="n">
        <f aca="false">K877+1</f>
        <v>871</v>
      </c>
      <c r="L878" s="57" t="n">
        <f aca="false">IF(AND(K878&lt;=Assumptions!$C$42,L877=1,P877=0,O877&gt;Assumptions!$C$43),1,0)</f>
        <v>0</v>
      </c>
      <c r="M878" s="58" t="n">
        <f aca="false">O877</f>
        <v>8.10541678220034E-009</v>
      </c>
      <c r="N878" s="58" t="n">
        <f aca="false">IF(L878=1,M878*$B$22,0)</f>
        <v>0</v>
      </c>
      <c r="O878" s="58" t="n">
        <f aca="false">IF(L878=1,M878+N878-$B$26,M878)</f>
        <v>8.10541678220034E-009</v>
      </c>
      <c r="P878" s="56" t="n">
        <f aca="false">IF(L878=1,IF($B$26&lt;=N878,1,0),0)</f>
        <v>0</v>
      </c>
      <c r="Q878" s="58" t="n">
        <f aca="false">Q877+N878</f>
        <v>145877.630223336</v>
      </c>
      <c r="S878" s="56" t="n">
        <f aca="false">S877+1</f>
        <v>871</v>
      </c>
      <c r="T878" s="57" t="n">
        <f aca="false">IF(AND(S878&lt;=Assumptions!$C$42,T877=1,X877=0,W877&gt;Assumptions!$C$43),1,0)</f>
        <v>0</v>
      </c>
      <c r="U878" s="58" t="n">
        <f aca="false">W877</f>
        <v>-182.103705036234</v>
      </c>
      <c r="V878" s="58" t="n">
        <f aca="false">IF(T878=1,U878*$B$22,0)</f>
        <v>0</v>
      </c>
      <c r="W878" s="58" t="n">
        <f aca="false">IF(T878=1,U878+V878-$B$27,U878)</f>
        <v>-182.103705036234</v>
      </c>
      <c r="X878" s="56" t="n">
        <f aca="false">IF(T878=1,IF($B$27&lt;=V878,1,0),0)</f>
        <v>0</v>
      </c>
      <c r="Y878" s="58" t="n">
        <f aca="false">Y877+V878</f>
        <v>113000.408372882</v>
      </c>
    </row>
    <row r="879" customFormat="false" ht="15" hidden="false" customHeight="false" outlineLevel="0" collapsed="false">
      <c r="K879" s="56" t="n">
        <f aca="false">K878+1</f>
        <v>872</v>
      </c>
      <c r="L879" s="57" t="n">
        <f aca="false">IF(AND(K879&lt;=Assumptions!$C$42,L878=1,P878=0,O878&gt;Assumptions!$C$43),1,0)</f>
        <v>0</v>
      </c>
      <c r="M879" s="58" t="n">
        <f aca="false">O878</f>
        <v>8.10541678220034E-009</v>
      </c>
      <c r="N879" s="58" t="n">
        <f aca="false">IF(L879=1,M879*$B$22,0)</f>
        <v>0</v>
      </c>
      <c r="O879" s="58" t="n">
        <f aca="false">IF(L879=1,M879+N879-$B$26,M879)</f>
        <v>8.10541678220034E-009</v>
      </c>
      <c r="P879" s="56" t="n">
        <f aca="false">IF(L879=1,IF($B$26&lt;=N879,1,0),0)</f>
        <v>0</v>
      </c>
      <c r="Q879" s="58" t="n">
        <f aca="false">Q878+N879</f>
        <v>145877.630223336</v>
      </c>
      <c r="S879" s="56" t="n">
        <f aca="false">S878+1</f>
        <v>872</v>
      </c>
      <c r="T879" s="57" t="n">
        <f aca="false">IF(AND(S879&lt;=Assumptions!$C$42,T878=1,X878=0,W878&gt;Assumptions!$C$43),1,0)</f>
        <v>0</v>
      </c>
      <c r="U879" s="58" t="n">
        <f aca="false">W878</f>
        <v>-182.103705036234</v>
      </c>
      <c r="V879" s="58" t="n">
        <f aca="false">IF(T879=1,U879*$B$22,0)</f>
        <v>0</v>
      </c>
      <c r="W879" s="58" t="n">
        <f aca="false">IF(T879=1,U879+V879-$B$27,U879)</f>
        <v>-182.103705036234</v>
      </c>
      <c r="X879" s="56" t="n">
        <f aca="false">IF(T879=1,IF($B$27&lt;=V879,1,0),0)</f>
        <v>0</v>
      </c>
      <c r="Y879" s="58" t="n">
        <f aca="false">Y878+V879</f>
        <v>113000.408372882</v>
      </c>
    </row>
    <row r="880" customFormat="false" ht="15" hidden="false" customHeight="false" outlineLevel="0" collapsed="false">
      <c r="K880" s="56" t="n">
        <f aca="false">K879+1</f>
        <v>873</v>
      </c>
      <c r="L880" s="57" t="n">
        <f aca="false">IF(AND(K880&lt;=Assumptions!$C$42,L879=1,P879=0,O879&gt;Assumptions!$C$43),1,0)</f>
        <v>0</v>
      </c>
      <c r="M880" s="58" t="n">
        <f aca="false">O879</f>
        <v>8.10541678220034E-009</v>
      </c>
      <c r="N880" s="58" t="n">
        <f aca="false">IF(L880=1,M880*$B$22,0)</f>
        <v>0</v>
      </c>
      <c r="O880" s="58" t="n">
        <f aca="false">IF(L880=1,M880+N880-$B$26,M880)</f>
        <v>8.10541678220034E-009</v>
      </c>
      <c r="P880" s="56" t="n">
        <f aca="false">IF(L880=1,IF($B$26&lt;=N880,1,0),0)</f>
        <v>0</v>
      </c>
      <c r="Q880" s="58" t="n">
        <f aca="false">Q879+N880</f>
        <v>145877.630223336</v>
      </c>
      <c r="S880" s="56" t="n">
        <f aca="false">S879+1</f>
        <v>873</v>
      </c>
      <c r="T880" s="57" t="n">
        <f aca="false">IF(AND(S880&lt;=Assumptions!$C$42,T879=1,X879=0,W879&gt;Assumptions!$C$43),1,0)</f>
        <v>0</v>
      </c>
      <c r="U880" s="58" t="n">
        <f aca="false">W879</f>
        <v>-182.103705036234</v>
      </c>
      <c r="V880" s="58" t="n">
        <f aca="false">IF(T880=1,U880*$B$22,0)</f>
        <v>0</v>
      </c>
      <c r="W880" s="58" t="n">
        <f aca="false">IF(T880=1,U880+V880-$B$27,U880)</f>
        <v>-182.103705036234</v>
      </c>
      <c r="X880" s="56" t="n">
        <f aca="false">IF(T880=1,IF($B$27&lt;=V880,1,0),0)</f>
        <v>0</v>
      </c>
      <c r="Y880" s="58" t="n">
        <f aca="false">Y879+V880</f>
        <v>113000.408372882</v>
      </c>
    </row>
    <row r="881" customFormat="false" ht="15" hidden="false" customHeight="false" outlineLevel="0" collapsed="false">
      <c r="K881" s="56" t="n">
        <f aca="false">K880+1</f>
        <v>874</v>
      </c>
      <c r="L881" s="57" t="n">
        <f aca="false">IF(AND(K881&lt;=Assumptions!$C$42,L880=1,P880=0,O880&gt;Assumptions!$C$43),1,0)</f>
        <v>0</v>
      </c>
      <c r="M881" s="58" t="n">
        <f aca="false">O880</f>
        <v>8.10541678220034E-009</v>
      </c>
      <c r="N881" s="58" t="n">
        <f aca="false">IF(L881=1,M881*$B$22,0)</f>
        <v>0</v>
      </c>
      <c r="O881" s="58" t="n">
        <f aca="false">IF(L881=1,M881+N881-$B$26,M881)</f>
        <v>8.10541678220034E-009</v>
      </c>
      <c r="P881" s="56" t="n">
        <f aca="false">IF(L881=1,IF($B$26&lt;=N881,1,0),0)</f>
        <v>0</v>
      </c>
      <c r="Q881" s="58" t="n">
        <f aca="false">Q880+N881</f>
        <v>145877.630223336</v>
      </c>
      <c r="S881" s="56" t="n">
        <f aca="false">S880+1</f>
        <v>874</v>
      </c>
      <c r="T881" s="57" t="n">
        <f aca="false">IF(AND(S881&lt;=Assumptions!$C$42,T880=1,X880=0,W880&gt;Assumptions!$C$43),1,0)</f>
        <v>0</v>
      </c>
      <c r="U881" s="58" t="n">
        <f aca="false">W880</f>
        <v>-182.103705036234</v>
      </c>
      <c r="V881" s="58" t="n">
        <f aca="false">IF(T881=1,U881*$B$22,0)</f>
        <v>0</v>
      </c>
      <c r="W881" s="58" t="n">
        <f aca="false">IF(T881=1,U881+V881-$B$27,U881)</f>
        <v>-182.103705036234</v>
      </c>
      <c r="X881" s="56" t="n">
        <f aca="false">IF(T881=1,IF($B$27&lt;=V881,1,0),0)</f>
        <v>0</v>
      </c>
      <c r="Y881" s="58" t="n">
        <f aca="false">Y880+V881</f>
        <v>113000.408372882</v>
      </c>
    </row>
    <row r="882" customFormat="false" ht="15" hidden="false" customHeight="false" outlineLevel="0" collapsed="false">
      <c r="K882" s="56" t="n">
        <f aca="false">K881+1</f>
        <v>875</v>
      </c>
      <c r="L882" s="57" t="n">
        <f aca="false">IF(AND(K882&lt;=Assumptions!$C$42,L881=1,P881=0,O881&gt;Assumptions!$C$43),1,0)</f>
        <v>0</v>
      </c>
      <c r="M882" s="58" t="n">
        <f aca="false">O881</f>
        <v>8.10541678220034E-009</v>
      </c>
      <c r="N882" s="58" t="n">
        <f aca="false">IF(L882=1,M882*$B$22,0)</f>
        <v>0</v>
      </c>
      <c r="O882" s="58" t="n">
        <f aca="false">IF(L882=1,M882+N882-$B$26,M882)</f>
        <v>8.10541678220034E-009</v>
      </c>
      <c r="P882" s="56" t="n">
        <f aca="false">IF(L882=1,IF($B$26&lt;=N882,1,0),0)</f>
        <v>0</v>
      </c>
      <c r="Q882" s="58" t="n">
        <f aca="false">Q881+N882</f>
        <v>145877.630223336</v>
      </c>
      <c r="S882" s="56" t="n">
        <f aca="false">S881+1</f>
        <v>875</v>
      </c>
      <c r="T882" s="57" t="n">
        <f aca="false">IF(AND(S882&lt;=Assumptions!$C$42,T881=1,X881=0,W881&gt;Assumptions!$C$43),1,0)</f>
        <v>0</v>
      </c>
      <c r="U882" s="58" t="n">
        <f aca="false">W881</f>
        <v>-182.103705036234</v>
      </c>
      <c r="V882" s="58" t="n">
        <f aca="false">IF(T882=1,U882*$B$22,0)</f>
        <v>0</v>
      </c>
      <c r="W882" s="58" t="n">
        <f aca="false">IF(T882=1,U882+V882-$B$27,U882)</f>
        <v>-182.103705036234</v>
      </c>
      <c r="X882" s="56" t="n">
        <f aca="false">IF(T882=1,IF($B$27&lt;=V882,1,0),0)</f>
        <v>0</v>
      </c>
      <c r="Y882" s="58" t="n">
        <f aca="false">Y881+V882</f>
        <v>113000.408372882</v>
      </c>
    </row>
    <row r="883" customFormat="false" ht="15" hidden="false" customHeight="false" outlineLevel="0" collapsed="false">
      <c r="K883" s="56" t="n">
        <f aca="false">K882+1</f>
        <v>876</v>
      </c>
      <c r="L883" s="57" t="n">
        <f aca="false">IF(AND(K883&lt;=Assumptions!$C$42,L882=1,P882=0,O882&gt;Assumptions!$C$43),1,0)</f>
        <v>0</v>
      </c>
      <c r="M883" s="58" t="n">
        <f aca="false">O882</f>
        <v>8.10541678220034E-009</v>
      </c>
      <c r="N883" s="58" t="n">
        <f aca="false">IF(L883=1,M883*$B$22,0)</f>
        <v>0</v>
      </c>
      <c r="O883" s="58" t="n">
        <f aca="false">IF(L883=1,M883+N883-$B$26,M883)</f>
        <v>8.10541678220034E-009</v>
      </c>
      <c r="P883" s="56" t="n">
        <f aca="false">IF(L883=1,IF($B$26&lt;=N883,1,0),0)</f>
        <v>0</v>
      </c>
      <c r="Q883" s="58" t="n">
        <f aca="false">Q882+N883</f>
        <v>145877.630223336</v>
      </c>
      <c r="S883" s="56" t="n">
        <f aca="false">S882+1</f>
        <v>876</v>
      </c>
      <c r="T883" s="57" t="n">
        <f aca="false">IF(AND(S883&lt;=Assumptions!$C$42,T882=1,X882=0,W882&gt;Assumptions!$C$43),1,0)</f>
        <v>0</v>
      </c>
      <c r="U883" s="58" t="n">
        <f aca="false">W882</f>
        <v>-182.103705036234</v>
      </c>
      <c r="V883" s="58" t="n">
        <f aca="false">IF(T883=1,U883*$B$22,0)</f>
        <v>0</v>
      </c>
      <c r="W883" s="58" t="n">
        <f aca="false">IF(T883=1,U883+V883-$B$27,U883)</f>
        <v>-182.103705036234</v>
      </c>
      <c r="X883" s="56" t="n">
        <f aca="false">IF(T883=1,IF($B$27&lt;=V883,1,0),0)</f>
        <v>0</v>
      </c>
      <c r="Y883" s="58" t="n">
        <f aca="false">Y882+V883</f>
        <v>113000.408372882</v>
      </c>
    </row>
    <row r="884" customFormat="false" ht="15" hidden="false" customHeight="false" outlineLevel="0" collapsed="false">
      <c r="K884" s="56" t="n">
        <f aca="false">K883+1</f>
        <v>877</v>
      </c>
      <c r="L884" s="57" t="n">
        <f aca="false">IF(AND(K884&lt;=Assumptions!$C$42,L883=1,P883=0,O883&gt;Assumptions!$C$43),1,0)</f>
        <v>0</v>
      </c>
      <c r="M884" s="58" t="n">
        <f aca="false">O883</f>
        <v>8.10541678220034E-009</v>
      </c>
      <c r="N884" s="58" t="n">
        <f aca="false">IF(L884=1,M884*$B$22,0)</f>
        <v>0</v>
      </c>
      <c r="O884" s="58" t="n">
        <f aca="false">IF(L884=1,M884+N884-$B$26,M884)</f>
        <v>8.10541678220034E-009</v>
      </c>
      <c r="P884" s="56" t="n">
        <f aca="false">IF(L884=1,IF($B$26&lt;=N884,1,0),0)</f>
        <v>0</v>
      </c>
      <c r="Q884" s="58" t="n">
        <f aca="false">Q883+N884</f>
        <v>145877.630223336</v>
      </c>
      <c r="S884" s="56" t="n">
        <f aca="false">S883+1</f>
        <v>877</v>
      </c>
      <c r="T884" s="57" t="n">
        <f aca="false">IF(AND(S884&lt;=Assumptions!$C$42,T883=1,X883=0,W883&gt;Assumptions!$C$43),1,0)</f>
        <v>0</v>
      </c>
      <c r="U884" s="58" t="n">
        <f aca="false">W883</f>
        <v>-182.103705036234</v>
      </c>
      <c r="V884" s="58" t="n">
        <f aca="false">IF(T884=1,U884*$B$22,0)</f>
        <v>0</v>
      </c>
      <c r="W884" s="58" t="n">
        <f aca="false">IF(T884=1,U884+V884-$B$27,U884)</f>
        <v>-182.103705036234</v>
      </c>
      <c r="X884" s="56" t="n">
        <f aca="false">IF(T884=1,IF($B$27&lt;=V884,1,0),0)</f>
        <v>0</v>
      </c>
      <c r="Y884" s="58" t="n">
        <f aca="false">Y883+V884</f>
        <v>113000.408372882</v>
      </c>
    </row>
    <row r="885" customFormat="false" ht="15" hidden="false" customHeight="false" outlineLevel="0" collapsed="false">
      <c r="K885" s="56" t="n">
        <f aca="false">K884+1</f>
        <v>878</v>
      </c>
      <c r="L885" s="57" t="n">
        <f aca="false">IF(AND(K885&lt;=Assumptions!$C$42,L884=1,P884=0,O884&gt;Assumptions!$C$43),1,0)</f>
        <v>0</v>
      </c>
      <c r="M885" s="58" t="n">
        <f aca="false">O884</f>
        <v>8.10541678220034E-009</v>
      </c>
      <c r="N885" s="58" t="n">
        <f aca="false">IF(L885=1,M885*$B$22,0)</f>
        <v>0</v>
      </c>
      <c r="O885" s="58" t="n">
        <f aca="false">IF(L885=1,M885+N885-$B$26,M885)</f>
        <v>8.10541678220034E-009</v>
      </c>
      <c r="P885" s="56" t="n">
        <f aca="false">IF(L885=1,IF($B$26&lt;=N885,1,0),0)</f>
        <v>0</v>
      </c>
      <c r="Q885" s="58" t="n">
        <f aca="false">Q884+N885</f>
        <v>145877.630223336</v>
      </c>
      <c r="S885" s="56" t="n">
        <f aca="false">S884+1</f>
        <v>878</v>
      </c>
      <c r="T885" s="57" t="n">
        <f aca="false">IF(AND(S885&lt;=Assumptions!$C$42,T884=1,X884=0,W884&gt;Assumptions!$C$43),1,0)</f>
        <v>0</v>
      </c>
      <c r="U885" s="58" t="n">
        <f aca="false">W884</f>
        <v>-182.103705036234</v>
      </c>
      <c r="V885" s="58" t="n">
        <f aca="false">IF(T885=1,U885*$B$22,0)</f>
        <v>0</v>
      </c>
      <c r="W885" s="58" t="n">
        <f aca="false">IF(T885=1,U885+V885-$B$27,U885)</f>
        <v>-182.103705036234</v>
      </c>
      <c r="X885" s="56" t="n">
        <f aca="false">IF(T885=1,IF($B$27&lt;=V885,1,0),0)</f>
        <v>0</v>
      </c>
      <c r="Y885" s="58" t="n">
        <f aca="false">Y884+V885</f>
        <v>113000.408372882</v>
      </c>
    </row>
    <row r="886" customFormat="false" ht="15" hidden="false" customHeight="false" outlineLevel="0" collapsed="false">
      <c r="K886" s="56" t="n">
        <f aca="false">K885+1</f>
        <v>879</v>
      </c>
      <c r="L886" s="57" t="n">
        <f aca="false">IF(AND(K886&lt;=Assumptions!$C$42,L885=1,P885=0,O885&gt;Assumptions!$C$43),1,0)</f>
        <v>0</v>
      </c>
      <c r="M886" s="58" t="n">
        <f aca="false">O885</f>
        <v>8.10541678220034E-009</v>
      </c>
      <c r="N886" s="58" t="n">
        <f aca="false">IF(L886=1,M886*$B$22,0)</f>
        <v>0</v>
      </c>
      <c r="O886" s="58" t="n">
        <f aca="false">IF(L886=1,M886+N886-$B$26,M886)</f>
        <v>8.10541678220034E-009</v>
      </c>
      <c r="P886" s="56" t="n">
        <f aca="false">IF(L886=1,IF($B$26&lt;=N886,1,0),0)</f>
        <v>0</v>
      </c>
      <c r="Q886" s="58" t="n">
        <f aca="false">Q885+N886</f>
        <v>145877.630223336</v>
      </c>
      <c r="S886" s="56" t="n">
        <f aca="false">S885+1</f>
        <v>879</v>
      </c>
      <c r="T886" s="57" t="n">
        <f aca="false">IF(AND(S886&lt;=Assumptions!$C$42,T885=1,X885=0,W885&gt;Assumptions!$C$43),1,0)</f>
        <v>0</v>
      </c>
      <c r="U886" s="58" t="n">
        <f aca="false">W885</f>
        <v>-182.103705036234</v>
      </c>
      <c r="V886" s="58" t="n">
        <f aca="false">IF(T886=1,U886*$B$22,0)</f>
        <v>0</v>
      </c>
      <c r="W886" s="58" t="n">
        <f aca="false">IF(T886=1,U886+V886-$B$27,U886)</f>
        <v>-182.103705036234</v>
      </c>
      <c r="X886" s="56" t="n">
        <f aca="false">IF(T886=1,IF($B$27&lt;=V886,1,0),0)</f>
        <v>0</v>
      </c>
      <c r="Y886" s="58" t="n">
        <f aca="false">Y885+V886</f>
        <v>113000.408372882</v>
      </c>
    </row>
    <row r="887" customFormat="false" ht="15" hidden="false" customHeight="false" outlineLevel="0" collapsed="false">
      <c r="K887" s="56" t="n">
        <f aca="false">K886+1</f>
        <v>880</v>
      </c>
      <c r="L887" s="57" t="n">
        <f aca="false">IF(AND(K887&lt;=Assumptions!$C$42,L886=1,P886=0,O886&gt;Assumptions!$C$43),1,0)</f>
        <v>0</v>
      </c>
      <c r="M887" s="58" t="n">
        <f aca="false">O886</f>
        <v>8.10541678220034E-009</v>
      </c>
      <c r="N887" s="58" t="n">
        <f aca="false">IF(L887=1,M887*$B$22,0)</f>
        <v>0</v>
      </c>
      <c r="O887" s="58" t="n">
        <f aca="false">IF(L887=1,M887+N887-$B$26,M887)</f>
        <v>8.10541678220034E-009</v>
      </c>
      <c r="P887" s="56" t="n">
        <f aca="false">IF(L887=1,IF($B$26&lt;=N887,1,0),0)</f>
        <v>0</v>
      </c>
      <c r="Q887" s="58" t="n">
        <f aca="false">Q886+N887</f>
        <v>145877.630223336</v>
      </c>
      <c r="S887" s="56" t="n">
        <f aca="false">S886+1</f>
        <v>880</v>
      </c>
      <c r="T887" s="57" t="n">
        <f aca="false">IF(AND(S887&lt;=Assumptions!$C$42,T886=1,X886=0,W886&gt;Assumptions!$C$43),1,0)</f>
        <v>0</v>
      </c>
      <c r="U887" s="58" t="n">
        <f aca="false">W886</f>
        <v>-182.103705036234</v>
      </c>
      <c r="V887" s="58" t="n">
        <f aca="false">IF(T887=1,U887*$B$22,0)</f>
        <v>0</v>
      </c>
      <c r="W887" s="58" t="n">
        <f aca="false">IF(T887=1,U887+V887-$B$27,U887)</f>
        <v>-182.103705036234</v>
      </c>
      <c r="X887" s="56" t="n">
        <f aca="false">IF(T887=1,IF($B$27&lt;=V887,1,0),0)</f>
        <v>0</v>
      </c>
      <c r="Y887" s="58" t="n">
        <f aca="false">Y886+V887</f>
        <v>113000.408372882</v>
      </c>
    </row>
    <row r="888" customFormat="false" ht="15" hidden="false" customHeight="false" outlineLevel="0" collapsed="false">
      <c r="K888" s="56" t="n">
        <f aca="false">K887+1</f>
        <v>881</v>
      </c>
      <c r="L888" s="57" t="n">
        <f aca="false">IF(AND(K888&lt;=Assumptions!$C$42,L887=1,P887=0,O887&gt;Assumptions!$C$43),1,0)</f>
        <v>0</v>
      </c>
      <c r="M888" s="58" t="n">
        <f aca="false">O887</f>
        <v>8.10541678220034E-009</v>
      </c>
      <c r="N888" s="58" t="n">
        <f aca="false">IF(L888=1,M888*$B$22,0)</f>
        <v>0</v>
      </c>
      <c r="O888" s="58" t="n">
        <f aca="false">IF(L888=1,M888+N888-$B$26,M888)</f>
        <v>8.10541678220034E-009</v>
      </c>
      <c r="P888" s="56" t="n">
        <f aca="false">IF(L888=1,IF($B$26&lt;=N888,1,0),0)</f>
        <v>0</v>
      </c>
      <c r="Q888" s="58" t="n">
        <f aca="false">Q887+N888</f>
        <v>145877.630223336</v>
      </c>
      <c r="S888" s="56" t="n">
        <f aca="false">S887+1</f>
        <v>881</v>
      </c>
      <c r="T888" s="57" t="n">
        <f aca="false">IF(AND(S888&lt;=Assumptions!$C$42,T887=1,X887=0,W887&gt;Assumptions!$C$43),1,0)</f>
        <v>0</v>
      </c>
      <c r="U888" s="58" t="n">
        <f aca="false">W887</f>
        <v>-182.103705036234</v>
      </c>
      <c r="V888" s="58" t="n">
        <f aca="false">IF(T888=1,U888*$B$22,0)</f>
        <v>0</v>
      </c>
      <c r="W888" s="58" t="n">
        <f aca="false">IF(T888=1,U888+V888-$B$27,U888)</f>
        <v>-182.103705036234</v>
      </c>
      <c r="X888" s="56" t="n">
        <f aca="false">IF(T888=1,IF($B$27&lt;=V888,1,0),0)</f>
        <v>0</v>
      </c>
      <c r="Y888" s="58" t="n">
        <f aca="false">Y887+V888</f>
        <v>113000.408372882</v>
      </c>
    </row>
    <row r="889" customFormat="false" ht="15" hidden="false" customHeight="false" outlineLevel="0" collapsed="false">
      <c r="K889" s="56" t="n">
        <f aca="false">K888+1</f>
        <v>882</v>
      </c>
      <c r="L889" s="57" t="n">
        <f aca="false">IF(AND(K889&lt;=Assumptions!$C$42,L888=1,P888=0,O888&gt;Assumptions!$C$43),1,0)</f>
        <v>0</v>
      </c>
      <c r="M889" s="58" t="n">
        <f aca="false">O888</f>
        <v>8.10541678220034E-009</v>
      </c>
      <c r="N889" s="58" t="n">
        <f aca="false">IF(L889=1,M889*$B$22,0)</f>
        <v>0</v>
      </c>
      <c r="O889" s="58" t="n">
        <f aca="false">IF(L889=1,M889+N889-$B$26,M889)</f>
        <v>8.10541678220034E-009</v>
      </c>
      <c r="P889" s="56" t="n">
        <f aca="false">IF(L889=1,IF($B$26&lt;=N889,1,0),0)</f>
        <v>0</v>
      </c>
      <c r="Q889" s="58" t="n">
        <f aca="false">Q888+N889</f>
        <v>145877.630223336</v>
      </c>
      <c r="S889" s="56" t="n">
        <f aca="false">S888+1</f>
        <v>882</v>
      </c>
      <c r="T889" s="57" t="n">
        <f aca="false">IF(AND(S889&lt;=Assumptions!$C$42,T888=1,X888=0,W888&gt;Assumptions!$C$43),1,0)</f>
        <v>0</v>
      </c>
      <c r="U889" s="58" t="n">
        <f aca="false">W888</f>
        <v>-182.103705036234</v>
      </c>
      <c r="V889" s="58" t="n">
        <f aca="false">IF(T889=1,U889*$B$22,0)</f>
        <v>0</v>
      </c>
      <c r="W889" s="58" t="n">
        <f aca="false">IF(T889=1,U889+V889-$B$27,U889)</f>
        <v>-182.103705036234</v>
      </c>
      <c r="X889" s="56" t="n">
        <f aca="false">IF(T889=1,IF($B$27&lt;=V889,1,0),0)</f>
        <v>0</v>
      </c>
      <c r="Y889" s="58" t="n">
        <f aca="false">Y888+V889</f>
        <v>113000.408372882</v>
      </c>
    </row>
    <row r="890" customFormat="false" ht="15" hidden="false" customHeight="false" outlineLevel="0" collapsed="false">
      <c r="K890" s="56" t="n">
        <f aca="false">K889+1</f>
        <v>883</v>
      </c>
      <c r="L890" s="57" t="n">
        <f aca="false">IF(AND(K890&lt;=Assumptions!$C$42,L889=1,P889=0,O889&gt;Assumptions!$C$43),1,0)</f>
        <v>0</v>
      </c>
      <c r="M890" s="58" t="n">
        <f aca="false">O889</f>
        <v>8.10541678220034E-009</v>
      </c>
      <c r="N890" s="58" t="n">
        <f aca="false">IF(L890=1,M890*$B$22,0)</f>
        <v>0</v>
      </c>
      <c r="O890" s="58" t="n">
        <f aca="false">IF(L890=1,M890+N890-$B$26,M890)</f>
        <v>8.10541678220034E-009</v>
      </c>
      <c r="P890" s="56" t="n">
        <f aca="false">IF(L890=1,IF($B$26&lt;=N890,1,0),0)</f>
        <v>0</v>
      </c>
      <c r="Q890" s="58" t="n">
        <f aca="false">Q889+N890</f>
        <v>145877.630223336</v>
      </c>
      <c r="S890" s="56" t="n">
        <f aca="false">S889+1</f>
        <v>883</v>
      </c>
      <c r="T890" s="57" t="n">
        <f aca="false">IF(AND(S890&lt;=Assumptions!$C$42,T889=1,X889=0,W889&gt;Assumptions!$C$43),1,0)</f>
        <v>0</v>
      </c>
      <c r="U890" s="58" t="n">
        <f aca="false">W889</f>
        <v>-182.103705036234</v>
      </c>
      <c r="V890" s="58" t="n">
        <f aca="false">IF(T890=1,U890*$B$22,0)</f>
        <v>0</v>
      </c>
      <c r="W890" s="58" t="n">
        <f aca="false">IF(T890=1,U890+V890-$B$27,U890)</f>
        <v>-182.103705036234</v>
      </c>
      <c r="X890" s="56" t="n">
        <f aca="false">IF(T890=1,IF($B$27&lt;=V890,1,0),0)</f>
        <v>0</v>
      </c>
      <c r="Y890" s="58" t="n">
        <f aca="false">Y889+V890</f>
        <v>113000.408372882</v>
      </c>
    </row>
    <row r="891" customFormat="false" ht="15" hidden="false" customHeight="false" outlineLevel="0" collapsed="false">
      <c r="K891" s="56" t="n">
        <f aca="false">K890+1</f>
        <v>884</v>
      </c>
      <c r="L891" s="57" t="n">
        <f aca="false">IF(AND(K891&lt;=Assumptions!$C$42,L890=1,P890=0,O890&gt;Assumptions!$C$43),1,0)</f>
        <v>0</v>
      </c>
      <c r="M891" s="58" t="n">
        <f aca="false">O890</f>
        <v>8.10541678220034E-009</v>
      </c>
      <c r="N891" s="58" t="n">
        <f aca="false">IF(L891=1,M891*$B$22,0)</f>
        <v>0</v>
      </c>
      <c r="O891" s="58" t="n">
        <f aca="false">IF(L891=1,M891+N891-$B$26,M891)</f>
        <v>8.10541678220034E-009</v>
      </c>
      <c r="P891" s="56" t="n">
        <f aca="false">IF(L891=1,IF($B$26&lt;=N891,1,0),0)</f>
        <v>0</v>
      </c>
      <c r="Q891" s="58" t="n">
        <f aca="false">Q890+N891</f>
        <v>145877.630223336</v>
      </c>
      <c r="S891" s="56" t="n">
        <f aca="false">S890+1</f>
        <v>884</v>
      </c>
      <c r="T891" s="57" t="n">
        <f aca="false">IF(AND(S891&lt;=Assumptions!$C$42,T890=1,X890=0,W890&gt;Assumptions!$C$43),1,0)</f>
        <v>0</v>
      </c>
      <c r="U891" s="58" t="n">
        <f aca="false">W890</f>
        <v>-182.103705036234</v>
      </c>
      <c r="V891" s="58" t="n">
        <f aca="false">IF(T891=1,U891*$B$22,0)</f>
        <v>0</v>
      </c>
      <c r="W891" s="58" t="n">
        <f aca="false">IF(T891=1,U891+V891-$B$27,U891)</f>
        <v>-182.103705036234</v>
      </c>
      <c r="X891" s="56" t="n">
        <f aca="false">IF(T891=1,IF($B$27&lt;=V891,1,0),0)</f>
        <v>0</v>
      </c>
      <c r="Y891" s="58" t="n">
        <f aca="false">Y890+V891</f>
        <v>113000.408372882</v>
      </c>
    </row>
    <row r="892" customFormat="false" ht="15" hidden="false" customHeight="false" outlineLevel="0" collapsed="false">
      <c r="K892" s="56" t="n">
        <f aca="false">K891+1</f>
        <v>885</v>
      </c>
      <c r="L892" s="57" t="n">
        <f aca="false">IF(AND(K892&lt;=Assumptions!$C$42,L891=1,P891=0,O891&gt;Assumptions!$C$43),1,0)</f>
        <v>0</v>
      </c>
      <c r="M892" s="58" t="n">
        <f aca="false">O891</f>
        <v>8.10541678220034E-009</v>
      </c>
      <c r="N892" s="58" t="n">
        <f aca="false">IF(L892=1,M892*$B$22,0)</f>
        <v>0</v>
      </c>
      <c r="O892" s="58" t="n">
        <f aca="false">IF(L892=1,M892+N892-$B$26,M892)</f>
        <v>8.10541678220034E-009</v>
      </c>
      <c r="P892" s="56" t="n">
        <f aca="false">IF(L892=1,IF($B$26&lt;=N892,1,0),0)</f>
        <v>0</v>
      </c>
      <c r="Q892" s="58" t="n">
        <f aca="false">Q891+N892</f>
        <v>145877.630223336</v>
      </c>
      <c r="S892" s="56" t="n">
        <f aca="false">S891+1</f>
        <v>885</v>
      </c>
      <c r="T892" s="57" t="n">
        <f aca="false">IF(AND(S892&lt;=Assumptions!$C$42,T891=1,X891=0,W891&gt;Assumptions!$C$43),1,0)</f>
        <v>0</v>
      </c>
      <c r="U892" s="58" t="n">
        <f aca="false">W891</f>
        <v>-182.103705036234</v>
      </c>
      <c r="V892" s="58" t="n">
        <f aca="false">IF(T892=1,U892*$B$22,0)</f>
        <v>0</v>
      </c>
      <c r="W892" s="58" t="n">
        <f aca="false">IF(T892=1,U892+V892-$B$27,U892)</f>
        <v>-182.103705036234</v>
      </c>
      <c r="X892" s="56" t="n">
        <f aca="false">IF(T892=1,IF($B$27&lt;=V892,1,0),0)</f>
        <v>0</v>
      </c>
      <c r="Y892" s="58" t="n">
        <f aca="false">Y891+V892</f>
        <v>113000.408372882</v>
      </c>
    </row>
    <row r="893" customFormat="false" ht="15" hidden="false" customHeight="false" outlineLevel="0" collapsed="false">
      <c r="K893" s="56" t="n">
        <f aca="false">K892+1</f>
        <v>886</v>
      </c>
      <c r="L893" s="57" t="n">
        <f aca="false">IF(AND(K893&lt;=Assumptions!$C$42,L892=1,P892=0,O892&gt;Assumptions!$C$43),1,0)</f>
        <v>0</v>
      </c>
      <c r="M893" s="58" t="n">
        <f aca="false">O892</f>
        <v>8.10541678220034E-009</v>
      </c>
      <c r="N893" s="58" t="n">
        <f aca="false">IF(L893=1,M893*$B$22,0)</f>
        <v>0</v>
      </c>
      <c r="O893" s="58" t="n">
        <f aca="false">IF(L893=1,M893+N893-$B$26,M893)</f>
        <v>8.10541678220034E-009</v>
      </c>
      <c r="P893" s="56" t="n">
        <f aca="false">IF(L893=1,IF($B$26&lt;=N893,1,0),0)</f>
        <v>0</v>
      </c>
      <c r="Q893" s="58" t="n">
        <f aca="false">Q892+N893</f>
        <v>145877.630223336</v>
      </c>
      <c r="S893" s="56" t="n">
        <f aca="false">S892+1</f>
        <v>886</v>
      </c>
      <c r="T893" s="57" t="n">
        <f aca="false">IF(AND(S893&lt;=Assumptions!$C$42,T892=1,X892=0,W892&gt;Assumptions!$C$43),1,0)</f>
        <v>0</v>
      </c>
      <c r="U893" s="58" t="n">
        <f aca="false">W892</f>
        <v>-182.103705036234</v>
      </c>
      <c r="V893" s="58" t="n">
        <f aca="false">IF(T893=1,U893*$B$22,0)</f>
        <v>0</v>
      </c>
      <c r="W893" s="58" t="n">
        <f aca="false">IF(T893=1,U893+V893-$B$27,U893)</f>
        <v>-182.103705036234</v>
      </c>
      <c r="X893" s="56" t="n">
        <f aca="false">IF(T893=1,IF($B$27&lt;=V893,1,0),0)</f>
        <v>0</v>
      </c>
      <c r="Y893" s="58" t="n">
        <f aca="false">Y892+V893</f>
        <v>113000.408372882</v>
      </c>
    </row>
    <row r="894" customFormat="false" ht="15" hidden="false" customHeight="false" outlineLevel="0" collapsed="false">
      <c r="K894" s="56" t="n">
        <f aca="false">K893+1</f>
        <v>887</v>
      </c>
      <c r="L894" s="57" t="n">
        <f aca="false">IF(AND(K894&lt;=Assumptions!$C$42,L893=1,P893=0,O893&gt;Assumptions!$C$43),1,0)</f>
        <v>0</v>
      </c>
      <c r="M894" s="58" t="n">
        <f aca="false">O893</f>
        <v>8.10541678220034E-009</v>
      </c>
      <c r="N894" s="58" t="n">
        <f aca="false">IF(L894=1,M894*$B$22,0)</f>
        <v>0</v>
      </c>
      <c r="O894" s="58" t="n">
        <f aca="false">IF(L894=1,M894+N894-$B$26,M894)</f>
        <v>8.10541678220034E-009</v>
      </c>
      <c r="P894" s="56" t="n">
        <f aca="false">IF(L894=1,IF($B$26&lt;=N894,1,0),0)</f>
        <v>0</v>
      </c>
      <c r="Q894" s="58" t="n">
        <f aca="false">Q893+N894</f>
        <v>145877.630223336</v>
      </c>
      <c r="S894" s="56" t="n">
        <f aca="false">S893+1</f>
        <v>887</v>
      </c>
      <c r="T894" s="57" t="n">
        <f aca="false">IF(AND(S894&lt;=Assumptions!$C$42,T893=1,X893=0,W893&gt;Assumptions!$C$43),1,0)</f>
        <v>0</v>
      </c>
      <c r="U894" s="58" t="n">
        <f aca="false">W893</f>
        <v>-182.103705036234</v>
      </c>
      <c r="V894" s="58" t="n">
        <f aca="false">IF(T894=1,U894*$B$22,0)</f>
        <v>0</v>
      </c>
      <c r="W894" s="58" t="n">
        <f aca="false">IF(T894=1,U894+V894-$B$27,U894)</f>
        <v>-182.103705036234</v>
      </c>
      <c r="X894" s="56" t="n">
        <f aca="false">IF(T894=1,IF($B$27&lt;=V894,1,0),0)</f>
        <v>0</v>
      </c>
      <c r="Y894" s="58" t="n">
        <f aca="false">Y893+V894</f>
        <v>113000.408372882</v>
      </c>
    </row>
    <row r="895" customFormat="false" ht="15" hidden="false" customHeight="false" outlineLevel="0" collapsed="false">
      <c r="K895" s="56" t="n">
        <f aca="false">K894+1</f>
        <v>888</v>
      </c>
      <c r="L895" s="57" t="n">
        <f aca="false">IF(AND(K895&lt;=Assumptions!$C$42,L894=1,P894=0,O894&gt;Assumptions!$C$43),1,0)</f>
        <v>0</v>
      </c>
      <c r="M895" s="58" t="n">
        <f aca="false">O894</f>
        <v>8.10541678220034E-009</v>
      </c>
      <c r="N895" s="58" t="n">
        <f aca="false">IF(L895=1,M895*$B$22,0)</f>
        <v>0</v>
      </c>
      <c r="O895" s="58" t="n">
        <f aca="false">IF(L895=1,M895+N895-$B$26,M895)</f>
        <v>8.10541678220034E-009</v>
      </c>
      <c r="P895" s="56" t="n">
        <f aca="false">IF(L895=1,IF($B$26&lt;=N895,1,0),0)</f>
        <v>0</v>
      </c>
      <c r="Q895" s="58" t="n">
        <f aca="false">Q894+N895</f>
        <v>145877.630223336</v>
      </c>
      <c r="S895" s="56" t="n">
        <f aca="false">S894+1</f>
        <v>888</v>
      </c>
      <c r="T895" s="57" t="n">
        <f aca="false">IF(AND(S895&lt;=Assumptions!$C$42,T894=1,X894=0,W894&gt;Assumptions!$C$43),1,0)</f>
        <v>0</v>
      </c>
      <c r="U895" s="58" t="n">
        <f aca="false">W894</f>
        <v>-182.103705036234</v>
      </c>
      <c r="V895" s="58" t="n">
        <f aca="false">IF(T895=1,U895*$B$22,0)</f>
        <v>0</v>
      </c>
      <c r="W895" s="58" t="n">
        <f aca="false">IF(T895=1,U895+V895-$B$27,U895)</f>
        <v>-182.103705036234</v>
      </c>
      <c r="X895" s="56" t="n">
        <f aca="false">IF(T895=1,IF($B$27&lt;=V895,1,0),0)</f>
        <v>0</v>
      </c>
      <c r="Y895" s="58" t="n">
        <f aca="false">Y894+V895</f>
        <v>113000.408372882</v>
      </c>
    </row>
    <row r="896" customFormat="false" ht="15" hidden="false" customHeight="false" outlineLevel="0" collapsed="false">
      <c r="K896" s="56" t="n">
        <f aca="false">K895+1</f>
        <v>889</v>
      </c>
      <c r="L896" s="57" t="n">
        <f aca="false">IF(AND(K896&lt;=Assumptions!$C$42,L895=1,P895=0,O895&gt;Assumptions!$C$43),1,0)</f>
        <v>0</v>
      </c>
      <c r="M896" s="58" t="n">
        <f aca="false">O895</f>
        <v>8.10541678220034E-009</v>
      </c>
      <c r="N896" s="58" t="n">
        <f aca="false">IF(L896=1,M896*$B$22,0)</f>
        <v>0</v>
      </c>
      <c r="O896" s="58" t="n">
        <f aca="false">IF(L896=1,M896+N896-$B$26,M896)</f>
        <v>8.10541678220034E-009</v>
      </c>
      <c r="P896" s="56" t="n">
        <f aca="false">IF(L896=1,IF($B$26&lt;=N896,1,0),0)</f>
        <v>0</v>
      </c>
      <c r="Q896" s="58" t="n">
        <f aca="false">Q895+N896</f>
        <v>145877.630223336</v>
      </c>
      <c r="S896" s="56" t="n">
        <f aca="false">S895+1</f>
        <v>889</v>
      </c>
      <c r="T896" s="57" t="n">
        <f aca="false">IF(AND(S896&lt;=Assumptions!$C$42,T895=1,X895=0,W895&gt;Assumptions!$C$43),1,0)</f>
        <v>0</v>
      </c>
      <c r="U896" s="58" t="n">
        <f aca="false">W895</f>
        <v>-182.103705036234</v>
      </c>
      <c r="V896" s="58" t="n">
        <f aca="false">IF(T896=1,U896*$B$22,0)</f>
        <v>0</v>
      </c>
      <c r="W896" s="58" t="n">
        <f aca="false">IF(T896=1,U896+V896-$B$27,U896)</f>
        <v>-182.103705036234</v>
      </c>
      <c r="X896" s="56" t="n">
        <f aca="false">IF(T896=1,IF($B$27&lt;=V896,1,0),0)</f>
        <v>0</v>
      </c>
      <c r="Y896" s="58" t="n">
        <f aca="false">Y895+V896</f>
        <v>113000.408372882</v>
      </c>
    </row>
    <row r="897" customFormat="false" ht="15" hidden="false" customHeight="false" outlineLevel="0" collapsed="false">
      <c r="K897" s="56" t="n">
        <f aca="false">K896+1</f>
        <v>890</v>
      </c>
      <c r="L897" s="57" t="n">
        <f aca="false">IF(AND(K897&lt;=Assumptions!$C$42,L896=1,P896=0,O896&gt;Assumptions!$C$43),1,0)</f>
        <v>0</v>
      </c>
      <c r="M897" s="58" t="n">
        <f aca="false">O896</f>
        <v>8.10541678220034E-009</v>
      </c>
      <c r="N897" s="58" t="n">
        <f aca="false">IF(L897=1,M897*$B$22,0)</f>
        <v>0</v>
      </c>
      <c r="O897" s="58" t="n">
        <f aca="false">IF(L897=1,M897+N897-$B$26,M897)</f>
        <v>8.10541678220034E-009</v>
      </c>
      <c r="P897" s="56" t="n">
        <f aca="false">IF(L897=1,IF($B$26&lt;=N897,1,0),0)</f>
        <v>0</v>
      </c>
      <c r="Q897" s="58" t="n">
        <f aca="false">Q896+N897</f>
        <v>145877.630223336</v>
      </c>
      <c r="S897" s="56" t="n">
        <f aca="false">S896+1</f>
        <v>890</v>
      </c>
      <c r="T897" s="57" t="n">
        <f aca="false">IF(AND(S897&lt;=Assumptions!$C$42,T896=1,X896=0,W896&gt;Assumptions!$C$43),1,0)</f>
        <v>0</v>
      </c>
      <c r="U897" s="58" t="n">
        <f aca="false">W896</f>
        <v>-182.103705036234</v>
      </c>
      <c r="V897" s="58" t="n">
        <f aca="false">IF(T897=1,U897*$B$22,0)</f>
        <v>0</v>
      </c>
      <c r="W897" s="58" t="n">
        <f aca="false">IF(T897=1,U897+V897-$B$27,U897)</f>
        <v>-182.103705036234</v>
      </c>
      <c r="X897" s="56" t="n">
        <f aca="false">IF(T897=1,IF($B$27&lt;=V897,1,0),0)</f>
        <v>0</v>
      </c>
      <c r="Y897" s="58" t="n">
        <f aca="false">Y896+V897</f>
        <v>113000.408372882</v>
      </c>
    </row>
    <row r="898" customFormat="false" ht="15" hidden="false" customHeight="false" outlineLevel="0" collapsed="false">
      <c r="K898" s="56" t="n">
        <f aca="false">K897+1</f>
        <v>891</v>
      </c>
      <c r="L898" s="57" t="n">
        <f aca="false">IF(AND(K898&lt;=Assumptions!$C$42,L897=1,P897=0,O897&gt;Assumptions!$C$43),1,0)</f>
        <v>0</v>
      </c>
      <c r="M898" s="58" t="n">
        <f aca="false">O897</f>
        <v>8.10541678220034E-009</v>
      </c>
      <c r="N898" s="58" t="n">
        <f aca="false">IF(L898=1,M898*$B$22,0)</f>
        <v>0</v>
      </c>
      <c r="O898" s="58" t="n">
        <f aca="false">IF(L898=1,M898+N898-$B$26,M898)</f>
        <v>8.10541678220034E-009</v>
      </c>
      <c r="P898" s="56" t="n">
        <f aca="false">IF(L898=1,IF($B$26&lt;=N898,1,0),0)</f>
        <v>0</v>
      </c>
      <c r="Q898" s="58" t="n">
        <f aca="false">Q897+N898</f>
        <v>145877.630223336</v>
      </c>
      <c r="S898" s="56" t="n">
        <f aca="false">S897+1</f>
        <v>891</v>
      </c>
      <c r="T898" s="57" t="n">
        <f aca="false">IF(AND(S898&lt;=Assumptions!$C$42,T897=1,X897=0,W897&gt;Assumptions!$C$43),1,0)</f>
        <v>0</v>
      </c>
      <c r="U898" s="58" t="n">
        <f aca="false">W897</f>
        <v>-182.103705036234</v>
      </c>
      <c r="V898" s="58" t="n">
        <f aca="false">IF(T898=1,U898*$B$22,0)</f>
        <v>0</v>
      </c>
      <c r="W898" s="58" t="n">
        <f aca="false">IF(T898=1,U898+V898-$B$27,U898)</f>
        <v>-182.103705036234</v>
      </c>
      <c r="X898" s="56" t="n">
        <f aca="false">IF(T898=1,IF($B$27&lt;=V898,1,0),0)</f>
        <v>0</v>
      </c>
      <c r="Y898" s="58" t="n">
        <f aca="false">Y897+V898</f>
        <v>113000.408372882</v>
      </c>
    </row>
    <row r="899" customFormat="false" ht="15" hidden="false" customHeight="false" outlineLevel="0" collapsed="false">
      <c r="K899" s="56" t="n">
        <f aca="false">K898+1</f>
        <v>892</v>
      </c>
      <c r="L899" s="57" t="n">
        <f aca="false">IF(AND(K899&lt;=Assumptions!$C$42,L898=1,P898=0,O898&gt;Assumptions!$C$43),1,0)</f>
        <v>0</v>
      </c>
      <c r="M899" s="58" t="n">
        <f aca="false">O898</f>
        <v>8.10541678220034E-009</v>
      </c>
      <c r="N899" s="58" t="n">
        <f aca="false">IF(L899=1,M899*$B$22,0)</f>
        <v>0</v>
      </c>
      <c r="O899" s="58" t="n">
        <f aca="false">IF(L899=1,M899+N899-$B$26,M899)</f>
        <v>8.10541678220034E-009</v>
      </c>
      <c r="P899" s="56" t="n">
        <f aca="false">IF(L899=1,IF($B$26&lt;=N899,1,0),0)</f>
        <v>0</v>
      </c>
      <c r="Q899" s="58" t="n">
        <f aca="false">Q898+N899</f>
        <v>145877.630223336</v>
      </c>
      <c r="S899" s="56" t="n">
        <f aca="false">S898+1</f>
        <v>892</v>
      </c>
      <c r="T899" s="57" t="n">
        <f aca="false">IF(AND(S899&lt;=Assumptions!$C$42,T898=1,X898=0,W898&gt;Assumptions!$C$43),1,0)</f>
        <v>0</v>
      </c>
      <c r="U899" s="58" t="n">
        <f aca="false">W898</f>
        <v>-182.103705036234</v>
      </c>
      <c r="V899" s="58" t="n">
        <f aca="false">IF(T899=1,U899*$B$22,0)</f>
        <v>0</v>
      </c>
      <c r="W899" s="58" t="n">
        <f aca="false">IF(T899=1,U899+V899-$B$27,U899)</f>
        <v>-182.103705036234</v>
      </c>
      <c r="X899" s="56" t="n">
        <f aca="false">IF(T899=1,IF($B$27&lt;=V899,1,0),0)</f>
        <v>0</v>
      </c>
      <c r="Y899" s="58" t="n">
        <f aca="false">Y898+V899</f>
        <v>113000.408372882</v>
      </c>
    </row>
    <row r="900" customFormat="false" ht="15" hidden="false" customHeight="false" outlineLevel="0" collapsed="false">
      <c r="K900" s="56" t="n">
        <f aca="false">K899+1</f>
        <v>893</v>
      </c>
      <c r="L900" s="57" t="n">
        <f aca="false">IF(AND(K900&lt;=Assumptions!$C$42,L899=1,P899=0,O899&gt;Assumptions!$C$43),1,0)</f>
        <v>0</v>
      </c>
      <c r="M900" s="58" t="n">
        <f aca="false">O899</f>
        <v>8.10541678220034E-009</v>
      </c>
      <c r="N900" s="58" t="n">
        <f aca="false">IF(L900=1,M900*$B$22,0)</f>
        <v>0</v>
      </c>
      <c r="O900" s="58" t="n">
        <f aca="false">IF(L900=1,M900+N900-$B$26,M900)</f>
        <v>8.10541678220034E-009</v>
      </c>
      <c r="P900" s="56" t="n">
        <f aca="false">IF(L900=1,IF($B$26&lt;=N900,1,0),0)</f>
        <v>0</v>
      </c>
      <c r="Q900" s="58" t="n">
        <f aca="false">Q899+N900</f>
        <v>145877.630223336</v>
      </c>
      <c r="S900" s="56" t="n">
        <f aca="false">S899+1</f>
        <v>893</v>
      </c>
      <c r="T900" s="57" t="n">
        <f aca="false">IF(AND(S900&lt;=Assumptions!$C$42,T899=1,X899=0,W899&gt;Assumptions!$C$43),1,0)</f>
        <v>0</v>
      </c>
      <c r="U900" s="58" t="n">
        <f aca="false">W899</f>
        <v>-182.103705036234</v>
      </c>
      <c r="V900" s="58" t="n">
        <f aca="false">IF(T900=1,U900*$B$22,0)</f>
        <v>0</v>
      </c>
      <c r="W900" s="58" t="n">
        <f aca="false">IF(T900=1,U900+V900-$B$27,U900)</f>
        <v>-182.103705036234</v>
      </c>
      <c r="X900" s="56" t="n">
        <f aca="false">IF(T900=1,IF($B$27&lt;=V900,1,0),0)</f>
        <v>0</v>
      </c>
      <c r="Y900" s="58" t="n">
        <f aca="false">Y899+V900</f>
        <v>113000.408372882</v>
      </c>
    </row>
    <row r="901" customFormat="false" ht="15" hidden="false" customHeight="false" outlineLevel="0" collapsed="false">
      <c r="K901" s="56" t="n">
        <f aca="false">K900+1</f>
        <v>894</v>
      </c>
      <c r="L901" s="57" t="n">
        <f aca="false">IF(AND(K901&lt;=Assumptions!$C$42,L900=1,P900=0,O900&gt;Assumptions!$C$43),1,0)</f>
        <v>0</v>
      </c>
      <c r="M901" s="58" t="n">
        <f aca="false">O900</f>
        <v>8.10541678220034E-009</v>
      </c>
      <c r="N901" s="58" t="n">
        <f aca="false">IF(L901=1,M901*$B$22,0)</f>
        <v>0</v>
      </c>
      <c r="O901" s="58" t="n">
        <f aca="false">IF(L901=1,M901+N901-$B$26,M901)</f>
        <v>8.10541678220034E-009</v>
      </c>
      <c r="P901" s="56" t="n">
        <f aca="false">IF(L901=1,IF($B$26&lt;=N901,1,0),0)</f>
        <v>0</v>
      </c>
      <c r="Q901" s="58" t="n">
        <f aca="false">Q900+N901</f>
        <v>145877.630223336</v>
      </c>
      <c r="S901" s="56" t="n">
        <f aca="false">S900+1</f>
        <v>894</v>
      </c>
      <c r="T901" s="57" t="n">
        <f aca="false">IF(AND(S901&lt;=Assumptions!$C$42,T900=1,X900=0,W900&gt;Assumptions!$C$43),1,0)</f>
        <v>0</v>
      </c>
      <c r="U901" s="58" t="n">
        <f aca="false">W900</f>
        <v>-182.103705036234</v>
      </c>
      <c r="V901" s="58" t="n">
        <f aca="false">IF(T901=1,U901*$B$22,0)</f>
        <v>0</v>
      </c>
      <c r="W901" s="58" t="n">
        <f aca="false">IF(T901=1,U901+V901-$B$27,U901)</f>
        <v>-182.103705036234</v>
      </c>
      <c r="X901" s="56" t="n">
        <f aca="false">IF(T901=1,IF($B$27&lt;=V901,1,0),0)</f>
        <v>0</v>
      </c>
      <c r="Y901" s="58" t="n">
        <f aca="false">Y900+V901</f>
        <v>113000.408372882</v>
      </c>
    </row>
    <row r="902" customFormat="false" ht="15" hidden="false" customHeight="false" outlineLevel="0" collapsed="false">
      <c r="K902" s="56" t="n">
        <f aca="false">K901+1</f>
        <v>895</v>
      </c>
      <c r="L902" s="57" t="n">
        <f aca="false">IF(AND(K902&lt;=Assumptions!$C$42,L901=1,P901=0,O901&gt;Assumptions!$C$43),1,0)</f>
        <v>0</v>
      </c>
      <c r="M902" s="58" t="n">
        <f aca="false">O901</f>
        <v>8.10541678220034E-009</v>
      </c>
      <c r="N902" s="58" t="n">
        <f aca="false">IF(L902=1,M902*$B$22,0)</f>
        <v>0</v>
      </c>
      <c r="O902" s="58" t="n">
        <f aca="false">IF(L902=1,M902+N902-$B$26,M902)</f>
        <v>8.10541678220034E-009</v>
      </c>
      <c r="P902" s="56" t="n">
        <f aca="false">IF(L902=1,IF($B$26&lt;=N902,1,0),0)</f>
        <v>0</v>
      </c>
      <c r="Q902" s="58" t="n">
        <f aca="false">Q901+N902</f>
        <v>145877.630223336</v>
      </c>
      <c r="S902" s="56" t="n">
        <f aca="false">S901+1</f>
        <v>895</v>
      </c>
      <c r="T902" s="57" t="n">
        <f aca="false">IF(AND(S902&lt;=Assumptions!$C$42,T901=1,X901=0,W901&gt;Assumptions!$C$43),1,0)</f>
        <v>0</v>
      </c>
      <c r="U902" s="58" t="n">
        <f aca="false">W901</f>
        <v>-182.103705036234</v>
      </c>
      <c r="V902" s="58" t="n">
        <f aca="false">IF(T902=1,U902*$B$22,0)</f>
        <v>0</v>
      </c>
      <c r="W902" s="58" t="n">
        <f aca="false">IF(T902=1,U902+V902-$B$27,U902)</f>
        <v>-182.103705036234</v>
      </c>
      <c r="X902" s="56" t="n">
        <f aca="false">IF(T902=1,IF($B$27&lt;=V902,1,0),0)</f>
        <v>0</v>
      </c>
      <c r="Y902" s="58" t="n">
        <f aca="false">Y901+V902</f>
        <v>113000.408372882</v>
      </c>
    </row>
    <row r="903" customFormat="false" ht="15" hidden="false" customHeight="false" outlineLevel="0" collapsed="false">
      <c r="K903" s="56" t="n">
        <f aca="false">K902+1</f>
        <v>896</v>
      </c>
      <c r="L903" s="57" t="n">
        <f aca="false">IF(AND(K903&lt;=Assumptions!$C$42,L902=1,P902=0,O902&gt;Assumptions!$C$43),1,0)</f>
        <v>0</v>
      </c>
      <c r="M903" s="58" t="n">
        <f aca="false">O902</f>
        <v>8.10541678220034E-009</v>
      </c>
      <c r="N903" s="58" t="n">
        <f aca="false">IF(L903=1,M903*$B$22,0)</f>
        <v>0</v>
      </c>
      <c r="O903" s="58" t="n">
        <f aca="false">IF(L903=1,M903+N903-$B$26,M903)</f>
        <v>8.10541678220034E-009</v>
      </c>
      <c r="P903" s="56" t="n">
        <f aca="false">IF(L903=1,IF($B$26&lt;=N903,1,0),0)</f>
        <v>0</v>
      </c>
      <c r="Q903" s="58" t="n">
        <f aca="false">Q902+N903</f>
        <v>145877.630223336</v>
      </c>
      <c r="S903" s="56" t="n">
        <f aca="false">S902+1</f>
        <v>896</v>
      </c>
      <c r="T903" s="57" t="n">
        <f aca="false">IF(AND(S903&lt;=Assumptions!$C$42,T902=1,X902=0,W902&gt;Assumptions!$C$43),1,0)</f>
        <v>0</v>
      </c>
      <c r="U903" s="58" t="n">
        <f aca="false">W902</f>
        <v>-182.103705036234</v>
      </c>
      <c r="V903" s="58" t="n">
        <f aca="false">IF(T903=1,U903*$B$22,0)</f>
        <v>0</v>
      </c>
      <c r="W903" s="58" t="n">
        <f aca="false">IF(T903=1,U903+V903-$B$27,U903)</f>
        <v>-182.103705036234</v>
      </c>
      <c r="X903" s="56" t="n">
        <f aca="false">IF(T903=1,IF($B$27&lt;=V903,1,0),0)</f>
        <v>0</v>
      </c>
      <c r="Y903" s="58" t="n">
        <f aca="false">Y902+V903</f>
        <v>113000.408372882</v>
      </c>
    </row>
    <row r="904" customFormat="false" ht="15" hidden="false" customHeight="false" outlineLevel="0" collapsed="false">
      <c r="K904" s="56" t="n">
        <f aca="false">K903+1</f>
        <v>897</v>
      </c>
      <c r="L904" s="57" t="n">
        <f aca="false">IF(AND(K904&lt;=Assumptions!$C$42,L903=1,P903=0,O903&gt;Assumptions!$C$43),1,0)</f>
        <v>0</v>
      </c>
      <c r="M904" s="58" t="n">
        <f aca="false">O903</f>
        <v>8.10541678220034E-009</v>
      </c>
      <c r="N904" s="58" t="n">
        <f aca="false">IF(L904=1,M904*$B$22,0)</f>
        <v>0</v>
      </c>
      <c r="O904" s="58" t="n">
        <f aca="false">IF(L904=1,M904+N904-$B$26,M904)</f>
        <v>8.10541678220034E-009</v>
      </c>
      <c r="P904" s="56" t="n">
        <f aca="false">IF(L904=1,IF($B$26&lt;=N904,1,0),0)</f>
        <v>0</v>
      </c>
      <c r="Q904" s="58" t="n">
        <f aca="false">Q903+N904</f>
        <v>145877.630223336</v>
      </c>
      <c r="S904" s="56" t="n">
        <f aca="false">S903+1</f>
        <v>897</v>
      </c>
      <c r="T904" s="57" t="n">
        <f aca="false">IF(AND(S904&lt;=Assumptions!$C$42,T903=1,X903=0,W903&gt;Assumptions!$C$43),1,0)</f>
        <v>0</v>
      </c>
      <c r="U904" s="58" t="n">
        <f aca="false">W903</f>
        <v>-182.103705036234</v>
      </c>
      <c r="V904" s="58" t="n">
        <f aca="false">IF(T904=1,U904*$B$22,0)</f>
        <v>0</v>
      </c>
      <c r="W904" s="58" t="n">
        <f aca="false">IF(T904=1,U904+V904-$B$27,U904)</f>
        <v>-182.103705036234</v>
      </c>
      <c r="X904" s="56" t="n">
        <f aca="false">IF(T904=1,IF($B$27&lt;=V904,1,0),0)</f>
        <v>0</v>
      </c>
      <c r="Y904" s="58" t="n">
        <f aca="false">Y903+V904</f>
        <v>113000.408372882</v>
      </c>
    </row>
    <row r="905" customFormat="false" ht="15" hidden="false" customHeight="false" outlineLevel="0" collapsed="false">
      <c r="K905" s="56" t="n">
        <f aca="false">K904+1</f>
        <v>898</v>
      </c>
      <c r="L905" s="57" t="n">
        <f aca="false">IF(AND(K905&lt;=Assumptions!$C$42,L904=1,P904=0,O904&gt;Assumptions!$C$43),1,0)</f>
        <v>0</v>
      </c>
      <c r="M905" s="58" t="n">
        <f aca="false">O904</f>
        <v>8.10541678220034E-009</v>
      </c>
      <c r="N905" s="58" t="n">
        <f aca="false">IF(L905=1,M905*$B$22,0)</f>
        <v>0</v>
      </c>
      <c r="O905" s="58" t="n">
        <f aca="false">IF(L905=1,M905+N905-$B$26,M905)</f>
        <v>8.10541678220034E-009</v>
      </c>
      <c r="P905" s="56" t="n">
        <f aca="false">IF(L905=1,IF($B$26&lt;=N905,1,0),0)</f>
        <v>0</v>
      </c>
      <c r="Q905" s="58" t="n">
        <f aca="false">Q904+N905</f>
        <v>145877.630223336</v>
      </c>
      <c r="S905" s="56" t="n">
        <f aca="false">S904+1</f>
        <v>898</v>
      </c>
      <c r="T905" s="57" t="n">
        <f aca="false">IF(AND(S905&lt;=Assumptions!$C$42,T904=1,X904=0,W904&gt;Assumptions!$C$43),1,0)</f>
        <v>0</v>
      </c>
      <c r="U905" s="58" t="n">
        <f aca="false">W904</f>
        <v>-182.103705036234</v>
      </c>
      <c r="V905" s="58" t="n">
        <f aca="false">IF(T905=1,U905*$B$22,0)</f>
        <v>0</v>
      </c>
      <c r="W905" s="58" t="n">
        <f aca="false">IF(T905=1,U905+V905-$B$27,U905)</f>
        <v>-182.103705036234</v>
      </c>
      <c r="X905" s="56" t="n">
        <f aca="false">IF(T905=1,IF($B$27&lt;=V905,1,0),0)</f>
        <v>0</v>
      </c>
      <c r="Y905" s="58" t="n">
        <f aca="false">Y904+V905</f>
        <v>113000.408372882</v>
      </c>
    </row>
    <row r="906" customFormat="false" ht="15" hidden="false" customHeight="false" outlineLevel="0" collapsed="false">
      <c r="K906" s="56" t="n">
        <f aca="false">K905+1</f>
        <v>899</v>
      </c>
      <c r="L906" s="57" t="n">
        <f aca="false">IF(AND(K906&lt;=Assumptions!$C$42,L905=1,P905=0,O905&gt;Assumptions!$C$43),1,0)</f>
        <v>0</v>
      </c>
      <c r="M906" s="58" t="n">
        <f aca="false">O905</f>
        <v>8.10541678220034E-009</v>
      </c>
      <c r="N906" s="58" t="n">
        <f aca="false">IF(L906=1,M906*$B$22,0)</f>
        <v>0</v>
      </c>
      <c r="O906" s="58" t="n">
        <f aca="false">IF(L906=1,M906+N906-$B$26,M906)</f>
        <v>8.10541678220034E-009</v>
      </c>
      <c r="P906" s="56" t="n">
        <f aca="false">IF(L906=1,IF($B$26&lt;=N906,1,0),0)</f>
        <v>0</v>
      </c>
      <c r="Q906" s="58" t="n">
        <f aca="false">Q905+N906</f>
        <v>145877.630223336</v>
      </c>
      <c r="S906" s="56" t="n">
        <f aca="false">S905+1</f>
        <v>899</v>
      </c>
      <c r="T906" s="57" t="n">
        <f aca="false">IF(AND(S906&lt;=Assumptions!$C$42,T905=1,X905=0,W905&gt;Assumptions!$C$43),1,0)</f>
        <v>0</v>
      </c>
      <c r="U906" s="58" t="n">
        <f aca="false">W905</f>
        <v>-182.103705036234</v>
      </c>
      <c r="V906" s="58" t="n">
        <f aca="false">IF(T906=1,U906*$B$22,0)</f>
        <v>0</v>
      </c>
      <c r="W906" s="58" t="n">
        <f aca="false">IF(T906=1,U906+V906-$B$27,U906)</f>
        <v>-182.103705036234</v>
      </c>
      <c r="X906" s="56" t="n">
        <f aca="false">IF(T906=1,IF($B$27&lt;=V906,1,0),0)</f>
        <v>0</v>
      </c>
      <c r="Y906" s="58" t="n">
        <f aca="false">Y905+V906</f>
        <v>113000.408372882</v>
      </c>
    </row>
    <row r="907" customFormat="false" ht="15" hidden="false" customHeight="false" outlineLevel="0" collapsed="false">
      <c r="K907" s="56" t="n">
        <f aca="false">K906+1</f>
        <v>900</v>
      </c>
      <c r="L907" s="57" t="n">
        <f aca="false">IF(AND(K907&lt;=Assumptions!$C$42,L906=1,P906=0,O906&gt;Assumptions!$C$43),1,0)</f>
        <v>0</v>
      </c>
      <c r="M907" s="58" t="n">
        <f aca="false">O906</f>
        <v>8.10541678220034E-009</v>
      </c>
      <c r="N907" s="58" t="n">
        <f aca="false">IF(L907=1,M907*$B$22,0)</f>
        <v>0</v>
      </c>
      <c r="O907" s="58" t="n">
        <f aca="false">IF(L907=1,M907+N907-$B$26,M907)</f>
        <v>8.10541678220034E-009</v>
      </c>
      <c r="P907" s="56" t="n">
        <f aca="false">IF(L907=1,IF($B$26&lt;=N907,1,0),0)</f>
        <v>0</v>
      </c>
      <c r="Q907" s="58" t="n">
        <f aca="false">Q906+N907</f>
        <v>145877.630223336</v>
      </c>
      <c r="S907" s="56" t="n">
        <f aca="false">S906+1</f>
        <v>900</v>
      </c>
      <c r="T907" s="57" t="n">
        <f aca="false">IF(AND(S907&lt;=Assumptions!$C$42,T906=1,X906=0,W906&gt;Assumptions!$C$43),1,0)</f>
        <v>0</v>
      </c>
      <c r="U907" s="58" t="n">
        <f aca="false">W906</f>
        <v>-182.103705036234</v>
      </c>
      <c r="V907" s="58" t="n">
        <f aca="false">IF(T907=1,U907*$B$22,0)</f>
        <v>0</v>
      </c>
      <c r="W907" s="58" t="n">
        <f aca="false">IF(T907=1,U907+V907-$B$27,U907)</f>
        <v>-182.103705036234</v>
      </c>
      <c r="X907" s="56" t="n">
        <f aca="false">IF(T907=1,IF($B$27&lt;=V907,1,0),0)</f>
        <v>0</v>
      </c>
      <c r="Y907" s="58" t="n">
        <f aca="false">Y906+V907</f>
        <v>113000.408372882</v>
      </c>
    </row>
    <row r="908" customFormat="false" ht="15" hidden="false" customHeight="false" outlineLevel="0" collapsed="false">
      <c r="K908" s="56" t="n">
        <f aca="false">K907+1</f>
        <v>901</v>
      </c>
      <c r="L908" s="57" t="n">
        <f aca="false">IF(AND(K908&lt;=Assumptions!$C$42,L907=1,P907=0,O907&gt;Assumptions!$C$43),1,0)</f>
        <v>0</v>
      </c>
      <c r="M908" s="58" t="n">
        <f aca="false">O907</f>
        <v>8.10541678220034E-009</v>
      </c>
      <c r="N908" s="58" t="n">
        <f aca="false">IF(L908=1,M908*$B$22,0)</f>
        <v>0</v>
      </c>
      <c r="O908" s="58" t="n">
        <f aca="false">IF(L908=1,M908+N908-$B$26,M908)</f>
        <v>8.10541678220034E-009</v>
      </c>
      <c r="P908" s="56" t="n">
        <f aca="false">IF(L908=1,IF($B$26&lt;=N908,1,0),0)</f>
        <v>0</v>
      </c>
      <c r="Q908" s="58" t="n">
        <f aca="false">Q907+N908</f>
        <v>145877.630223336</v>
      </c>
      <c r="S908" s="56" t="n">
        <f aca="false">S907+1</f>
        <v>901</v>
      </c>
      <c r="T908" s="57" t="n">
        <f aca="false">IF(AND(S908&lt;=Assumptions!$C$42,T907=1,X907=0,W907&gt;Assumptions!$C$43),1,0)</f>
        <v>0</v>
      </c>
      <c r="U908" s="58" t="n">
        <f aca="false">W907</f>
        <v>-182.103705036234</v>
      </c>
      <c r="V908" s="58" t="n">
        <f aca="false">IF(T908=1,U908*$B$22,0)</f>
        <v>0</v>
      </c>
      <c r="W908" s="58" t="n">
        <f aca="false">IF(T908=1,U908+V908-$B$27,U908)</f>
        <v>-182.103705036234</v>
      </c>
      <c r="X908" s="56" t="n">
        <f aca="false">IF(T908=1,IF($B$27&lt;=V908,1,0),0)</f>
        <v>0</v>
      </c>
      <c r="Y908" s="58" t="n">
        <f aca="false">Y907+V908</f>
        <v>113000.408372882</v>
      </c>
    </row>
    <row r="909" customFormat="false" ht="15" hidden="false" customHeight="false" outlineLevel="0" collapsed="false">
      <c r="K909" s="56" t="n">
        <f aca="false">K908+1</f>
        <v>902</v>
      </c>
      <c r="L909" s="57" t="n">
        <f aca="false">IF(AND(K909&lt;=Assumptions!$C$42,L908=1,P908=0,O908&gt;Assumptions!$C$43),1,0)</f>
        <v>0</v>
      </c>
      <c r="M909" s="58" t="n">
        <f aca="false">O908</f>
        <v>8.10541678220034E-009</v>
      </c>
      <c r="N909" s="58" t="n">
        <f aca="false">IF(L909=1,M909*$B$22,0)</f>
        <v>0</v>
      </c>
      <c r="O909" s="58" t="n">
        <f aca="false">IF(L909=1,M909+N909-$B$26,M909)</f>
        <v>8.10541678220034E-009</v>
      </c>
      <c r="P909" s="56" t="n">
        <f aca="false">IF(L909=1,IF($B$26&lt;=N909,1,0),0)</f>
        <v>0</v>
      </c>
      <c r="Q909" s="58" t="n">
        <f aca="false">Q908+N909</f>
        <v>145877.630223336</v>
      </c>
      <c r="S909" s="56" t="n">
        <f aca="false">S908+1</f>
        <v>902</v>
      </c>
      <c r="T909" s="57" t="n">
        <f aca="false">IF(AND(S909&lt;=Assumptions!$C$42,T908=1,X908=0,W908&gt;Assumptions!$C$43),1,0)</f>
        <v>0</v>
      </c>
      <c r="U909" s="58" t="n">
        <f aca="false">W908</f>
        <v>-182.103705036234</v>
      </c>
      <c r="V909" s="58" t="n">
        <f aca="false">IF(T909=1,U909*$B$22,0)</f>
        <v>0</v>
      </c>
      <c r="W909" s="58" t="n">
        <f aca="false">IF(T909=1,U909+V909-$B$27,U909)</f>
        <v>-182.103705036234</v>
      </c>
      <c r="X909" s="56" t="n">
        <f aca="false">IF(T909=1,IF($B$27&lt;=V909,1,0),0)</f>
        <v>0</v>
      </c>
      <c r="Y909" s="58" t="n">
        <f aca="false">Y908+V909</f>
        <v>113000.408372882</v>
      </c>
    </row>
    <row r="910" customFormat="false" ht="15" hidden="false" customHeight="false" outlineLevel="0" collapsed="false">
      <c r="K910" s="56" t="n">
        <f aca="false">K909+1</f>
        <v>903</v>
      </c>
      <c r="L910" s="57" t="n">
        <f aca="false">IF(AND(K910&lt;=Assumptions!$C$42,L909=1,P909=0,O909&gt;Assumptions!$C$43),1,0)</f>
        <v>0</v>
      </c>
      <c r="M910" s="58" t="n">
        <f aca="false">O909</f>
        <v>8.10541678220034E-009</v>
      </c>
      <c r="N910" s="58" t="n">
        <f aca="false">IF(L910=1,M910*$B$22,0)</f>
        <v>0</v>
      </c>
      <c r="O910" s="58" t="n">
        <f aca="false">IF(L910=1,M910+N910-$B$26,M910)</f>
        <v>8.10541678220034E-009</v>
      </c>
      <c r="P910" s="56" t="n">
        <f aca="false">IF(L910=1,IF($B$26&lt;=N910,1,0),0)</f>
        <v>0</v>
      </c>
      <c r="Q910" s="58" t="n">
        <f aca="false">Q909+N910</f>
        <v>145877.630223336</v>
      </c>
      <c r="S910" s="56" t="n">
        <f aca="false">S909+1</f>
        <v>903</v>
      </c>
      <c r="T910" s="57" t="n">
        <f aca="false">IF(AND(S910&lt;=Assumptions!$C$42,T909=1,X909=0,W909&gt;Assumptions!$C$43),1,0)</f>
        <v>0</v>
      </c>
      <c r="U910" s="58" t="n">
        <f aca="false">W909</f>
        <v>-182.103705036234</v>
      </c>
      <c r="V910" s="58" t="n">
        <f aca="false">IF(T910=1,U910*$B$22,0)</f>
        <v>0</v>
      </c>
      <c r="W910" s="58" t="n">
        <f aca="false">IF(T910=1,U910+V910-$B$27,U910)</f>
        <v>-182.103705036234</v>
      </c>
      <c r="X910" s="56" t="n">
        <f aca="false">IF(T910=1,IF($B$27&lt;=V910,1,0),0)</f>
        <v>0</v>
      </c>
      <c r="Y910" s="58" t="n">
        <f aca="false">Y909+V910</f>
        <v>113000.408372882</v>
      </c>
    </row>
    <row r="911" customFormat="false" ht="15" hidden="false" customHeight="false" outlineLevel="0" collapsed="false">
      <c r="K911" s="56" t="n">
        <f aca="false">K910+1</f>
        <v>904</v>
      </c>
      <c r="L911" s="57" t="n">
        <f aca="false">IF(AND(K911&lt;=Assumptions!$C$42,L910=1,P910=0,O910&gt;Assumptions!$C$43),1,0)</f>
        <v>0</v>
      </c>
      <c r="M911" s="58" t="n">
        <f aca="false">O910</f>
        <v>8.10541678220034E-009</v>
      </c>
      <c r="N911" s="58" t="n">
        <f aca="false">IF(L911=1,M911*$B$22,0)</f>
        <v>0</v>
      </c>
      <c r="O911" s="58" t="n">
        <f aca="false">IF(L911=1,M911+N911-$B$26,M911)</f>
        <v>8.10541678220034E-009</v>
      </c>
      <c r="P911" s="56" t="n">
        <f aca="false">IF(L911=1,IF($B$26&lt;=N911,1,0),0)</f>
        <v>0</v>
      </c>
      <c r="Q911" s="58" t="n">
        <f aca="false">Q910+N911</f>
        <v>145877.630223336</v>
      </c>
      <c r="S911" s="56" t="n">
        <f aca="false">S910+1</f>
        <v>904</v>
      </c>
      <c r="T911" s="57" t="n">
        <f aca="false">IF(AND(S911&lt;=Assumptions!$C$42,T910=1,X910=0,W910&gt;Assumptions!$C$43),1,0)</f>
        <v>0</v>
      </c>
      <c r="U911" s="58" t="n">
        <f aca="false">W910</f>
        <v>-182.103705036234</v>
      </c>
      <c r="V911" s="58" t="n">
        <f aca="false">IF(T911=1,U911*$B$22,0)</f>
        <v>0</v>
      </c>
      <c r="W911" s="58" t="n">
        <f aca="false">IF(T911=1,U911+V911-$B$27,U911)</f>
        <v>-182.103705036234</v>
      </c>
      <c r="X911" s="56" t="n">
        <f aca="false">IF(T911=1,IF($B$27&lt;=V911,1,0),0)</f>
        <v>0</v>
      </c>
      <c r="Y911" s="58" t="n">
        <f aca="false">Y910+V911</f>
        <v>113000.408372882</v>
      </c>
    </row>
    <row r="912" customFormat="false" ht="15" hidden="false" customHeight="false" outlineLevel="0" collapsed="false">
      <c r="K912" s="56" t="n">
        <f aca="false">K911+1</f>
        <v>905</v>
      </c>
      <c r="L912" s="57" t="n">
        <f aca="false">IF(AND(K912&lt;=Assumptions!$C$42,L911=1,P911=0,O911&gt;Assumptions!$C$43),1,0)</f>
        <v>0</v>
      </c>
      <c r="M912" s="58" t="n">
        <f aca="false">O911</f>
        <v>8.10541678220034E-009</v>
      </c>
      <c r="N912" s="58" t="n">
        <f aca="false">IF(L912=1,M912*$B$22,0)</f>
        <v>0</v>
      </c>
      <c r="O912" s="58" t="n">
        <f aca="false">IF(L912=1,M912+N912-$B$26,M912)</f>
        <v>8.10541678220034E-009</v>
      </c>
      <c r="P912" s="56" t="n">
        <f aca="false">IF(L912=1,IF($B$26&lt;=N912,1,0),0)</f>
        <v>0</v>
      </c>
      <c r="Q912" s="58" t="n">
        <f aca="false">Q911+N912</f>
        <v>145877.630223336</v>
      </c>
      <c r="S912" s="56" t="n">
        <f aca="false">S911+1</f>
        <v>905</v>
      </c>
      <c r="T912" s="57" t="n">
        <f aca="false">IF(AND(S912&lt;=Assumptions!$C$42,T911=1,X911=0,W911&gt;Assumptions!$C$43),1,0)</f>
        <v>0</v>
      </c>
      <c r="U912" s="58" t="n">
        <f aca="false">W911</f>
        <v>-182.103705036234</v>
      </c>
      <c r="V912" s="58" t="n">
        <f aca="false">IF(T912=1,U912*$B$22,0)</f>
        <v>0</v>
      </c>
      <c r="W912" s="58" t="n">
        <f aca="false">IF(T912=1,U912+V912-$B$27,U912)</f>
        <v>-182.103705036234</v>
      </c>
      <c r="X912" s="56" t="n">
        <f aca="false">IF(T912=1,IF($B$27&lt;=V912,1,0),0)</f>
        <v>0</v>
      </c>
      <c r="Y912" s="58" t="n">
        <f aca="false">Y911+V912</f>
        <v>113000.408372882</v>
      </c>
    </row>
    <row r="913" customFormat="false" ht="15" hidden="false" customHeight="false" outlineLevel="0" collapsed="false">
      <c r="K913" s="56" t="n">
        <f aca="false">K912+1</f>
        <v>906</v>
      </c>
      <c r="L913" s="57" t="n">
        <f aca="false">IF(AND(K913&lt;=Assumptions!$C$42,L912=1,P912=0,O912&gt;Assumptions!$C$43),1,0)</f>
        <v>0</v>
      </c>
      <c r="M913" s="58" t="n">
        <f aca="false">O912</f>
        <v>8.10541678220034E-009</v>
      </c>
      <c r="N913" s="58" t="n">
        <f aca="false">IF(L913=1,M913*$B$22,0)</f>
        <v>0</v>
      </c>
      <c r="O913" s="58" t="n">
        <f aca="false">IF(L913=1,M913+N913-$B$26,M913)</f>
        <v>8.10541678220034E-009</v>
      </c>
      <c r="P913" s="56" t="n">
        <f aca="false">IF(L913=1,IF($B$26&lt;=N913,1,0),0)</f>
        <v>0</v>
      </c>
      <c r="Q913" s="58" t="n">
        <f aca="false">Q912+N913</f>
        <v>145877.630223336</v>
      </c>
      <c r="S913" s="56" t="n">
        <f aca="false">S912+1</f>
        <v>906</v>
      </c>
      <c r="T913" s="57" t="n">
        <f aca="false">IF(AND(S913&lt;=Assumptions!$C$42,T912=1,X912=0,W912&gt;Assumptions!$C$43),1,0)</f>
        <v>0</v>
      </c>
      <c r="U913" s="58" t="n">
        <f aca="false">W912</f>
        <v>-182.103705036234</v>
      </c>
      <c r="V913" s="58" t="n">
        <f aca="false">IF(T913=1,U913*$B$22,0)</f>
        <v>0</v>
      </c>
      <c r="W913" s="58" t="n">
        <f aca="false">IF(T913=1,U913+V913-$B$27,U913)</f>
        <v>-182.103705036234</v>
      </c>
      <c r="X913" s="56" t="n">
        <f aca="false">IF(T913=1,IF($B$27&lt;=V913,1,0),0)</f>
        <v>0</v>
      </c>
      <c r="Y913" s="58" t="n">
        <f aca="false">Y912+V913</f>
        <v>113000.408372882</v>
      </c>
    </row>
    <row r="914" customFormat="false" ht="15" hidden="false" customHeight="false" outlineLevel="0" collapsed="false">
      <c r="K914" s="56" t="n">
        <f aca="false">K913+1</f>
        <v>907</v>
      </c>
      <c r="L914" s="57" t="n">
        <f aca="false">IF(AND(K914&lt;=Assumptions!$C$42,L913=1,P913=0,O913&gt;Assumptions!$C$43),1,0)</f>
        <v>0</v>
      </c>
      <c r="M914" s="58" t="n">
        <f aca="false">O913</f>
        <v>8.10541678220034E-009</v>
      </c>
      <c r="N914" s="58" t="n">
        <f aca="false">IF(L914=1,M914*$B$22,0)</f>
        <v>0</v>
      </c>
      <c r="O914" s="58" t="n">
        <f aca="false">IF(L914=1,M914+N914-$B$26,M914)</f>
        <v>8.10541678220034E-009</v>
      </c>
      <c r="P914" s="56" t="n">
        <f aca="false">IF(L914=1,IF($B$26&lt;=N914,1,0),0)</f>
        <v>0</v>
      </c>
      <c r="Q914" s="58" t="n">
        <f aca="false">Q913+N914</f>
        <v>145877.630223336</v>
      </c>
      <c r="S914" s="56" t="n">
        <f aca="false">S913+1</f>
        <v>907</v>
      </c>
      <c r="T914" s="57" t="n">
        <f aca="false">IF(AND(S914&lt;=Assumptions!$C$42,T913=1,X913=0,W913&gt;Assumptions!$C$43),1,0)</f>
        <v>0</v>
      </c>
      <c r="U914" s="58" t="n">
        <f aca="false">W913</f>
        <v>-182.103705036234</v>
      </c>
      <c r="V914" s="58" t="n">
        <f aca="false">IF(T914=1,U914*$B$22,0)</f>
        <v>0</v>
      </c>
      <c r="W914" s="58" t="n">
        <f aca="false">IF(T914=1,U914+V914-$B$27,U914)</f>
        <v>-182.103705036234</v>
      </c>
      <c r="X914" s="56" t="n">
        <f aca="false">IF(T914=1,IF($B$27&lt;=V914,1,0),0)</f>
        <v>0</v>
      </c>
      <c r="Y914" s="58" t="n">
        <f aca="false">Y913+V914</f>
        <v>113000.408372882</v>
      </c>
    </row>
    <row r="915" customFormat="false" ht="15" hidden="false" customHeight="false" outlineLevel="0" collapsed="false">
      <c r="K915" s="56" t="n">
        <f aca="false">K914+1</f>
        <v>908</v>
      </c>
      <c r="L915" s="57" t="n">
        <f aca="false">IF(AND(K915&lt;=Assumptions!$C$42,L914=1,P914=0,O914&gt;Assumptions!$C$43),1,0)</f>
        <v>0</v>
      </c>
      <c r="M915" s="58" t="n">
        <f aca="false">O914</f>
        <v>8.10541678220034E-009</v>
      </c>
      <c r="N915" s="58" t="n">
        <f aca="false">IF(L915=1,M915*$B$22,0)</f>
        <v>0</v>
      </c>
      <c r="O915" s="58" t="n">
        <f aca="false">IF(L915=1,M915+N915-$B$26,M915)</f>
        <v>8.10541678220034E-009</v>
      </c>
      <c r="P915" s="56" t="n">
        <f aca="false">IF(L915=1,IF($B$26&lt;=N915,1,0),0)</f>
        <v>0</v>
      </c>
      <c r="Q915" s="58" t="n">
        <f aca="false">Q914+N915</f>
        <v>145877.630223336</v>
      </c>
      <c r="S915" s="56" t="n">
        <f aca="false">S914+1</f>
        <v>908</v>
      </c>
      <c r="T915" s="57" t="n">
        <f aca="false">IF(AND(S915&lt;=Assumptions!$C$42,T914=1,X914=0,W914&gt;Assumptions!$C$43),1,0)</f>
        <v>0</v>
      </c>
      <c r="U915" s="58" t="n">
        <f aca="false">W914</f>
        <v>-182.103705036234</v>
      </c>
      <c r="V915" s="58" t="n">
        <f aca="false">IF(T915=1,U915*$B$22,0)</f>
        <v>0</v>
      </c>
      <c r="W915" s="58" t="n">
        <f aca="false">IF(T915=1,U915+V915-$B$27,U915)</f>
        <v>-182.103705036234</v>
      </c>
      <c r="X915" s="56" t="n">
        <f aca="false">IF(T915=1,IF($B$27&lt;=V915,1,0),0)</f>
        <v>0</v>
      </c>
      <c r="Y915" s="58" t="n">
        <f aca="false">Y914+V915</f>
        <v>113000.408372882</v>
      </c>
    </row>
    <row r="916" customFormat="false" ht="15" hidden="false" customHeight="false" outlineLevel="0" collapsed="false">
      <c r="K916" s="56" t="n">
        <f aca="false">K915+1</f>
        <v>909</v>
      </c>
      <c r="L916" s="57" t="n">
        <f aca="false">IF(AND(K916&lt;=Assumptions!$C$42,L915=1,P915=0,O915&gt;Assumptions!$C$43),1,0)</f>
        <v>0</v>
      </c>
      <c r="M916" s="58" t="n">
        <f aca="false">O915</f>
        <v>8.10541678220034E-009</v>
      </c>
      <c r="N916" s="58" t="n">
        <f aca="false">IF(L916=1,M916*$B$22,0)</f>
        <v>0</v>
      </c>
      <c r="O916" s="58" t="n">
        <f aca="false">IF(L916=1,M916+N916-$B$26,M916)</f>
        <v>8.10541678220034E-009</v>
      </c>
      <c r="P916" s="56" t="n">
        <f aca="false">IF(L916=1,IF($B$26&lt;=N916,1,0),0)</f>
        <v>0</v>
      </c>
      <c r="Q916" s="58" t="n">
        <f aca="false">Q915+N916</f>
        <v>145877.630223336</v>
      </c>
      <c r="S916" s="56" t="n">
        <f aca="false">S915+1</f>
        <v>909</v>
      </c>
      <c r="T916" s="57" t="n">
        <f aca="false">IF(AND(S916&lt;=Assumptions!$C$42,T915=1,X915=0,W915&gt;Assumptions!$C$43),1,0)</f>
        <v>0</v>
      </c>
      <c r="U916" s="58" t="n">
        <f aca="false">W915</f>
        <v>-182.103705036234</v>
      </c>
      <c r="V916" s="58" t="n">
        <f aca="false">IF(T916=1,U916*$B$22,0)</f>
        <v>0</v>
      </c>
      <c r="W916" s="58" t="n">
        <f aca="false">IF(T916=1,U916+V916-$B$27,U916)</f>
        <v>-182.103705036234</v>
      </c>
      <c r="X916" s="56" t="n">
        <f aca="false">IF(T916=1,IF($B$27&lt;=V916,1,0),0)</f>
        <v>0</v>
      </c>
      <c r="Y916" s="58" t="n">
        <f aca="false">Y915+V916</f>
        <v>113000.408372882</v>
      </c>
    </row>
    <row r="917" customFormat="false" ht="15" hidden="false" customHeight="false" outlineLevel="0" collapsed="false">
      <c r="K917" s="56" t="n">
        <f aca="false">K916+1</f>
        <v>910</v>
      </c>
      <c r="L917" s="57" t="n">
        <f aca="false">IF(AND(K917&lt;=Assumptions!$C$42,L916=1,P916=0,O916&gt;Assumptions!$C$43),1,0)</f>
        <v>0</v>
      </c>
      <c r="M917" s="58" t="n">
        <f aca="false">O916</f>
        <v>8.10541678220034E-009</v>
      </c>
      <c r="N917" s="58" t="n">
        <f aca="false">IF(L917=1,M917*$B$22,0)</f>
        <v>0</v>
      </c>
      <c r="O917" s="58" t="n">
        <f aca="false">IF(L917=1,M917+N917-$B$26,M917)</f>
        <v>8.10541678220034E-009</v>
      </c>
      <c r="P917" s="56" t="n">
        <f aca="false">IF(L917=1,IF($B$26&lt;=N917,1,0),0)</f>
        <v>0</v>
      </c>
      <c r="Q917" s="58" t="n">
        <f aca="false">Q916+N917</f>
        <v>145877.630223336</v>
      </c>
      <c r="S917" s="56" t="n">
        <f aca="false">S916+1</f>
        <v>910</v>
      </c>
      <c r="T917" s="57" t="n">
        <f aca="false">IF(AND(S917&lt;=Assumptions!$C$42,T916=1,X916=0,W916&gt;Assumptions!$C$43),1,0)</f>
        <v>0</v>
      </c>
      <c r="U917" s="58" t="n">
        <f aca="false">W916</f>
        <v>-182.103705036234</v>
      </c>
      <c r="V917" s="58" t="n">
        <f aca="false">IF(T917=1,U917*$B$22,0)</f>
        <v>0</v>
      </c>
      <c r="W917" s="58" t="n">
        <f aca="false">IF(T917=1,U917+V917-$B$27,U917)</f>
        <v>-182.103705036234</v>
      </c>
      <c r="X917" s="56" t="n">
        <f aca="false">IF(T917=1,IF($B$27&lt;=V917,1,0),0)</f>
        <v>0</v>
      </c>
      <c r="Y917" s="58" t="n">
        <f aca="false">Y916+V917</f>
        <v>113000.408372882</v>
      </c>
    </row>
    <row r="918" customFormat="false" ht="15" hidden="false" customHeight="false" outlineLevel="0" collapsed="false">
      <c r="K918" s="56" t="n">
        <f aca="false">K917+1</f>
        <v>911</v>
      </c>
      <c r="L918" s="57" t="n">
        <f aca="false">IF(AND(K918&lt;=Assumptions!$C$42,L917=1,P917=0,O917&gt;Assumptions!$C$43),1,0)</f>
        <v>0</v>
      </c>
      <c r="M918" s="58" t="n">
        <f aca="false">O917</f>
        <v>8.10541678220034E-009</v>
      </c>
      <c r="N918" s="58" t="n">
        <f aca="false">IF(L918=1,M918*$B$22,0)</f>
        <v>0</v>
      </c>
      <c r="O918" s="58" t="n">
        <f aca="false">IF(L918=1,M918+N918-$B$26,M918)</f>
        <v>8.10541678220034E-009</v>
      </c>
      <c r="P918" s="56" t="n">
        <f aca="false">IF(L918=1,IF($B$26&lt;=N918,1,0),0)</f>
        <v>0</v>
      </c>
      <c r="Q918" s="58" t="n">
        <f aca="false">Q917+N918</f>
        <v>145877.630223336</v>
      </c>
      <c r="S918" s="56" t="n">
        <f aca="false">S917+1</f>
        <v>911</v>
      </c>
      <c r="T918" s="57" t="n">
        <f aca="false">IF(AND(S918&lt;=Assumptions!$C$42,T917=1,X917=0,W917&gt;Assumptions!$C$43),1,0)</f>
        <v>0</v>
      </c>
      <c r="U918" s="58" t="n">
        <f aca="false">W917</f>
        <v>-182.103705036234</v>
      </c>
      <c r="V918" s="58" t="n">
        <f aca="false">IF(T918=1,U918*$B$22,0)</f>
        <v>0</v>
      </c>
      <c r="W918" s="58" t="n">
        <f aca="false">IF(T918=1,U918+V918-$B$27,U918)</f>
        <v>-182.103705036234</v>
      </c>
      <c r="X918" s="56" t="n">
        <f aca="false">IF(T918=1,IF($B$27&lt;=V918,1,0),0)</f>
        <v>0</v>
      </c>
      <c r="Y918" s="58" t="n">
        <f aca="false">Y917+V918</f>
        <v>113000.408372882</v>
      </c>
    </row>
    <row r="919" customFormat="false" ht="15" hidden="false" customHeight="false" outlineLevel="0" collapsed="false">
      <c r="K919" s="56" t="n">
        <f aca="false">K918+1</f>
        <v>912</v>
      </c>
      <c r="L919" s="57" t="n">
        <f aca="false">IF(AND(K919&lt;=Assumptions!$C$42,L918=1,P918=0,O918&gt;Assumptions!$C$43),1,0)</f>
        <v>0</v>
      </c>
      <c r="M919" s="58" t="n">
        <f aca="false">O918</f>
        <v>8.10541678220034E-009</v>
      </c>
      <c r="N919" s="58" t="n">
        <f aca="false">IF(L919=1,M919*$B$22,0)</f>
        <v>0</v>
      </c>
      <c r="O919" s="58" t="n">
        <f aca="false">IF(L919=1,M919+N919-$B$26,M919)</f>
        <v>8.10541678220034E-009</v>
      </c>
      <c r="P919" s="56" t="n">
        <f aca="false">IF(L919=1,IF($B$26&lt;=N919,1,0),0)</f>
        <v>0</v>
      </c>
      <c r="Q919" s="58" t="n">
        <f aca="false">Q918+N919</f>
        <v>145877.630223336</v>
      </c>
      <c r="S919" s="56" t="n">
        <f aca="false">S918+1</f>
        <v>912</v>
      </c>
      <c r="T919" s="57" t="n">
        <f aca="false">IF(AND(S919&lt;=Assumptions!$C$42,T918=1,X918=0,W918&gt;Assumptions!$C$43),1,0)</f>
        <v>0</v>
      </c>
      <c r="U919" s="58" t="n">
        <f aca="false">W918</f>
        <v>-182.103705036234</v>
      </c>
      <c r="V919" s="58" t="n">
        <f aca="false">IF(T919=1,U919*$B$22,0)</f>
        <v>0</v>
      </c>
      <c r="W919" s="58" t="n">
        <f aca="false">IF(T919=1,U919+V919-$B$27,U919)</f>
        <v>-182.103705036234</v>
      </c>
      <c r="X919" s="56" t="n">
        <f aca="false">IF(T919=1,IF($B$27&lt;=V919,1,0),0)</f>
        <v>0</v>
      </c>
      <c r="Y919" s="58" t="n">
        <f aca="false">Y918+V919</f>
        <v>113000.408372882</v>
      </c>
    </row>
    <row r="920" customFormat="false" ht="15" hidden="false" customHeight="false" outlineLevel="0" collapsed="false">
      <c r="K920" s="56" t="n">
        <f aca="false">K919+1</f>
        <v>913</v>
      </c>
      <c r="L920" s="57" t="n">
        <f aca="false">IF(AND(K920&lt;=Assumptions!$C$42,L919=1,P919=0,O919&gt;Assumptions!$C$43),1,0)</f>
        <v>0</v>
      </c>
      <c r="M920" s="58" t="n">
        <f aca="false">O919</f>
        <v>8.10541678220034E-009</v>
      </c>
      <c r="N920" s="58" t="n">
        <f aca="false">IF(L920=1,M920*$B$22,0)</f>
        <v>0</v>
      </c>
      <c r="O920" s="58" t="n">
        <f aca="false">IF(L920=1,M920+N920-$B$26,M920)</f>
        <v>8.10541678220034E-009</v>
      </c>
      <c r="P920" s="56" t="n">
        <f aca="false">IF(L920=1,IF($B$26&lt;=N920,1,0),0)</f>
        <v>0</v>
      </c>
      <c r="Q920" s="58" t="n">
        <f aca="false">Q919+N920</f>
        <v>145877.630223336</v>
      </c>
      <c r="S920" s="56" t="n">
        <f aca="false">S919+1</f>
        <v>913</v>
      </c>
      <c r="T920" s="57" t="n">
        <f aca="false">IF(AND(S920&lt;=Assumptions!$C$42,T919=1,X919=0,W919&gt;Assumptions!$C$43),1,0)</f>
        <v>0</v>
      </c>
      <c r="U920" s="58" t="n">
        <f aca="false">W919</f>
        <v>-182.103705036234</v>
      </c>
      <c r="V920" s="58" t="n">
        <f aca="false">IF(T920=1,U920*$B$22,0)</f>
        <v>0</v>
      </c>
      <c r="W920" s="58" t="n">
        <f aca="false">IF(T920=1,U920+V920-$B$27,U920)</f>
        <v>-182.103705036234</v>
      </c>
      <c r="X920" s="56" t="n">
        <f aca="false">IF(T920=1,IF($B$27&lt;=V920,1,0),0)</f>
        <v>0</v>
      </c>
      <c r="Y920" s="58" t="n">
        <f aca="false">Y919+V920</f>
        <v>113000.408372882</v>
      </c>
    </row>
    <row r="921" customFormat="false" ht="15" hidden="false" customHeight="false" outlineLevel="0" collapsed="false">
      <c r="K921" s="56" t="n">
        <f aca="false">K920+1</f>
        <v>914</v>
      </c>
      <c r="L921" s="57" t="n">
        <f aca="false">IF(AND(K921&lt;=Assumptions!$C$42,L920=1,P920=0,O920&gt;Assumptions!$C$43),1,0)</f>
        <v>0</v>
      </c>
      <c r="M921" s="58" t="n">
        <f aca="false">O920</f>
        <v>8.10541678220034E-009</v>
      </c>
      <c r="N921" s="58" t="n">
        <f aca="false">IF(L921=1,M921*$B$22,0)</f>
        <v>0</v>
      </c>
      <c r="O921" s="58" t="n">
        <f aca="false">IF(L921=1,M921+N921-$B$26,M921)</f>
        <v>8.10541678220034E-009</v>
      </c>
      <c r="P921" s="56" t="n">
        <f aca="false">IF(L921=1,IF($B$26&lt;=N921,1,0),0)</f>
        <v>0</v>
      </c>
      <c r="Q921" s="58" t="n">
        <f aca="false">Q920+N921</f>
        <v>145877.630223336</v>
      </c>
      <c r="S921" s="56" t="n">
        <f aca="false">S920+1</f>
        <v>914</v>
      </c>
      <c r="T921" s="57" t="n">
        <f aca="false">IF(AND(S921&lt;=Assumptions!$C$42,T920=1,X920=0,W920&gt;Assumptions!$C$43),1,0)</f>
        <v>0</v>
      </c>
      <c r="U921" s="58" t="n">
        <f aca="false">W920</f>
        <v>-182.103705036234</v>
      </c>
      <c r="V921" s="58" t="n">
        <f aca="false">IF(T921=1,U921*$B$22,0)</f>
        <v>0</v>
      </c>
      <c r="W921" s="58" t="n">
        <f aca="false">IF(T921=1,U921+V921-$B$27,U921)</f>
        <v>-182.103705036234</v>
      </c>
      <c r="X921" s="56" t="n">
        <f aca="false">IF(T921=1,IF($B$27&lt;=V921,1,0),0)</f>
        <v>0</v>
      </c>
      <c r="Y921" s="58" t="n">
        <f aca="false">Y920+V921</f>
        <v>113000.408372882</v>
      </c>
    </row>
    <row r="922" customFormat="false" ht="15" hidden="false" customHeight="false" outlineLevel="0" collapsed="false">
      <c r="K922" s="56" t="n">
        <f aca="false">K921+1</f>
        <v>915</v>
      </c>
      <c r="L922" s="57" t="n">
        <f aca="false">IF(AND(K922&lt;=Assumptions!$C$42,L921=1,P921=0,O921&gt;Assumptions!$C$43),1,0)</f>
        <v>0</v>
      </c>
      <c r="M922" s="58" t="n">
        <f aca="false">O921</f>
        <v>8.10541678220034E-009</v>
      </c>
      <c r="N922" s="58" t="n">
        <f aca="false">IF(L922=1,M922*$B$22,0)</f>
        <v>0</v>
      </c>
      <c r="O922" s="58" t="n">
        <f aca="false">IF(L922=1,M922+N922-$B$26,M922)</f>
        <v>8.10541678220034E-009</v>
      </c>
      <c r="P922" s="56" t="n">
        <f aca="false">IF(L922=1,IF($B$26&lt;=N922,1,0),0)</f>
        <v>0</v>
      </c>
      <c r="Q922" s="58" t="n">
        <f aca="false">Q921+N922</f>
        <v>145877.630223336</v>
      </c>
      <c r="S922" s="56" t="n">
        <f aca="false">S921+1</f>
        <v>915</v>
      </c>
      <c r="T922" s="57" t="n">
        <f aca="false">IF(AND(S922&lt;=Assumptions!$C$42,T921=1,X921=0,W921&gt;Assumptions!$C$43),1,0)</f>
        <v>0</v>
      </c>
      <c r="U922" s="58" t="n">
        <f aca="false">W921</f>
        <v>-182.103705036234</v>
      </c>
      <c r="V922" s="58" t="n">
        <f aca="false">IF(T922=1,U922*$B$22,0)</f>
        <v>0</v>
      </c>
      <c r="W922" s="58" t="n">
        <f aca="false">IF(T922=1,U922+V922-$B$27,U922)</f>
        <v>-182.103705036234</v>
      </c>
      <c r="X922" s="56" t="n">
        <f aca="false">IF(T922=1,IF($B$27&lt;=V922,1,0),0)</f>
        <v>0</v>
      </c>
      <c r="Y922" s="58" t="n">
        <f aca="false">Y921+V922</f>
        <v>113000.408372882</v>
      </c>
    </row>
    <row r="923" customFormat="false" ht="15" hidden="false" customHeight="false" outlineLevel="0" collapsed="false">
      <c r="K923" s="56" t="n">
        <f aca="false">K922+1</f>
        <v>916</v>
      </c>
      <c r="L923" s="57" t="n">
        <f aca="false">IF(AND(K923&lt;=Assumptions!$C$42,L922=1,P922=0,O922&gt;Assumptions!$C$43),1,0)</f>
        <v>0</v>
      </c>
      <c r="M923" s="58" t="n">
        <f aca="false">O922</f>
        <v>8.10541678220034E-009</v>
      </c>
      <c r="N923" s="58" t="n">
        <f aca="false">IF(L923=1,M923*$B$22,0)</f>
        <v>0</v>
      </c>
      <c r="O923" s="58" t="n">
        <f aca="false">IF(L923=1,M923+N923-$B$26,M923)</f>
        <v>8.10541678220034E-009</v>
      </c>
      <c r="P923" s="56" t="n">
        <f aca="false">IF(L923=1,IF($B$26&lt;=N923,1,0),0)</f>
        <v>0</v>
      </c>
      <c r="Q923" s="58" t="n">
        <f aca="false">Q922+N923</f>
        <v>145877.630223336</v>
      </c>
      <c r="S923" s="56" t="n">
        <f aca="false">S922+1</f>
        <v>916</v>
      </c>
      <c r="T923" s="57" t="n">
        <f aca="false">IF(AND(S923&lt;=Assumptions!$C$42,T922=1,X922=0,W922&gt;Assumptions!$C$43),1,0)</f>
        <v>0</v>
      </c>
      <c r="U923" s="58" t="n">
        <f aca="false">W922</f>
        <v>-182.103705036234</v>
      </c>
      <c r="V923" s="58" t="n">
        <f aca="false">IF(T923=1,U923*$B$22,0)</f>
        <v>0</v>
      </c>
      <c r="W923" s="58" t="n">
        <f aca="false">IF(T923=1,U923+V923-$B$27,U923)</f>
        <v>-182.103705036234</v>
      </c>
      <c r="X923" s="56" t="n">
        <f aca="false">IF(T923=1,IF($B$27&lt;=V923,1,0),0)</f>
        <v>0</v>
      </c>
      <c r="Y923" s="58" t="n">
        <f aca="false">Y922+V923</f>
        <v>113000.408372882</v>
      </c>
    </row>
    <row r="924" customFormat="false" ht="15" hidden="false" customHeight="false" outlineLevel="0" collapsed="false">
      <c r="K924" s="56" t="n">
        <f aca="false">K923+1</f>
        <v>917</v>
      </c>
      <c r="L924" s="57" t="n">
        <f aca="false">IF(AND(K924&lt;=Assumptions!$C$42,L923=1,P923=0,O923&gt;Assumptions!$C$43),1,0)</f>
        <v>0</v>
      </c>
      <c r="M924" s="58" t="n">
        <f aca="false">O923</f>
        <v>8.10541678220034E-009</v>
      </c>
      <c r="N924" s="58" t="n">
        <f aca="false">IF(L924=1,M924*$B$22,0)</f>
        <v>0</v>
      </c>
      <c r="O924" s="58" t="n">
        <f aca="false">IF(L924=1,M924+N924-$B$26,M924)</f>
        <v>8.10541678220034E-009</v>
      </c>
      <c r="P924" s="56" t="n">
        <f aca="false">IF(L924=1,IF($B$26&lt;=N924,1,0),0)</f>
        <v>0</v>
      </c>
      <c r="Q924" s="58" t="n">
        <f aca="false">Q923+N924</f>
        <v>145877.630223336</v>
      </c>
      <c r="S924" s="56" t="n">
        <f aca="false">S923+1</f>
        <v>917</v>
      </c>
      <c r="T924" s="57" t="n">
        <f aca="false">IF(AND(S924&lt;=Assumptions!$C$42,T923=1,X923=0,W923&gt;Assumptions!$C$43),1,0)</f>
        <v>0</v>
      </c>
      <c r="U924" s="58" t="n">
        <f aca="false">W923</f>
        <v>-182.103705036234</v>
      </c>
      <c r="V924" s="58" t="n">
        <f aca="false">IF(T924=1,U924*$B$22,0)</f>
        <v>0</v>
      </c>
      <c r="W924" s="58" t="n">
        <f aca="false">IF(T924=1,U924+V924-$B$27,U924)</f>
        <v>-182.103705036234</v>
      </c>
      <c r="X924" s="56" t="n">
        <f aca="false">IF(T924=1,IF($B$27&lt;=V924,1,0),0)</f>
        <v>0</v>
      </c>
      <c r="Y924" s="58" t="n">
        <f aca="false">Y923+V924</f>
        <v>113000.408372882</v>
      </c>
    </row>
    <row r="925" customFormat="false" ht="15" hidden="false" customHeight="false" outlineLevel="0" collapsed="false">
      <c r="K925" s="56" t="n">
        <f aca="false">K924+1</f>
        <v>918</v>
      </c>
      <c r="L925" s="57" t="n">
        <f aca="false">IF(AND(K925&lt;=Assumptions!$C$42,L924=1,P924=0,O924&gt;Assumptions!$C$43),1,0)</f>
        <v>0</v>
      </c>
      <c r="M925" s="58" t="n">
        <f aca="false">O924</f>
        <v>8.10541678220034E-009</v>
      </c>
      <c r="N925" s="58" t="n">
        <f aca="false">IF(L925=1,M925*$B$22,0)</f>
        <v>0</v>
      </c>
      <c r="O925" s="58" t="n">
        <f aca="false">IF(L925=1,M925+N925-$B$26,M925)</f>
        <v>8.10541678220034E-009</v>
      </c>
      <c r="P925" s="56" t="n">
        <f aca="false">IF(L925=1,IF($B$26&lt;=N925,1,0),0)</f>
        <v>0</v>
      </c>
      <c r="Q925" s="58" t="n">
        <f aca="false">Q924+N925</f>
        <v>145877.630223336</v>
      </c>
      <c r="S925" s="56" t="n">
        <f aca="false">S924+1</f>
        <v>918</v>
      </c>
      <c r="T925" s="57" t="n">
        <f aca="false">IF(AND(S925&lt;=Assumptions!$C$42,T924=1,X924=0,W924&gt;Assumptions!$C$43),1,0)</f>
        <v>0</v>
      </c>
      <c r="U925" s="58" t="n">
        <f aca="false">W924</f>
        <v>-182.103705036234</v>
      </c>
      <c r="V925" s="58" t="n">
        <f aca="false">IF(T925=1,U925*$B$22,0)</f>
        <v>0</v>
      </c>
      <c r="W925" s="58" t="n">
        <f aca="false">IF(T925=1,U925+V925-$B$27,U925)</f>
        <v>-182.103705036234</v>
      </c>
      <c r="X925" s="56" t="n">
        <f aca="false">IF(T925=1,IF($B$27&lt;=V925,1,0),0)</f>
        <v>0</v>
      </c>
      <c r="Y925" s="58" t="n">
        <f aca="false">Y924+V925</f>
        <v>113000.408372882</v>
      </c>
    </row>
    <row r="926" customFormat="false" ht="15" hidden="false" customHeight="false" outlineLevel="0" collapsed="false">
      <c r="K926" s="56" t="n">
        <f aca="false">K925+1</f>
        <v>919</v>
      </c>
      <c r="L926" s="57" t="n">
        <f aca="false">IF(AND(K926&lt;=Assumptions!$C$42,L925=1,P925=0,O925&gt;Assumptions!$C$43),1,0)</f>
        <v>0</v>
      </c>
      <c r="M926" s="58" t="n">
        <f aca="false">O925</f>
        <v>8.10541678220034E-009</v>
      </c>
      <c r="N926" s="58" t="n">
        <f aca="false">IF(L926=1,M926*$B$22,0)</f>
        <v>0</v>
      </c>
      <c r="O926" s="58" t="n">
        <f aca="false">IF(L926=1,M926+N926-$B$26,M926)</f>
        <v>8.10541678220034E-009</v>
      </c>
      <c r="P926" s="56" t="n">
        <f aca="false">IF(L926=1,IF($B$26&lt;=N926,1,0),0)</f>
        <v>0</v>
      </c>
      <c r="Q926" s="58" t="n">
        <f aca="false">Q925+N926</f>
        <v>145877.630223336</v>
      </c>
      <c r="S926" s="56" t="n">
        <f aca="false">S925+1</f>
        <v>919</v>
      </c>
      <c r="T926" s="57" t="n">
        <f aca="false">IF(AND(S926&lt;=Assumptions!$C$42,T925=1,X925=0,W925&gt;Assumptions!$C$43),1,0)</f>
        <v>0</v>
      </c>
      <c r="U926" s="58" t="n">
        <f aca="false">W925</f>
        <v>-182.103705036234</v>
      </c>
      <c r="V926" s="58" t="n">
        <f aca="false">IF(T926=1,U926*$B$22,0)</f>
        <v>0</v>
      </c>
      <c r="W926" s="58" t="n">
        <f aca="false">IF(T926=1,U926+V926-$B$27,U926)</f>
        <v>-182.103705036234</v>
      </c>
      <c r="X926" s="56" t="n">
        <f aca="false">IF(T926=1,IF($B$27&lt;=V926,1,0),0)</f>
        <v>0</v>
      </c>
      <c r="Y926" s="58" t="n">
        <f aca="false">Y925+V926</f>
        <v>113000.408372882</v>
      </c>
    </row>
    <row r="927" customFormat="false" ht="15" hidden="false" customHeight="false" outlineLevel="0" collapsed="false">
      <c r="K927" s="56" t="n">
        <f aca="false">K926+1</f>
        <v>920</v>
      </c>
      <c r="L927" s="57" t="n">
        <f aca="false">IF(AND(K927&lt;=Assumptions!$C$42,L926=1,P926=0,O926&gt;Assumptions!$C$43),1,0)</f>
        <v>0</v>
      </c>
      <c r="M927" s="58" t="n">
        <f aca="false">O926</f>
        <v>8.10541678220034E-009</v>
      </c>
      <c r="N927" s="58" t="n">
        <f aca="false">IF(L927=1,M927*$B$22,0)</f>
        <v>0</v>
      </c>
      <c r="O927" s="58" t="n">
        <f aca="false">IF(L927=1,M927+N927-$B$26,M927)</f>
        <v>8.10541678220034E-009</v>
      </c>
      <c r="P927" s="56" t="n">
        <f aca="false">IF(L927=1,IF($B$26&lt;=N927,1,0),0)</f>
        <v>0</v>
      </c>
      <c r="Q927" s="58" t="n">
        <f aca="false">Q926+N927</f>
        <v>145877.630223336</v>
      </c>
      <c r="S927" s="56" t="n">
        <f aca="false">S926+1</f>
        <v>920</v>
      </c>
      <c r="T927" s="57" t="n">
        <f aca="false">IF(AND(S927&lt;=Assumptions!$C$42,T926=1,X926=0,W926&gt;Assumptions!$C$43),1,0)</f>
        <v>0</v>
      </c>
      <c r="U927" s="58" t="n">
        <f aca="false">W926</f>
        <v>-182.103705036234</v>
      </c>
      <c r="V927" s="58" t="n">
        <f aca="false">IF(T927=1,U927*$B$22,0)</f>
        <v>0</v>
      </c>
      <c r="W927" s="58" t="n">
        <f aca="false">IF(T927=1,U927+V927-$B$27,U927)</f>
        <v>-182.103705036234</v>
      </c>
      <c r="X927" s="56" t="n">
        <f aca="false">IF(T927=1,IF($B$27&lt;=V927,1,0),0)</f>
        <v>0</v>
      </c>
      <c r="Y927" s="58" t="n">
        <f aca="false">Y926+V927</f>
        <v>113000.408372882</v>
      </c>
    </row>
    <row r="928" customFormat="false" ht="15" hidden="false" customHeight="false" outlineLevel="0" collapsed="false">
      <c r="K928" s="56" t="n">
        <f aca="false">K927+1</f>
        <v>921</v>
      </c>
      <c r="L928" s="57" t="n">
        <f aca="false">IF(AND(K928&lt;=Assumptions!$C$42,L927=1,P927=0,O927&gt;Assumptions!$C$43),1,0)</f>
        <v>0</v>
      </c>
      <c r="M928" s="58" t="n">
        <f aca="false">O927</f>
        <v>8.10541678220034E-009</v>
      </c>
      <c r="N928" s="58" t="n">
        <f aca="false">IF(L928=1,M928*$B$22,0)</f>
        <v>0</v>
      </c>
      <c r="O928" s="58" t="n">
        <f aca="false">IF(L928=1,M928+N928-$B$26,M928)</f>
        <v>8.10541678220034E-009</v>
      </c>
      <c r="P928" s="56" t="n">
        <f aca="false">IF(L928=1,IF($B$26&lt;=N928,1,0),0)</f>
        <v>0</v>
      </c>
      <c r="Q928" s="58" t="n">
        <f aca="false">Q927+N928</f>
        <v>145877.630223336</v>
      </c>
      <c r="S928" s="56" t="n">
        <f aca="false">S927+1</f>
        <v>921</v>
      </c>
      <c r="T928" s="57" t="n">
        <f aca="false">IF(AND(S928&lt;=Assumptions!$C$42,T927=1,X927=0,W927&gt;Assumptions!$C$43),1,0)</f>
        <v>0</v>
      </c>
      <c r="U928" s="58" t="n">
        <f aca="false">W927</f>
        <v>-182.103705036234</v>
      </c>
      <c r="V928" s="58" t="n">
        <f aca="false">IF(T928=1,U928*$B$22,0)</f>
        <v>0</v>
      </c>
      <c r="W928" s="58" t="n">
        <f aca="false">IF(T928=1,U928+V928-$B$27,U928)</f>
        <v>-182.103705036234</v>
      </c>
      <c r="X928" s="56" t="n">
        <f aca="false">IF(T928=1,IF($B$27&lt;=V928,1,0),0)</f>
        <v>0</v>
      </c>
      <c r="Y928" s="58" t="n">
        <f aca="false">Y927+V928</f>
        <v>113000.408372882</v>
      </c>
    </row>
    <row r="929" customFormat="false" ht="15" hidden="false" customHeight="false" outlineLevel="0" collapsed="false">
      <c r="K929" s="56" t="n">
        <f aca="false">K928+1</f>
        <v>922</v>
      </c>
      <c r="L929" s="57" t="n">
        <f aca="false">IF(AND(K929&lt;=Assumptions!$C$42,L928=1,P928=0,O928&gt;Assumptions!$C$43),1,0)</f>
        <v>0</v>
      </c>
      <c r="M929" s="58" t="n">
        <f aca="false">O928</f>
        <v>8.10541678220034E-009</v>
      </c>
      <c r="N929" s="58" t="n">
        <f aca="false">IF(L929=1,M929*$B$22,0)</f>
        <v>0</v>
      </c>
      <c r="O929" s="58" t="n">
        <f aca="false">IF(L929=1,M929+N929-$B$26,M929)</f>
        <v>8.10541678220034E-009</v>
      </c>
      <c r="P929" s="56" t="n">
        <f aca="false">IF(L929=1,IF($B$26&lt;=N929,1,0),0)</f>
        <v>0</v>
      </c>
      <c r="Q929" s="58" t="n">
        <f aca="false">Q928+N929</f>
        <v>145877.630223336</v>
      </c>
      <c r="S929" s="56" t="n">
        <f aca="false">S928+1</f>
        <v>922</v>
      </c>
      <c r="T929" s="57" t="n">
        <f aca="false">IF(AND(S929&lt;=Assumptions!$C$42,T928=1,X928=0,W928&gt;Assumptions!$C$43),1,0)</f>
        <v>0</v>
      </c>
      <c r="U929" s="58" t="n">
        <f aca="false">W928</f>
        <v>-182.103705036234</v>
      </c>
      <c r="V929" s="58" t="n">
        <f aca="false">IF(T929=1,U929*$B$22,0)</f>
        <v>0</v>
      </c>
      <c r="W929" s="58" t="n">
        <f aca="false">IF(T929=1,U929+V929-$B$27,U929)</f>
        <v>-182.103705036234</v>
      </c>
      <c r="X929" s="56" t="n">
        <f aca="false">IF(T929=1,IF($B$27&lt;=V929,1,0),0)</f>
        <v>0</v>
      </c>
      <c r="Y929" s="58" t="n">
        <f aca="false">Y928+V929</f>
        <v>113000.408372882</v>
      </c>
    </row>
    <row r="930" customFormat="false" ht="15" hidden="false" customHeight="false" outlineLevel="0" collapsed="false">
      <c r="K930" s="56" t="n">
        <f aca="false">K929+1</f>
        <v>923</v>
      </c>
      <c r="L930" s="57" t="n">
        <f aca="false">IF(AND(K930&lt;=Assumptions!$C$42,L929=1,P929=0,O929&gt;Assumptions!$C$43),1,0)</f>
        <v>0</v>
      </c>
      <c r="M930" s="58" t="n">
        <f aca="false">O929</f>
        <v>8.10541678220034E-009</v>
      </c>
      <c r="N930" s="58" t="n">
        <f aca="false">IF(L930=1,M930*$B$22,0)</f>
        <v>0</v>
      </c>
      <c r="O930" s="58" t="n">
        <f aca="false">IF(L930=1,M930+N930-$B$26,M930)</f>
        <v>8.10541678220034E-009</v>
      </c>
      <c r="P930" s="56" t="n">
        <f aca="false">IF(L930=1,IF($B$26&lt;=N930,1,0),0)</f>
        <v>0</v>
      </c>
      <c r="Q930" s="58" t="n">
        <f aca="false">Q929+N930</f>
        <v>145877.630223336</v>
      </c>
      <c r="S930" s="56" t="n">
        <f aca="false">S929+1</f>
        <v>923</v>
      </c>
      <c r="T930" s="57" t="n">
        <f aca="false">IF(AND(S930&lt;=Assumptions!$C$42,T929=1,X929=0,W929&gt;Assumptions!$C$43),1,0)</f>
        <v>0</v>
      </c>
      <c r="U930" s="58" t="n">
        <f aca="false">W929</f>
        <v>-182.103705036234</v>
      </c>
      <c r="V930" s="58" t="n">
        <f aca="false">IF(T930=1,U930*$B$22,0)</f>
        <v>0</v>
      </c>
      <c r="W930" s="58" t="n">
        <f aca="false">IF(T930=1,U930+V930-$B$27,U930)</f>
        <v>-182.103705036234</v>
      </c>
      <c r="X930" s="56" t="n">
        <f aca="false">IF(T930=1,IF($B$27&lt;=V930,1,0),0)</f>
        <v>0</v>
      </c>
      <c r="Y930" s="58" t="n">
        <f aca="false">Y929+V930</f>
        <v>113000.408372882</v>
      </c>
    </row>
    <row r="931" customFormat="false" ht="15" hidden="false" customHeight="false" outlineLevel="0" collapsed="false">
      <c r="K931" s="56" t="n">
        <f aca="false">K930+1</f>
        <v>924</v>
      </c>
      <c r="L931" s="57" t="n">
        <f aca="false">IF(AND(K931&lt;=Assumptions!$C$42,L930=1,P930=0,O930&gt;Assumptions!$C$43),1,0)</f>
        <v>0</v>
      </c>
      <c r="M931" s="58" t="n">
        <f aca="false">O930</f>
        <v>8.10541678220034E-009</v>
      </c>
      <c r="N931" s="58" t="n">
        <f aca="false">IF(L931=1,M931*$B$22,0)</f>
        <v>0</v>
      </c>
      <c r="O931" s="58" t="n">
        <f aca="false">IF(L931=1,M931+N931-$B$26,M931)</f>
        <v>8.10541678220034E-009</v>
      </c>
      <c r="P931" s="56" t="n">
        <f aca="false">IF(L931=1,IF($B$26&lt;=N931,1,0),0)</f>
        <v>0</v>
      </c>
      <c r="Q931" s="58" t="n">
        <f aca="false">Q930+N931</f>
        <v>145877.630223336</v>
      </c>
      <c r="S931" s="56" t="n">
        <f aca="false">S930+1</f>
        <v>924</v>
      </c>
      <c r="T931" s="57" t="n">
        <f aca="false">IF(AND(S931&lt;=Assumptions!$C$42,T930=1,X930=0,W930&gt;Assumptions!$C$43),1,0)</f>
        <v>0</v>
      </c>
      <c r="U931" s="58" t="n">
        <f aca="false">W930</f>
        <v>-182.103705036234</v>
      </c>
      <c r="V931" s="58" t="n">
        <f aca="false">IF(T931=1,U931*$B$22,0)</f>
        <v>0</v>
      </c>
      <c r="W931" s="58" t="n">
        <f aca="false">IF(T931=1,U931+V931-$B$27,U931)</f>
        <v>-182.103705036234</v>
      </c>
      <c r="X931" s="56" t="n">
        <f aca="false">IF(T931=1,IF($B$27&lt;=V931,1,0),0)</f>
        <v>0</v>
      </c>
      <c r="Y931" s="58" t="n">
        <f aca="false">Y930+V931</f>
        <v>113000.408372882</v>
      </c>
    </row>
    <row r="932" customFormat="false" ht="15" hidden="false" customHeight="false" outlineLevel="0" collapsed="false">
      <c r="K932" s="56" t="n">
        <f aca="false">K931+1</f>
        <v>925</v>
      </c>
      <c r="L932" s="57" t="n">
        <f aca="false">IF(AND(K932&lt;=Assumptions!$C$42,L931=1,P931=0,O931&gt;Assumptions!$C$43),1,0)</f>
        <v>0</v>
      </c>
      <c r="M932" s="58" t="n">
        <f aca="false">O931</f>
        <v>8.10541678220034E-009</v>
      </c>
      <c r="N932" s="58" t="n">
        <f aca="false">IF(L932=1,M932*$B$22,0)</f>
        <v>0</v>
      </c>
      <c r="O932" s="58" t="n">
        <f aca="false">IF(L932=1,M932+N932-$B$26,M932)</f>
        <v>8.10541678220034E-009</v>
      </c>
      <c r="P932" s="56" t="n">
        <f aca="false">IF(L932=1,IF($B$26&lt;=N932,1,0),0)</f>
        <v>0</v>
      </c>
      <c r="Q932" s="58" t="n">
        <f aca="false">Q931+N932</f>
        <v>145877.630223336</v>
      </c>
      <c r="S932" s="56" t="n">
        <f aca="false">S931+1</f>
        <v>925</v>
      </c>
      <c r="T932" s="57" t="n">
        <f aca="false">IF(AND(S932&lt;=Assumptions!$C$42,T931=1,X931=0,W931&gt;Assumptions!$C$43),1,0)</f>
        <v>0</v>
      </c>
      <c r="U932" s="58" t="n">
        <f aca="false">W931</f>
        <v>-182.103705036234</v>
      </c>
      <c r="V932" s="58" t="n">
        <f aca="false">IF(T932=1,U932*$B$22,0)</f>
        <v>0</v>
      </c>
      <c r="W932" s="58" t="n">
        <f aca="false">IF(T932=1,U932+V932-$B$27,U932)</f>
        <v>-182.103705036234</v>
      </c>
      <c r="X932" s="56" t="n">
        <f aca="false">IF(T932=1,IF($B$27&lt;=V932,1,0),0)</f>
        <v>0</v>
      </c>
      <c r="Y932" s="58" t="n">
        <f aca="false">Y931+V932</f>
        <v>113000.408372882</v>
      </c>
    </row>
    <row r="933" customFormat="false" ht="15" hidden="false" customHeight="false" outlineLevel="0" collapsed="false">
      <c r="K933" s="56" t="n">
        <f aca="false">K932+1</f>
        <v>926</v>
      </c>
      <c r="L933" s="57" t="n">
        <f aca="false">IF(AND(K933&lt;=Assumptions!$C$42,L932=1,P932=0,O932&gt;Assumptions!$C$43),1,0)</f>
        <v>0</v>
      </c>
      <c r="M933" s="58" t="n">
        <f aca="false">O932</f>
        <v>8.10541678220034E-009</v>
      </c>
      <c r="N933" s="58" t="n">
        <f aca="false">IF(L933=1,M933*$B$22,0)</f>
        <v>0</v>
      </c>
      <c r="O933" s="58" t="n">
        <f aca="false">IF(L933=1,M933+N933-$B$26,M933)</f>
        <v>8.10541678220034E-009</v>
      </c>
      <c r="P933" s="56" t="n">
        <f aca="false">IF(L933=1,IF($B$26&lt;=N933,1,0),0)</f>
        <v>0</v>
      </c>
      <c r="Q933" s="58" t="n">
        <f aca="false">Q932+N933</f>
        <v>145877.630223336</v>
      </c>
      <c r="S933" s="56" t="n">
        <f aca="false">S932+1</f>
        <v>926</v>
      </c>
      <c r="T933" s="57" t="n">
        <f aca="false">IF(AND(S933&lt;=Assumptions!$C$42,T932=1,X932=0,W932&gt;Assumptions!$C$43),1,0)</f>
        <v>0</v>
      </c>
      <c r="U933" s="58" t="n">
        <f aca="false">W932</f>
        <v>-182.103705036234</v>
      </c>
      <c r="V933" s="58" t="n">
        <f aca="false">IF(T933=1,U933*$B$22,0)</f>
        <v>0</v>
      </c>
      <c r="W933" s="58" t="n">
        <f aca="false">IF(T933=1,U933+V933-$B$27,U933)</f>
        <v>-182.103705036234</v>
      </c>
      <c r="X933" s="56" t="n">
        <f aca="false">IF(T933=1,IF($B$27&lt;=V933,1,0),0)</f>
        <v>0</v>
      </c>
      <c r="Y933" s="58" t="n">
        <f aca="false">Y932+V933</f>
        <v>113000.408372882</v>
      </c>
    </row>
    <row r="934" customFormat="false" ht="15" hidden="false" customHeight="false" outlineLevel="0" collapsed="false">
      <c r="K934" s="56" t="n">
        <f aca="false">K933+1</f>
        <v>927</v>
      </c>
      <c r="L934" s="57" t="n">
        <f aca="false">IF(AND(K934&lt;=Assumptions!$C$42,L933=1,P933=0,O933&gt;Assumptions!$C$43),1,0)</f>
        <v>0</v>
      </c>
      <c r="M934" s="58" t="n">
        <f aca="false">O933</f>
        <v>8.10541678220034E-009</v>
      </c>
      <c r="N934" s="58" t="n">
        <f aca="false">IF(L934=1,M934*$B$22,0)</f>
        <v>0</v>
      </c>
      <c r="O934" s="58" t="n">
        <f aca="false">IF(L934=1,M934+N934-$B$26,M934)</f>
        <v>8.10541678220034E-009</v>
      </c>
      <c r="P934" s="56" t="n">
        <f aca="false">IF(L934=1,IF($B$26&lt;=N934,1,0),0)</f>
        <v>0</v>
      </c>
      <c r="Q934" s="58" t="n">
        <f aca="false">Q933+N934</f>
        <v>145877.630223336</v>
      </c>
      <c r="S934" s="56" t="n">
        <f aca="false">S933+1</f>
        <v>927</v>
      </c>
      <c r="T934" s="57" t="n">
        <f aca="false">IF(AND(S934&lt;=Assumptions!$C$42,T933=1,X933=0,W933&gt;Assumptions!$C$43),1,0)</f>
        <v>0</v>
      </c>
      <c r="U934" s="58" t="n">
        <f aca="false">W933</f>
        <v>-182.103705036234</v>
      </c>
      <c r="V934" s="58" t="n">
        <f aca="false">IF(T934=1,U934*$B$22,0)</f>
        <v>0</v>
      </c>
      <c r="W934" s="58" t="n">
        <f aca="false">IF(T934=1,U934+V934-$B$27,U934)</f>
        <v>-182.103705036234</v>
      </c>
      <c r="X934" s="56" t="n">
        <f aca="false">IF(T934=1,IF($B$27&lt;=V934,1,0),0)</f>
        <v>0</v>
      </c>
      <c r="Y934" s="58" t="n">
        <f aca="false">Y933+V934</f>
        <v>113000.408372882</v>
      </c>
    </row>
    <row r="935" customFormat="false" ht="15" hidden="false" customHeight="false" outlineLevel="0" collapsed="false">
      <c r="K935" s="56" t="n">
        <f aca="false">K934+1</f>
        <v>928</v>
      </c>
      <c r="L935" s="57" t="n">
        <f aca="false">IF(AND(K935&lt;=Assumptions!$C$42,L934=1,P934=0,O934&gt;Assumptions!$C$43),1,0)</f>
        <v>0</v>
      </c>
      <c r="M935" s="58" t="n">
        <f aca="false">O934</f>
        <v>8.10541678220034E-009</v>
      </c>
      <c r="N935" s="58" t="n">
        <f aca="false">IF(L935=1,M935*$B$22,0)</f>
        <v>0</v>
      </c>
      <c r="O935" s="58" t="n">
        <f aca="false">IF(L935=1,M935+N935-$B$26,M935)</f>
        <v>8.10541678220034E-009</v>
      </c>
      <c r="P935" s="56" t="n">
        <f aca="false">IF(L935=1,IF($B$26&lt;=N935,1,0),0)</f>
        <v>0</v>
      </c>
      <c r="Q935" s="58" t="n">
        <f aca="false">Q934+N935</f>
        <v>145877.630223336</v>
      </c>
      <c r="S935" s="56" t="n">
        <f aca="false">S934+1</f>
        <v>928</v>
      </c>
      <c r="T935" s="57" t="n">
        <f aca="false">IF(AND(S935&lt;=Assumptions!$C$42,T934=1,X934=0,W934&gt;Assumptions!$C$43),1,0)</f>
        <v>0</v>
      </c>
      <c r="U935" s="58" t="n">
        <f aca="false">W934</f>
        <v>-182.103705036234</v>
      </c>
      <c r="V935" s="58" t="n">
        <f aca="false">IF(T935=1,U935*$B$22,0)</f>
        <v>0</v>
      </c>
      <c r="W935" s="58" t="n">
        <f aca="false">IF(T935=1,U935+V935-$B$27,U935)</f>
        <v>-182.103705036234</v>
      </c>
      <c r="X935" s="56" t="n">
        <f aca="false">IF(T935=1,IF($B$27&lt;=V935,1,0),0)</f>
        <v>0</v>
      </c>
      <c r="Y935" s="58" t="n">
        <f aca="false">Y934+V935</f>
        <v>113000.408372882</v>
      </c>
    </row>
    <row r="936" customFormat="false" ht="15" hidden="false" customHeight="false" outlineLevel="0" collapsed="false">
      <c r="K936" s="56" t="n">
        <f aca="false">K935+1</f>
        <v>929</v>
      </c>
      <c r="L936" s="57" t="n">
        <f aca="false">IF(AND(K936&lt;=Assumptions!$C$42,L935=1,P935=0,O935&gt;Assumptions!$C$43),1,0)</f>
        <v>0</v>
      </c>
      <c r="M936" s="58" t="n">
        <f aca="false">O935</f>
        <v>8.10541678220034E-009</v>
      </c>
      <c r="N936" s="58" t="n">
        <f aca="false">IF(L936=1,M936*$B$22,0)</f>
        <v>0</v>
      </c>
      <c r="O936" s="58" t="n">
        <f aca="false">IF(L936=1,M936+N936-$B$26,M936)</f>
        <v>8.10541678220034E-009</v>
      </c>
      <c r="P936" s="56" t="n">
        <f aca="false">IF(L936=1,IF($B$26&lt;=N936,1,0),0)</f>
        <v>0</v>
      </c>
      <c r="Q936" s="58" t="n">
        <f aca="false">Q935+N936</f>
        <v>145877.630223336</v>
      </c>
      <c r="S936" s="56" t="n">
        <f aca="false">S935+1</f>
        <v>929</v>
      </c>
      <c r="T936" s="57" t="n">
        <f aca="false">IF(AND(S936&lt;=Assumptions!$C$42,T935=1,X935=0,W935&gt;Assumptions!$C$43),1,0)</f>
        <v>0</v>
      </c>
      <c r="U936" s="58" t="n">
        <f aca="false">W935</f>
        <v>-182.103705036234</v>
      </c>
      <c r="V936" s="58" t="n">
        <f aca="false">IF(T936=1,U936*$B$22,0)</f>
        <v>0</v>
      </c>
      <c r="W936" s="58" t="n">
        <f aca="false">IF(T936=1,U936+V936-$B$27,U936)</f>
        <v>-182.103705036234</v>
      </c>
      <c r="X936" s="56" t="n">
        <f aca="false">IF(T936=1,IF($B$27&lt;=V936,1,0),0)</f>
        <v>0</v>
      </c>
      <c r="Y936" s="58" t="n">
        <f aca="false">Y935+V936</f>
        <v>113000.408372882</v>
      </c>
    </row>
    <row r="937" customFormat="false" ht="15" hidden="false" customHeight="false" outlineLevel="0" collapsed="false">
      <c r="K937" s="56" t="n">
        <f aca="false">K936+1</f>
        <v>930</v>
      </c>
      <c r="L937" s="57" t="n">
        <f aca="false">IF(AND(K937&lt;=Assumptions!$C$42,L936=1,P936=0,O936&gt;Assumptions!$C$43),1,0)</f>
        <v>0</v>
      </c>
      <c r="M937" s="58" t="n">
        <f aca="false">O936</f>
        <v>8.10541678220034E-009</v>
      </c>
      <c r="N937" s="58" t="n">
        <f aca="false">IF(L937=1,M937*$B$22,0)</f>
        <v>0</v>
      </c>
      <c r="O937" s="58" t="n">
        <f aca="false">IF(L937=1,M937+N937-$B$26,M937)</f>
        <v>8.10541678220034E-009</v>
      </c>
      <c r="P937" s="56" t="n">
        <f aca="false">IF(L937=1,IF($B$26&lt;=N937,1,0),0)</f>
        <v>0</v>
      </c>
      <c r="Q937" s="58" t="n">
        <f aca="false">Q936+N937</f>
        <v>145877.630223336</v>
      </c>
      <c r="S937" s="56" t="n">
        <f aca="false">S936+1</f>
        <v>930</v>
      </c>
      <c r="T937" s="57" t="n">
        <f aca="false">IF(AND(S937&lt;=Assumptions!$C$42,T936=1,X936=0,W936&gt;Assumptions!$C$43),1,0)</f>
        <v>0</v>
      </c>
      <c r="U937" s="58" t="n">
        <f aca="false">W936</f>
        <v>-182.103705036234</v>
      </c>
      <c r="V937" s="58" t="n">
        <f aca="false">IF(T937=1,U937*$B$22,0)</f>
        <v>0</v>
      </c>
      <c r="W937" s="58" t="n">
        <f aca="false">IF(T937=1,U937+V937-$B$27,U937)</f>
        <v>-182.103705036234</v>
      </c>
      <c r="X937" s="56" t="n">
        <f aca="false">IF(T937=1,IF($B$27&lt;=V937,1,0),0)</f>
        <v>0</v>
      </c>
      <c r="Y937" s="58" t="n">
        <f aca="false">Y936+V937</f>
        <v>113000.408372882</v>
      </c>
    </row>
    <row r="938" customFormat="false" ht="15" hidden="false" customHeight="false" outlineLevel="0" collapsed="false">
      <c r="K938" s="56" t="n">
        <f aca="false">K937+1</f>
        <v>931</v>
      </c>
      <c r="L938" s="57" t="n">
        <f aca="false">IF(AND(K938&lt;=Assumptions!$C$42,L937=1,P937=0,O937&gt;Assumptions!$C$43),1,0)</f>
        <v>0</v>
      </c>
      <c r="M938" s="58" t="n">
        <f aca="false">O937</f>
        <v>8.10541678220034E-009</v>
      </c>
      <c r="N938" s="58" t="n">
        <f aca="false">IF(L938=1,M938*$B$22,0)</f>
        <v>0</v>
      </c>
      <c r="O938" s="58" t="n">
        <f aca="false">IF(L938=1,M938+N938-$B$26,M938)</f>
        <v>8.10541678220034E-009</v>
      </c>
      <c r="P938" s="56" t="n">
        <f aca="false">IF(L938=1,IF($B$26&lt;=N938,1,0),0)</f>
        <v>0</v>
      </c>
      <c r="Q938" s="58" t="n">
        <f aca="false">Q937+N938</f>
        <v>145877.630223336</v>
      </c>
      <c r="S938" s="56" t="n">
        <f aca="false">S937+1</f>
        <v>931</v>
      </c>
      <c r="T938" s="57" t="n">
        <f aca="false">IF(AND(S938&lt;=Assumptions!$C$42,T937=1,X937=0,W937&gt;Assumptions!$C$43),1,0)</f>
        <v>0</v>
      </c>
      <c r="U938" s="58" t="n">
        <f aca="false">W937</f>
        <v>-182.103705036234</v>
      </c>
      <c r="V938" s="58" t="n">
        <f aca="false">IF(T938=1,U938*$B$22,0)</f>
        <v>0</v>
      </c>
      <c r="W938" s="58" t="n">
        <f aca="false">IF(T938=1,U938+V938-$B$27,U938)</f>
        <v>-182.103705036234</v>
      </c>
      <c r="X938" s="56" t="n">
        <f aca="false">IF(T938=1,IF($B$27&lt;=V938,1,0),0)</f>
        <v>0</v>
      </c>
      <c r="Y938" s="58" t="n">
        <f aca="false">Y937+V938</f>
        <v>113000.408372882</v>
      </c>
    </row>
    <row r="939" customFormat="false" ht="15" hidden="false" customHeight="false" outlineLevel="0" collapsed="false">
      <c r="K939" s="56" t="n">
        <f aca="false">K938+1</f>
        <v>932</v>
      </c>
      <c r="L939" s="57" t="n">
        <f aca="false">IF(AND(K939&lt;=Assumptions!$C$42,L938=1,P938=0,O938&gt;Assumptions!$C$43),1,0)</f>
        <v>0</v>
      </c>
      <c r="M939" s="58" t="n">
        <f aca="false">O938</f>
        <v>8.10541678220034E-009</v>
      </c>
      <c r="N939" s="58" t="n">
        <f aca="false">IF(L939=1,M939*$B$22,0)</f>
        <v>0</v>
      </c>
      <c r="O939" s="58" t="n">
        <f aca="false">IF(L939=1,M939+N939-$B$26,M939)</f>
        <v>8.10541678220034E-009</v>
      </c>
      <c r="P939" s="56" t="n">
        <f aca="false">IF(L939=1,IF($B$26&lt;=N939,1,0),0)</f>
        <v>0</v>
      </c>
      <c r="Q939" s="58" t="n">
        <f aca="false">Q938+N939</f>
        <v>145877.630223336</v>
      </c>
      <c r="S939" s="56" t="n">
        <f aca="false">S938+1</f>
        <v>932</v>
      </c>
      <c r="T939" s="57" t="n">
        <f aca="false">IF(AND(S939&lt;=Assumptions!$C$42,T938=1,X938=0,W938&gt;Assumptions!$C$43),1,0)</f>
        <v>0</v>
      </c>
      <c r="U939" s="58" t="n">
        <f aca="false">W938</f>
        <v>-182.103705036234</v>
      </c>
      <c r="V939" s="58" t="n">
        <f aca="false">IF(T939=1,U939*$B$22,0)</f>
        <v>0</v>
      </c>
      <c r="W939" s="58" t="n">
        <f aca="false">IF(T939=1,U939+V939-$B$27,U939)</f>
        <v>-182.103705036234</v>
      </c>
      <c r="X939" s="56" t="n">
        <f aca="false">IF(T939=1,IF($B$27&lt;=V939,1,0),0)</f>
        <v>0</v>
      </c>
      <c r="Y939" s="58" t="n">
        <f aca="false">Y938+V939</f>
        <v>113000.408372882</v>
      </c>
    </row>
    <row r="940" customFormat="false" ht="15" hidden="false" customHeight="false" outlineLevel="0" collapsed="false">
      <c r="K940" s="56" t="n">
        <f aca="false">K939+1</f>
        <v>933</v>
      </c>
      <c r="L940" s="57" t="n">
        <f aca="false">IF(AND(K940&lt;=Assumptions!$C$42,L939=1,P939=0,O939&gt;Assumptions!$C$43),1,0)</f>
        <v>0</v>
      </c>
      <c r="M940" s="58" t="n">
        <f aca="false">O939</f>
        <v>8.10541678220034E-009</v>
      </c>
      <c r="N940" s="58" t="n">
        <f aca="false">IF(L940=1,M940*$B$22,0)</f>
        <v>0</v>
      </c>
      <c r="O940" s="58" t="n">
        <f aca="false">IF(L940=1,M940+N940-$B$26,M940)</f>
        <v>8.10541678220034E-009</v>
      </c>
      <c r="P940" s="56" t="n">
        <f aca="false">IF(L940=1,IF($B$26&lt;=N940,1,0),0)</f>
        <v>0</v>
      </c>
      <c r="Q940" s="58" t="n">
        <f aca="false">Q939+N940</f>
        <v>145877.630223336</v>
      </c>
      <c r="S940" s="56" t="n">
        <f aca="false">S939+1</f>
        <v>933</v>
      </c>
      <c r="T940" s="57" t="n">
        <f aca="false">IF(AND(S940&lt;=Assumptions!$C$42,T939=1,X939=0,W939&gt;Assumptions!$C$43),1,0)</f>
        <v>0</v>
      </c>
      <c r="U940" s="58" t="n">
        <f aca="false">W939</f>
        <v>-182.103705036234</v>
      </c>
      <c r="V940" s="58" t="n">
        <f aca="false">IF(T940=1,U940*$B$22,0)</f>
        <v>0</v>
      </c>
      <c r="W940" s="58" t="n">
        <f aca="false">IF(T940=1,U940+V940-$B$27,U940)</f>
        <v>-182.103705036234</v>
      </c>
      <c r="X940" s="56" t="n">
        <f aca="false">IF(T940=1,IF($B$27&lt;=V940,1,0),0)</f>
        <v>0</v>
      </c>
      <c r="Y940" s="58" t="n">
        <f aca="false">Y939+V940</f>
        <v>113000.408372882</v>
      </c>
    </row>
    <row r="941" customFormat="false" ht="15" hidden="false" customHeight="false" outlineLevel="0" collapsed="false">
      <c r="K941" s="56" t="n">
        <f aca="false">K940+1</f>
        <v>934</v>
      </c>
      <c r="L941" s="57" t="n">
        <f aca="false">IF(AND(K941&lt;=Assumptions!$C$42,L940=1,P940=0,O940&gt;Assumptions!$C$43),1,0)</f>
        <v>0</v>
      </c>
      <c r="M941" s="58" t="n">
        <f aca="false">O940</f>
        <v>8.10541678220034E-009</v>
      </c>
      <c r="N941" s="58" t="n">
        <f aca="false">IF(L941=1,M941*$B$22,0)</f>
        <v>0</v>
      </c>
      <c r="O941" s="58" t="n">
        <f aca="false">IF(L941=1,M941+N941-$B$26,M941)</f>
        <v>8.10541678220034E-009</v>
      </c>
      <c r="P941" s="56" t="n">
        <f aca="false">IF(L941=1,IF($B$26&lt;=N941,1,0),0)</f>
        <v>0</v>
      </c>
      <c r="Q941" s="58" t="n">
        <f aca="false">Q940+N941</f>
        <v>145877.630223336</v>
      </c>
      <c r="S941" s="56" t="n">
        <f aca="false">S940+1</f>
        <v>934</v>
      </c>
      <c r="T941" s="57" t="n">
        <f aca="false">IF(AND(S941&lt;=Assumptions!$C$42,T940=1,X940=0,W940&gt;Assumptions!$C$43),1,0)</f>
        <v>0</v>
      </c>
      <c r="U941" s="58" t="n">
        <f aca="false">W940</f>
        <v>-182.103705036234</v>
      </c>
      <c r="V941" s="58" t="n">
        <f aca="false">IF(T941=1,U941*$B$22,0)</f>
        <v>0</v>
      </c>
      <c r="W941" s="58" t="n">
        <f aca="false">IF(T941=1,U941+V941-$B$27,U941)</f>
        <v>-182.103705036234</v>
      </c>
      <c r="X941" s="56" t="n">
        <f aca="false">IF(T941=1,IF($B$27&lt;=V941,1,0),0)</f>
        <v>0</v>
      </c>
      <c r="Y941" s="58" t="n">
        <f aca="false">Y940+V941</f>
        <v>113000.408372882</v>
      </c>
    </row>
    <row r="942" customFormat="false" ht="15" hidden="false" customHeight="false" outlineLevel="0" collapsed="false">
      <c r="K942" s="56" t="n">
        <f aca="false">K941+1</f>
        <v>935</v>
      </c>
      <c r="L942" s="57" t="n">
        <f aca="false">IF(AND(K942&lt;=Assumptions!$C$42,L941=1,P941=0,O941&gt;Assumptions!$C$43),1,0)</f>
        <v>0</v>
      </c>
      <c r="M942" s="58" t="n">
        <f aca="false">O941</f>
        <v>8.10541678220034E-009</v>
      </c>
      <c r="N942" s="58" t="n">
        <f aca="false">IF(L942=1,M942*$B$22,0)</f>
        <v>0</v>
      </c>
      <c r="O942" s="58" t="n">
        <f aca="false">IF(L942=1,M942+N942-$B$26,M942)</f>
        <v>8.10541678220034E-009</v>
      </c>
      <c r="P942" s="56" t="n">
        <f aca="false">IF(L942=1,IF($B$26&lt;=N942,1,0),0)</f>
        <v>0</v>
      </c>
      <c r="Q942" s="58" t="n">
        <f aca="false">Q941+N942</f>
        <v>145877.630223336</v>
      </c>
      <c r="S942" s="56" t="n">
        <f aca="false">S941+1</f>
        <v>935</v>
      </c>
      <c r="T942" s="57" t="n">
        <f aca="false">IF(AND(S942&lt;=Assumptions!$C$42,T941=1,X941=0,W941&gt;Assumptions!$C$43),1,0)</f>
        <v>0</v>
      </c>
      <c r="U942" s="58" t="n">
        <f aca="false">W941</f>
        <v>-182.103705036234</v>
      </c>
      <c r="V942" s="58" t="n">
        <f aca="false">IF(T942=1,U942*$B$22,0)</f>
        <v>0</v>
      </c>
      <c r="W942" s="58" t="n">
        <f aca="false">IF(T942=1,U942+V942-$B$27,U942)</f>
        <v>-182.103705036234</v>
      </c>
      <c r="X942" s="56" t="n">
        <f aca="false">IF(T942=1,IF($B$27&lt;=V942,1,0),0)</f>
        <v>0</v>
      </c>
      <c r="Y942" s="58" t="n">
        <f aca="false">Y941+V942</f>
        <v>113000.408372882</v>
      </c>
    </row>
    <row r="943" customFormat="false" ht="15" hidden="false" customHeight="false" outlineLevel="0" collapsed="false">
      <c r="K943" s="56" t="n">
        <f aca="false">K942+1</f>
        <v>936</v>
      </c>
      <c r="L943" s="57" t="n">
        <f aca="false">IF(AND(K943&lt;=Assumptions!$C$42,L942=1,P942=0,O942&gt;Assumptions!$C$43),1,0)</f>
        <v>0</v>
      </c>
      <c r="M943" s="58" t="n">
        <f aca="false">O942</f>
        <v>8.10541678220034E-009</v>
      </c>
      <c r="N943" s="58" t="n">
        <f aca="false">IF(L943=1,M943*$B$22,0)</f>
        <v>0</v>
      </c>
      <c r="O943" s="58" t="n">
        <f aca="false">IF(L943=1,M943+N943-$B$26,M943)</f>
        <v>8.10541678220034E-009</v>
      </c>
      <c r="P943" s="56" t="n">
        <f aca="false">IF(L943=1,IF($B$26&lt;=N943,1,0),0)</f>
        <v>0</v>
      </c>
      <c r="Q943" s="58" t="n">
        <f aca="false">Q942+N943</f>
        <v>145877.630223336</v>
      </c>
      <c r="S943" s="56" t="n">
        <f aca="false">S942+1</f>
        <v>936</v>
      </c>
      <c r="T943" s="57" t="n">
        <f aca="false">IF(AND(S943&lt;=Assumptions!$C$42,T942=1,X942=0,W942&gt;Assumptions!$C$43),1,0)</f>
        <v>0</v>
      </c>
      <c r="U943" s="58" t="n">
        <f aca="false">W942</f>
        <v>-182.103705036234</v>
      </c>
      <c r="V943" s="58" t="n">
        <f aca="false">IF(T943=1,U943*$B$22,0)</f>
        <v>0</v>
      </c>
      <c r="W943" s="58" t="n">
        <f aca="false">IF(T943=1,U943+V943-$B$27,U943)</f>
        <v>-182.103705036234</v>
      </c>
      <c r="X943" s="56" t="n">
        <f aca="false">IF(T943=1,IF($B$27&lt;=V943,1,0),0)</f>
        <v>0</v>
      </c>
      <c r="Y943" s="58" t="n">
        <f aca="false">Y942+V943</f>
        <v>113000.408372882</v>
      </c>
    </row>
    <row r="944" customFormat="false" ht="15" hidden="false" customHeight="false" outlineLevel="0" collapsed="false">
      <c r="K944" s="56" t="n">
        <f aca="false">K943+1</f>
        <v>937</v>
      </c>
      <c r="L944" s="57" t="n">
        <f aca="false">IF(AND(K944&lt;=Assumptions!$C$42,L943=1,P943=0,O943&gt;Assumptions!$C$43),1,0)</f>
        <v>0</v>
      </c>
      <c r="M944" s="58" t="n">
        <f aca="false">O943</f>
        <v>8.10541678220034E-009</v>
      </c>
      <c r="N944" s="58" t="n">
        <f aca="false">IF(L944=1,M944*$B$22,0)</f>
        <v>0</v>
      </c>
      <c r="O944" s="58" t="n">
        <f aca="false">IF(L944=1,M944+N944-$B$26,M944)</f>
        <v>8.10541678220034E-009</v>
      </c>
      <c r="P944" s="56" t="n">
        <f aca="false">IF(L944=1,IF($B$26&lt;=N944,1,0),0)</f>
        <v>0</v>
      </c>
      <c r="Q944" s="58" t="n">
        <f aca="false">Q943+N944</f>
        <v>145877.630223336</v>
      </c>
      <c r="S944" s="56" t="n">
        <f aca="false">S943+1</f>
        <v>937</v>
      </c>
      <c r="T944" s="57" t="n">
        <f aca="false">IF(AND(S944&lt;=Assumptions!$C$42,T943=1,X943=0,W943&gt;Assumptions!$C$43),1,0)</f>
        <v>0</v>
      </c>
      <c r="U944" s="58" t="n">
        <f aca="false">W943</f>
        <v>-182.103705036234</v>
      </c>
      <c r="V944" s="58" t="n">
        <f aca="false">IF(T944=1,U944*$B$22,0)</f>
        <v>0</v>
      </c>
      <c r="W944" s="58" t="n">
        <f aca="false">IF(T944=1,U944+V944-$B$27,U944)</f>
        <v>-182.103705036234</v>
      </c>
      <c r="X944" s="56" t="n">
        <f aca="false">IF(T944=1,IF($B$27&lt;=V944,1,0),0)</f>
        <v>0</v>
      </c>
      <c r="Y944" s="58" t="n">
        <f aca="false">Y943+V944</f>
        <v>113000.408372882</v>
      </c>
    </row>
    <row r="945" customFormat="false" ht="15" hidden="false" customHeight="false" outlineLevel="0" collapsed="false">
      <c r="K945" s="56" t="n">
        <f aca="false">K944+1</f>
        <v>938</v>
      </c>
      <c r="L945" s="57" t="n">
        <f aca="false">IF(AND(K945&lt;=Assumptions!$C$42,L944=1,P944=0,O944&gt;Assumptions!$C$43),1,0)</f>
        <v>0</v>
      </c>
      <c r="M945" s="58" t="n">
        <f aca="false">O944</f>
        <v>8.10541678220034E-009</v>
      </c>
      <c r="N945" s="58" t="n">
        <f aca="false">IF(L945=1,M945*$B$22,0)</f>
        <v>0</v>
      </c>
      <c r="O945" s="58" t="n">
        <f aca="false">IF(L945=1,M945+N945-$B$26,M945)</f>
        <v>8.10541678220034E-009</v>
      </c>
      <c r="P945" s="56" t="n">
        <f aca="false">IF(L945=1,IF($B$26&lt;=N945,1,0),0)</f>
        <v>0</v>
      </c>
      <c r="Q945" s="58" t="n">
        <f aca="false">Q944+N945</f>
        <v>145877.630223336</v>
      </c>
      <c r="S945" s="56" t="n">
        <f aca="false">S944+1</f>
        <v>938</v>
      </c>
      <c r="T945" s="57" t="n">
        <f aca="false">IF(AND(S945&lt;=Assumptions!$C$42,T944=1,X944=0,W944&gt;Assumptions!$C$43),1,0)</f>
        <v>0</v>
      </c>
      <c r="U945" s="58" t="n">
        <f aca="false">W944</f>
        <v>-182.103705036234</v>
      </c>
      <c r="V945" s="58" t="n">
        <f aca="false">IF(T945=1,U945*$B$22,0)</f>
        <v>0</v>
      </c>
      <c r="W945" s="58" t="n">
        <f aca="false">IF(T945=1,U945+V945-$B$27,U945)</f>
        <v>-182.103705036234</v>
      </c>
      <c r="X945" s="56" t="n">
        <f aca="false">IF(T945=1,IF($B$27&lt;=V945,1,0),0)</f>
        <v>0</v>
      </c>
      <c r="Y945" s="58" t="n">
        <f aca="false">Y944+V945</f>
        <v>113000.408372882</v>
      </c>
    </row>
    <row r="946" customFormat="false" ht="15" hidden="false" customHeight="false" outlineLevel="0" collapsed="false">
      <c r="K946" s="56" t="n">
        <f aca="false">K945+1</f>
        <v>939</v>
      </c>
      <c r="L946" s="57" t="n">
        <f aca="false">IF(AND(K946&lt;=Assumptions!$C$42,L945=1,P945=0,O945&gt;Assumptions!$C$43),1,0)</f>
        <v>0</v>
      </c>
      <c r="M946" s="58" t="n">
        <f aca="false">O945</f>
        <v>8.10541678220034E-009</v>
      </c>
      <c r="N946" s="58" t="n">
        <f aca="false">IF(L946=1,M946*$B$22,0)</f>
        <v>0</v>
      </c>
      <c r="O946" s="58" t="n">
        <f aca="false">IF(L946=1,M946+N946-$B$26,M946)</f>
        <v>8.10541678220034E-009</v>
      </c>
      <c r="P946" s="56" t="n">
        <f aca="false">IF(L946=1,IF($B$26&lt;=N946,1,0),0)</f>
        <v>0</v>
      </c>
      <c r="Q946" s="58" t="n">
        <f aca="false">Q945+N946</f>
        <v>145877.630223336</v>
      </c>
      <c r="S946" s="56" t="n">
        <f aca="false">S945+1</f>
        <v>939</v>
      </c>
      <c r="T946" s="57" t="n">
        <f aca="false">IF(AND(S946&lt;=Assumptions!$C$42,T945=1,X945=0,W945&gt;Assumptions!$C$43),1,0)</f>
        <v>0</v>
      </c>
      <c r="U946" s="58" t="n">
        <f aca="false">W945</f>
        <v>-182.103705036234</v>
      </c>
      <c r="V946" s="58" t="n">
        <f aca="false">IF(T946=1,U946*$B$22,0)</f>
        <v>0</v>
      </c>
      <c r="W946" s="58" t="n">
        <f aca="false">IF(T946=1,U946+V946-$B$27,U946)</f>
        <v>-182.103705036234</v>
      </c>
      <c r="X946" s="56" t="n">
        <f aca="false">IF(T946=1,IF($B$27&lt;=V946,1,0),0)</f>
        <v>0</v>
      </c>
      <c r="Y946" s="58" t="n">
        <f aca="false">Y945+V946</f>
        <v>113000.408372882</v>
      </c>
    </row>
    <row r="947" customFormat="false" ht="15" hidden="false" customHeight="false" outlineLevel="0" collapsed="false">
      <c r="K947" s="56" t="n">
        <f aca="false">K946+1</f>
        <v>940</v>
      </c>
      <c r="L947" s="57" t="n">
        <f aca="false">IF(AND(K947&lt;=Assumptions!$C$42,L946=1,P946=0,O946&gt;Assumptions!$C$43),1,0)</f>
        <v>0</v>
      </c>
      <c r="M947" s="58" t="n">
        <f aca="false">O946</f>
        <v>8.10541678220034E-009</v>
      </c>
      <c r="N947" s="58" t="n">
        <f aca="false">IF(L947=1,M947*$B$22,0)</f>
        <v>0</v>
      </c>
      <c r="O947" s="58" t="n">
        <f aca="false">IF(L947=1,M947+N947-$B$26,M947)</f>
        <v>8.10541678220034E-009</v>
      </c>
      <c r="P947" s="56" t="n">
        <f aca="false">IF(L947=1,IF($B$26&lt;=N947,1,0),0)</f>
        <v>0</v>
      </c>
      <c r="Q947" s="58" t="n">
        <f aca="false">Q946+N947</f>
        <v>145877.630223336</v>
      </c>
      <c r="S947" s="56" t="n">
        <f aca="false">S946+1</f>
        <v>940</v>
      </c>
      <c r="T947" s="57" t="n">
        <f aca="false">IF(AND(S947&lt;=Assumptions!$C$42,T946=1,X946=0,W946&gt;Assumptions!$C$43),1,0)</f>
        <v>0</v>
      </c>
      <c r="U947" s="58" t="n">
        <f aca="false">W946</f>
        <v>-182.103705036234</v>
      </c>
      <c r="V947" s="58" t="n">
        <f aca="false">IF(T947=1,U947*$B$22,0)</f>
        <v>0</v>
      </c>
      <c r="W947" s="58" t="n">
        <f aca="false">IF(T947=1,U947+V947-$B$27,U947)</f>
        <v>-182.103705036234</v>
      </c>
      <c r="X947" s="56" t="n">
        <f aca="false">IF(T947=1,IF($B$27&lt;=V947,1,0),0)</f>
        <v>0</v>
      </c>
      <c r="Y947" s="58" t="n">
        <f aca="false">Y946+V947</f>
        <v>113000.408372882</v>
      </c>
    </row>
    <row r="948" customFormat="false" ht="15" hidden="false" customHeight="false" outlineLevel="0" collapsed="false">
      <c r="K948" s="56" t="n">
        <f aca="false">K947+1</f>
        <v>941</v>
      </c>
      <c r="L948" s="57" t="n">
        <f aca="false">IF(AND(K948&lt;=Assumptions!$C$42,L947=1,P947=0,O947&gt;Assumptions!$C$43),1,0)</f>
        <v>0</v>
      </c>
      <c r="M948" s="58" t="n">
        <f aca="false">O947</f>
        <v>8.10541678220034E-009</v>
      </c>
      <c r="N948" s="58" t="n">
        <f aca="false">IF(L948=1,M948*$B$22,0)</f>
        <v>0</v>
      </c>
      <c r="O948" s="58" t="n">
        <f aca="false">IF(L948=1,M948+N948-$B$26,M948)</f>
        <v>8.10541678220034E-009</v>
      </c>
      <c r="P948" s="56" t="n">
        <f aca="false">IF(L948=1,IF($B$26&lt;=N948,1,0),0)</f>
        <v>0</v>
      </c>
      <c r="Q948" s="58" t="n">
        <f aca="false">Q947+N948</f>
        <v>145877.630223336</v>
      </c>
      <c r="S948" s="56" t="n">
        <f aca="false">S947+1</f>
        <v>941</v>
      </c>
      <c r="T948" s="57" t="n">
        <f aca="false">IF(AND(S948&lt;=Assumptions!$C$42,T947=1,X947=0,W947&gt;Assumptions!$C$43),1,0)</f>
        <v>0</v>
      </c>
      <c r="U948" s="58" t="n">
        <f aca="false">W947</f>
        <v>-182.103705036234</v>
      </c>
      <c r="V948" s="58" t="n">
        <f aca="false">IF(T948=1,U948*$B$22,0)</f>
        <v>0</v>
      </c>
      <c r="W948" s="58" t="n">
        <f aca="false">IF(T948=1,U948+V948-$B$27,U948)</f>
        <v>-182.103705036234</v>
      </c>
      <c r="X948" s="56" t="n">
        <f aca="false">IF(T948=1,IF($B$27&lt;=V948,1,0),0)</f>
        <v>0</v>
      </c>
      <c r="Y948" s="58" t="n">
        <f aca="false">Y947+V948</f>
        <v>113000.408372882</v>
      </c>
    </row>
    <row r="949" customFormat="false" ht="15" hidden="false" customHeight="false" outlineLevel="0" collapsed="false">
      <c r="K949" s="56" t="n">
        <f aca="false">K948+1</f>
        <v>942</v>
      </c>
      <c r="L949" s="57" t="n">
        <f aca="false">IF(AND(K949&lt;=Assumptions!$C$42,L948=1,P948=0,O948&gt;Assumptions!$C$43),1,0)</f>
        <v>0</v>
      </c>
      <c r="M949" s="58" t="n">
        <f aca="false">O948</f>
        <v>8.10541678220034E-009</v>
      </c>
      <c r="N949" s="58" t="n">
        <f aca="false">IF(L949=1,M949*$B$22,0)</f>
        <v>0</v>
      </c>
      <c r="O949" s="58" t="n">
        <f aca="false">IF(L949=1,M949+N949-$B$26,M949)</f>
        <v>8.10541678220034E-009</v>
      </c>
      <c r="P949" s="56" t="n">
        <f aca="false">IF(L949=1,IF($B$26&lt;=N949,1,0),0)</f>
        <v>0</v>
      </c>
      <c r="Q949" s="58" t="n">
        <f aca="false">Q948+N949</f>
        <v>145877.630223336</v>
      </c>
      <c r="S949" s="56" t="n">
        <f aca="false">S948+1</f>
        <v>942</v>
      </c>
      <c r="T949" s="57" t="n">
        <f aca="false">IF(AND(S949&lt;=Assumptions!$C$42,T948=1,X948=0,W948&gt;Assumptions!$C$43),1,0)</f>
        <v>0</v>
      </c>
      <c r="U949" s="58" t="n">
        <f aca="false">W948</f>
        <v>-182.103705036234</v>
      </c>
      <c r="V949" s="58" t="n">
        <f aca="false">IF(T949=1,U949*$B$22,0)</f>
        <v>0</v>
      </c>
      <c r="W949" s="58" t="n">
        <f aca="false">IF(T949=1,U949+V949-$B$27,U949)</f>
        <v>-182.103705036234</v>
      </c>
      <c r="X949" s="56" t="n">
        <f aca="false">IF(T949=1,IF($B$27&lt;=V949,1,0),0)</f>
        <v>0</v>
      </c>
      <c r="Y949" s="58" t="n">
        <f aca="false">Y948+V949</f>
        <v>113000.408372882</v>
      </c>
    </row>
    <row r="950" customFormat="false" ht="15" hidden="false" customHeight="false" outlineLevel="0" collapsed="false">
      <c r="K950" s="56" t="n">
        <f aca="false">K949+1</f>
        <v>943</v>
      </c>
      <c r="L950" s="57" t="n">
        <f aca="false">IF(AND(K950&lt;=Assumptions!$C$42,L949=1,P949=0,O949&gt;Assumptions!$C$43),1,0)</f>
        <v>0</v>
      </c>
      <c r="M950" s="58" t="n">
        <f aca="false">O949</f>
        <v>8.10541678220034E-009</v>
      </c>
      <c r="N950" s="58" t="n">
        <f aca="false">IF(L950=1,M950*$B$22,0)</f>
        <v>0</v>
      </c>
      <c r="O950" s="58" t="n">
        <f aca="false">IF(L950=1,M950+N950-$B$26,M950)</f>
        <v>8.10541678220034E-009</v>
      </c>
      <c r="P950" s="56" t="n">
        <f aca="false">IF(L950=1,IF($B$26&lt;=N950,1,0),0)</f>
        <v>0</v>
      </c>
      <c r="Q950" s="58" t="n">
        <f aca="false">Q949+N950</f>
        <v>145877.630223336</v>
      </c>
      <c r="S950" s="56" t="n">
        <f aca="false">S949+1</f>
        <v>943</v>
      </c>
      <c r="T950" s="57" t="n">
        <f aca="false">IF(AND(S950&lt;=Assumptions!$C$42,T949=1,X949=0,W949&gt;Assumptions!$C$43),1,0)</f>
        <v>0</v>
      </c>
      <c r="U950" s="58" t="n">
        <f aca="false">W949</f>
        <v>-182.103705036234</v>
      </c>
      <c r="V950" s="58" t="n">
        <f aca="false">IF(T950=1,U950*$B$22,0)</f>
        <v>0</v>
      </c>
      <c r="W950" s="58" t="n">
        <f aca="false">IF(T950=1,U950+V950-$B$27,U950)</f>
        <v>-182.103705036234</v>
      </c>
      <c r="X950" s="56" t="n">
        <f aca="false">IF(T950=1,IF($B$27&lt;=V950,1,0),0)</f>
        <v>0</v>
      </c>
      <c r="Y950" s="58" t="n">
        <f aca="false">Y949+V950</f>
        <v>113000.408372882</v>
      </c>
    </row>
    <row r="951" customFormat="false" ht="15" hidden="false" customHeight="false" outlineLevel="0" collapsed="false">
      <c r="K951" s="56" t="n">
        <f aca="false">K950+1</f>
        <v>944</v>
      </c>
      <c r="L951" s="57" t="n">
        <f aca="false">IF(AND(K951&lt;=Assumptions!$C$42,L950=1,P950=0,O950&gt;Assumptions!$C$43),1,0)</f>
        <v>0</v>
      </c>
      <c r="M951" s="58" t="n">
        <f aca="false">O950</f>
        <v>8.10541678220034E-009</v>
      </c>
      <c r="N951" s="58" t="n">
        <f aca="false">IF(L951=1,M951*$B$22,0)</f>
        <v>0</v>
      </c>
      <c r="O951" s="58" t="n">
        <f aca="false">IF(L951=1,M951+N951-$B$26,M951)</f>
        <v>8.10541678220034E-009</v>
      </c>
      <c r="P951" s="56" t="n">
        <f aca="false">IF(L951=1,IF($B$26&lt;=N951,1,0),0)</f>
        <v>0</v>
      </c>
      <c r="Q951" s="58" t="n">
        <f aca="false">Q950+N951</f>
        <v>145877.630223336</v>
      </c>
      <c r="S951" s="56" t="n">
        <f aca="false">S950+1</f>
        <v>944</v>
      </c>
      <c r="T951" s="57" t="n">
        <f aca="false">IF(AND(S951&lt;=Assumptions!$C$42,T950=1,X950=0,W950&gt;Assumptions!$C$43),1,0)</f>
        <v>0</v>
      </c>
      <c r="U951" s="58" t="n">
        <f aca="false">W950</f>
        <v>-182.103705036234</v>
      </c>
      <c r="V951" s="58" t="n">
        <f aca="false">IF(T951=1,U951*$B$22,0)</f>
        <v>0</v>
      </c>
      <c r="W951" s="58" t="n">
        <f aca="false">IF(T951=1,U951+V951-$B$27,U951)</f>
        <v>-182.103705036234</v>
      </c>
      <c r="X951" s="56" t="n">
        <f aca="false">IF(T951=1,IF($B$27&lt;=V951,1,0),0)</f>
        <v>0</v>
      </c>
      <c r="Y951" s="58" t="n">
        <f aca="false">Y950+V951</f>
        <v>113000.408372882</v>
      </c>
    </row>
    <row r="952" customFormat="false" ht="15" hidden="false" customHeight="false" outlineLevel="0" collapsed="false">
      <c r="K952" s="56" t="n">
        <f aca="false">K951+1</f>
        <v>945</v>
      </c>
      <c r="L952" s="57" t="n">
        <f aca="false">IF(AND(K952&lt;=Assumptions!$C$42,L951=1,P951=0,O951&gt;Assumptions!$C$43),1,0)</f>
        <v>0</v>
      </c>
      <c r="M952" s="58" t="n">
        <f aca="false">O951</f>
        <v>8.10541678220034E-009</v>
      </c>
      <c r="N952" s="58" t="n">
        <f aca="false">IF(L952=1,M952*$B$22,0)</f>
        <v>0</v>
      </c>
      <c r="O952" s="58" t="n">
        <f aca="false">IF(L952=1,M952+N952-$B$26,M952)</f>
        <v>8.10541678220034E-009</v>
      </c>
      <c r="P952" s="56" t="n">
        <f aca="false">IF(L952=1,IF($B$26&lt;=N952,1,0),0)</f>
        <v>0</v>
      </c>
      <c r="Q952" s="58" t="n">
        <f aca="false">Q951+N952</f>
        <v>145877.630223336</v>
      </c>
      <c r="S952" s="56" t="n">
        <f aca="false">S951+1</f>
        <v>945</v>
      </c>
      <c r="T952" s="57" t="n">
        <f aca="false">IF(AND(S952&lt;=Assumptions!$C$42,T951=1,X951=0,W951&gt;Assumptions!$C$43),1,0)</f>
        <v>0</v>
      </c>
      <c r="U952" s="58" t="n">
        <f aca="false">W951</f>
        <v>-182.103705036234</v>
      </c>
      <c r="V952" s="58" t="n">
        <f aca="false">IF(T952=1,U952*$B$22,0)</f>
        <v>0</v>
      </c>
      <c r="W952" s="58" t="n">
        <f aca="false">IF(T952=1,U952+V952-$B$27,U952)</f>
        <v>-182.103705036234</v>
      </c>
      <c r="X952" s="56" t="n">
        <f aca="false">IF(T952=1,IF($B$27&lt;=V952,1,0),0)</f>
        <v>0</v>
      </c>
      <c r="Y952" s="58" t="n">
        <f aca="false">Y951+V952</f>
        <v>113000.408372882</v>
      </c>
    </row>
    <row r="953" customFormat="false" ht="15" hidden="false" customHeight="false" outlineLevel="0" collapsed="false">
      <c r="K953" s="56" t="n">
        <f aca="false">K952+1</f>
        <v>946</v>
      </c>
      <c r="L953" s="57" t="n">
        <f aca="false">IF(AND(K953&lt;=Assumptions!$C$42,L952=1,P952=0,O952&gt;Assumptions!$C$43),1,0)</f>
        <v>0</v>
      </c>
      <c r="M953" s="58" t="n">
        <f aca="false">O952</f>
        <v>8.10541678220034E-009</v>
      </c>
      <c r="N953" s="58" t="n">
        <f aca="false">IF(L953=1,M953*$B$22,0)</f>
        <v>0</v>
      </c>
      <c r="O953" s="58" t="n">
        <f aca="false">IF(L953=1,M953+N953-$B$26,M953)</f>
        <v>8.10541678220034E-009</v>
      </c>
      <c r="P953" s="56" t="n">
        <f aca="false">IF(L953=1,IF($B$26&lt;=N953,1,0),0)</f>
        <v>0</v>
      </c>
      <c r="Q953" s="58" t="n">
        <f aca="false">Q952+N953</f>
        <v>145877.630223336</v>
      </c>
      <c r="S953" s="56" t="n">
        <f aca="false">S952+1</f>
        <v>946</v>
      </c>
      <c r="T953" s="57" t="n">
        <f aca="false">IF(AND(S953&lt;=Assumptions!$C$42,T952=1,X952=0,W952&gt;Assumptions!$C$43),1,0)</f>
        <v>0</v>
      </c>
      <c r="U953" s="58" t="n">
        <f aca="false">W952</f>
        <v>-182.103705036234</v>
      </c>
      <c r="V953" s="58" t="n">
        <f aca="false">IF(T953=1,U953*$B$22,0)</f>
        <v>0</v>
      </c>
      <c r="W953" s="58" t="n">
        <f aca="false">IF(T953=1,U953+V953-$B$27,U953)</f>
        <v>-182.103705036234</v>
      </c>
      <c r="X953" s="56" t="n">
        <f aca="false">IF(T953=1,IF($B$27&lt;=V953,1,0),0)</f>
        <v>0</v>
      </c>
      <c r="Y953" s="58" t="n">
        <f aca="false">Y952+V953</f>
        <v>113000.408372882</v>
      </c>
    </row>
    <row r="954" customFormat="false" ht="15" hidden="false" customHeight="false" outlineLevel="0" collapsed="false">
      <c r="K954" s="56" t="n">
        <f aca="false">K953+1</f>
        <v>947</v>
      </c>
      <c r="L954" s="57" t="n">
        <f aca="false">IF(AND(K954&lt;=Assumptions!$C$42,L953=1,P953=0,O953&gt;Assumptions!$C$43),1,0)</f>
        <v>0</v>
      </c>
      <c r="M954" s="58" t="n">
        <f aca="false">O953</f>
        <v>8.10541678220034E-009</v>
      </c>
      <c r="N954" s="58" t="n">
        <f aca="false">IF(L954=1,M954*$B$22,0)</f>
        <v>0</v>
      </c>
      <c r="O954" s="58" t="n">
        <f aca="false">IF(L954=1,M954+N954-$B$26,M954)</f>
        <v>8.10541678220034E-009</v>
      </c>
      <c r="P954" s="56" t="n">
        <f aca="false">IF(L954=1,IF($B$26&lt;=N954,1,0),0)</f>
        <v>0</v>
      </c>
      <c r="Q954" s="58" t="n">
        <f aca="false">Q953+N954</f>
        <v>145877.630223336</v>
      </c>
      <c r="S954" s="56" t="n">
        <f aca="false">S953+1</f>
        <v>947</v>
      </c>
      <c r="T954" s="57" t="n">
        <f aca="false">IF(AND(S954&lt;=Assumptions!$C$42,T953=1,X953=0,W953&gt;Assumptions!$C$43),1,0)</f>
        <v>0</v>
      </c>
      <c r="U954" s="58" t="n">
        <f aca="false">W953</f>
        <v>-182.103705036234</v>
      </c>
      <c r="V954" s="58" t="n">
        <f aca="false">IF(T954=1,U954*$B$22,0)</f>
        <v>0</v>
      </c>
      <c r="W954" s="58" t="n">
        <f aca="false">IF(T954=1,U954+V954-$B$27,U954)</f>
        <v>-182.103705036234</v>
      </c>
      <c r="X954" s="56" t="n">
        <f aca="false">IF(T954=1,IF($B$27&lt;=V954,1,0),0)</f>
        <v>0</v>
      </c>
      <c r="Y954" s="58" t="n">
        <f aca="false">Y953+V954</f>
        <v>113000.408372882</v>
      </c>
    </row>
    <row r="955" customFormat="false" ht="15" hidden="false" customHeight="false" outlineLevel="0" collapsed="false">
      <c r="K955" s="56" t="n">
        <f aca="false">K954+1</f>
        <v>948</v>
      </c>
      <c r="L955" s="57" t="n">
        <f aca="false">IF(AND(K955&lt;=Assumptions!$C$42,L954=1,P954=0,O954&gt;Assumptions!$C$43),1,0)</f>
        <v>0</v>
      </c>
      <c r="M955" s="58" t="n">
        <f aca="false">O954</f>
        <v>8.10541678220034E-009</v>
      </c>
      <c r="N955" s="58" t="n">
        <f aca="false">IF(L955=1,M955*$B$22,0)</f>
        <v>0</v>
      </c>
      <c r="O955" s="58" t="n">
        <f aca="false">IF(L955=1,M955+N955-$B$26,M955)</f>
        <v>8.10541678220034E-009</v>
      </c>
      <c r="P955" s="56" t="n">
        <f aca="false">IF(L955=1,IF($B$26&lt;=N955,1,0),0)</f>
        <v>0</v>
      </c>
      <c r="Q955" s="58" t="n">
        <f aca="false">Q954+N955</f>
        <v>145877.630223336</v>
      </c>
      <c r="S955" s="56" t="n">
        <f aca="false">S954+1</f>
        <v>948</v>
      </c>
      <c r="T955" s="57" t="n">
        <f aca="false">IF(AND(S955&lt;=Assumptions!$C$42,T954=1,X954=0,W954&gt;Assumptions!$C$43),1,0)</f>
        <v>0</v>
      </c>
      <c r="U955" s="58" t="n">
        <f aca="false">W954</f>
        <v>-182.103705036234</v>
      </c>
      <c r="V955" s="58" t="n">
        <f aca="false">IF(T955=1,U955*$B$22,0)</f>
        <v>0</v>
      </c>
      <c r="W955" s="58" t="n">
        <f aca="false">IF(T955=1,U955+V955-$B$27,U955)</f>
        <v>-182.103705036234</v>
      </c>
      <c r="X955" s="56" t="n">
        <f aca="false">IF(T955=1,IF($B$27&lt;=V955,1,0),0)</f>
        <v>0</v>
      </c>
      <c r="Y955" s="58" t="n">
        <f aca="false">Y954+V955</f>
        <v>113000.408372882</v>
      </c>
    </row>
    <row r="956" customFormat="false" ht="15" hidden="false" customHeight="false" outlineLevel="0" collapsed="false">
      <c r="K956" s="56" t="n">
        <f aca="false">K955+1</f>
        <v>949</v>
      </c>
      <c r="L956" s="57" t="n">
        <f aca="false">IF(AND(K956&lt;=Assumptions!$C$42,L955=1,P955=0,O955&gt;Assumptions!$C$43),1,0)</f>
        <v>0</v>
      </c>
      <c r="M956" s="58" t="n">
        <f aca="false">O955</f>
        <v>8.10541678220034E-009</v>
      </c>
      <c r="N956" s="58" t="n">
        <f aca="false">IF(L956=1,M956*$B$22,0)</f>
        <v>0</v>
      </c>
      <c r="O956" s="58" t="n">
        <f aca="false">IF(L956=1,M956+N956-$B$26,M956)</f>
        <v>8.10541678220034E-009</v>
      </c>
      <c r="P956" s="56" t="n">
        <f aca="false">IF(L956=1,IF($B$26&lt;=N956,1,0),0)</f>
        <v>0</v>
      </c>
      <c r="Q956" s="58" t="n">
        <f aca="false">Q955+N956</f>
        <v>145877.630223336</v>
      </c>
      <c r="S956" s="56" t="n">
        <f aca="false">S955+1</f>
        <v>949</v>
      </c>
      <c r="T956" s="57" t="n">
        <f aca="false">IF(AND(S956&lt;=Assumptions!$C$42,T955=1,X955=0,W955&gt;Assumptions!$C$43),1,0)</f>
        <v>0</v>
      </c>
      <c r="U956" s="58" t="n">
        <f aca="false">W955</f>
        <v>-182.103705036234</v>
      </c>
      <c r="V956" s="58" t="n">
        <f aca="false">IF(T956=1,U956*$B$22,0)</f>
        <v>0</v>
      </c>
      <c r="W956" s="58" t="n">
        <f aca="false">IF(T956=1,U956+V956-$B$27,U956)</f>
        <v>-182.103705036234</v>
      </c>
      <c r="X956" s="56" t="n">
        <f aca="false">IF(T956=1,IF($B$27&lt;=V956,1,0),0)</f>
        <v>0</v>
      </c>
      <c r="Y956" s="58" t="n">
        <f aca="false">Y955+V956</f>
        <v>113000.408372882</v>
      </c>
    </row>
    <row r="957" customFormat="false" ht="15" hidden="false" customHeight="false" outlineLevel="0" collapsed="false">
      <c r="K957" s="56" t="n">
        <f aca="false">K956+1</f>
        <v>950</v>
      </c>
      <c r="L957" s="57" t="n">
        <f aca="false">IF(AND(K957&lt;=Assumptions!$C$42,L956=1,P956=0,O956&gt;Assumptions!$C$43),1,0)</f>
        <v>0</v>
      </c>
      <c r="M957" s="58" t="n">
        <f aca="false">O956</f>
        <v>8.10541678220034E-009</v>
      </c>
      <c r="N957" s="58" t="n">
        <f aca="false">IF(L957=1,M957*$B$22,0)</f>
        <v>0</v>
      </c>
      <c r="O957" s="58" t="n">
        <f aca="false">IF(L957=1,M957+N957-$B$26,M957)</f>
        <v>8.10541678220034E-009</v>
      </c>
      <c r="P957" s="56" t="n">
        <f aca="false">IF(L957=1,IF($B$26&lt;=N957,1,0),0)</f>
        <v>0</v>
      </c>
      <c r="Q957" s="58" t="n">
        <f aca="false">Q956+N957</f>
        <v>145877.630223336</v>
      </c>
      <c r="S957" s="56" t="n">
        <f aca="false">S956+1</f>
        <v>950</v>
      </c>
      <c r="T957" s="57" t="n">
        <f aca="false">IF(AND(S957&lt;=Assumptions!$C$42,T956=1,X956=0,W956&gt;Assumptions!$C$43),1,0)</f>
        <v>0</v>
      </c>
      <c r="U957" s="58" t="n">
        <f aca="false">W956</f>
        <v>-182.103705036234</v>
      </c>
      <c r="V957" s="58" t="n">
        <f aca="false">IF(T957=1,U957*$B$22,0)</f>
        <v>0</v>
      </c>
      <c r="W957" s="58" t="n">
        <f aca="false">IF(T957=1,U957+V957-$B$27,U957)</f>
        <v>-182.103705036234</v>
      </c>
      <c r="X957" s="56" t="n">
        <f aca="false">IF(T957=1,IF($B$27&lt;=V957,1,0),0)</f>
        <v>0</v>
      </c>
      <c r="Y957" s="58" t="n">
        <f aca="false">Y956+V957</f>
        <v>113000.408372882</v>
      </c>
    </row>
    <row r="958" customFormat="false" ht="15" hidden="false" customHeight="false" outlineLevel="0" collapsed="false">
      <c r="K958" s="56" t="n">
        <f aca="false">K957+1</f>
        <v>951</v>
      </c>
      <c r="L958" s="57" t="n">
        <f aca="false">IF(AND(K958&lt;=Assumptions!$C$42,L957=1,P957=0,O957&gt;Assumptions!$C$43),1,0)</f>
        <v>0</v>
      </c>
      <c r="M958" s="58" t="n">
        <f aca="false">O957</f>
        <v>8.10541678220034E-009</v>
      </c>
      <c r="N958" s="58" t="n">
        <f aca="false">IF(L958=1,M958*$B$22,0)</f>
        <v>0</v>
      </c>
      <c r="O958" s="58" t="n">
        <f aca="false">IF(L958=1,M958+N958-$B$26,M958)</f>
        <v>8.10541678220034E-009</v>
      </c>
      <c r="P958" s="56" t="n">
        <f aca="false">IF(L958=1,IF($B$26&lt;=N958,1,0),0)</f>
        <v>0</v>
      </c>
      <c r="Q958" s="58" t="n">
        <f aca="false">Q957+N958</f>
        <v>145877.630223336</v>
      </c>
      <c r="S958" s="56" t="n">
        <f aca="false">S957+1</f>
        <v>951</v>
      </c>
      <c r="T958" s="57" t="n">
        <f aca="false">IF(AND(S958&lt;=Assumptions!$C$42,T957=1,X957=0,W957&gt;Assumptions!$C$43),1,0)</f>
        <v>0</v>
      </c>
      <c r="U958" s="58" t="n">
        <f aca="false">W957</f>
        <v>-182.103705036234</v>
      </c>
      <c r="V958" s="58" t="n">
        <f aca="false">IF(T958=1,U958*$B$22,0)</f>
        <v>0</v>
      </c>
      <c r="W958" s="58" t="n">
        <f aca="false">IF(T958=1,U958+V958-$B$27,U958)</f>
        <v>-182.103705036234</v>
      </c>
      <c r="X958" s="56" t="n">
        <f aca="false">IF(T958=1,IF($B$27&lt;=V958,1,0),0)</f>
        <v>0</v>
      </c>
      <c r="Y958" s="58" t="n">
        <f aca="false">Y957+V958</f>
        <v>113000.408372882</v>
      </c>
    </row>
    <row r="959" customFormat="false" ht="15" hidden="false" customHeight="false" outlineLevel="0" collapsed="false">
      <c r="K959" s="56" t="n">
        <f aca="false">K958+1</f>
        <v>952</v>
      </c>
      <c r="L959" s="57" t="n">
        <f aca="false">IF(AND(K959&lt;=Assumptions!$C$42,L958=1,P958=0,O958&gt;Assumptions!$C$43),1,0)</f>
        <v>0</v>
      </c>
      <c r="M959" s="58" t="n">
        <f aca="false">O958</f>
        <v>8.10541678220034E-009</v>
      </c>
      <c r="N959" s="58" t="n">
        <f aca="false">IF(L959=1,M959*$B$22,0)</f>
        <v>0</v>
      </c>
      <c r="O959" s="58" t="n">
        <f aca="false">IF(L959=1,M959+N959-$B$26,M959)</f>
        <v>8.10541678220034E-009</v>
      </c>
      <c r="P959" s="56" t="n">
        <f aca="false">IF(L959=1,IF($B$26&lt;=N959,1,0),0)</f>
        <v>0</v>
      </c>
      <c r="Q959" s="58" t="n">
        <f aca="false">Q958+N959</f>
        <v>145877.630223336</v>
      </c>
      <c r="S959" s="56" t="n">
        <f aca="false">S958+1</f>
        <v>952</v>
      </c>
      <c r="T959" s="57" t="n">
        <f aca="false">IF(AND(S959&lt;=Assumptions!$C$42,T958=1,X958=0,W958&gt;Assumptions!$C$43),1,0)</f>
        <v>0</v>
      </c>
      <c r="U959" s="58" t="n">
        <f aca="false">W958</f>
        <v>-182.103705036234</v>
      </c>
      <c r="V959" s="58" t="n">
        <f aca="false">IF(T959=1,U959*$B$22,0)</f>
        <v>0</v>
      </c>
      <c r="W959" s="58" t="n">
        <f aca="false">IF(T959=1,U959+V959-$B$27,U959)</f>
        <v>-182.103705036234</v>
      </c>
      <c r="X959" s="56" t="n">
        <f aca="false">IF(T959=1,IF($B$27&lt;=V959,1,0),0)</f>
        <v>0</v>
      </c>
      <c r="Y959" s="58" t="n">
        <f aca="false">Y958+V959</f>
        <v>113000.408372882</v>
      </c>
    </row>
    <row r="960" customFormat="false" ht="15" hidden="false" customHeight="false" outlineLevel="0" collapsed="false">
      <c r="K960" s="56" t="n">
        <f aca="false">K959+1</f>
        <v>953</v>
      </c>
      <c r="L960" s="57" t="n">
        <f aca="false">IF(AND(K960&lt;=Assumptions!$C$42,L959=1,P959=0,O959&gt;Assumptions!$C$43),1,0)</f>
        <v>0</v>
      </c>
      <c r="M960" s="58" t="n">
        <f aca="false">O959</f>
        <v>8.10541678220034E-009</v>
      </c>
      <c r="N960" s="58" t="n">
        <f aca="false">IF(L960=1,M960*$B$22,0)</f>
        <v>0</v>
      </c>
      <c r="O960" s="58" t="n">
        <f aca="false">IF(L960=1,M960+N960-$B$26,M960)</f>
        <v>8.10541678220034E-009</v>
      </c>
      <c r="P960" s="56" t="n">
        <f aca="false">IF(L960=1,IF($B$26&lt;=N960,1,0),0)</f>
        <v>0</v>
      </c>
      <c r="Q960" s="58" t="n">
        <f aca="false">Q959+N960</f>
        <v>145877.630223336</v>
      </c>
      <c r="S960" s="56" t="n">
        <f aca="false">S959+1</f>
        <v>953</v>
      </c>
      <c r="T960" s="57" t="n">
        <f aca="false">IF(AND(S960&lt;=Assumptions!$C$42,T959=1,X959=0,W959&gt;Assumptions!$C$43),1,0)</f>
        <v>0</v>
      </c>
      <c r="U960" s="58" t="n">
        <f aca="false">W959</f>
        <v>-182.103705036234</v>
      </c>
      <c r="V960" s="58" t="n">
        <f aca="false">IF(T960=1,U960*$B$22,0)</f>
        <v>0</v>
      </c>
      <c r="W960" s="58" t="n">
        <f aca="false">IF(T960=1,U960+V960-$B$27,U960)</f>
        <v>-182.103705036234</v>
      </c>
      <c r="X960" s="56" t="n">
        <f aca="false">IF(T960=1,IF($B$27&lt;=V960,1,0),0)</f>
        <v>0</v>
      </c>
      <c r="Y960" s="58" t="n">
        <f aca="false">Y959+V960</f>
        <v>113000.408372882</v>
      </c>
    </row>
    <row r="961" customFormat="false" ht="15" hidden="false" customHeight="false" outlineLevel="0" collapsed="false">
      <c r="K961" s="56" t="n">
        <f aca="false">K960+1</f>
        <v>954</v>
      </c>
      <c r="L961" s="57" t="n">
        <f aca="false">IF(AND(K961&lt;=Assumptions!$C$42,L960=1,P960=0,O960&gt;Assumptions!$C$43),1,0)</f>
        <v>0</v>
      </c>
      <c r="M961" s="58" t="n">
        <f aca="false">O960</f>
        <v>8.10541678220034E-009</v>
      </c>
      <c r="N961" s="58" t="n">
        <f aca="false">IF(L961=1,M961*$B$22,0)</f>
        <v>0</v>
      </c>
      <c r="O961" s="58" t="n">
        <f aca="false">IF(L961=1,M961+N961-$B$26,M961)</f>
        <v>8.10541678220034E-009</v>
      </c>
      <c r="P961" s="56" t="n">
        <f aca="false">IF(L961=1,IF($B$26&lt;=N961,1,0),0)</f>
        <v>0</v>
      </c>
      <c r="Q961" s="58" t="n">
        <f aca="false">Q960+N961</f>
        <v>145877.630223336</v>
      </c>
      <c r="S961" s="56" t="n">
        <f aca="false">S960+1</f>
        <v>954</v>
      </c>
      <c r="T961" s="57" t="n">
        <f aca="false">IF(AND(S961&lt;=Assumptions!$C$42,T960=1,X960=0,W960&gt;Assumptions!$C$43),1,0)</f>
        <v>0</v>
      </c>
      <c r="U961" s="58" t="n">
        <f aca="false">W960</f>
        <v>-182.103705036234</v>
      </c>
      <c r="V961" s="58" t="n">
        <f aca="false">IF(T961=1,U961*$B$22,0)</f>
        <v>0</v>
      </c>
      <c r="W961" s="58" t="n">
        <f aca="false">IF(T961=1,U961+V961-$B$27,U961)</f>
        <v>-182.103705036234</v>
      </c>
      <c r="X961" s="56" t="n">
        <f aca="false">IF(T961=1,IF($B$27&lt;=V961,1,0),0)</f>
        <v>0</v>
      </c>
      <c r="Y961" s="58" t="n">
        <f aca="false">Y960+V961</f>
        <v>113000.408372882</v>
      </c>
    </row>
    <row r="962" customFormat="false" ht="15" hidden="false" customHeight="false" outlineLevel="0" collapsed="false">
      <c r="K962" s="56" t="n">
        <f aca="false">K961+1</f>
        <v>955</v>
      </c>
      <c r="L962" s="57" t="n">
        <f aca="false">IF(AND(K962&lt;=Assumptions!$C$42,L961=1,P961=0,O961&gt;Assumptions!$C$43),1,0)</f>
        <v>0</v>
      </c>
      <c r="M962" s="58" t="n">
        <f aca="false">O961</f>
        <v>8.10541678220034E-009</v>
      </c>
      <c r="N962" s="58" t="n">
        <f aca="false">IF(L962=1,M962*$B$22,0)</f>
        <v>0</v>
      </c>
      <c r="O962" s="58" t="n">
        <f aca="false">IF(L962=1,M962+N962-$B$26,M962)</f>
        <v>8.10541678220034E-009</v>
      </c>
      <c r="P962" s="56" t="n">
        <f aca="false">IF(L962=1,IF($B$26&lt;=N962,1,0),0)</f>
        <v>0</v>
      </c>
      <c r="Q962" s="58" t="n">
        <f aca="false">Q961+N962</f>
        <v>145877.630223336</v>
      </c>
      <c r="S962" s="56" t="n">
        <f aca="false">S961+1</f>
        <v>955</v>
      </c>
      <c r="T962" s="57" t="n">
        <f aca="false">IF(AND(S962&lt;=Assumptions!$C$42,T961=1,X961=0,W961&gt;Assumptions!$C$43),1,0)</f>
        <v>0</v>
      </c>
      <c r="U962" s="58" t="n">
        <f aca="false">W961</f>
        <v>-182.103705036234</v>
      </c>
      <c r="V962" s="58" t="n">
        <f aca="false">IF(T962=1,U962*$B$22,0)</f>
        <v>0</v>
      </c>
      <c r="W962" s="58" t="n">
        <f aca="false">IF(T962=1,U962+V962-$B$27,U962)</f>
        <v>-182.103705036234</v>
      </c>
      <c r="X962" s="56" t="n">
        <f aca="false">IF(T962=1,IF($B$27&lt;=V962,1,0),0)</f>
        <v>0</v>
      </c>
      <c r="Y962" s="58" t="n">
        <f aca="false">Y961+V962</f>
        <v>113000.408372882</v>
      </c>
    </row>
    <row r="963" customFormat="false" ht="15" hidden="false" customHeight="false" outlineLevel="0" collapsed="false">
      <c r="K963" s="56" t="n">
        <f aca="false">K962+1</f>
        <v>956</v>
      </c>
      <c r="L963" s="57" t="n">
        <f aca="false">IF(AND(K963&lt;=Assumptions!$C$42,L962=1,P962=0,O962&gt;Assumptions!$C$43),1,0)</f>
        <v>0</v>
      </c>
      <c r="M963" s="58" t="n">
        <f aca="false">O962</f>
        <v>8.10541678220034E-009</v>
      </c>
      <c r="N963" s="58" t="n">
        <f aca="false">IF(L963=1,M963*$B$22,0)</f>
        <v>0</v>
      </c>
      <c r="O963" s="58" t="n">
        <f aca="false">IF(L963=1,M963+N963-$B$26,M963)</f>
        <v>8.10541678220034E-009</v>
      </c>
      <c r="P963" s="56" t="n">
        <f aca="false">IF(L963=1,IF($B$26&lt;=N963,1,0),0)</f>
        <v>0</v>
      </c>
      <c r="Q963" s="58" t="n">
        <f aca="false">Q962+N963</f>
        <v>145877.630223336</v>
      </c>
      <c r="S963" s="56" t="n">
        <f aca="false">S962+1</f>
        <v>956</v>
      </c>
      <c r="T963" s="57" t="n">
        <f aca="false">IF(AND(S963&lt;=Assumptions!$C$42,T962=1,X962=0,W962&gt;Assumptions!$C$43),1,0)</f>
        <v>0</v>
      </c>
      <c r="U963" s="58" t="n">
        <f aca="false">W962</f>
        <v>-182.103705036234</v>
      </c>
      <c r="V963" s="58" t="n">
        <f aca="false">IF(T963=1,U963*$B$22,0)</f>
        <v>0</v>
      </c>
      <c r="W963" s="58" t="n">
        <f aca="false">IF(T963=1,U963+V963-$B$27,U963)</f>
        <v>-182.103705036234</v>
      </c>
      <c r="X963" s="56" t="n">
        <f aca="false">IF(T963=1,IF($B$27&lt;=V963,1,0),0)</f>
        <v>0</v>
      </c>
      <c r="Y963" s="58" t="n">
        <f aca="false">Y962+V963</f>
        <v>113000.408372882</v>
      </c>
    </row>
    <row r="964" customFormat="false" ht="15" hidden="false" customHeight="false" outlineLevel="0" collapsed="false">
      <c r="K964" s="56" t="n">
        <f aca="false">K963+1</f>
        <v>957</v>
      </c>
      <c r="L964" s="57" t="n">
        <f aca="false">IF(AND(K964&lt;=Assumptions!$C$42,L963=1,P963=0,O963&gt;Assumptions!$C$43),1,0)</f>
        <v>0</v>
      </c>
      <c r="M964" s="58" t="n">
        <f aca="false">O963</f>
        <v>8.10541678220034E-009</v>
      </c>
      <c r="N964" s="58" t="n">
        <f aca="false">IF(L964=1,M964*$B$22,0)</f>
        <v>0</v>
      </c>
      <c r="O964" s="58" t="n">
        <f aca="false">IF(L964=1,M964+N964-$B$26,M964)</f>
        <v>8.10541678220034E-009</v>
      </c>
      <c r="P964" s="56" t="n">
        <f aca="false">IF(L964=1,IF($B$26&lt;=N964,1,0),0)</f>
        <v>0</v>
      </c>
      <c r="Q964" s="58" t="n">
        <f aca="false">Q963+N964</f>
        <v>145877.630223336</v>
      </c>
      <c r="S964" s="56" t="n">
        <f aca="false">S963+1</f>
        <v>957</v>
      </c>
      <c r="T964" s="57" t="n">
        <f aca="false">IF(AND(S964&lt;=Assumptions!$C$42,T963=1,X963=0,W963&gt;Assumptions!$C$43),1,0)</f>
        <v>0</v>
      </c>
      <c r="U964" s="58" t="n">
        <f aca="false">W963</f>
        <v>-182.103705036234</v>
      </c>
      <c r="V964" s="58" t="n">
        <f aca="false">IF(T964=1,U964*$B$22,0)</f>
        <v>0</v>
      </c>
      <c r="W964" s="58" t="n">
        <f aca="false">IF(T964=1,U964+V964-$B$27,U964)</f>
        <v>-182.103705036234</v>
      </c>
      <c r="X964" s="56" t="n">
        <f aca="false">IF(T964=1,IF($B$27&lt;=V964,1,0),0)</f>
        <v>0</v>
      </c>
      <c r="Y964" s="58" t="n">
        <f aca="false">Y963+V964</f>
        <v>113000.408372882</v>
      </c>
    </row>
    <row r="965" customFormat="false" ht="15" hidden="false" customHeight="false" outlineLevel="0" collapsed="false">
      <c r="K965" s="56" t="n">
        <f aca="false">K964+1</f>
        <v>958</v>
      </c>
      <c r="L965" s="57" t="n">
        <f aca="false">IF(AND(K965&lt;=Assumptions!$C$42,L964=1,P964=0,O964&gt;Assumptions!$C$43),1,0)</f>
        <v>0</v>
      </c>
      <c r="M965" s="58" t="n">
        <f aca="false">O964</f>
        <v>8.10541678220034E-009</v>
      </c>
      <c r="N965" s="58" t="n">
        <f aca="false">IF(L965=1,M965*$B$22,0)</f>
        <v>0</v>
      </c>
      <c r="O965" s="58" t="n">
        <f aca="false">IF(L965=1,M965+N965-$B$26,M965)</f>
        <v>8.10541678220034E-009</v>
      </c>
      <c r="P965" s="56" t="n">
        <f aca="false">IF(L965=1,IF($B$26&lt;=N965,1,0),0)</f>
        <v>0</v>
      </c>
      <c r="Q965" s="58" t="n">
        <f aca="false">Q964+N965</f>
        <v>145877.630223336</v>
      </c>
      <c r="S965" s="56" t="n">
        <f aca="false">S964+1</f>
        <v>958</v>
      </c>
      <c r="T965" s="57" t="n">
        <f aca="false">IF(AND(S965&lt;=Assumptions!$C$42,T964=1,X964=0,W964&gt;Assumptions!$C$43),1,0)</f>
        <v>0</v>
      </c>
      <c r="U965" s="58" t="n">
        <f aca="false">W964</f>
        <v>-182.103705036234</v>
      </c>
      <c r="V965" s="58" t="n">
        <f aca="false">IF(T965=1,U965*$B$22,0)</f>
        <v>0</v>
      </c>
      <c r="W965" s="58" t="n">
        <f aca="false">IF(T965=1,U965+V965-$B$27,U965)</f>
        <v>-182.103705036234</v>
      </c>
      <c r="X965" s="56" t="n">
        <f aca="false">IF(T965=1,IF($B$27&lt;=V965,1,0),0)</f>
        <v>0</v>
      </c>
      <c r="Y965" s="58" t="n">
        <f aca="false">Y964+V965</f>
        <v>113000.408372882</v>
      </c>
    </row>
    <row r="966" customFormat="false" ht="15" hidden="false" customHeight="false" outlineLevel="0" collapsed="false">
      <c r="K966" s="56" t="n">
        <f aca="false">K965+1</f>
        <v>959</v>
      </c>
      <c r="L966" s="57" t="n">
        <f aca="false">IF(AND(K966&lt;=Assumptions!$C$42,L965=1,P965=0,O965&gt;Assumptions!$C$43),1,0)</f>
        <v>0</v>
      </c>
      <c r="M966" s="58" t="n">
        <f aca="false">O965</f>
        <v>8.10541678220034E-009</v>
      </c>
      <c r="N966" s="58" t="n">
        <f aca="false">IF(L966=1,M966*$B$22,0)</f>
        <v>0</v>
      </c>
      <c r="O966" s="58" t="n">
        <f aca="false">IF(L966=1,M966+N966-$B$26,M966)</f>
        <v>8.10541678220034E-009</v>
      </c>
      <c r="P966" s="56" t="n">
        <f aca="false">IF(L966=1,IF($B$26&lt;=N966,1,0),0)</f>
        <v>0</v>
      </c>
      <c r="Q966" s="58" t="n">
        <f aca="false">Q965+N966</f>
        <v>145877.630223336</v>
      </c>
      <c r="S966" s="56" t="n">
        <f aca="false">S965+1</f>
        <v>959</v>
      </c>
      <c r="T966" s="57" t="n">
        <f aca="false">IF(AND(S966&lt;=Assumptions!$C$42,T965=1,X965=0,W965&gt;Assumptions!$C$43),1,0)</f>
        <v>0</v>
      </c>
      <c r="U966" s="58" t="n">
        <f aca="false">W965</f>
        <v>-182.103705036234</v>
      </c>
      <c r="V966" s="58" t="n">
        <f aca="false">IF(T966=1,U966*$B$22,0)</f>
        <v>0</v>
      </c>
      <c r="W966" s="58" t="n">
        <f aca="false">IF(T966=1,U966+V966-$B$27,U966)</f>
        <v>-182.103705036234</v>
      </c>
      <c r="X966" s="56" t="n">
        <f aca="false">IF(T966=1,IF($B$27&lt;=V966,1,0),0)</f>
        <v>0</v>
      </c>
      <c r="Y966" s="58" t="n">
        <f aca="false">Y965+V966</f>
        <v>113000.408372882</v>
      </c>
    </row>
    <row r="967" customFormat="false" ht="15" hidden="false" customHeight="false" outlineLevel="0" collapsed="false">
      <c r="K967" s="56" t="n">
        <f aca="false">K966+1</f>
        <v>960</v>
      </c>
      <c r="L967" s="57" t="n">
        <f aca="false">IF(AND(K967&lt;=Assumptions!$C$42,L966=1,P966=0,O966&gt;Assumptions!$C$43),1,0)</f>
        <v>0</v>
      </c>
      <c r="M967" s="58" t="n">
        <f aca="false">O966</f>
        <v>8.10541678220034E-009</v>
      </c>
      <c r="N967" s="58" t="n">
        <f aca="false">IF(L967=1,M967*$B$22,0)</f>
        <v>0</v>
      </c>
      <c r="O967" s="58" t="n">
        <f aca="false">IF(L967=1,M967+N967-$B$26,M967)</f>
        <v>8.10541678220034E-009</v>
      </c>
      <c r="P967" s="56" t="n">
        <f aca="false">IF(L967=1,IF($B$26&lt;=N967,1,0),0)</f>
        <v>0</v>
      </c>
      <c r="Q967" s="58" t="n">
        <f aca="false">Q966+N967</f>
        <v>145877.630223336</v>
      </c>
      <c r="S967" s="56" t="n">
        <f aca="false">S966+1</f>
        <v>960</v>
      </c>
      <c r="T967" s="57" t="n">
        <f aca="false">IF(AND(S967&lt;=Assumptions!$C$42,T966=1,X966=0,W966&gt;Assumptions!$C$43),1,0)</f>
        <v>0</v>
      </c>
      <c r="U967" s="58" t="n">
        <f aca="false">W966</f>
        <v>-182.103705036234</v>
      </c>
      <c r="V967" s="58" t="n">
        <f aca="false">IF(T967=1,U967*$B$22,0)</f>
        <v>0</v>
      </c>
      <c r="W967" s="58" t="n">
        <f aca="false">IF(T967=1,U967+V967-$B$27,U967)</f>
        <v>-182.103705036234</v>
      </c>
      <c r="X967" s="56" t="n">
        <f aca="false">IF(T967=1,IF($B$27&lt;=V967,1,0),0)</f>
        <v>0</v>
      </c>
      <c r="Y967" s="58" t="n">
        <f aca="false">Y966+V967</f>
        <v>113000.408372882</v>
      </c>
    </row>
    <row r="968" customFormat="false" ht="15" hidden="false" customHeight="false" outlineLevel="0" collapsed="false">
      <c r="K968" s="56" t="n">
        <f aca="false">K967+1</f>
        <v>961</v>
      </c>
      <c r="L968" s="57" t="n">
        <f aca="false">IF(AND(K968&lt;=Assumptions!$C$42,L967=1,P967=0,O967&gt;Assumptions!$C$43),1,0)</f>
        <v>0</v>
      </c>
      <c r="M968" s="58" t="n">
        <f aca="false">O967</f>
        <v>8.10541678220034E-009</v>
      </c>
      <c r="N968" s="58" t="n">
        <f aca="false">IF(L968=1,M968*$B$22,0)</f>
        <v>0</v>
      </c>
      <c r="O968" s="58" t="n">
        <f aca="false">IF(L968=1,M968+N968-$B$26,M968)</f>
        <v>8.10541678220034E-009</v>
      </c>
      <c r="P968" s="56" t="n">
        <f aca="false">IF(L968=1,IF($B$26&lt;=N968,1,0),0)</f>
        <v>0</v>
      </c>
      <c r="Q968" s="58" t="n">
        <f aca="false">Q967+N968</f>
        <v>145877.630223336</v>
      </c>
      <c r="S968" s="56" t="n">
        <f aca="false">S967+1</f>
        <v>961</v>
      </c>
      <c r="T968" s="57" t="n">
        <f aca="false">IF(AND(S968&lt;=Assumptions!$C$42,T967=1,X967=0,W967&gt;Assumptions!$C$43),1,0)</f>
        <v>0</v>
      </c>
      <c r="U968" s="58" t="n">
        <f aca="false">W967</f>
        <v>-182.103705036234</v>
      </c>
      <c r="V968" s="58" t="n">
        <f aca="false">IF(T968=1,U968*$B$22,0)</f>
        <v>0</v>
      </c>
      <c r="W968" s="58" t="n">
        <f aca="false">IF(T968=1,U968+V968-$B$27,U968)</f>
        <v>-182.103705036234</v>
      </c>
      <c r="X968" s="56" t="n">
        <f aca="false">IF(T968=1,IF($B$27&lt;=V968,1,0),0)</f>
        <v>0</v>
      </c>
      <c r="Y968" s="58" t="n">
        <f aca="false">Y967+V968</f>
        <v>113000.408372882</v>
      </c>
    </row>
    <row r="969" customFormat="false" ht="15" hidden="false" customHeight="false" outlineLevel="0" collapsed="false">
      <c r="K969" s="56" t="n">
        <f aca="false">K968+1</f>
        <v>962</v>
      </c>
      <c r="L969" s="57" t="n">
        <f aca="false">IF(AND(K969&lt;=Assumptions!$C$42,L968=1,P968=0,O968&gt;Assumptions!$C$43),1,0)</f>
        <v>0</v>
      </c>
      <c r="M969" s="58" t="n">
        <f aca="false">O968</f>
        <v>8.10541678220034E-009</v>
      </c>
      <c r="N969" s="58" t="n">
        <f aca="false">IF(L969=1,M969*$B$22,0)</f>
        <v>0</v>
      </c>
      <c r="O969" s="58" t="n">
        <f aca="false">IF(L969=1,M969+N969-$B$26,M969)</f>
        <v>8.10541678220034E-009</v>
      </c>
      <c r="P969" s="56" t="n">
        <f aca="false">IF(L969=1,IF($B$26&lt;=N969,1,0),0)</f>
        <v>0</v>
      </c>
      <c r="Q969" s="58" t="n">
        <f aca="false">Q968+N969</f>
        <v>145877.630223336</v>
      </c>
      <c r="S969" s="56" t="n">
        <f aca="false">S968+1</f>
        <v>962</v>
      </c>
      <c r="T969" s="57" t="n">
        <f aca="false">IF(AND(S969&lt;=Assumptions!$C$42,T968=1,X968=0,W968&gt;Assumptions!$C$43),1,0)</f>
        <v>0</v>
      </c>
      <c r="U969" s="58" t="n">
        <f aca="false">W968</f>
        <v>-182.103705036234</v>
      </c>
      <c r="V969" s="58" t="n">
        <f aca="false">IF(T969=1,U969*$B$22,0)</f>
        <v>0</v>
      </c>
      <c r="W969" s="58" t="n">
        <f aca="false">IF(T969=1,U969+V969-$B$27,U969)</f>
        <v>-182.103705036234</v>
      </c>
      <c r="X969" s="56" t="n">
        <f aca="false">IF(T969=1,IF($B$27&lt;=V969,1,0),0)</f>
        <v>0</v>
      </c>
      <c r="Y969" s="58" t="n">
        <f aca="false">Y968+V969</f>
        <v>113000.408372882</v>
      </c>
    </row>
    <row r="970" customFormat="false" ht="15" hidden="false" customHeight="false" outlineLevel="0" collapsed="false">
      <c r="K970" s="56" t="n">
        <f aca="false">K969+1</f>
        <v>963</v>
      </c>
      <c r="L970" s="57" t="n">
        <f aca="false">IF(AND(K970&lt;=Assumptions!$C$42,L969=1,P969=0,O969&gt;Assumptions!$C$43),1,0)</f>
        <v>0</v>
      </c>
      <c r="M970" s="58" t="n">
        <f aca="false">O969</f>
        <v>8.10541678220034E-009</v>
      </c>
      <c r="N970" s="58" t="n">
        <f aca="false">IF(L970=1,M970*$B$22,0)</f>
        <v>0</v>
      </c>
      <c r="O970" s="58" t="n">
        <f aca="false">IF(L970=1,M970+N970-$B$26,M970)</f>
        <v>8.10541678220034E-009</v>
      </c>
      <c r="P970" s="56" t="n">
        <f aca="false">IF(L970=1,IF($B$26&lt;=N970,1,0),0)</f>
        <v>0</v>
      </c>
      <c r="Q970" s="58" t="n">
        <f aca="false">Q969+N970</f>
        <v>145877.630223336</v>
      </c>
      <c r="S970" s="56" t="n">
        <f aca="false">S969+1</f>
        <v>963</v>
      </c>
      <c r="T970" s="57" t="n">
        <f aca="false">IF(AND(S970&lt;=Assumptions!$C$42,T969=1,X969=0,W969&gt;Assumptions!$C$43),1,0)</f>
        <v>0</v>
      </c>
      <c r="U970" s="58" t="n">
        <f aca="false">W969</f>
        <v>-182.103705036234</v>
      </c>
      <c r="V970" s="58" t="n">
        <f aca="false">IF(T970=1,U970*$B$22,0)</f>
        <v>0</v>
      </c>
      <c r="W970" s="58" t="n">
        <f aca="false">IF(T970=1,U970+V970-$B$27,U970)</f>
        <v>-182.103705036234</v>
      </c>
      <c r="X970" s="56" t="n">
        <f aca="false">IF(T970=1,IF($B$27&lt;=V970,1,0),0)</f>
        <v>0</v>
      </c>
      <c r="Y970" s="58" t="n">
        <f aca="false">Y969+V970</f>
        <v>113000.408372882</v>
      </c>
    </row>
    <row r="971" customFormat="false" ht="15" hidden="false" customHeight="false" outlineLevel="0" collapsed="false">
      <c r="K971" s="56" t="n">
        <f aca="false">K970+1</f>
        <v>964</v>
      </c>
      <c r="L971" s="57" t="n">
        <f aca="false">IF(AND(K971&lt;=Assumptions!$C$42,L970=1,P970=0,O970&gt;Assumptions!$C$43),1,0)</f>
        <v>0</v>
      </c>
      <c r="M971" s="58" t="n">
        <f aca="false">O970</f>
        <v>8.10541678220034E-009</v>
      </c>
      <c r="N971" s="58" t="n">
        <f aca="false">IF(L971=1,M971*$B$22,0)</f>
        <v>0</v>
      </c>
      <c r="O971" s="58" t="n">
        <f aca="false">IF(L971=1,M971+N971-$B$26,M971)</f>
        <v>8.10541678220034E-009</v>
      </c>
      <c r="P971" s="56" t="n">
        <f aca="false">IF(L971=1,IF($B$26&lt;=N971,1,0),0)</f>
        <v>0</v>
      </c>
      <c r="Q971" s="58" t="n">
        <f aca="false">Q970+N971</f>
        <v>145877.630223336</v>
      </c>
      <c r="S971" s="56" t="n">
        <f aca="false">S970+1</f>
        <v>964</v>
      </c>
      <c r="T971" s="57" t="n">
        <f aca="false">IF(AND(S971&lt;=Assumptions!$C$42,T970=1,X970=0,W970&gt;Assumptions!$C$43),1,0)</f>
        <v>0</v>
      </c>
      <c r="U971" s="58" t="n">
        <f aca="false">W970</f>
        <v>-182.103705036234</v>
      </c>
      <c r="V971" s="58" t="n">
        <f aca="false">IF(T971=1,U971*$B$22,0)</f>
        <v>0</v>
      </c>
      <c r="W971" s="58" t="n">
        <f aca="false">IF(T971=1,U971+V971-$B$27,U971)</f>
        <v>-182.103705036234</v>
      </c>
      <c r="X971" s="56" t="n">
        <f aca="false">IF(T971=1,IF($B$27&lt;=V971,1,0),0)</f>
        <v>0</v>
      </c>
      <c r="Y971" s="58" t="n">
        <f aca="false">Y970+V971</f>
        <v>113000.408372882</v>
      </c>
    </row>
    <row r="972" customFormat="false" ht="15" hidden="false" customHeight="false" outlineLevel="0" collapsed="false">
      <c r="K972" s="56" t="n">
        <f aca="false">K971+1</f>
        <v>965</v>
      </c>
      <c r="L972" s="57" t="n">
        <f aca="false">IF(AND(K972&lt;=Assumptions!$C$42,L971=1,P971=0,O971&gt;Assumptions!$C$43),1,0)</f>
        <v>0</v>
      </c>
      <c r="M972" s="58" t="n">
        <f aca="false">O971</f>
        <v>8.10541678220034E-009</v>
      </c>
      <c r="N972" s="58" t="n">
        <f aca="false">IF(L972=1,M972*$B$22,0)</f>
        <v>0</v>
      </c>
      <c r="O972" s="58" t="n">
        <f aca="false">IF(L972=1,M972+N972-$B$26,M972)</f>
        <v>8.10541678220034E-009</v>
      </c>
      <c r="P972" s="56" t="n">
        <f aca="false">IF(L972=1,IF($B$26&lt;=N972,1,0),0)</f>
        <v>0</v>
      </c>
      <c r="Q972" s="58" t="n">
        <f aca="false">Q971+N972</f>
        <v>145877.630223336</v>
      </c>
      <c r="S972" s="56" t="n">
        <f aca="false">S971+1</f>
        <v>965</v>
      </c>
      <c r="T972" s="57" t="n">
        <f aca="false">IF(AND(S972&lt;=Assumptions!$C$42,T971=1,X971=0,W971&gt;Assumptions!$C$43),1,0)</f>
        <v>0</v>
      </c>
      <c r="U972" s="58" t="n">
        <f aca="false">W971</f>
        <v>-182.103705036234</v>
      </c>
      <c r="V972" s="58" t="n">
        <f aca="false">IF(T972=1,U972*$B$22,0)</f>
        <v>0</v>
      </c>
      <c r="W972" s="58" t="n">
        <f aca="false">IF(T972=1,U972+V972-$B$27,U972)</f>
        <v>-182.103705036234</v>
      </c>
      <c r="X972" s="56" t="n">
        <f aca="false">IF(T972=1,IF($B$27&lt;=V972,1,0),0)</f>
        <v>0</v>
      </c>
      <c r="Y972" s="58" t="n">
        <f aca="false">Y971+V972</f>
        <v>113000.408372882</v>
      </c>
    </row>
    <row r="973" customFormat="false" ht="15" hidden="false" customHeight="false" outlineLevel="0" collapsed="false">
      <c r="K973" s="56" t="n">
        <f aca="false">K972+1</f>
        <v>966</v>
      </c>
      <c r="L973" s="57" t="n">
        <f aca="false">IF(AND(K973&lt;=Assumptions!$C$42,L972=1,P972=0,O972&gt;Assumptions!$C$43),1,0)</f>
        <v>0</v>
      </c>
      <c r="M973" s="58" t="n">
        <f aca="false">O972</f>
        <v>8.10541678220034E-009</v>
      </c>
      <c r="N973" s="58" t="n">
        <f aca="false">IF(L973=1,M973*$B$22,0)</f>
        <v>0</v>
      </c>
      <c r="O973" s="58" t="n">
        <f aca="false">IF(L973=1,M973+N973-$B$26,M973)</f>
        <v>8.10541678220034E-009</v>
      </c>
      <c r="P973" s="56" t="n">
        <f aca="false">IF(L973=1,IF($B$26&lt;=N973,1,0),0)</f>
        <v>0</v>
      </c>
      <c r="Q973" s="58" t="n">
        <f aca="false">Q972+N973</f>
        <v>145877.630223336</v>
      </c>
      <c r="S973" s="56" t="n">
        <f aca="false">S972+1</f>
        <v>966</v>
      </c>
      <c r="T973" s="57" t="n">
        <f aca="false">IF(AND(S973&lt;=Assumptions!$C$42,T972=1,X972=0,W972&gt;Assumptions!$C$43),1,0)</f>
        <v>0</v>
      </c>
      <c r="U973" s="58" t="n">
        <f aca="false">W972</f>
        <v>-182.103705036234</v>
      </c>
      <c r="V973" s="58" t="n">
        <f aca="false">IF(T973=1,U973*$B$22,0)</f>
        <v>0</v>
      </c>
      <c r="W973" s="58" t="n">
        <f aca="false">IF(T973=1,U973+V973-$B$27,U973)</f>
        <v>-182.103705036234</v>
      </c>
      <c r="X973" s="56" t="n">
        <f aca="false">IF(T973=1,IF($B$27&lt;=V973,1,0),0)</f>
        <v>0</v>
      </c>
      <c r="Y973" s="58" t="n">
        <f aca="false">Y972+V973</f>
        <v>113000.408372882</v>
      </c>
    </row>
    <row r="974" customFormat="false" ht="15" hidden="false" customHeight="false" outlineLevel="0" collapsed="false">
      <c r="K974" s="56" t="n">
        <f aca="false">K973+1</f>
        <v>967</v>
      </c>
      <c r="L974" s="57" t="n">
        <f aca="false">IF(AND(K974&lt;=Assumptions!$C$42,L973=1,P973=0,O973&gt;Assumptions!$C$43),1,0)</f>
        <v>0</v>
      </c>
      <c r="M974" s="58" t="n">
        <f aca="false">O973</f>
        <v>8.10541678220034E-009</v>
      </c>
      <c r="N974" s="58" t="n">
        <f aca="false">IF(L974=1,M974*$B$22,0)</f>
        <v>0</v>
      </c>
      <c r="O974" s="58" t="n">
        <f aca="false">IF(L974=1,M974+N974-$B$26,M974)</f>
        <v>8.10541678220034E-009</v>
      </c>
      <c r="P974" s="56" t="n">
        <f aca="false">IF(L974=1,IF($B$26&lt;=N974,1,0),0)</f>
        <v>0</v>
      </c>
      <c r="Q974" s="58" t="n">
        <f aca="false">Q973+N974</f>
        <v>145877.630223336</v>
      </c>
      <c r="S974" s="56" t="n">
        <f aca="false">S973+1</f>
        <v>967</v>
      </c>
      <c r="T974" s="57" t="n">
        <f aca="false">IF(AND(S974&lt;=Assumptions!$C$42,T973=1,X973=0,W973&gt;Assumptions!$C$43),1,0)</f>
        <v>0</v>
      </c>
      <c r="U974" s="58" t="n">
        <f aca="false">W973</f>
        <v>-182.103705036234</v>
      </c>
      <c r="V974" s="58" t="n">
        <f aca="false">IF(T974=1,U974*$B$22,0)</f>
        <v>0</v>
      </c>
      <c r="W974" s="58" t="n">
        <f aca="false">IF(T974=1,U974+V974-$B$27,U974)</f>
        <v>-182.103705036234</v>
      </c>
      <c r="X974" s="56" t="n">
        <f aca="false">IF(T974=1,IF($B$27&lt;=V974,1,0),0)</f>
        <v>0</v>
      </c>
      <c r="Y974" s="58" t="n">
        <f aca="false">Y973+V974</f>
        <v>113000.408372882</v>
      </c>
    </row>
    <row r="975" customFormat="false" ht="15" hidden="false" customHeight="false" outlineLevel="0" collapsed="false">
      <c r="K975" s="56" t="n">
        <f aca="false">K974+1</f>
        <v>968</v>
      </c>
      <c r="L975" s="57" t="n">
        <f aca="false">IF(AND(K975&lt;=Assumptions!$C$42,L974=1,P974=0,O974&gt;Assumptions!$C$43),1,0)</f>
        <v>0</v>
      </c>
      <c r="M975" s="58" t="n">
        <f aca="false">O974</f>
        <v>8.10541678220034E-009</v>
      </c>
      <c r="N975" s="58" t="n">
        <f aca="false">IF(L975=1,M975*$B$22,0)</f>
        <v>0</v>
      </c>
      <c r="O975" s="58" t="n">
        <f aca="false">IF(L975=1,M975+N975-$B$26,M975)</f>
        <v>8.10541678220034E-009</v>
      </c>
      <c r="P975" s="56" t="n">
        <f aca="false">IF(L975=1,IF($B$26&lt;=N975,1,0),0)</f>
        <v>0</v>
      </c>
      <c r="Q975" s="58" t="n">
        <f aca="false">Q974+N975</f>
        <v>145877.630223336</v>
      </c>
      <c r="S975" s="56" t="n">
        <f aca="false">S974+1</f>
        <v>968</v>
      </c>
      <c r="T975" s="57" t="n">
        <f aca="false">IF(AND(S975&lt;=Assumptions!$C$42,T974=1,X974=0,W974&gt;Assumptions!$C$43),1,0)</f>
        <v>0</v>
      </c>
      <c r="U975" s="58" t="n">
        <f aca="false">W974</f>
        <v>-182.103705036234</v>
      </c>
      <c r="V975" s="58" t="n">
        <f aca="false">IF(T975=1,U975*$B$22,0)</f>
        <v>0</v>
      </c>
      <c r="W975" s="58" t="n">
        <f aca="false">IF(T975=1,U975+V975-$B$27,U975)</f>
        <v>-182.103705036234</v>
      </c>
      <c r="X975" s="56" t="n">
        <f aca="false">IF(T975=1,IF($B$27&lt;=V975,1,0),0)</f>
        <v>0</v>
      </c>
      <c r="Y975" s="58" t="n">
        <f aca="false">Y974+V975</f>
        <v>113000.408372882</v>
      </c>
    </row>
    <row r="976" customFormat="false" ht="15" hidden="false" customHeight="false" outlineLevel="0" collapsed="false">
      <c r="K976" s="56" t="n">
        <f aca="false">K975+1</f>
        <v>969</v>
      </c>
      <c r="L976" s="57" t="n">
        <f aca="false">IF(AND(K976&lt;=Assumptions!$C$42,L975=1,P975=0,O975&gt;Assumptions!$C$43),1,0)</f>
        <v>0</v>
      </c>
      <c r="M976" s="58" t="n">
        <f aca="false">O975</f>
        <v>8.10541678220034E-009</v>
      </c>
      <c r="N976" s="58" t="n">
        <f aca="false">IF(L976=1,M976*$B$22,0)</f>
        <v>0</v>
      </c>
      <c r="O976" s="58" t="n">
        <f aca="false">IF(L976=1,M976+N976-$B$26,M976)</f>
        <v>8.10541678220034E-009</v>
      </c>
      <c r="P976" s="56" t="n">
        <f aca="false">IF(L976=1,IF($B$26&lt;=N976,1,0),0)</f>
        <v>0</v>
      </c>
      <c r="Q976" s="58" t="n">
        <f aca="false">Q975+N976</f>
        <v>145877.630223336</v>
      </c>
      <c r="S976" s="56" t="n">
        <f aca="false">S975+1</f>
        <v>969</v>
      </c>
      <c r="T976" s="57" t="n">
        <f aca="false">IF(AND(S976&lt;=Assumptions!$C$42,T975=1,X975=0,W975&gt;Assumptions!$C$43),1,0)</f>
        <v>0</v>
      </c>
      <c r="U976" s="58" t="n">
        <f aca="false">W975</f>
        <v>-182.103705036234</v>
      </c>
      <c r="V976" s="58" t="n">
        <f aca="false">IF(T976=1,U976*$B$22,0)</f>
        <v>0</v>
      </c>
      <c r="W976" s="58" t="n">
        <f aca="false">IF(T976=1,U976+V976-$B$27,U976)</f>
        <v>-182.103705036234</v>
      </c>
      <c r="X976" s="56" t="n">
        <f aca="false">IF(T976=1,IF($B$27&lt;=V976,1,0),0)</f>
        <v>0</v>
      </c>
      <c r="Y976" s="58" t="n">
        <f aca="false">Y975+V976</f>
        <v>113000.408372882</v>
      </c>
    </row>
    <row r="977" customFormat="false" ht="15" hidden="false" customHeight="false" outlineLevel="0" collapsed="false">
      <c r="K977" s="56" t="n">
        <f aca="false">K976+1</f>
        <v>970</v>
      </c>
      <c r="L977" s="57" t="n">
        <f aca="false">IF(AND(K977&lt;=Assumptions!$C$42,L976=1,P976=0,O976&gt;Assumptions!$C$43),1,0)</f>
        <v>0</v>
      </c>
      <c r="M977" s="58" t="n">
        <f aca="false">O976</f>
        <v>8.10541678220034E-009</v>
      </c>
      <c r="N977" s="58" t="n">
        <f aca="false">IF(L977=1,M977*$B$22,0)</f>
        <v>0</v>
      </c>
      <c r="O977" s="58" t="n">
        <f aca="false">IF(L977=1,M977+N977-$B$26,M977)</f>
        <v>8.10541678220034E-009</v>
      </c>
      <c r="P977" s="56" t="n">
        <f aca="false">IF(L977=1,IF($B$26&lt;=N977,1,0),0)</f>
        <v>0</v>
      </c>
      <c r="Q977" s="58" t="n">
        <f aca="false">Q976+N977</f>
        <v>145877.630223336</v>
      </c>
      <c r="S977" s="56" t="n">
        <f aca="false">S976+1</f>
        <v>970</v>
      </c>
      <c r="T977" s="57" t="n">
        <f aca="false">IF(AND(S977&lt;=Assumptions!$C$42,T976=1,X976=0,W976&gt;Assumptions!$C$43),1,0)</f>
        <v>0</v>
      </c>
      <c r="U977" s="58" t="n">
        <f aca="false">W976</f>
        <v>-182.103705036234</v>
      </c>
      <c r="V977" s="58" t="n">
        <f aca="false">IF(T977=1,U977*$B$22,0)</f>
        <v>0</v>
      </c>
      <c r="W977" s="58" t="n">
        <f aca="false">IF(T977=1,U977+V977-$B$27,U977)</f>
        <v>-182.103705036234</v>
      </c>
      <c r="X977" s="56" t="n">
        <f aca="false">IF(T977=1,IF($B$27&lt;=V977,1,0),0)</f>
        <v>0</v>
      </c>
      <c r="Y977" s="58" t="n">
        <f aca="false">Y976+V977</f>
        <v>113000.408372882</v>
      </c>
    </row>
    <row r="978" customFormat="false" ht="15" hidden="false" customHeight="false" outlineLevel="0" collapsed="false">
      <c r="K978" s="56" t="n">
        <f aca="false">K977+1</f>
        <v>971</v>
      </c>
      <c r="L978" s="57" t="n">
        <f aca="false">IF(AND(K978&lt;=Assumptions!$C$42,L977=1,P977=0,O977&gt;Assumptions!$C$43),1,0)</f>
        <v>0</v>
      </c>
      <c r="M978" s="58" t="n">
        <f aca="false">O977</f>
        <v>8.10541678220034E-009</v>
      </c>
      <c r="N978" s="58" t="n">
        <f aca="false">IF(L978=1,M978*$B$22,0)</f>
        <v>0</v>
      </c>
      <c r="O978" s="58" t="n">
        <f aca="false">IF(L978=1,M978+N978-$B$26,M978)</f>
        <v>8.10541678220034E-009</v>
      </c>
      <c r="P978" s="56" t="n">
        <f aca="false">IF(L978=1,IF($B$26&lt;=N978,1,0),0)</f>
        <v>0</v>
      </c>
      <c r="Q978" s="58" t="n">
        <f aca="false">Q977+N978</f>
        <v>145877.630223336</v>
      </c>
      <c r="S978" s="56" t="n">
        <f aca="false">S977+1</f>
        <v>971</v>
      </c>
      <c r="T978" s="57" t="n">
        <f aca="false">IF(AND(S978&lt;=Assumptions!$C$42,T977=1,X977=0,W977&gt;Assumptions!$C$43),1,0)</f>
        <v>0</v>
      </c>
      <c r="U978" s="58" t="n">
        <f aca="false">W977</f>
        <v>-182.103705036234</v>
      </c>
      <c r="V978" s="58" t="n">
        <f aca="false">IF(T978=1,U978*$B$22,0)</f>
        <v>0</v>
      </c>
      <c r="W978" s="58" t="n">
        <f aca="false">IF(T978=1,U978+V978-$B$27,U978)</f>
        <v>-182.103705036234</v>
      </c>
      <c r="X978" s="56" t="n">
        <f aca="false">IF(T978=1,IF($B$27&lt;=V978,1,0),0)</f>
        <v>0</v>
      </c>
      <c r="Y978" s="58" t="n">
        <f aca="false">Y977+V978</f>
        <v>113000.408372882</v>
      </c>
    </row>
    <row r="979" customFormat="false" ht="15" hidden="false" customHeight="false" outlineLevel="0" collapsed="false">
      <c r="K979" s="56" t="n">
        <f aca="false">K978+1</f>
        <v>972</v>
      </c>
      <c r="L979" s="57" t="n">
        <f aca="false">IF(AND(K979&lt;=Assumptions!$C$42,L978=1,P978=0,O978&gt;Assumptions!$C$43),1,0)</f>
        <v>0</v>
      </c>
      <c r="M979" s="58" t="n">
        <f aca="false">O978</f>
        <v>8.10541678220034E-009</v>
      </c>
      <c r="N979" s="58" t="n">
        <f aca="false">IF(L979=1,M979*$B$22,0)</f>
        <v>0</v>
      </c>
      <c r="O979" s="58" t="n">
        <f aca="false">IF(L979=1,M979+N979-$B$26,M979)</f>
        <v>8.10541678220034E-009</v>
      </c>
      <c r="P979" s="56" t="n">
        <f aca="false">IF(L979=1,IF($B$26&lt;=N979,1,0),0)</f>
        <v>0</v>
      </c>
      <c r="Q979" s="58" t="n">
        <f aca="false">Q978+N979</f>
        <v>145877.630223336</v>
      </c>
      <c r="S979" s="56" t="n">
        <f aca="false">S978+1</f>
        <v>972</v>
      </c>
      <c r="T979" s="57" t="n">
        <f aca="false">IF(AND(S979&lt;=Assumptions!$C$42,T978=1,X978=0,W978&gt;Assumptions!$C$43),1,0)</f>
        <v>0</v>
      </c>
      <c r="U979" s="58" t="n">
        <f aca="false">W978</f>
        <v>-182.103705036234</v>
      </c>
      <c r="V979" s="58" t="n">
        <f aca="false">IF(T979=1,U979*$B$22,0)</f>
        <v>0</v>
      </c>
      <c r="W979" s="58" t="n">
        <f aca="false">IF(T979=1,U979+V979-$B$27,U979)</f>
        <v>-182.103705036234</v>
      </c>
      <c r="X979" s="56" t="n">
        <f aca="false">IF(T979=1,IF($B$27&lt;=V979,1,0),0)</f>
        <v>0</v>
      </c>
      <c r="Y979" s="58" t="n">
        <f aca="false">Y978+V979</f>
        <v>113000.408372882</v>
      </c>
    </row>
    <row r="980" customFormat="false" ht="15" hidden="false" customHeight="false" outlineLevel="0" collapsed="false">
      <c r="K980" s="56" t="n">
        <f aca="false">K979+1</f>
        <v>973</v>
      </c>
      <c r="L980" s="57" t="n">
        <f aca="false">IF(AND(K980&lt;=Assumptions!$C$42,L979=1,P979=0,O979&gt;Assumptions!$C$43),1,0)</f>
        <v>0</v>
      </c>
      <c r="M980" s="58" t="n">
        <f aca="false">O979</f>
        <v>8.10541678220034E-009</v>
      </c>
      <c r="N980" s="58" t="n">
        <f aca="false">IF(L980=1,M980*$B$22,0)</f>
        <v>0</v>
      </c>
      <c r="O980" s="58" t="n">
        <f aca="false">IF(L980=1,M980+N980-$B$26,M980)</f>
        <v>8.10541678220034E-009</v>
      </c>
      <c r="P980" s="56" t="n">
        <f aca="false">IF(L980=1,IF($B$26&lt;=N980,1,0),0)</f>
        <v>0</v>
      </c>
      <c r="Q980" s="58" t="n">
        <f aca="false">Q979+N980</f>
        <v>145877.630223336</v>
      </c>
      <c r="S980" s="56" t="n">
        <f aca="false">S979+1</f>
        <v>973</v>
      </c>
      <c r="T980" s="57" t="n">
        <f aca="false">IF(AND(S980&lt;=Assumptions!$C$42,T979=1,X979=0,W979&gt;Assumptions!$C$43),1,0)</f>
        <v>0</v>
      </c>
      <c r="U980" s="58" t="n">
        <f aca="false">W979</f>
        <v>-182.103705036234</v>
      </c>
      <c r="V980" s="58" t="n">
        <f aca="false">IF(T980=1,U980*$B$22,0)</f>
        <v>0</v>
      </c>
      <c r="W980" s="58" t="n">
        <f aca="false">IF(T980=1,U980+V980-$B$27,U980)</f>
        <v>-182.103705036234</v>
      </c>
      <c r="X980" s="56" t="n">
        <f aca="false">IF(T980=1,IF($B$27&lt;=V980,1,0),0)</f>
        <v>0</v>
      </c>
      <c r="Y980" s="58" t="n">
        <f aca="false">Y979+V980</f>
        <v>113000.408372882</v>
      </c>
    </row>
    <row r="981" customFormat="false" ht="15" hidden="false" customHeight="false" outlineLevel="0" collapsed="false">
      <c r="K981" s="56" t="n">
        <f aca="false">K980+1</f>
        <v>974</v>
      </c>
      <c r="L981" s="57" t="n">
        <f aca="false">IF(AND(K981&lt;=Assumptions!$C$42,L980=1,P980=0,O980&gt;Assumptions!$C$43),1,0)</f>
        <v>0</v>
      </c>
      <c r="M981" s="58" t="n">
        <f aca="false">O980</f>
        <v>8.10541678220034E-009</v>
      </c>
      <c r="N981" s="58" t="n">
        <f aca="false">IF(L981=1,M981*$B$22,0)</f>
        <v>0</v>
      </c>
      <c r="O981" s="58" t="n">
        <f aca="false">IF(L981=1,M981+N981-$B$26,M981)</f>
        <v>8.10541678220034E-009</v>
      </c>
      <c r="P981" s="56" t="n">
        <f aca="false">IF(L981=1,IF($B$26&lt;=N981,1,0),0)</f>
        <v>0</v>
      </c>
      <c r="Q981" s="58" t="n">
        <f aca="false">Q980+N981</f>
        <v>145877.630223336</v>
      </c>
      <c r="S981" s="56" t="n">
        <f aca="false">S980+1</f>
        <v>974</v>
      </c>
      <c r="T981" s="57" t="n">
        <f aca="false">IF(AND(S981&lt;=Assumptions!$C$42,T980=1,X980=0,W980&gt;Assumptions!$C$43),1,0)</f>
        <v>0</v>
      </c>
      <c r="U981" s="58" t="n">
        <f aca="false">W980</f>
        <v>-182.103705036234</v>
      </c>
      <c r="V981" s="58" t="n">
        <f aca="false">IF(T981=1,U981*$B$22,0)</f>
        <v>0</v>
      </c>
      <c r="W981" s="58" t="n">
        <f aca="false">IF(T981=1,U981+V981-$B$27,U981)</f>
        <v>-182.103705036234</v>
      </c>
      <c r="X981" s="56" t="n">
        <f aca="false">IF(T981=1,IF($B$27&lt;=V981,1,0),0)</f>
        <v>0</v>
      </c>
      <c r="Y981" s="58" t="n">
        <f aca="false">Y980+V981</f>
        <v>113000.408372882</v>
      </c>
    </row>
    <row r="982" customFormat="false" ht="15" hidden="false" customHeight="false" outlineLevel="0" collapsed="false">
      <c r="K982" s="56" t="n">
        <f aca="false">K981+1</f>
        <v>975</v>
      </c>
      <c r="L982" s="57" t="n">
        <f aca="false">IF(AND(K982&lt;=Assumptions!$C$42,L981=1,P981=0,O981&gt;Assumptions!$C$43),1,0)</f>
        <v>0</v>
      </c>
      <c r="M982" s="58" t="n">
        <f aca="false">O981</f>
        <v>8.10541678220034E-009</v>
      </c>
      <c r="N982" s="58" t="n">
        <f aca="false">IF(L982=1,M982*$B$22,0)</f>
        <v>0</v>
      </c>
      <c r="O982" s="58" t="n">
        <f aca="false">IF(L982=1,M982+N982-$B$26,M982)</f>
        <v>8.10541678220034E-009</v>
      </c>
      <c r="P982" s="56" t="n">
        <f aca="false">IF(L982=1,IF($B$26&lt;=N982,1,0),0)</f>
        <v>0</v>
      </c>
      <c r="Q982" s="58" t="n">
        <f aca="false">Q981+N982</f>
        <v>145877.630223336</v>
      </c>
      <c r="S982" s="56" t="n">
        <f aca="false">S981+1</f>
        <v>975</v>
      </c>
      <c r="T982" s="57" t="n">
        <f aca="false">IF(AND(S982&lt;=Assumptions!$C$42,T981=1,X981=0,W981&gt;Assumptions!$C$43),1,0)</f>
        <v>0</v>
      </c>
      <c r="U982" s="58" t="n">
        <f aca="false">W981</f>
        <v>-182.103705036234</v>
      </c>
      <c r="V982" s="58" t="n">
        <f aca="false">IF(T982=1,U982*$B$22,0)</f>
        <v>0</v>
      </c>
      <c r="W982" s="58" t="n">
        <f aca="false">IF(T982=1,U982+V982-$B$27,U982)</f>
        <v>-182.103705036234</v>
      </c>
      <c r="X982" s="56" t="n">
        <f aca="false">IF(T982=1,IF($B$27&lt;=V982,1,0),0)</f>
        <v>0</v>
      </c>
      <c r="Y982" s="58" t="n">
        <f aca="false">Y981+V982</f>
        <v>113000.408372882</v>
      </c>
    </row>
    <row r="983" customFormat="false" ht="15" hidden="false" customHeight="false" outlineLevel="0" collapsed="false">
      <c r="K983" s="56" t="n">
        <f aca="false">K982+1</f>
        <v>976</v>
      </c>
      <c r="L983" s="57" t="n">
        <f aca="false">IF(AND(K983&lt;=Assumptions!$C$42,L982=1,P982=0,O982&gt;Assumptions!$C$43),1,0)</f>
        <v>0</v>
      </c>
      <c r="M983" s="58" t="n">
        <f aca="false">O982</f>
        <v>8.10541678220034E-009</v>
      </c>
      <c r="N983" s="58" t="n">
        <f aca="false">IF(L983=1,M983*$B$22,0)</f>
        <v>0</v>
      </c>
      <c r="O983" s="58" t="n">
        <f aca="false">IF(L983=1,M983+N983-$B$26,M983)</f>
        <v>8.10541678220034E-009</v>
      </c>
      <c r="P983" s="56" t="n">
        <f aca="false">IF(L983=1,IF($B$26&lt;=N983,1,0),0)</f>
        <v>0</v>
      </c>
      <c r="Q983" s="58" t="n">
        <f aca="false">Q982+N983</f>
        <v>145877.630223336</v>
      </c>
      <c r="S983" s="56" t="n">
        <f aca="false">S982+1</f>
        <v>976</v>
      </c>
      <c r="T983" s="57" t="n">
        <f aca="false">IF(AND(S983&lt;=Assumptions!$C$42,T982=1,X982=0,W982&gt;Assumptions!$C$43),1,0)</f>
        <v>0</v>
      </c>
      <c r="U983" s="58" t="n">
        <f aca="false">W982</f>
        <v>-182.103705036234</v>
      </c>
      <c r="V983" s="58" t="n">
        <f aca="false">IF(T983=1,U983*$B$22,0)</f>
        <v>0</v>
      </c>
      <c r="W983" s="58" t="n">
        <f aca="false">IF(T983=1,U983+V983-$B$27,U983)</f>
        <v>-182.103705036234</v>
      </c>
      <c r="X983" s="56" t="n">
        <f aca="false">IF(T983=1,IF($B$27&lt;=V983,1,0),0)</f>
        <v>0</v>
      </c>
      <c r="Y983" s="58" t="n">
        <f aca="false">Y982+V983</f>
        <v>113000.408372882</v>
      </c>
    </row>
    <row r="984" customFormat="false" ht="15" hidden="false" customHeight="false" outlineLevel="0" collapsed="false">
      <c r="K984" s="56" t="n">
        <f aca="false">K983+1</f>
        <v>977</v>
      </c>
      <c r="L984" s="57" t="n">
        <f aca="false">IF(AND(K984&lt;=Assumptions!$C$42,L983=1,P983=0,O983&gt;Assumptions!$C$43),1,0)</f>
        <v>0</v>
      </c>
      <c r="M984" s="58" t="n">
        <f aca="false">O983</f>
        <v>8.10541678220034E-009</v>
      </c>
      <c r="N984" s="58" t="n">
        <f aca="false">IF(L984=1,M984*$B$22,0)</f>
        <v>0</v>
      </c>
      <c r="O984" s="58" t="n">
        <f aca="false">IF(L984=1,M984+N984-$B$26,M984)</f>
        <v>8.10541678220034E-009</v>
      </c>
      <c r="P984" s="56" t="n">
        <f aca="false">IF(L984=1,IF($B$26&lt;=N984,1,0),0)</f>
        <v>0</v>
      </c>
      <c r="Q984" s="58" t="n">
        <f aca="false">Q983+N984</f>
        <v>145877.630223336</v>
      </c>
      <c r="S984" s="56" t="n">
        <f aca="false">S983+1</f>
        <v>977</v>
      </c>
      <c r="T984" s="57" t="n">
        <f aca="false">IF(AND(S984&lt;=Assumptions!$C$42,T983=1,X983=0,W983&gt;Assumptions!$C$43),1,0)</f>
        <v>0</v>
      </c>
      <c r="U984" s="58" t="n">
        <f aca="false">W983</f>
        <v>-182.103705036234</v>
      </c>
      <c r="V984" s="58" t="n">
        <f aca="false">IF(T984=1,U984*$B$22,0)</f>
        <v>0</v>
      </c>
      <c r="W984" s="58" t="n">
        <f aca="false">IF(T984=1,U984+V984-$B$27,U984)</f>
        <v>-182.103705036234</v>
      </c>
      <c r="X984" s="56" t="n">
        <f aca="false">IF(T984=1,IF($B$27&lt;=V984,1,0),0)</f>
        <v>0</v>
      </c>
      <c r="Y984" s="58" t="n">
        <f aca="false">Y983+V984</f>
        <v>113000.408372882</v>
      </c>
    </row>
    <row r="985" customFormat="false" ht="15" hidden="false" customHeight="false" outlineLevel="0" collapsed="false">
      <c r="K985" s="56" t="n">
        <f aca="false">K984+1</f>
        <v>978</v>
      </c>
      <c r="L985" s="57" t="n">
        <f aca="false">IF(AND(K985&lt;=Assumptions!$C$42,L984=1,P984=0,O984&gt;Assumptions!$C$43),1,0)</f>
        <v>0</v>
      </c>
      <c r="M985" s="58" t="n">
        <f aca="false">O984</f>
        <v>8.10541678220034E-009</v>
      </c>
      <c r="N985" s="58" t="n">
        <f aca="false">IF(L985=1,M985*$B$22,0)</f>
        <v>0</v>
      </c>
      <c r="O985" s="58" t="n">
        <f aca="false">IF(L985=1,M985+N985-$B$26,M985)</f>
        <v>8.10541678220034E-009</v>
      </c>
      <c r="P985" s="56" t="n">
        <f aca="false">IF(L985=1,IF($B$26&lt;=N985,1,0),0)</f>
        <v>0</v>
      </c>
      <c r="Q985" s="58" t="n">
        <f aca="false">Q984+N985</f>
        <v>145877.630223336</v>
      </c>
      <c r="S985" s="56" t="n">
        <f aca="false">S984+1</f>
        <v>978</v>
      </c>
      <c r="T985" s="57" t="n">
        <f aca="false">IF(AND(S985&lt;=Assumptions!$C$42,T984=1,X984=0,W984&gt;Assumptions!$C$43),1,0)</f>
        <v>0</v>
      </c>
      <c r="U985" s="58" t="n">
        <f aca="false">W984</f>
        <v>-182.103705036234</v>
      </c>
      <c r="V985" s="58" t="n">
        <f aca="false">IF(T985=1,U985*$B$22,0)</f>
        <v>0</v>
      </c>
      <c r="W985" s="58" t="n">
        <f aca="false">IF(T985=1,U985+V985-$B$27,U985)</f>
        <v>-182.103705036234</v>
      </c>
      <c r="X985" s="56" t="n">
        <f aca="false">IF(T985=1,IF($B$27&lt;=V985,1,0),0)</f>
        <v>0</v>
      </c>
      <c r="Y985" s="58" t="n">
        <f aca="false">Y984+V985</f>
        <v>113000.408372882</v>
      </c>
    </row>
    <row r="986" customFormat="false" ht="15" hidden="false" customHeight="false" outlineLevel="0" collapsed="false">
      <c r="K986" s="56" t="n">
        <f aca="false">K985+1</f>
        <v>979</v>
      </c>
      <c r="L986" s="57" t="n">
        <f aca="false">IF(AND(K986&lt;=Assumptions!$C$42,L985=1,P985=0,O985&gt;Assumptions!$C$43),1,0)</f>
        <v>0</v>
      </c>
      <c r="M986" s="58" t="n">
        <f aca="false">O985</f>
        <v>8.10541678220034E-009</v>
      </c>
      <c r="N986" s="58" t="n">
        <f aca="false">IF(L986=1,M986*$B$22,0)</f>
        <v>0</v>
      </c>
      <c r="O986" s="58" t="n">
        <f aca="false">IF(L986=1,M986+N986-$B$26,M986)</f>
        <v>8.10541678220034E-009</v>
      </c>
      <c r="P986" s="56" t="n">
        <f aca="false">IF(L986=1,IF($B$26&lt;=N986,1,0),0)</f>
        <v>0</v>
      </c>
      <c r="Q986" s="58" t="n">
        <f aca="false">Q985+N986</f>
        <v>145877.630223336</v>
      </c>
      <c r="S986" s="56" t="n">
        <f aca="false">S985+1</f>
        <v>979</v>
      </c>
      <c r="T986" s="57" t="n">
        <f aca="false">IF(AND(S986&lt;=Assumptions!$C$42,T985=1,X985=0,W985&gt;Assumptions!$C$43),1,0)</f>
        <v>0</v>
      </c>
      <c r="U986" s="58" t="n">
        <f aca="false">W985</f>
        <v>-182.103705036234</v>
      </c>
      <c r="V986" s="58" t="n">
        <f aca="false">IF(T986=1,U986*$B$22,0)</f>
        <v>0</v>
      </c>
      <c r="W986" s="58" t="n">
        <f aca="false">IF(T986=1,U986+V986-$B$27,U986)</f>
        <v>-182.103705036234</v>
      </c>
      <c r="X986" s="56" t="n">
        <f aca="false">IF(T986=1,IF($B$27&lt;=V986,1,0),0)</f>
        <v>0</v>
      </c>
      <c r="Y986" s="58" t="n">
        <f aca="false">Y985+V986</f>
        <v>113000.408372882</v>
      </c>
    </row>
    <row r="987" customFormat="false" ht="15" hidden="false" customHeight="false" outlineLevel="0" collapsed="false">
      <c r="K987" s="56" t="n">
        <f aca="false">K986+1</f>
        <v>980</v>
      </c>
      <c r="L987" s="57" t="n">
        <f aca="false">IF(AND(K987&lt;=Assumptions!$C$42,L986=1,P986=0,O986&gt;Assumptions!$C$43),1,0)</f>
        <v>0</v>
      </c>
      <c r="M987" s="58" t="n">
        <f aca="false">O986</f>
        <v>8.10541678220034E-009</v>
      </c>
      <c r="N987" s="58" t="n">
        <f aca="false">IF(L987=1,M987*$B$22,0)</f>
        <v>0</v>
      </c>
      <c r="O987" s="58" t="n">
        <f aca="false">IF(L987=1,M987+N987-$B$26,M987)</f>
        <v>8.10541678220034E-009</v>
      </c>
      <c r="P987" s="56" t="n">
        <f aca="false">IF(L987=1,IF($B$26&lt;=N987,1,0),0)</f>
        <v>0</v>
      </c>
      <c r="Q987" s="58" t="n">
        <f aca="false">Q986+N987</f>
        <v>145877.630223336</v>
      </c>
      <c r="S987" s="56" t="n">
        <f aca="false">S986+1</f>
        <v>980</v>
      </c>
      <c r="T987" s="57" t="n">
        <f aca="false">IF(AND(S987&lt;=Assumptions!$C$42,T986=1,X986=0,W986&gt;Assumptions!$C$43),1,0)</f>
        <v>0</v>
      </c>
      <c r="U987" s="58" t="n">
        <f aca="false">W986</f>
        <v>-182.103705036234</v>
      </c>
      <c r="V987" s="58" t="n">
        <f aca="false">IF(T987=1,U987*$B$22,0)</f>
        <v>0</v>
      </c>
      <c r="W987" s="58" t="n">
        <f aca="false">IF(T987=1,U987+V987-$B$27,U987)</f>
        <v>-182.103705036234</v>
      </c>
      <c r="X987" s="56" t="n">
        <f aca="false">IF(T987=1,IF($B$27&lt;=V987,1,0),0)</f>
        <v>0</v>
      </c>
      <c r="Y987" s="58" t="n">
        <f aca="false">Y986+V987</f>
        <v>113000.408372882</v>
      </c>
    </row>
    <row r="988" customFormat="false" ht="15" hidden="false" customHeight="false" outlineLevel="0" collapsed="false">
      <c r="K988" s="56" t="n">
        <f aca="false">K987+1</f>
        <v>981</v>
      </c>
      <c r="L988" s="57" t="n">
        <f aca="false">IF(AND(K988&lt;=Assumptions!$C$42,L987=1,P987=0,O987&gt;Assumptions!$C$43),1,0)</f>
        <v>0</v>
      </c>
      <c r="M988" s="58" t="n">
        <f aca="false">O987</f>
        <v>8.10541678220034E-009</v>
      </c>
      <c r="N988" s="58" t="n">
        <f aca="false">IF(L988=1,M988*$B$22,0)</f>
        <v>0</v>
      </c>
      <c r="O988" s="58" t="n">
        <f aca="false">IF(L988=1,M988+N988-$B$26,M988)</f>
        <v>8.10541678220034E-009</v>
      </c>
      <c r="P988" s="56" t="n">
        <f aca="false">IF(L988=1,IF($B$26&lt;=N988,1,0),0)</f>
        <v>0</v>
      </c>
      <c r="Q988" s="58" t="n">
        <f aca="false">Q987+N988</f>
        <v>145877.630223336</v>
      </c>
      <c r="S988" s="56" t="n">
        <f aca="false">S987+1</f>
        <v>981</v>
      </c>
      <c r="T988" s="57" t="n">
        <f aca="false">IF(AND(S988&lt;=Assumptions!$C$42,T987=1,X987=0,W987&gt;Assumptions!$C$43),1,0)</f>
        <v>0</v>
      </c>
      <c r="U988" s="58" t="n">
        <f aca="false">W987</f>
        <v>-182.103705036234</v>
      </c>
      <c r="V988" s="58" t="n">
        <f aca="false">IF(T988=1,U988*$B$22,0)</f>
        <v>0</v>
      </c>
      <c r="W988" s="58" t="n">
        <f aca="false">IF(T988=1,U988+V988-$B$27,U988)</f>
        <v>-182.103705036234</v>
      </c>
      <c r="X988" s="56" t="n">
        <f aca="false">IF(T988=1,IF($B$27&lt;=V988,1,0),0)</f>
        <v>0</v>
      </c>
      <c r="Y988" s="58" t="n">
        <f aca="false">Y987+V988</f>
        <v>113000.408372882</v>
      </c>
    </row>
    <row r="989" customFormat="false" ht="15" hidden="false" customHeight="false" outlineLevel="0" collapsed="false">
      <c r="K989" s="56" t="n">
        <f aca="false">K988+1</f>
        <v>982</v>
      </c>
      <c r="L989" s="57" t="n">
        <f aca="false">IF(AND(K989&lt;=Assumptions!$C$42,L988=1,P988=0,O988&gt;Assumptions!$C$43),1,0)</f>
        <v>0</v>
      </c>
      <c r="M989" s="58" t="n">
        <f aca="false">O988</f>
        <v>8.10541678220034E-009</v>
      </c>
      <c r="N989" s="58" t="n">
        <f aca="false">IF(L989=1,M989*$B$22,0)</f>
        <v>0</v>
      </c>
      <c r="O989" s="58" t="n">
        <f aca="false">IF(L989=1,M989+N989-$B$26,M989)</f>
        <v>8.10541678220034E-009</v>
      </c>
      <c r="P989" s="56" t="n">
        <f aca="false">IF(L989=1,IF($B$26&lt;=N989,1,0),0)</f>
        <v>0</v>
      </c>
      <c r="Q989" s="58" t="n">
        <f aca="false">Q988+N989</f>
        <v>145877.630223336</v>
      </c>
      <c r="S989" s="56" t="n">
        <f aca="false">S988+1</f>
        <v>982</v>
      </c>
      <c r="T989" s="57" t="n">
        <f aca="false">IF(AND(S989&lt;=Assumptions!$C$42,T988=1,X988=0,W988&gt;Assumptions!$C$43),1,0)</f>
        <v>0</v>
      </c>
      <c r="U989" s="58" t="n">
        <f aca="false">W988</f>
        <v>-182.103705036234</v>
      </c>
      <c r="V989" s="58" t="n">
        <f aca="false">IF(T989=1,U989*$B$22,0)</f>
        <v>0</v>
      </c>
      <c r="W989" s="58" t="n">
        <f aca="false">IF(T989=1,U989+V989-$B$27,U989)</f>
        <v>-182.103705036234</v>
      </c>
      <c r="X989" s="56" t="n">
        <f aca="false">IF(T989=1,IF($B$27&lt;=V989,1,0),0)</f>
        <v>0</v>
      </c>
      <c r="Y989" s="58" t="n">
        <f aca="false">Y988+V989</f>
        <v>113000.408372882</v>
      </c>
    </row>
    <row r="990" customFormat="false" ht="15" hidden="false" customHeight="false" outlineLevel="0" collapsed="false">
      <c r="K990" s="56" t="n">
        <f aca="false">K989+1</f>
        <v>983</v>
      </c>
      <c r="L990" s="57" t="n">
        <f aca="false">IF(AND(K990&lt;=Assumptions!$C$42,L989=1,P989=0,O989&gt;Assumptions!$C$43),1,0)</f>
        <v>0</v>
      </c>
      <c r="M990" s="58" t="n">
        <f aca="false">O989</f>
        <v>8.10541678220034E-009</v>
      </c>
      <c r="N990" s="58" t="n">
        <f aca="false">IF(L990=1,M990*$B$22,0)</f>
        <v>0</v>
      </c>
      <c r="O990" s="58" t="n">
        <f aca="false">IF(L990=1,M990+N990-$B$26,M990)</f>
        <v>8.10541678220034E-009</v>
      </c>
      <c r="P990" s="56" t="n">
        <f aca="false">IF(L990=1,IF($B$26&lt;=N990,1,0),0)</f>
        <v>0</v>
      </c>
      <c r="Q990" s="58" t="n">
        <f aca="false">Q989+N990</f>
        <v>145877.630223336</v>
      </c>
      <c r="S990" s="56" t="n">
        <f aca="false">S989+1</f>
        <v>983</v>
      </c>
      <c r="T990" s="57" t="n">
        <f aca="false">IF(AND(S990&lt;=Assumptions!$C$42,T989=1,X989=0,W989&gt;Assumptions!$C$43),1,0)</f>
        <v>0</v>
      </c>
      <c r="U990" s="58" t="n">
        <f aca="false">W989</f>
        <v>-182.103705036234</v>
      </c>
      <c r="V990" s="58" t="n">
        <f aca="false">IF(T990=1,U990*$B$22,0)</f>
        <v>0</v>
      </c>
      <c r="W990" s="58" t="n">
        <f aca="false">IF(T990=1,U990+V990-$B$27,U990)</f>
        <v>-182.103705036234</v>
      </c>
      <c r="X990" s="56" t="n">
        <f aca="false">IF(T990=1,IF($B$27&lt;=V990,1,0),0)</f>
        <v>0</v>
      </c>
      <c r="Y990" s="58" t="n">
        <f aca="false">Y989+V990</f>
        <v>113000.408372882</v>
      </c>
    </row>
    <row r="991" customFormat="false" ht="15" hidden="false" customHeight="false" outlineLevel="0" collapsed="false">
      <c r="K991" s="56" t="n">
        <f aca="false">K990+1</f>
        <v>984</v>
      </c>
      <c r="L991" s="57" t="n">
        <f aca="false">IF(AND(K991&lt;=Assumptions!$C$42,L990=1,P990=0,O990&gt;Assumptions!$C$43),1,0)</f>
        <v>0</v>
      </c>
      <c r="M991" s="58" t="n">
        <f aca="false">O990</f>
        <v>8.10541678220034E-009</v>
      </c>
      <c r="N991" s="58" t="n">
        <f aca="false">IF(L991=1,M991*$B$22,0)</f>
        <v>0</v>
      </c>
      <c r="O991" s="58" t="n">
        <f aca="false">IF(L991=1,M991+N991-$B$26,M991)</f>
        <v>8.10541678220034E-009</v>
      </c>
      <c r="P991" s="56" t="n">
        <f aca="false">IF(L991=1,IF($B$26&lt;=N991,1,0),0)</f>
        <v>0</v>
      </c>
      <c r="Q991" s="58" t="n">
        <f aca="false">Q990+N991</f>
        <v>145877.630223336</v>
      </c>
      <c r="S991" s="56" t="n">
        <f aca="false">S990+1</f>
        <v>984</v>
      </c>
      <c r="T991" s="57" t="n">
        <f aca="false">IF(AND(S991&lt;=Assumptions!$C$42,T990=1,X990=0,W990&gt;Assumptions!$C$43),1,0)</f>
        <v>0</v>
      </c>
      <c r="U991" s="58" t="n">
        <f aca="false">W990</f>
        <v>-182.103705036234</v>
      </c>
      <c r="V991" s="58" t="n">
        <f aca="false">IF(T991=1,U991*$B$22,0)</f>
        <v>0</v>
      </c>
      <c r="W991" s="58" t="n">
        <f aca="false">IF(T991=1,U991+V991-$B$27,U991)</f>
        <v>-182.103705036234</v>
      </c>
      <c r="X991" s="56" t="n">
        <f aca="false">IF(T991=1,IF($B$27&lt;=V991,1,0),0)</f>
        <v>0</v>
      </c>
      <c r="Y991" s="58" t="n">
        <f aca="false">Y990+V991</f>
        <v>113000.408372882</v>
      </c>
    </row>
    <row r="992" customFormat="false" ht="15" hidden="false" customHeight="false" outlineLevel="0" collapsed="false">
      <c r="K992" s="56" t="n">
        <f aca="false">K991+1</f>
        <v>985</v>
      </c>
      <c r="L992" s="57" t="n">
        <f aca="false">IF(AND(K992&lt;=Assumptions!$C$42,L991=1,P991=0,O991&gt;Assumptions!$C$43),1,0)</f>
        <v>0</v>
      </c>
      <c r="M992" s="58" t="n">
        <f aca="false">O991</f>
        <v>8.10541678220034E-009</v>
      </c>
      <c r="N992" s="58" t="n">
        <f aca="false">IF(L992=1,M992*$B$22,0)</f>
        <v>0</v>
      </c>
      <c r="O992" s="58" t="n">
        <f aca="false">IF(L992=1,M992+N992-$B$26,M992)</f>
        <v>8.10541678220034E-009</v>
      </c>
      <c r="P992" s="56" t="n">
        <f aca="false">IF(L992=1,IF($B$26&lt;=N992,1,0),0)</f>
        <v>0</v>
      </c>
      <c r="Q992" s="58" t="n">
        <f aca="false">Q991+N992</f>
        <v>145877.630223336</v>
      </c>
      <c r="S992" s="56" t="n">
        <f aca="false">S991+1</f>
        <v>985</v>
      </c>
      <c r="T992" s="57" t="n">
        <f aca="false">IF(AND(S992&lt;=Assumptions!$C$42,T991=1,X991=0,W991&gt;Assumptions!$C$43),1,0)</f>
        <v>0</v>
      </c>
      <c r="U992" s="58" t="n">
        <f aca="false">W991</f>
        <v>-182.103705036234</v>
      </c>
      <c r="V992" s="58" t="n">
        <f aca="false">IF(T992=1,U992*$B$22,0)</f>
        <v>0</v>
      </c>
      <c r="W992" s="58" t="n">
        <f aca="false">IF(T992=1,U992+V992-$B$27,U992)</f>
        <v>-182.103705036234</v>
      </c>
      <c r="X992" s="56" t="n">
        <f aca="false">IF(T992=1,IF($B$27&lt;=V992,1,0),0)</f>
        <v>0</v>
      </c>
      <c r="Y992" s="58" t="n">
        <f aca="false">Y991+V992</f>
        <v>113000.408372882</v>
      </c>
    </row>
    <row r="993" customFormat="false" ht="15" hidden="false" customHeight="false" outlineLevel="0" collapsed="false">
      <c r="K993" s="56" t="n">
        <f aca="false">K992+1</f>
        <v>986</v>
      </c>
      <c r="L993" s="57" t="n">
        <f aca="false">IF(AND(K993&lt;=Assumptions!$C$42,L992=1,P992=0,O992&gt;Assumptions!$C$43),1,0)</f>
        <v>0</v>
      </c>
      <c r="M993" s="58" t="n">
        <f aca="false">O992</f>
        <v>8.10541678220034E-009</v>
      </c>
      <c r="N993" s="58" t="n">
        <f aca="false">IF(L993=1,M993*$B$22,0)</f>
        <v>0</v>
      </c>
      <c r="O993" s="58" t="n">
        <f aca="false">IF(L993=1,M993+N993-$B$26,M993)</f>
        <v>8.10541678220034E-009</v>
      </c>
      <c r="P993" s="56" t="n">
        <f aca="false">IF(L993=1,IF($B$26&lt;=N993,1,0),0)</f>
        <v>0</v>
      </c>
      <c r="Q993" s="58" t="n">
        <f aca="false">Q992+N993</f>
        <v>145877.630223336</v>
      </c>
      <c r="S993" s="56" t="n">
        <f aca="false">S992+1</f>
        <v>986</v>
      </c>
      <c r="T993" s="57" t="n">
        <f aca="false">IF(AND(S993&lt;=Assumptions!$C$42,T992=1,X992=0,W992&gt;Assumptions!$C$43),1,0)</f>
        <v>0</v>
      </c>
      <c r="U993" s="58" t="n">
        <f aca="false">W992</f>
        <v>-182.103705036234</v>
      </c>
      <c r="V993" s="58" t="n">
        <f aca="false">IF(T993=1,U993*$B$22,0)</f>
        <v>0</v>
      </c>
      <c r="W993" s="58" t="n">
        <f aca="false">IF(T993=1,U993+V993-$B$27,U993)</f>
        <v>-182.103705036234</v>
      </c>
      <c r="X993" s="56" t="n">
        <f aca="false">IF(T993=1,IF($B$27&lt;=V993,1,0),0)</f>
        <v>0</v>
      </c>
      <c r="Y993" s="58" t="n">
        <f aca="false">Y992+V993</f>
        <v>113000.408372882</v>
      </c>
    </row>
    <row r="994" customFormat="false" ht="15" hidden="false" customHeight="false" outlineLevel="0" collapsed="false">
      <c r="K994" s="56" t="n">
        <f aca="false">K993+1</f>
        <v>987</v>
      </c>
      <c r="L994" s="57" t="n">
        <f aca="false">IF(AND(K994&lt;=Assumptions!$C$42,L993=1,P993=0,O993&gt;Assumptions!$C$43),1,0)</f>
        <v>0</v>
      </c>
      <c r="M994" s="58" t="n">
        <f aca="false">O993</f>
        <v>8.10541678220034E-009</v>
      </c>
      <c r="N994" s="58" t="n">
        <f aca="false">IF(L994=1,M994*$B$22,0)</f>
        <v>0</v>
      </c>
      <c r="O994" s="58" t="n">
        <f aca="false">IF(L994=1,M994+N994-$B$26,M994)</f>
        <v>8.10541678220034E-009</v>
      </c>
      <c r="P994" s="56" t="n">
        <f aca="false">IF(L994=1,IF($B$26&lt;=N994,1,0),0)</f>
        <v>0</v>
      </c>
      <c r="Q994" s="58" t="n">
        <f aca="false">Q993+N994</f>
        <v>145877.630223336</v>
      </c>
      <c r="S994" s="56" t="n">
        <f aca="false">S993+1</f>
        <v>987</v>
      </c>
      <c r="T994" s="57" t="n">
        <f aca="false">IF(AND(S994&lt;=Assumptions!$C$42,T993=1,X993=0,W993&gt;Assumptions!$C$43),1,0)</f>
        <v>0</v>
      </c>
      <c r="U994" s="58" t="n">
        <f aca="false">W993</f>
        <v>-182.103705036234</v>
      </c>
      <c r="V994" s="58" t="n">
        <f aca="false">IF(T994=1,U994*$B$22,0)</f>
        <v>0</v>
      </c>
      <c r="W994" s="58" t="n">
        <f aca="false">IF(T994=1,U994+V994-$B$27,U994)</f>
        <v>-182.103705036234</v>
      </c>
      <c r="X994" s="56" t="n">
        <f aca="false">IF(T994=1,IF($B$27&lt;=V994,1,0),0)</f>
        <v>0</v>
      </c>
      <c r="Y994" s="58" t="n">
        <f aca="false">Y993+V994</f>
        <v>113000.408372882</v>
      </c>
    </row>
    <row r="995" customFormat="false" ht="15" hidden="false" customHeight="false" outlineLevel="0" collapsed="false">
      <c r="K995" s="56" t="n">
        <f aca="false">K994+1</f>
        <v>988</v>
      </c>
      <c r="L995" s="57" t="n">
        <f aca="false">IF(AND(K995&lt;=Assumptions!$C$42,L994=1,P994=0,O994&gt;Assumptions!$C$43),1,0)</f>
        <v>0</v>
      </c>
      <c r="M995" s="58" t="n">
        <f aca="false">O994</f>
        <v>8.10541678220034E-009</v>
      </c>
      <c r="N995" s="58" t="n">
        <f aca="false">IF(L995=1,M995*$B$22,0)</f>
        <v>0</v>
      </c>
      <c r="O995" s="58" t="n">
        <f aca="false">IF(L995=1,M995+N995-$B$26,M995)</f>
        <v>8.10541678220034E-009</v>
      </c>
      <c r="P995" s="56" t="n">
        <f aca="false">IF(L995=1,IF($B$26&lt;=N995,1,0),0)</f>
        <v>0</v>
      </c>
      <c r="Q995" s="58" t="n">
        <f aca="false">Q994+N995</f>
        <v>145877.630223336</v>
      </c>
      <c r="S995" s="56" t="n">
        <f aca="false">S994+1</f>
        <v>988</v>
      </c>
      <c r="T995" s="57" t="n">
        <f aca="false">IF(AND(S995&lt;=Assumptions!$C$42,T994=1,X994=0,W994&gt;Assumptions!$C$43),1,0)</f>
        <v>0</v>
      </c>
      <c r="U995" s="58" t="n">
        <f aca="false">W994</f>
        <v>-182.103705036234</v>
      </c>
      <c r="V995" s="58" t="n">
        <f aca="false">IF(T995=1,U995*$B$22,0)</f>
        <v>0</v>
      </c>
      <c r="W995" s="58" t="n">
        <f aca="false">IF(T995=1,U995+V995-$B$27,U995)</f>
        <v>-182.103705036234</v>
      </c>
      <c r="X995" s="56" t="n">
        <f aca="false">IF(T995=1,IF($B$27&lt;=V995,1,0),0)</f>
        <v>0</v>
      </c>
      <c r="Y995" s="58" t="n">
        <f aca="false">Y994+V995</f>
        <v>113000.408372882</v>
      </c>
    </row>
    <row r="996" customFormat="false" ht="15" hidden="false" customHeight="false" outlineLevel="0" collapsed="false">
      <c r="K996" s="56" t="n">
        <f aca="false">K995+1</f>
        <v>989</v>
      </c>
      <c r="L996" s="57" t="n">
        <f aca="false">IF(AND(K996&lt;=Assumptions!$C$42,L995=1,P995=0,O995&gt;Assumptions!$C$43),1,0)</f>
        <v>0</v>
      </c>
      <c r="M996" s="58" t="n">
        <f aca="false">O995</f>
        <v>8.10541678220034E-009</v>
      </c>
      <c r="N996" s="58" t="n">
        <f aca="false">IF(L996=1,M996*$B$22,0)</f>
        <v>0</v>
      </c>
      <c r="O996" s="58" t="n">
        <f aca="false">IF(L996=1,M996+N996-$B$26,M996)</f>
        <v>8.10541678220034E-009</v>
      </c>
      <c r="P996" s="56" t="n">
        <f aca="false">IF(L996=1,IF($B$26&lt;=N996,1,0),0)</f>
        <v>0</v>
      </c>
      <c r="Q996" s="58" t="n">
        <f aca="false">Q995+N996</f>
        <v>145877.630223336</v>
      </c>
      <c r="S996" s="56" t="n">
        <f aca="false">S995+1</f>
        <v>989</v>
      </c>
      <c r="T996" s="57" t="n">
        <f aca="false">IF(AND(S996&lt;=Assumptions!$C$42,T995=1,X995=0,W995&gt;Assumptions!$C$43),1,0)</f>
        <v>0</v>
      </c>
      <c r="U996" s="58" t="n">
        <f aca="false">W995</f>
        <v>-182.103705036234</v>
      </c>
      <c r="V996" s="58" t="n">
        <f aca="false">IF(T996=1,U996*$B$22,0)</f>
        <v>0</v>
      </c>
      <c r="W996" s="58" t="n">
        <f aca="false">IF(T996=1,U996+V996-$B$27,U996)</f>
        <v>-182.103705036234</v>
      </c>
      <c r="X996" s="56" t="n">
        <f aca="false">IF(T996=1,IF($B$27&lt;=V996,1,0),0)</f>
        <v>0</v>
      </c>
      <c r="Y996" s="58" t="n">
        <f aca="false">Y995+V996</f>
        <v>113000.408372882</v>
      </c>
    </row>
    <row r="997" customFormat="false" ht="15" hidden="false" customHeight="false" outlineLevel="0" collapsed="false">
      <c r="K997" s="56" t="n">
        <f aca="false">K996+1</f>
        <v>990</v>
      </c>
      <c r="L997" s="57" t="n">
        <f aca="false">IF(AND(K997&lt;=Assumptions!$C$42,L996=1,P996=0,O996&gt;Assumptions!$C$43),1,0)</f>
        <v>0</v>
      </c>
      <c r="M997" s="58" t="n">
        <f aca="false">O996</f>
        <v>8.10541678220034E-009</v>
      </c>
      <c r="N997" s="58" t="n">
        <f aca="false">IF(L997=1,M997*$B$22,0)</f>
        <v>0</v>
      </c>
      <c r="O997" s="58" t="n">
        <f aca="false">IF(L997=1,M997+N997-$B$26,M997)</f>
        <v>8.10541678220034E-009</v>
      </c>
      <c r="P997" s="56" t="n">
        <f aca="false">IF(L997=1,IF($B$26&lt;=N997,1,0),0)</f>
        <v>0</v>
      </c>
      <c r="Q997" s="58" t="n">
        <f aca="false">Q996+N997</f>
        <v>145877.630223336</v>
      </c>
      <c r="S997" s="56" t="n">
        <f aca="false">S996+1</f>
        <v>990</v>
      </c>
      <c r="T997" s="57" t="n">
        <f aca="false">IF(AND(S997&lt;=Assumptions!$C$42,T996=1,X996=0,W996&gt;Assumptions!$C$43),1,0)</f>
        <v>0</v>
      </c>
      <c r="U997" s="58" t="n">
        <f aca="false">W996</f>
        <v>-182.103705036234</v>
      </c>
      <c r="V997" s="58" t="n">
        <f aca="false">IF(T997=1,U997*$B$22,0)</f>
        <v>0</v>
      </c>
      <c r="W997" s="58" t="n">
        <f aca="false">IF(T997=1,U997+V997-$B$27,U997)</f>
        <v>-182.103705036234</v>
      </c>
      <c r="X997" s="56" t="n">
        <f aca="false">IF(T997=1,IF($B$27&lt;=V997,1,0),0)</f>
        <v>0</v>
      </c>
      <c r="Y997" s="58" t="n">
        <f aca="false">Y996+V997</f>
        <v>113000.408372882</v>
      </c>
    </row>
    <row r="998" customFormat="false" ht="15" hidden="false" customHeight="false" outlineLevel="0" collapsed="false">
      <c r="K998" s="56" t="n">
        <f aca="false">K997+1</f>
        <v>991</v>
      </c>
      <c r="L998" s="57" t="n">
        <f aca="false">IF(AND(K998&lt;=Assumptions!$C$42,L997=1,P997=0,O997&gt;Assumptions!$C$43),1,0)</f>
        <v>0</v>
      </c>
      <c r="M998" s="58" t="n">
        <f aca="false">O997</f>
        <v>8.10541678220034E-009</v>
      </c>
      <c r="N998" s="58" t="n">
        <f aca="false">IF(L998=1,M998*$B$22,0)</f>
        <v>0</v>
      </c>
      <c r="O998" s="58" t="n">
        <f aca="false">IF(L998=1,M998+N998-$B$26,M998)</f>
        <v>8.10541678220034E-009</v>
      </c>
      <c r="P998" s="56" t="n">
        <f aca="false">IF(L998=1,IF($B$26&lt;=N998,1,0),0)</f>
        <v>0</v>
      </c>
      <c r="Q998" s="58" t="n">
        <f aca="false">Q997+N998</f>
        <v>145877.630223336</v>
      </c>
      <c r="S998" s="56" t="n">
        <f aca="false">S997+1</f>
        <v>991</v>
      </c>
      <c r="T998" s="57" t="n">
        <f aca="false">IF(AND(S998&lt;=Assumptions!$C$42,T997=1,X997=0,W997&gt;Assumptions!$C$43),1,0)</f>
        <v>0</v>
      </c>
      <c r="U998" s="58" t="n">
        <f aca="false">W997</f>
        <v>-182.103705036234</v>
      </c>
      <c r="V998" s="58" t="n">
        <f aca="false">IF(T998=1,U998*$B$22,0)</f>
        <v>0</v>
      </c>
      <c r="W998" s="58" t="n">
        <f aca="false">IF(T998=1,U998+V998-$B$27,U998)</f>
        <v>-182.103705036234</v>
      </c>
      <c r="X998" s="56" t="n">
        <f aca="false">IF(T998=1,IF($B$27&lt;=V998,1,0),0)</f>
        <v>0</v>
      </c>
      <c r="Y998" s="58" t="n">
        <f aca="false">Y997+V998</f>
        <v>113000.408372882</v>
      </c>
    </row>
    <row r="999" customFormat="false" ht="15" hidden="false" customHeight="false" outlineLevel="0" collapsed="false">
      <c r="K999" s="56" t="n">
        <f aca="false">K998+1</f>
        <v>992</v>
      </c>
      <c r="L999" s="57" t="n">
        <f aca="false">IF(AND(K999&lt;=Assumptions!$C$42,L998=1,P998=0,O998&gt;Assumptions!$C$43),1,0)</f>
        <v>0</v>
      </c>
      <c r="M999" s="58" t="n">
        <f aca="false">O998</f>
        <v>8.10541678220034E-009</v>
      </c>
      <c r="N999" s="58" t="n">
        <f aca="false">IF(L999=1,M999*$B$22,0)</f>
        <v>0</v>
      </c>
      <c r="O999" s="58" t="n">
        <f aca="false">IF(L999=1,M999+N999-$B$26,M999)</f>
        <v>8.10541678220034E-009</v>
      </c>
      <c r="P999" s="56" t="n">
        <f aca="false">IF(L999=1,IF($B$26&lt;=N999,1,0),0)</f>
        <v>0</v>
      </c>
      <c r="Q999" s="58" t="n">
        <f aca="false">Q998+N999</f>
        <v>145877.630223336</v>
      </c>
      <c r="S999" s="56" t="n">
        <f aca="false">S998+1</f>
        <v>992</v>
      </c>
      <c r="T999" s="57" t="n">
        <f aca="false">IF(AND(S999&lt;=Assumptions!$C$42,T998=1,X998=0,W998&gt;Assumptions!$C$43),1,0)</f>
        <v>0</v>
      </c>
      <c r="U999" s="58" t="n">
        <f aca="false">W998</f>
        <v>-182.103705036234</v>
      </c>
      <c r="V999" s="58" t="n">
        <f aca="false">IF(T999=1,U999*$B$22,0)</f>
        <v>0</v>
      </c>
      <c r="W999" s="58" t="n">
        <f aca="false">IF(T999=1,U999+V999-$B$27,U999)</f>
        <v>-182.103705036234</v>
      </c>
      <c r="X999" s="56" t="n">
        <f aca="false">IF(T999=1,IF($B$27&lt;=V999,1,0),0)</f>
        <v>0</v>
      </c>
      <c r="Y999" s="58" t="n">
        <f aca="false">Y998+V999</f>
        <v>113000.408372882</v>
      </c>
    </row>
    <row r="1000" customFormat="false" ht="15" hidden="false" customHeight="false" outlineLevel="0" collapsed="false">
      <c r="K1000" s="56" t="n">
        <f aca="false">K999+1</f>
        <v>993</v>
      </c>
      <c r="L1000" s="57" t="n">
        <f aca="false">IF(AND(K1000&lt;=Assumptions!$C$42,L999=1,P999=0,O999&gt;Assumptions!$C$43),1,0)</f>
        <v>0</v>
      </c>
      <c r="M1000" s="58" t="n">
        <f aca="false">O999</f>
        <v>8.10541678220034E-009</v>
      </c>
      <c r="N1000" s="58" t="n">
        <f aca="false">IF(L1000=1,M1000*$B$22,0)</f>
        <v>0</v>
      </c>
      <c r="O1000" s="58" t="n">
        <f aca="false">IF(L1000=1,M1000+N1000-$B$26,M1000)</f>
        <v>8.10541678220034E-009</v>
      </c>
      <c r="P1000" s="56" t="n">
        <f aca="false">IF(L1000=1,IF($B$26&lt;=N1000,1,0),0)</f>
        <v>0</v>
      </c>
      <c r="Q1000" s="58" t="n">
        <f aca="false">Q999+N1000</f>
        <v>145877.630223336</v>
      </c>
      <c r="S1000" s="56" t="n">
        <f aca="false">S999+1</f>
        <v>993</v>
      </c>
      <c r="T1000" s="57" t="n">
        <f aca="false">IF(AND(S1000&lt;=Assumptions!$C$42,T999=1,X999=0,W999&gt;Assumptions!$C$43),1,0)</f>
        <v>0</v>
      </c>
      <c r="U1000" s="58" t="n">
        <f aca="false">W999</f>
        <v>-182.103705036234</v>
      </c>
      <c r="V1000" s="58" t="n">
        <f aca="false">IF(T1000=1,U1000*$B$22,0)</f>
        <v>0</v>
      </c>
      <c r="W1000" s="58" t="n">
        <f aca="false">IF(T1000=1,U1000+V1000-$B$27,U1000)</f>
        <v>-182.103705036234</v>
      </c>
      <c r="X1000" s="56" t="n">
        <f aca="false">IF(T1000=1,IF($B$27&lt;=V1000,1,0),0)</f>
        <v>0</v>
      </c>
      <c r="Y1000" s="58" t="n">
        <f aca="false">Y999+V1000</f>
        <v>113000.408372882</v>
      </c>
    </row>
    <row r="1001" customFormat="false" ht="15" hidden="false" customHeight="false" outlineLevel="0" collapsed="false">
      <c r="K1001" s="56" t="n">
        <f aca="false">K1000+1</f>
        <v>994</v>
      </c>
      <c r="L1001" s="57" t="n">
        <f aca="false">IF(AND(K1001&lt;=Assumptions!$C$42,L1000=1,P1000=0,O1000&gt;Assumptions!$C$43),1,0)</f>
        <v>0</v>
      </c>
      <c r="M1001" s="58" t="n">
        <f aca="false">O1000</f>
        <v>8.10541678220034E-009</v>
      </c>
      <c r="N1001" s="58" t="n">
        <f aca="false">IF(L1001=1,M1001*$B$22,0)</f>
        <v>0</v>
      </c>
      <c r="O1001" s="58" t="n">
        <f aca="false">IF(L1001=1,M1001+N1001-$B$26,M1001)</f>
        <v>8.10541678220034E-009</v>
      </c>
      <c r="P1001" s="56" t="n">
        <f aca="false">IF(L1001=1,IF($B$26&lt;=N1001,1,0),0)</f>
        <v>0</v>
      </c>
      <c r="Q1001" s="58" t="n">
        <f aca="false">Q1000+N1001</f>
        <v>145877.630223336</v>
      </c>
      <c r="S1001" s="56" t="n">
        <f aca="false">S1000+1</f>
        <v>994</v>
      </c>
      <c r="T1001" s="57" t="n">
        <f aca="false">IF(AND(S1001&lt;=Assumptions!$C$42,T1000=1,X1000=0,W1000&gt;Assumptions!$C$43),1,0)</f>
        <v>0</v>
      </c>
      <c r="U1001" s="58" t="n">
        <f aca="false">W1000</f>
        <v>-182.103705036234</v>
      </c>
      <c r="V1001" s="58" t="n">
        <f aca="false">IF(T1001=1,U1001*$B$22,0)</f>
        <v>0</v>
      </c>
      <c r="W1001" s="58" t="n">
        <f aca="false">IF(T1001=1,U1001+V1001-$B$27,U1001)</f>
        <v>-182.103705036234</v>
      </c>
      <c r="X1001" s="56" t="n">
        <f aca="false">IF(T1001=1,IF($B$27&lt;=V1001,1,0),0)</f>
        <v>0</v>
      </c>
      <c r="Y1001" s="58" t="n">
        <f aca="false">Y1000+V1001</f>
        <v>113000.408372882</v>
      </c>
    </row>
    <row r="1002" customFormat="false" ht="15" hidden="false" customHeight="false" outlineLevel="0" collapsed="false">
      <c r="K1002" s="56" t="n">
        <f aca="false">K1001+1</f>
        <v>995</v>
      </c>
      <c r="L1002" s="57" t="n">
        <f aca="false">IF(AND(K1002&lt;=Assumptions!$C$42,L1001=1,P1001=0,O1001&gt;Assumptions!$C$43),1,0)</f>
        <v>0</v>
      </c>
      <c r="M1002" s="58" t="n">
        <f aca="false">O1001</f>
        <v>8.10541678220034E-009</v>
      </c>
      <c r="N1002" s="58" t="n">
        <f aca="false">IF(L1002=1,M1002*$B$22,0)</f>
        <v>0</v>
      </c>
      <c r="O1002" s="58" t="n">
        <f aca="false">IF(L1002=1,M1002+N1002-$B$26,M1002)</f>
        <v>8.10541678220034E-009</v>
      </c>
      <c r="P1002" s="56" t="n">
        <f aca="false">IF(L1002=1,IF($B$26&lt;=N1002,1,0),0)</f>
        <v>0</v>
      </c>
      <c r="Q1002" s="58" t="n">
        <f aca="false">Q1001+N1002</f>
        <v>145877.630223336</v>
      </c>
      <c r="S1002" s="56" t="n">
        <f aca="false">S1001+1</f>
        <v>995</v>
      </c>
      <c r="T1002" s="57" t="n">
        <f aca="false">IF(AND(S1002&lt;=Assumptions!$C$42,T1001=1,X1001=0,W1001&gt;Assumptions!$C$43),1,0)</f>
        <v>0</v>
      </c>
      <c r="U1002" s="58" t="n">
        <f aca="false">W1001</f>
        <v>-182.103705036234</v>
      </c>
      <c r="V1002" s="58" t="n">
        <f aca="false">IF(T1002=1,U1002*$B$22,0)</f>
        <v>0</v>
      </c>
      <c r="W1002" s="58" t="n">
        <f aca="false">IF(T1002=1,U1002+V1002-$B$27,U1002)</f>
        <v>-182.103705036234</v>
      </c>
      <c r="X1002" s="56" t="n">
        <f aca="false">IF(T1002=1,IF($B$27&lt;=V1002,1,0),0)</f>
        <v>0</v>
      </c>
      <c r="Y1002" s="58" t="n">
        <f aca="false">Y1001+V1002</f>
        <v>113000.408372882</v>
      </c>
    </row>
    <row r="1003" customFormat="false" ht="15" hidden="false" customHeight="false" outlineLevel="0" collapsed="false">
      <c r="K1003" s="56" t="n">
        <f aca="false">K1002+1</f>
        <v>996</v>
      </c>
      <c r="L1003" s="57" t="n">
        <f aca="false">IF(AND(K1003&lt;=Assumptions!$C$42,L1002=1,P1002=0,O1002&gt;Assumptions!$C$43),1,0)</f>
        <v>0</v>
      </c>
      <c r="M1003" s="58" t="n">
        <f aca="false">O1002</f>
        <v>8.10541678220034E-009</v>
      </c>
      <c r="N1003" s="58" t="n">
        <f aca="false">IF(L1003=1,M1003*$B$22,0)</f>
        <v>0</v>
      </c>
      <c r="O1003" s="58" t="n">
        <f aca="false">IF(L1003=1,M1003+N1003-$B$26,M1003)</f>
        <v>8.10541678220034E-009</v>
      </c>
      <c r="P1003" s="56" t="n">
        <f aca="false">IF(L1003=1,IF($B$26&lt;=N1003,1,0),0)</f>
        <v>0</v>
      </c>
      <c r="Q1003" s="58" t="n">
        <f aca="false">Q1002+N1003</f>
        <v>145877.630223336</v>
      </c>
      <c r="S1003" s="56" t="n">
        <f aca="false">S1002+1</f>
        <v>996</v>
      </c>
      <c r="T1003" s="57" t="n">
        <f aca="false">IF(AND(S1003&lt;=Assumptions!$C$42,T1002=1,X1002=0,W1002&gt;Assumptions!$C$43),1,0)</f>
        <v>0</v>
      </c>
      <c r="U1003" s="58" t="n">
        <f aca="false">W1002</f>
        <v>-182.103705036234</v>
      </c>
      <c r="V1003" s="58" t="n">
        <f aca="false">IF(T1003=1,U1003*$B$22,0)</f>
        <v>0</v>
      </c>
      <c r="W1003" s="58" t="n">
        <f aca="false">IF(T1003=1,U1003+V1003-$B$27,U1003)</f>
        <v>-182.103705036234</v>
      </c>
      <c r="X1003" s="56" t="n">
        <f aca="false">IF(T1003=1,IF($B$27&lt;=V1003,1,0),0)</f>
        <v>0</v>
      </c>
      <c r="Y1003" s="58" t="n">
        <f aca="false">Y1002+V1003</f>
        <v>113000.408372882</v>
      </c>
    </row>
    <row r="1004" customFormat="false" ht="15" hidden="false" customHeight="false" outlineLevel="0" collapsed="false">
      <c r="K1004" s="56" t="n">
        <f aca="false">K1003+1</f>
        <v>997</v>
      </c>
      <c r="L1004" s="57" t="n">
        <f aca="false">IF(AND(K1004&lt;=Assumptions!$C$42,L1003=1,P1003=0,O1003&gt;Assumptions!$C$43),1,0)</f>
        <v>0</v>
      </c>
      <c r="M1004" s="58" t="n">
        <f aca="false">O1003</f>
        <v>8.10541678220034E-009</v>
      </c>
      <c r="N1004" s="58" t="n">
        <f aca="false">IF(L1004=1,M1004*$B$22,0)</f>
        <v>0</v>
      </c>
      <c r="O1004" s="58" t="n">
        <f aca="false">IF(L1004=1,M1004+N1004-$B$26,M1004)</f>
        <v>8.10541678220034E-009</v>
      </c>
      <c r="P1004" s="56" t="n">
        <f aca="false">IF(L1004=1,IF($B$26&lt;=N1004,1,0),0)</f>
        <v>0</v>
      </c>
      <c r="Q1004" s="58" t="n">
        <f aca="false">Q1003+N1004</f>
        <v>145877.630223336</v>
      </c>
      <c r="S1004" s="56" t="n">
        <f aca="false">S1003+1</f>
        <v>997</v>
      </c>
      <c r="T1004" s="57" t="n">
        <f aca="false">IF(AND(S1004&lt;=Assumptions!$C$42,T1003=1,X1003=0,W1003&gt;Assumptions!$C$43),1,0)</f>
        <v>0</v>
      </c>
      <c r="U1004" s="58" t="n">
        <f aca="false">W1003</f>
        <v>-182.103705036234</v>
      </c>
      <c r="V1004" s="58" t="n">
        <f aca="false">IF(T1004=1,U1004*$B$22,0)</f>
        <v>0</v>
      </c>
      <c r="W1004" s="58" t="n">
        <f aca="false">IF(T1004=1,U1004+V1004-$B$27,U1004)</f>
        <v>-182.103705036234</v>
      </c>
      <c r="X1004" s="56" t="n">
        <f aca="false">IF(T1004=1,IF($B$27&lt;=V1004,1,0),0)</f>
        <v>0</v>
      </c>
      <c r="Y1004" s="58" t="n">
        <f aca="false">Y1003+V1004</f>
        <v>113000.408372882</v>
      </c>
    </row>
    <row r="1005" customFormat="false" ht="15" hidden="false" customHeight="false" outlineLevel="0" collapsed="false">
      <c r="K1005" s="56" t="n">
        <f aca="false">K1004+1</f>
        <v>998</v>
      </c>
      <c r="L1005" s="57" t="n">
        <f aca="false">IF(AND(K1005&lt;=Assumptions!$C$42,L1004=1,P1004=0,O1004&gt;Assumptions!$C$43),1,0)</f>
        <v>0</v>
      </c>
      <c r="M1005" s="58" t="n">
        <f aca="false">O1004</f>
        <v>8.10541678220034E-009</v>
      </c>
      <c r="N1005" s="58" t="n">
        <f aca="false">IF(L1005=1,M1005*$B$22,0)</f>
        <v>0</v>
      </c>
      <c r="O1005" s="58" t="n">
        <f aca="false">IF(L1005=1,M1005+N1005-$B$26,M1005)</f>
        <v>8.10541678220034E-009</v>
      </c>
      <c r="P1005" s="56" t="n">
        <f aca="false">IF(L1005=1,IF($B$26&lt;=N1005,1,0),0)</f>
        <v>0</v>
      </c>
      <c r="Q1005" s="58" t="n">
        <f aca="false">Q1004+N1005</f>
        <v>145877.630223336</v>
      </c>
      <c r="S1005" s="56" t="n">
        <f aca="false">S1004+1</f>
        <v>998</v>
      </c>
      <c r="T1005" s="57" t="n">
        <f aca="false">IF(AND(S1005&lt;=Assumptions!$C$42,T1004=1,X1004=0,W1004&gt;Assumptions!$C$43),1,0)</f>
        <v>0</v>
      </c>
      <c r="U1005" s="58" t="n">
        <f aca="false">W1004</f>
        <v>-182.103705036234</v>
      </c>
      <c r="V1005" s="58" t="n">
        <f aca="false">IF(T1005=1,U1005*$B$22,0)</f>
        <v>0</v>
      </c>
      <c r="W1005" s="58" t="n">
        <f aca="false">IF(T1005=1,U1005+V1005-$B$27,U1005)</f>
        <v>-182.103705036234</v>
      </c>
      <c r="X1005" s="56" t="n">
        <f aca="false">IF(T1005=1,IF($B$27&lt;=V1005,1,0),0)</f>
        <v>0</v>
      </c>
      <c r="Y1005" s="58" t="n">
        <f aca="false">Y1004+V1005</f>
        <v>113000.408372882</v>
      </c>
    </row>
    <row r="1006" customFormat="false" ht="15" hidden="false" customHeight="false" outlineLevel="0" collapsed="false">
      <c r="K1006" s="56" t="n">
        <f aca="false">K1005+1</f>
        <v>999</v>
      </c>
      <c r="L1006" s="57" t="n">
        <f aca="false">IF(AND(K1006&lt;=Assumptions!$C$42,L1005=1,P1005=0,O1005&gt;Assumptions!$C$43),1,0)</f>
        <v>0</v>
      </c>
      <c r="M1006" s="58" t="n">
        <f aca="false">O1005</f>
        <v>8.10541678220034E-009</v>
      </c>
      <c r="N1006" s="58" t="n">
        <f aca="false">IF(L1006=1,M1006*$B$22,0)</f>
        <v>0</v>
      </c>
      <c r="O1006" s="58" t="n">
        <f aca="false">IF(L1006=1,M1006+N1006-$B$26,M1006)</f>
        <v>8.10541678220034E-009</v>
      </c>
      <c r="P1006" s="56" t="n">
        <f aca="false">IF(L1006=1,IF($B$26&lt;=N1006,1,0),0)</f>
        <v>0</v>
      </c>
      <c r="Q1006" s="58" t="n">
        <f aca="false">Q1005+N1006</f>
        <v>145877.630223336</v>
      </c>
      <c r="S1006" s="56" t="n">
        <f aca="false">S1005+1</f>
        <v>999</v>
      </c>
      <c r="T1006" s="57" t="n">
        <f aca="false">IF(AND(S1006&lt;=Assumptions!$C$42,T1005=1,X1005=0,W1005&gt;Assumptions!$C$43),1,0)</f>
        <v>0</v>
      </c>
      <c r="U1006" s="58" t="n">
        <f aca="false">W1005</f>
        <v>-182.103705036234</v>
      </c>
      <c r="V1006" s="58" t="n">
        <f aca="false">IF(T1006=1,U1006*$B$22,0)</f>
        <v>0</v>
      </c>
      <c r="W1006" s="58" t="n">
        <f aca="false">IF(T1006=1,U1006+V1006-$B$27,U1006)</f>
        <v>-182.103705036234</v>
      </c>
      <c r="X1006" s="56" t="n">
        <f aca="false">IF(T1006=1,IF($B$27&lt;=V1006,1,0),0)</f>
        <v>0</v>
      </c>
      <c r="Y1006" s="58" t="n">
        <f aca="false">Y1005+V1006</f>
        <v>113000.408372882</v>
      </c>
    </row>
    <row r="1007" customFormat="false" ht="15" hidden="false" customHeight="false" outlineLevel="0" collapsed="false">
      <c r="K1007" s="56" t="n">
        <f aca="false">K1006+1</f>
        <v>1000</v>
      </c>
      <c r="L1007" s="57" t="n">
        <f aca="false">IF(AND(K1007&lt;=Assumptions!$C$42,L1006=1,P1006=0,O1006&gt;Assumptions!$C$43),1,0)</f>
        <v>0</v>
      </c>
      <c r="M1007" s="58" t="n">
        <f aca="false">O1006</f>
        <v>8.10541678220034E-009</v>
      </c>
      <c r="N1007" s="58" t="n">
        <f aca="false">IF(L1007=1,M1007*$B$22,0)</f>
        <v>0</v>
      </c>
      <c r="O1007" s="58" t="n">
        <f aca="false">IF(L1007=1,M1007+N1007-$B$26,M1007)</f>
        <v>8.10541678220034E-009</v>
      </c>
      <c r="P1007" s="56" t="n">
        <f aca="false">IF(L1007=1,IF($B$26&lt;=N1007,1,0),0)</f>
        <v>0</v>
      </c>
      <c r="Q1007" s="58" t="n">
        <f aca="false">Q1006+N1007</f>
        <v>145877.630223336</v>
      </c>
      <c r="S1007" s="56" t="n">
        <f aca="false">S1006+1</f>
        <v>1000</v>
      </c>
      <c r="T1007" s="57" t="n">
        <f aca="false">IF(AND(S1007&lt;=Assumptions!$C$42,T1006=1,X1006=0,W1006&gt;Assumptions!$C$43),1,0)</f>
        <v>0</v>
      </c>
      <c r="U1007" s="58" t="n">
        <f aca="false">W1006</f>
        <v>-182.103705036234</v>
      </c>
      <c r="V1007" s="58" t="n">
        <f aca="false">IF(T1007=1,U1007*$B$22,0)</f>
        <v>0</v>
      </c>
      <c r="W1007" s="58" t="n">
        <f aca="false">IF(T1007=1,U1007+V1007-$B$27,U1007)</f>
        <v>-182.103705036234</v>
      </c>
      <c r="X1007" s="56" t="n">
        <f aca="false">IF(T1007=1,IF($B$27&lt;=V1007,1,0),0)</f>
        <v>0</v>
      </c>
      <c r="Y1007" s="58" t="n">
        <f aca="false">Y1006+V1007</f>
        <v>113000.408372882</v>
      </c>
    </row>
    <row r="1008" customFormat="false" ht="15" hidden="false" customHeight="false" outlineLevel="0" collapsed="false">
      <c r="K1008" s="56" t="n">
        <f aca="false">K1007+1</f>
        <v>1001</v>
      </c>
      <c r="L1008" s="57" t="n">
        <f aca="false">IF(AND(K1008&lt;=Assumptions!$C$42,L1007=1,P1007=0,O1007&gt;Assumptions!$C$43),1,0)</f>
        <v>0</v>
      </c>
      <c r="M1008" s="58" t="n">
        <f aca="false">O1007</f>
        <v>8.10541678220034E-009</v>
      </c>
      <c r="N1008" s="58" t="n">
        <f aca="false">IF(L1008=1,M1008*$B$22,0)</f>
        <v>0</v>
      </c>
      <c r="O1008" s="58" t="n">
        <f aca="false">IF(L1008=1,M1008+N1008-$B$26,M1008)</f>
        <v>8.10541678220034E-009</v>
      </c>
      <c r="P1008" s="56" t="n">
        <f aca="false">IF(L1008=1,IF($B$26&lt;=N1008,1,0),0)</f>
        <v>0</v>
      </c>
      <c r="Q1008" s="58" t="n">
        <f aca="false">Q1007+N1008</f>
        <v>145877.630223336</v>
      </c>
      <c r="S1008" s="56" t="n">
        <f aca="false">S1007+1</f>
        <v>1001</v>
      </c>
      <c r="T1008" s="57" t="n">
        <f aca="false">IF(AND(S1008&lt;=Assumptions!$C$42,T1007=1,X1007=0,W1007&gt;Assumptions!$C$43),1,0)</f>
        <v>0</v>
      </c>
      <c r="U1008" s="58" t="n">
        <f aca="false">W1007</f>
        <v>-182.103705036234</v>
      </c>
      <c r="V1008" s="58" t="n">
        <f aca="false">IF(T1008=1,U1008*$B$22,0)</f>
        <v>0</v>
      </c>
      <c r="W1008" s="58" t="n">
        <f aca="false">IF(T1008=1,U1008+V1008-$B$27,U1008)</f>
        <v>-182.103705036234</v>
      </c>
      <c r="X1008" s="56" t="n">
        <f aca="false">IF(T1008=1,IF($B$27&lt;=V1008,1,0),0)</f>
        <v>0</v>
      </c>
      <c r="Y1008" s="58" t="n">
        <f aca="false">Y1007+V1008</f>
        <v>113000.408372882</v>
      </c>
    </row>
    <row r="1009" customFormat="false" ht="15" hidden="false" customHeight="false" outlineLevel="0" collapsed="false">
      <c r="K1009" s="56" t="n">
        <f aca="false">K1008+1</f>
        <v>1002</v>
      </c>
      <c r="L1009" s="57" t="n">
        <f aca="false">IF(AND(K1009&lt;=Assumptions!$C$42,L1008=1,P1008=0,O1008&gt;Assumptions!$C$43),1,0)</f>
        <v>0</v>
      </c>
      <c r="M1009" s="58" t="n">
        <f aca="false">O1008</f>
        <v>8.10541678220034E-009</v>
      </c>
      <c r="N1009" s="58" t="n">
        <f aca="false">IF(L1009=1,M1009*$B$22,0)</f>
        <v>0</v>
      </c>
      <c r="O1009" s="58" t="n">
        <f aca="false">IF(L1009=1,M1009+N1009-$B$26,M1009)</f>
        <v>8.10541678220034E-009</v>
      </c>
      <c r="P1009" s="56" t="n">
        <f aca="false">IF(L1009=1,IF($B$26&lt;=N1009,1,0),0)</f>
        <v>0</v>
      </c>
      <c r="Q1009" s="58" t="n">
        <f aca="false">Q1008+N1009</f>
        <v>145877.630223336</v>
      </c>
      <c r="S1009" s="56" t="n">
        <f aca="false">S1008+1</f>
        <v>1002</v>
      </c>
      <c r="T1009" s="57" t="n">
        <f aca="false">IF(AND(S1009&lt;=Assumptions!$C$42,T1008=1,X1008=0,W1008&gt;Assumptions!$C$43),1,0)</f>
        <v>0</v>
      </c>
      <c r="U1009" s="58" t="n">
        <f aca="false">W1008</f>
        <v>-182.103705036234</v>
      </c>
      <c r="V1009" s="58" t="n">
        <f aca="false">IF(T1009=1,U1009*$B$22,0)</f>
        <v>0</v>
      </c>
      <c r="W1009" s="58" t="n">
        <f aca="false">IF(T1009=1,U1009+V1009-$B$27,U1009)</f>
        <v>-182.103705036234</v>
      </c>
      <c r="X1009" s="56" t="n">
        <f aca="false">IF(T1009=1,IF($B$27&lt;=V1009,1,0),0)</f>
        <v>0</v>
      </c>
      <c r="Y1009" s="58" t="n">
        <f aca="false">Y1008+V1009</f>
        <v>113000.408372882</v>
      </c>
    </row>
    <row r="1010" customFormat="false" ht="15" hidden="false" customHeight="false" outlineLevel="0" collapsed="false">
      <c r="K1010" s="56" t="n">
        <f aca="false">K1009+1</f>
        <v>1003</v>
      </c>
      <c r="L1010" s="57" t="n">
        <f aca="false">IF(AND(K1010&lt;=Assumptions!$C$42,L1009=1,P1009=0,O1009&gt;Assumptions!$C$43),1,0)</f>
        <v>0</v>
      </c>
      <c r="M1010" s="58" t="n">
        <f aca="false">O1009</f>
        <v>8.10541678220034E-009</v>
      </c>
      <c r="N1010" s="58" t="n">
        <f aca="false">IF(L1010=1,M1010*$B$22,0)</f>
        <v>0</v>
      </c>
      <c r="O1010" s="58" t="n">
        <f aca="false">IF(L1010=1,M1010+N1010-$B$26,M1010)</f>
        <v>8.10541678220034E-009</v>
      </c>
      <c r="P1010" s="56" t="n">
        <f aca="false">IF(L1010=1,IF($B$26&lt;=N1010,1,0),0)</f>
        <v>0</v>
      </c>
      <c r="Q1010" s="58" t="n">
        <f aca="false">Q1009+N1010</f>
        <v>145877.630223336</v>
      </c>
      <c r="S1010" s="56" t="n">
        <f aca="false">S1009+1</f>
        <v>1003</v>
      </c>
      <c r="T1010" s="57" t="n">
        <f aca="false">IF(AND(S1010&lt;=Assumptions!$C$42,T1009=1,X1009=0,W1009&gt;Assumptions!$C$43),1,0)</f>
        <v>0</v>
      </c>
      <c r="U1010" s="58" t="n">
        <f aca="false">W1009</f>
        <v>-182.103705036234</v>
      </c>
      <c r="V1010" s="58" t="n">
        <f aca="false">IF(T1010=1,U1010*$B$22,0)</f>
        <v>0</v>
      </c>
      <c r="W1010" s="58" t="n">
        <f aca="false">IF(T1010=1,U1010+V1010-$B$27,U1010)</f>
        <v>-182.103705036234</v>
      </c>
      <c r="X1010" s="56" t="n">
        <f aca="false">IF(T1010=1,IF($B$27&lt;=V1010,1,0),0)</f>
        <v>0</v>
      </c>
      <c r="Y1010" s="58" t="n">
        <f aca="false">Y1009+V1010</f>
        <v>113000.408372882</v>
      </c>
    </row>
    <row r="1011" customFormat="false" ht="15" hidden="false" customHeight="false" outlineLevel="0" collapsed="false">
      <c r="K1011" s="56" t="n">
        <f aca="false">K1010+1</f>
        <v>1004</v>
      </c>
      <c r="L1011" s="57" t="n">
        <f aca="false">IF(AND(K1011&lt;=Assumptions!$C$42,L1010=1,P1010=0,O1010&gt;Assumptions!$C$43),1,0)</f>
        <v>0</v>
      </c>
      <c r="M1011" s="58" t="n">
        <f aca="false">O1010</f>
        <v>8.10541678220034E-009</v>
      </c>
      <c r="N1011" s="58" t="n">
        <f aca="false">IF(L1011=1,M1011*$B$22,0)</f>
        <v>0</v>
      </c>
      <c r="O1011" s="58" t="n">
        <f aca="false">IF(L1011=1,M1011+N1011-$B$26,M1011)</f>
        <v>8.10541678220034E-009</v>
      </c>
      <c r="P1011" s="56" t="n">
        <f aca="false">IF(L1011=1,IF($B$26&lt;=N1011,1,0),0)</f>
        <v>0</v>
      </c>
      <c r="Q1011" s="58" t="n">
        <f aca="false">Q1010+N1011</f>
        <v>145877.630223336</v>
      </c>
      <c r="S1011" s="56" t="n">
        <f aca="false">S1010+1</f>
        <v>1004</v>
      </c>
      <c r="T1011" s="57" t="n">
        <f aca="false">IF(AND(S1011&lt;=Assumptions!$C$42,T1010=1,X1010=0,W1010&gt;Assumptions!$C$43),1,0)</f>
        <v>0</v>
      </c>
      <c r="U1011" s="58" t="n">
        <f aca="false">W1010</f>
        <v>-182.103705036234</v>
      </c>
      <c r="V1011" s="58" t="n">
        <f aca="false">IF(T1011=1,U1011*$B$22,0)</f>
        <v>0</v>
      </c>
      <c r="W1011" s="58" t="n">
        <f aca="false">IF(T1011=1,U1011+V1011-$B$27,U1011)</f>
        <v>-182.103705036234</v>
      </c>
      <c r="X1011" s="56" t="n">
        <f aca="false">IF(T1011=1,IF($B$27&lt;=V1011,1,0),0)</f>
        <v>0</v>
      </c>
      <c r="Y1011" s="58" t="n">
        <f aca="false">Y1010+V1011</f>
        <v>113000.408372882</v>
      </c>
    </row>
    <row r="1012" customFormat="false" ht="15" hidden="false" customHeight="false" outlineLevel="0" collapsed="false">
      <c r="K1012" s="56" t="n">
        <f aca="false">K1011+1</f>
        <v>1005</v>
      </c>
      <c r="L1012" s="57" t="n">
        <f aca="false">IF(AND(K1012&lt;=Assumptions!$C$42,L1011=1,P1011=0,O1011&gt;Assumptions!$C$43),1,0)</f>
        <v>0</v>
      </c>
      <c r="M1012" s="58" t="n">
        <f aca="false">O1011</f>
        <v>8.10541678220034E-009</v>
      </c>
      <c r="N1012" s="58" t="n">
        <f aca="false">IF(L1012=1,M1012*$B$22,0)</f>
        <v>0</v>
      </c>
      <c r="O1012" s="58" t="n">
        <f aca="false">IF(L1012=1,M1012+N1012-$B$26,M1012)</f>
        <v>8.10541678220034E-009</v>
      </c>
      <c r="P1012" s="56" t="n">
        <f aca="false">IF(L1012=1,IF($B$26&lt;=N1012,1,0),0)</f>
        <v>0</v>
      </c>
      <c r="Q1012" s="58" t="n">
        <f aca="false">Q1011+N1012</f>
        <v>145877.630223336</v>
      </c>
      <c r="S1012" s="56" t="n">
        <f aca="false">S1011+1</f>
        <v>1005</v>
      </c>
      <c r="T1012" s="57" t="n">
        <f aca="false">IF(AND(S1012&lt;=Assumptions!$C$42,T1011=1,X1011=0,W1011&gt;Assumptions!$C$43),1,0)</f>
        <v>0</v>
      </c>
      <c r="U1012" s="58" t="n">
        <f aca="false">W1011</f>
        <v>-182.103705036234</v>
      </c>
      <c r="V1012" s="58" t="n">
        <f aca="false">IF(T1012=1,U1012*$B$22,0)</f>
        <v>0</v>
      </c>
      <c r="W1012" s="58" t="n">
        <f aca="false">IF(T1012=1,U1012+V1012-$B$27,U1012)</f>
        <v>-182.103705036234</v>
      </c>
      <c r="X1012" s="56" t="n">
        <f aca="false">IF(T1012=1,IF($B$27&lt;=V1012,1,0),0)</f>
        <v>0</v>
      </c>
      <c r="Y1012" s="58" t="n">
        <f aca="false">Y1011+V1012</f>
        <v>113000.408372882</v>
      </c>
    </row>
    <row r="1013" customFormat="false" ht="15" hidden="false" customHeight="false" outlineLevel="0" collapsed="false">
      <c r="K1013" s="56" t="n">
        <f aca="false">K1012+1</f>
        <v>1006</v>
      </c>
      <c r="L1013" s="57" t="n">
        <f aca="false">IF(AND(K1013&lt;=Assumptions!$C$42,L1012=1,P1012=0,O1012&gt;Assumptions!$C$43),1,0)</f>
        <v>0</v>
      </c>
      <c r="M1013" s="58" t="n">
        <f aca="false">O1012</f>
        <v>8.10541678220034E-009</v>
      </c>
      <c r="N1013" s="58" t="n">
        <f aca="false">IF(L1013=1,M1013*$B$22,0)</f>
        <v>0</v>
      </c>
      <c r="O1013" s="58" t="n">
        <f aca="false">IF(L1013=1,M1013+N1013-$B$26,M1013)</f>
        <v>8.10541678220034E-009</v>
      </c>
      <c r="P1013" s="56" t="n">
        <f aca="false">IF(L1013=1,IF($B$26&lt;=N1013,1,0),0)</f>
        <v>0</v>
      </c>
      <c r="Q1013" s="58" t="n">
        <f aca="false">Q1012+N1013</f>
        <v>145877.630223336</v>
      </c>
      <c r="S1013" s="56" t="n">
        <f aca="false">S1012+1</f>
        <v>1006</v>
      </c>
      <c r="T1013" s="57" t="n">
        <f aca="false">IF(AND(S1013&lt;=Assumptions!$C$42,T1012=1,X1012=0,W1012&gt;Assumptions!$C$43),1,0)</f>
        <v>0</v>
      </c>
      <c r="U1013" s="58" t="n">
        <f aca="false">W1012</f>
        <v>-182.103705036234</v>
      </c>
      <c r="V1013" s="58" t="n">
        <f aca="false">IF(T1013=1,U1013*$B$22,0)</f>
        <v>0</v>
      </c>
      <c r="W1013" s="58" t="n">
        <f aca="false">IF(T1013=1,U1013+V1013-$B$27,U1013)</f>
        <v>-182.103705036234</v>
      </c>
      <c r="X1013" s="56" t="n">
        <f aca="false">IF(T1013=1,IF($B$27&lt;=V1013,1,0),0)</f>
        <v>0</v>
      </c>
      <c r="Y1013" s="58" t="n">
        <f aca="false">Y1012+V1013</f>
        <v>113000.408372882</v>
      </c>
    </row>
    <row r="1014" customFormat="false" ht="15" hidden="false" customHeight="false" outlineLevel="0" collapsed="false">
      <c r="K1014" s="56" t="n">
        <f aca="false">K1013+1</f>
        <v>1007</v>
      </c>
      <c r="L1014" s="57" t="n">
        <f aca="false">IF(AND(K1014&lt;=Assumptions!$C$42,L1013=1,P1013=0,O1013&gt;Assumptions!$C$43),1,0)</f>
        <v>0</v>
      </c>
      <c r="M1014" s="58" t="n">
        <f aca="false">O1013</f>
        <v>8.10541678220034E-009</v>
      </c>
      <c r="N1014" s="58" t="n">
        <f aca="false">IF(L1014=1,M1014*$B$22,0)</f>
        <v>0</v>
      </c>
      <c r="O1014" s="58" t="n">
        <f aca="false">IF(L1014=1,M1014+N1014-$B$26,M1014)</f>
        <v>8.10541678220034E-009</v>
      </c>
      <c r="P1014" s="56" t="n">
        <f aca="false">IF(L1014=1,IF($B$26&lt;=N1014,1,0),0)</f>
        <v>0</v>
      </c>
      <c r="Q1014" s="58" t="n">
        <f aca="false">Q1013+N1014</f>
        <v>145877.630223336</v>
      </c>
      <c r="S1014" s="56" t="n">
        <f aca="false">S1013+1</f>
        <v>1007</v>
      </c>
      <c r="T1014" s="57" t="n">
        <f aca="false">IF(AND(S1014&lt;=Assumptions!$C$42,T1013=1,X1013=0,W1013&gt;Assumptions!$C$43),1,0)</f>
        <v>0</v>
      </c>
      <c r="U1014" s="58" t="n">
        <f aca="false">W1013</f>
        <v>-182.103705036234</v>
      </c>
      <c r="V1014" s="58" t="n">
        <f aca="false">IF(T1014=1,U1014*$B$22,0)</f>
        <v>0</v>
      </c>
      <c r="W1014" s="58" t="n">
        <f aca="false">IF(T1014=1,U1014+V1014-$B$27,U1014)</f>
        <v>-182.103705036234</v>
      </c>
      <c r="X1014" s="56" t="n">
        <f aca="false">IF(T1014=1,IF($B$27&lt;=V1014,1,0),0)</f>
        <v>0</v>
      </c>
      <c r="Y1014" s="58" t="n">
        <f aca="false">Y1013+V1014</f>
        <v>113000.408372882</v>
      </c>
    </row>
    <row r="1015" customFormat="false" ht="15" hidden="false" customHeight="false" outlineLevel="0" collapsed="false">
      <c r="K1015" s="56" t="n">
        <f aca="false">K1014+1</f>
        <v>1008</v>
      </c>
      <c r="L1015" s="57" t="n">
        <f aca="false">IF(AND(K1015&lt;=Assumptions!$C$42,L1014=1,P1014=0,O1014&gt;Assumptions!$C$43),1,0)</f>
        <v>0</v>
      </c>
      <c r="M1015" s="58" t="n">
        <f aca="false">O1014</f>
        <v>8.10541678220034E-009</v>
      </c>
      <c r="N1015" s="58" t="n">
        <f aca="false">IF(L1015=1,M1015*$B$22,0)</f>
        <v>0</v>
      </c>
      <c r="O1015" s="58" t="n">
        <f aca="false">IF(L1015=1,M1015+N1015-$B$26,M1015)</f>
        <v>8.10541678220034E-009</v>
      </c>
      <c r="P1015" s="56" t="n">
        <f aca="false">IF(L1015=1,IF($B$26&lt;=N1015,1,0),0)</f>
        <v>0</v>
      </c>
      <c r="Q1015" s="58" t="n">
        <f aca="false">Q1014+N1015</f>
        <v>145877.630223336</v>
      </c>
      <c r="S1015" s="56" t="n">
        <f aca="false">S1014+1</f>
        <v>1008</v>
      </c>
      <c r="T1015" s="57" t="n">
        <f aca="false">IF(AND(S1015&lt;=Assumptions!$C$42,T1014=1,X1014=0,W1014&gt;Assumptions!$C$43),1,0)</f>
        <v>0</v>
      </c>
      <c r="U1015" s="58" t="n">
        <f aca="false">W1014</f>
        <v>-182.103705036234</v>
      </c>
      <c r="V1015" s="58" t="n">
        <f aca="false">IF(T1015=1,U1015*$B$22,0)</f>
        <v>0</v>
      </c>
      <c r="W1015" s="58" t="n">
        <f aca="false">IF(T1015=1,U1015+V1015-$B$27,U1015)</f>
        <v>-182.103705036234</v>
      </c>
      <c r="X1015" s="56" t="n">
        <f aca="false">IF(T1015=1,IF($B$27&lt;=V1015,1,0),0)</f>
        <v>0</v>
      </c>
      <c r="Y1015" s="58" t="n">
        <f aca="false">Y1014+V1015</f>
        <v>113000.408372882</v>
      </c>
    </row>
    <row r="1016" customFormat="false" ht="15" hidden="false" customHeight="false" outlineLevel="0" collapsed="false">
      <c r="K1016" s="56" t="n">
        <f aca="false">K1015+1</f>
        <v>1009</v>
      </c>
      <c r="L1016" s="57" t="n">
        <f aca="false">IF(AND(K1016&lt;=Assumptions!$C$42,L1015=1,P1015=0,O1015&gt;Assumptions!$C$43),1,0)</f>
        <v>0</v>
      </c>
      <c r="M1016" s="58" t="n">
        <f aca="false">O1015</f>
        <v>8.10541678220034E-009</v>
      </c>
      <c r="N1016" s="58" t="n">
        <f aca="false">IF(L1016=1,M1016*$B$22,0)</f>
        <v>0</v>
      </c>
      <c r="O1016" s="58" t="n">
        <f aca="false">IF(L1016=1,M1016+N1016-$B$26,M1016)</f>
        <v>8.10541678220034E-009</v>
      </c>
      <c r="P1016" s="56" t="n">
        <f aca="false">IF(L1016=1,IF($B$26&lt;=N1016,1,0),0)</f>
        <v>0</v>
      </c>
      <c r="Q1016" s="58" t="n">
        <f aca="false">Q1015+N1016</f>
        <v>145877.630223336</v>
      </c>
      <c r="S1016" s="56" t="n">
        <f aca="false">S1015+1</f>
        <v>1009</v>
      </c>
      <c r="T1016" s="57" t="n">
        <f aca="false">IF(AND(S1016&lt;=Assumptions!$C$42,T1015=1,X1015=0,W1015&gt;Assumptions!$C$43),1,0)</f>
        <v>0</v>
      </c>
      <c r="U1016" s="58" t="n">
        <f aca="false">W1015</f>
        <v>-182.103705036234</v>
      </c>
      <c r="V1016" s="58" t="n">
        <f aca="false">IF(T1016=1,U1016*$B$22,0)</f>
        <v>0</v>
      </c>
      <c r="W1016" s="58" t="n">
        <f aca="false">IF(T1016=1,U1016+V1016-$B$27,U1016)</f>
        <v>-182.103705036234</v>
      </c>
      <c r="X1016" s="56" t="n">
        <f aca="false">IF(T1016=1,IF($B$27&lt;=V1016,1,0),0)</f>
        <v>0</v>
      </c>
      <c r="Y1016" s="58" t="n">
        <f aca="false">Y1015+V1016</f>
        <v>113000.408372882</v>
      </c>
    </row>
    <row r="1017" customFormat="false" ht="15" hidden="false" customHeight="false" outlineLevel="0" collapsed="false">
      <c r="K1017" s="56" t="n">
        <f aca="false">K1016+1</f>
        <v>1010</v>
      </c>
      <c r="L1017" s="57" t="n">
        <f aca="false">IF(AND(K1017&lt;=Assumptions!$C$42,L1016=1,P1016=0,O1016&gt;Assumptions!$C$43),1,0)</f>
        <v>0</v>
      </c>
      <c r="M1017" s="58" t="n">
        <f aca="false">O1016</f>
        <v>8.10541678220034E-009</v>
      </c>
      <c r="N1017" s="58" t="n">
        <f aca="false">IF(L1017=1,M1017*$B$22,0)</f>
        <v>0</v>
      </c>
      <c r="O1017" s="58" t="n">
        <f aca="false">IF(L1017=1,M1017+N1017-$B$26,M1017)</f>
        <v>8.10541678220034E-009</v>
      </c>
      <c r="P1017" s="56" t="n">
        <f aca="false">IF(L1017=1,IF($B$26&lt;=N1017,1,0),0)</f>
        <v>0</v>
      </c>
      <c r="Q1017" s="58" t="n">
        <f aca="false">Q1016+N1017</f>
        <v>145877.630223336</v>
      </c>
      <c r="S1017" s="56" t="n">
        <f aca="false">S1016+1</f>
        <v>1010</v>
      </c>
      <c r="T1017" s="57" t="n">
        <f aca="false">IF(AND(S1017&lt;=Assumptions!$C$42,T1016=1,X1016=0,W1016&gt;Assumptions!$C$43),1,0)</f>
        <v>0</v>
      </c>
      <c r="U1017" s="58" t="n">
        <f aca="false">W1016</f>
        <v>-182.103705036234</v>
      </c>
      <c r="V1017" s="58" t="n">
        <f aca="false">IF(T1017=1,U1017*$B$22,0)</f>
        <v>0</v>
      </c>
      <c r="W1017" s="58" t="n">
        <f aca="false">IF(T1017=1,U1017+V1017-$B$27,U1017)</f>
        <v>-182.103705036234</v>
      </c>
      <c r="X1017" s="56" t="n">
        <f aca="false">IF(T1017=1,IF($B$27&lt;=V1017,1,0),0)</f>
        <v>0</v>
      </c>
      <c r="Y1017" s="58" t="n">
        <f aca="false">Y1016+V1017</f>
        <v>113000.408372882</v>
      </c>
    </row>
    <row r="1018" customFormat="false" ht="15" hidden="false" customHeight="false" outlineLevel="0" collapsed="false">
      <c r="K1018" s="56" t="n">
        <f aca="false">K1017+1</f>
        <v>1011</v>
      </c>
      <c r="L1018" s="57" t="n">
        <f aca="false">IF(AND(K1018&lt;=Assumptions!$C$42,L1017=1,P1017=0,O1017&gt;Assumptions!$C$43),1,0)</f>
        <v>0</v>
      </c>
      <c r="M1018" s="58" t="n">
        <f aca="false">O1017</f>
        <v>8.10541678220034E-009</v>
      </c>
      <c r="N1018" s="58" t="n">
        <f aca="false">IF(L1018=1,M1018*$B$22,0)</f>
        <v>0</v>
      </c>
      <c r="O1018" s="58" t="n">
        <f aca="false">IF(L1018=1,M1018+N1018-$B$26,M1018)</f>
        <v>8.10541678220034E-009</v>
      </c>
      <c r="P1018" s="56" t="n">
        <f aca="false">IF(L1018=1,IF($B$26&lt;=N1018,1,0),0)</f>
        <v>0</v>
      </c>
      <c r="Q1018" s="58" t="n">
        <f aca="false">Q1017+N1018</f>
        <v>145877.630223336</v>
      </c>
      <c r="S1018" s="56" t="n">
        <f aca="false">S1017+1</f>
        <v>1011</v>
      </c>
      <c r="T1018" s="57" t="n">
        <f aca="false">IF(AND(S1018&lt;=Assumptions!$C$42,T1017=1,X1017=0,W1017&gt;Assumptions!$C$43),1,0)</f>
        <v>0</v>
      </c>
      <c r="U1018" s="58" t="n">
        <f aca="false">W1017</f>
        <v>-182.103705036234</v>
      </c>
      <c r="V1018" s="58" t="n">
        <f aca="false">IF(T1018=1,U1018*$B$22,0)</f>
        <v>0</v>
      </c>
      <c r="W1018" s="58" t="n">
        <f aca="false">IF(T1018=1,U1018+V1018-$B$27,U1018)</f>
        <v>-182.103705036234</v>
      </c>
      <c r="X1018" s="56" t="n">
        <f aca="false">IF(T1018=1,IF($B$27&lt;=V1018,1,0),0)</f>
        <v>0</v>
      </c>
      <c r="Y1018" s="58" t="n">
        <f aca="false">Y1017+V1018</f>
        <v>113000.408372882</v>
      </c>
    </row>
    <row r="1019" customFormat="false" ht="15" hidden="false" customHeight="false" outlineLevel="0" collapsed="false">
      <c r="K1019" s="56" t="n">
        <f aca="false">K1018+1</f>
        <v>1012</v>
      </c>
      <c r="L1019" s="57" t="n">
        <f aca="false">IF(AND(K1019&lt;=Assumptions!$C$42,L1018=1,P1018=0,O1018&gt;Assumptions!$C$43),1,0)</f>
        <v>0</v>
      </c>
      <c r="M1019" s="58" t="n">
        <f aca="false">O1018</f>
        <v>8.10541678220034E-009</v>
      </c>
      <c r="N1019" s="58" t="n">
        <f aca="false">IF(L1019=1,M1019*$B$22,0)</f>
        <v>0</v>
      </c>
      <c r="O1019" s="58" t="n">
        <f aca="false">IF(L1019=1,M1019+N1019-$B$26,M1019)</f>
        <v>8.10541678220034E-009</v>
      </c>
      <c r="P1019" s="56" t="n">
        <f aca="false">IF(L1019=1,IF($B$26&lt;=N1019,1,0),0)</f>
        <v>0</v>
      </c>
      <c r="Q1019" s="58" t="n">
        <f aca="false">Q1018+N1019</f>
        <v>145877.630223336</v>
      </c>
      <c r="S1019" s="56" t="n">
        <f aca="false">S1018+1</f>
        <v>1012</v>
      </c>
      <c r="T1019" s="57" t="n">
        <f aca="false">IF(AND(S1019&lt;=Assumptions!$C$42,T1018=1,X1018=0,W1018&gt;Assumptions!$C$43),1,0)</f>
        <v>0</v>
      </c>
      <c r="U1019" s="58" t="n">
        <f aca="false">W1018</f>
        <v>-182.103705036234</v>
      </c>
      <c r="V1019" s="58" t="n">
        <f aca="false">IF(T1019=1,U1019*$B$22,0)</f>
        <v>0</v>
      </c>
      <c r="W1019" s="58" t="n">
        <f aca="false">IF(T1019=1,U1019+V1019-$B$27,U1019)</f>
        <v>-182.103705036234</v>
      </c>
      <c r="X1019" s="56" t="n">
        <f aca="false">IF(T1019=1,IF($B$27&lt;=V1019,1,0),0)</f>
        <v>0</v>
      </c>
      <c r="Y1019" s="58" t="n">
        <f aca="false">Y1018+V1019</f>
        <v>113000.408372882</v>
      </c>
    </row>
    <row r="1020" customFormat="false" ht="15" hidden="false" customHeight="false" outlineLevel="0" collapsed="false">
      <c r="K1020" s="56" t="n">
        <f aca="false">K1019+1</f>
        <v>1013</v>
      </c>
      <c r="L1020" s="57" t="n">
        <f aca="false">IF(AND(K1020&lt;=Assumptions!$C$42,L1019=1,P1019=0,O1019&gt;Assumptions!$C$43),1,0)</f>
        <v>0</v>
      </c>
      <c r="M1020" s="58" t="n">
        <f aca="false">O1019</f>
        <v>8.10541678220034E-009</v>
      </c>
      <c r="N1020" s="58" t="n">
        <f aca="false">IF(L1020=1,M1020*$B$22,0)</f>
        <v>0</v>
      </c>
      <c r="O1020" s="58" t="n">
        <f aca="false">IF(L1020=1,M1020+N1020-$B$26,M1020)</f>
        <v>8.10541678220034E-009</v>
      </c>
      <c r="P1020" s="56" t="n">
        <f aca="false">IF(L1020=1,IF($B$26&lt;=N1020,1,0),0)</f>
        <v>0</v>
      </c>
      <c r="Q1020" s="58" t="n">
        <f aca="false">Q1019+N1020</f>
        <v>145877.630223336</v>
      </c>
      <c r="S1020" s="56" t="n">
        <f aca="false">S1019+1</f>
        <v>1013</v>
      </c>
      <c r="T1020" s="57" t="n">
        <f aca="false">IF(AND(S1020&lt;=Assumptions!$C$42,T1019=1,X1019=0,W1019&gt;Assumptions!$C$43),1,0)</f>
        <v>0</v>
      </c>
      <c r="U1020" s="58" t="n">
        <f aca="false">W1019</f>
        <v>-182.103705036234</v>
      </c>
      <c r="V1020" s="58" t="n">
        <f aca="false">IF(T1020=1,U1020*$B$22,0)</f>
        <v>0</v>
      </c>
      <c r="W1020" s="58" t="n">
        <f aca="false">IF(T1020=1,U1020+V1020-$B$27,U1020)</f>
        <v>-182.103705036234</v>
      </c>
      <c r="X1020" s="56" t="n">
        <f aca="false">IF(T1020=1,IF($B$27&lt;=V1020,1,0),0)</f>
        <v>0</v>
      </c>
      <c r="Y1020" s="58" t="n">
        <f aca="false">Y1019+V1020</f>
        <v>113000.408372882</v>
      </c>
    </row>
    <row r="1021" customFormat="false" ht="15" hidden="false" customHeight="false" outlineLevel="0" collapsed="false">
      <c r="K1021" s="56" t="n">
        <f aca="false">K1020+1</f>
        <v>1014</v>
      </c>
      <c r="L1021" s="57" t="n">
        <f aca="false">IF(AND(K1021&lt;=Assumptions!$C$42,L1020=1,P1020=0,O1020&gt;Assumptions!$C$43),1,0)</f>
        <v>0</v>
      </c>
      <c r="M1021" s="58" t="n">
        <f aca="false">O1020</f>
        <v>8.10541678220034E-009</v>
      </c>
      <c r="N1021" s="58" t="n">
        <f aca="false">IF(L1021=1,M1021*$B$22,0)</f>
        <v>0</v>
      </c>
      <c r="O1021" s="58" t="n">
        <f aca="false">IF(L1021=1,M1021+N1021-$B$26,M1021)</f>
        <v>8.10541678220034E-009</v>
      </c>
      <c r="P1021" s="56" t="n">
        <f aca="false">IF(L1021=1,IF($B$26&lt;=N1021,1,0),0)</f>
        <v>0</v>
      </c>
      <c r="Q1021" s="58" t="n">
        <f aca="false">Q1020+N1021</f>
        <v>145877.630223336</v>
      </c>
      <c r="S1021" s="56" t="n">
        <f aca="false">S1020+1</f>
        <v>1014</v>
      </c>
      <c r="T1021" s="57" t="n">
        <f aca="false">IF(AND(S1021&lt;=Assumptions!$C$42,T1020=1,X1020=0,W1020&gt;Assumptions!$C$43),1,0)</f>
        <v>0</v>
      </c>
      <c r="U1021" s="58" t="n">
        <f aca="false">W1020</f>
        <v>-182.103705036234</v>
      </c>
      <c r="V1021" s="58" t="n">
        <f aca="false">IF(T1021=1,U1021*$B$22,0)</f>
        <v>0</v>
      </c>
      <c r="W1021" s="58" t="n">
        <f aca="false">IF(T1021=1,U1021+V1021-$B$27,U1021)</f>
        <v>-182.103705036234</v>
      </c>
      <c r="X1021" s="56" t="n">
        <f aca="false">IF(T1021=1,IF($B$27&lt;=V1021,1,0),0)</f>
        <v>0</v>
      </c>
      <c r="Y1021" s="58" t="n">
        <f aca="false">Y1020+V1021</f>
        <v>113000.408372882</v>
      </c>
    </row>
    <row r="1022" customFormat="false" ht="15" hidden="false" customHeight="false" outlineLevel="0" collapsed="false">
      <c r="K1022" s="56" t="n">
        <f aca="false">K1021+1</f>
        <v>1015</v>
      </c>
      <c r="L1022" s="57" t="n">
        <f aca="false">IF(AND(K1022&lt;=Assumptions!$C$42,L1021=1,P1021=0,O1021&gt;Assumptions!$C$43),1,0)</f>
        <v>0</v>
      </c>
      <c r="M1022" s="58" t="n">
        <f aca="false">O1021</f>
        <v>8.10541678220034E-009</v>
      </c>
      <c r="N1022" s="58" t="n">
        <f aca="false">IF(L1022=1,M1022*$B$22,0)</f>
        <v>0</v>
      </c>
      <c r="O1022" s="58" t="n">
        <f aca="false">IF(L1022=1,M1022+N1022-$B$26,M1022)</f>
        <v>8.10541678220034E-009</v>
      </c>
      <c r="P1022" s="56" t="n">
        <f aca="false">IF(L1022=1,IF($B$26&lt;=N1022,1,0),0)</f>
        <v>0</v>
      </c>
      <c r="Q1022" s="58" t="n">
        <f aca="false">Q1021+N1022</f>
        <v>145877.630223336</v>
      </c>
      <c r="S1022" s="56" t="n">
        <f aca="false">S1021+1</f>
        <v>1015</v>
      </c>
      <c r="T1022" s="57" t="n">
        <f aca="false">IF(AND(S1022&lt;=Assumptions!$C$42,T1021=1,X1021=0,W1021&gt;Assumptions!$C$43),1,0)</f>
        <v>0</v>
      </c>
      <c r="U1022" s="58" t="n">
        <f aca="false">W1021</f>
        <v>-182.103705036234</v>
      </c>
      <c r="V1022" s="58" t="n">
        <f aca="false">IF(T1022=1,U1022*$B$22,0)</f>
        <v>0</v>
      </c>
      <c r="W1022" s="58" t="n">
        <f aca="false">IF(T1022=1,U1022+V1022-$B$27,U1022)</f>
        <v>-182.103705036234</v>
      </c>
      <c r="X1022" s="56" t="n">
        <f aca="false">IF(T1022=1,IF($B$27&lt;=V1022,1,0),0)</f>
        <v>0</v>
      </c>
      <c r="Y1022" s="58" t="n">
        <f aca="false">Y1021+V1022</f>
        <v>113000.408372882</v>
      </c>
    </row>
    <row r="1023" customFormat="false" ht="15" hidden="false" customHeight="false" outlineLevel="0" collapsed="false">
      <c r="K1023" s="56" t="n">
        <f aca="false">K1022+1</f>
        <v>1016</v>
      </c>
      <c r="L1023" s="57" t="n">
        <f aca="false">IF(AND(K1023&lt;=Assumptions!$C$42,L1022=1,P1022=0,O1022&gt;Assumptions!$C$43),1,0)</f>
        <v>0</v>
      </c>
      <c r="M1023" s="58" t="n">
        <f aca="false">O1022</f>
        <v>8.10541678220034E-009</v>
      </c>
      <c r="N1023" s="58" t="n">
        <f aca="false">IF(L1023=1,M1023*$B$22,0)</f>
        <v>0</v>
      </c>
      <c r="O1023" s="58" t="n">
        <f aca="false">IF(L1023=1,M1023+N1023-$B$26,M1023)</f>
        <v>8.10541678220034E-009</v>
      </c>
      <c r="P1023" s="56" t="n">
        <f aca="false">IF(L1023=1,IF($B$26&lt;=N1023,1,0),0)</f>
        <v>0</v>
      </c>
      <c r="Q1023" s="58" t="n">
        <f aca="false">Q1022+N1023</f>
        <v>145877.630223336</v>
      </c>
      <c r="S1023" s="56" t="n">
        <f aca="false">S1022+1</f>
        <v>1016</v>
      </c>
      <c r="T1023" s="57" t="n">
        <f aca="false">IF(AND(S1023&lt;=Assumptions!$C$42,T1022=1,X1022=0,W1022&gt;Assumptions!$C$43),1,0)</f>
        <v>0</v>
      </c>
      <c r="U1023" s="58" t="n">
        <f aca="false">W1022</f>
        <v>-182.103705036234</v>
      </c>
      <c r="V1023" s="58" t="n">
        <f aca="false">IF(T1023=1,U1023*$B$22,0)</f>
        <v>0</v>
      </c>
      <c r="W1023" s="58" t="n">
        <f aca="false">IF(T1023=1,U1023+V1023-$B$27,U1023)</f>
        <v>-182.103705036234</v>
      </c>
      <c r="X1023" s="56" t="n">
        <f aca="false">IF(T1023=1,IF($B$27&lt;=V1023,1,0),0)</f>
        <v>0</v>
      </c>
      <c r="Y1023" s="58" t="n">
        <f aca="false">Y1022+V1023</f>
        <v>113000.408372882</v>
      </c>
    </row>
    <row r="1024" customFormat="false" ht="15" hidden="false" customHeight="false" outlineLevel="0" collapsed="false">
      <c r="K1024" s="56" t="n">
        <f aca="false">K1023+1</f>
        <v>1017</v>
      </c>
      <c r="L1024" s="57" t="n">
        <f aca="false">IF(AND(K1024&lt;=Assumptions!$C$42,L1023=1,P1023=0,O1023&gt;Assumptions!$C$43),1,0)</f>
        <v>0</v>
      </c>
      <c r="M1024" s="58" t="n">
        <f aca="false">O1023</f>
        <v>8.10541678220034E-009</v>
      </c>
      <c r="N1024" s="58" t="n">
        <f aca="false">IF(L1024=1,M1024*$B$22,0)</f>
        <v>0</v>
      </c>
      <c r="O1024" s="58" t="n">
        <f aca="false">IF(L1024=1,M1024+N1024-$B$26,M1024)</f>
        <v>8.10541678220034E-009</v>
      </c>
      <c r="P1024" s="56" t="n">
        <f aca="false">IF(L1024=1,IF($B$26&lt;=N1024,1,0),0)</f>
        <v>0</v>
      </c>
      <c r="Q1024" s="58" t="n">
        <f aca="false">Q1023+N1024</f>
        <v>145877.630223336</v>
      </c>
      <c r="S1024" s="56" t="n">
        <f aca="false">S1023+1</f>
        <v>1017</v>
      </c>
      <c r="T1024" s="57" t="n">
        <f aca="false">IF(AND(S1024&lt;=Assumptions!$C$42,T1023=1,X1023=0,W1023&gt;Assumptions!$C$43),1,0)</f>
        <v>0</v>
      </c>
      <c r="U1024" s="58" t="n">
        <f aca="false">W1023</f>
        <v>-182.103705036234</v>
      </c>
      <c r="V1024" s="58" t="n">
        <f aca="false">IF(T1024=1,U1024*$B$22,0)</f>
        <v>0</v>
      </c>
      <c r="W1024" s="58" t="n">
        <f aca="false">IF(T1024=1,U1024+V1024-$B$27,U1024)</f>
        <v>-182.103705036234</v>
      </c>
      <c r="X1024" s="56" t="n">
        <f aca="false">IF(T1024=1,IF($B$27&lt;=V1024,1,0),0)</f>
        <v>0</v>
      </c>
      <c r="Y1024" s="58" t="n">
        <f aca="false">Y1023+V1024</f>
        <v>113000.408372882</v>
      </c>
    </row>
    <row r="1025" customFormat="false" ht="15" hidden="false" customHeight="false" outlineLevel="0" collapsed="false">
      <c r="K1025" s="56" t="n">
        <f aca="false">K1024+1</f>
        <v>1018</v>
      </c>
      <c r="L1025" s="57" t="n">
        <f aca="false">IF(AND(K1025&lt;=Assumptions!$C$42,L1024=1,P1024=0,O1024&gt;Assumptions!$C$43),1,0)</f>
        <v>0</v>
      </c>
      <c r="M1025" s="58" t="n">
        <f aca="false">O1024</f>
        <v>8.10541678220034E-009</v>
      </c>
      <c r="N1025" s="58" t="n">
        <f aca="false">IF(L1025=1,M1025*$B$22,0)</f>
        <v>0</v>
      </c>
      <c r="O1025" s="58" t="n">
        <f aca="false">IF(L1025=1,M1025+N1025-$B$26,M1025)</f>
        <v>8.10541678220034E-009</v>
      </c>
      <c r="P1025" s="56" t="n">
        <f aca="false">IF(L1025=1,IF($B$26&lt;=N1025,1,0),0)</f>
        <v>0</v>
      </c>
      <c r="Q1025" s="58" t="n">
        <f aca="false">Q1024+N1025</f>
        <v>145877.630223336</v>
      </c>
      <c r="S1025" s="56" t="n">
        <f aca="false">S1024+1</f>
        <v>1018</v>
      </c>
      <c r="T1025" s="57" t="n">
        <f aca="false">IF(AND(S1025&lt;=Assumptions!$C$42,T1024=1,X1024=0,W1024&gt;Assumptions!$C$43),1,0)</f>
        <v>0</v>
      </c>
      <c r="U1025" s="58" t="n">
        <f aca="false">W1024</f>
        <v>-182.103705036234</v>
      </c>
      <c r="V1025" s="58" t="n">
        <f aca="false">IF(T1025=1,U1025*$B$22,0)</f>
        <v>0</v>
      </c>
      <c r="W1025" s="58" t="n">
        <f aca="false">IF(T1025=1,U1025+V1025-$B$27,U1025)</f>
        <v>-182.103705036234</v>
      </c>
      <c r="X1025" s="56" t="n">
        <f aca="false">IF(T1025=1,IF($B$27&lt;=V1025,1,0),0)</f>
        <v>0</v>
      </c>
      <c r="Y1025" s="58" t="n">
        <f aca="false">Y1024+V1025</f>
        <v>113000.408372882</v>
      </c>
    </row>
    <row r="1026" customFormat="false" ht="15" hidden="false" customHeight="false" outlineLevel="0" collapsed="false">
      <c r="K1026" s="56" t="n">
        <f aca="false">K1025+1</f>
        <v>1019</v>
      </c>
      <c r="L1026" s="57" t="n">
        <f aca="false">IF(AND(K1026&lt;=Assumptions!$C$42,L1025=1,P1025=0,O1025&gt;Assumptions!$C$43),1,0)</f>
        <v>0</v>
      </c>
      <c r="M1026" s="58" t="n">
        <f aca="false">O1025</f>
        <v>8.10541678220034E-009</v>
      </c>
      <c r="N1026" s="58" t="n">
        <f aca="false">IF(L1026=1,M1026*$B$22,0)</f>
        <v>0</v>
      </c>
      <c r="O1026" s="58" t="n">
        <f aca="false">IF(L1026=1,M1026+N1026-$B$26,M1026)</f>
        <v>8.10541678220034E-009</v>
      </c>
      <c r="P1026" s="56" t="n">
        <f aca="false">IF(L1026=1,IF($B$26&lt;=N1026,1,0),0)</f>
        <v>0</v>
      </c>
      <c r="Q1026" s="58" t="n">
        <f aca="false">Q1025+N1026</f>
        <v>145877.630223336</v>
      </c>
      <c r="S1026" s="56" t="n">
        <f aca="false">S1025+1</f>
        <v>1019</v>
      </c>
      <c r="T1026" s="57" t="n">
        <f aca="false">IF(AND(S1026&lt;=Assumptions!$C$42,T1025=1,X1025=0,W1025&gt;Assumptions!$C$43),1,0)</f>
        <v>0</v>
      </c>
      <c r="U1026" s="58" t="n">
        <f aca="false">W1025</f>
        <v>-182.103705036234</v>
      </c>
      <c r="V1026" s="58" t="n">
        <f aca="false">IF(T1026=1,U1026*$B$22,0)</f>
        <v>0</v>
      </c>
      <c r="W1026" s="58" t="n">
        <f aca="false">IF(T1026=1,U1026+V1026-$B$27,U1026)</f>
        <v>-182.103705036234</v>
      </c>
      <c r="X1026" s="56" t="n">
        <f aca="false">IF(T1026=1,IF($B$27&lt;=V1026,1,0),0)</f>
        <v>0</v>
      </c>
      <c r="Y1026" s="58" t="n">
        <f aca="false">Y1025+V1026</f>
        <v>113000.408372882</v>
      </c>
    </row>
    <row r="1027" customFormat="false" ht="15" hidden="false" customHeight="false" outlineLevel="0" collapsed="false">
      <c r="K1027" s="56" t="n">
        <f aca="false">K1026+1</f>
        <v>1020</v>
      </c>
      <c r="L1027" s="57" t="n">
        <f aca="false">IF(AND(K1027&lt;=Assumptions!$C$42,L1026=1,P1026=0,O1026&gt;Assumptions!$C$43),1,0)</f>
        <v>0</v>
      </c>
      <c r="M1027" s="58" t="n">
        <f aca="false">O1026</f>
        <v>8.10541678220034E-009</v>
      </c>
      <c r="N1027" s="58" t="n">
        <f aca="false">IF(L1027=1,M1027*$B$22,0)</f>
        <v>0</v>
      </c>
      <c r="O1027" s="58" t="n">
        <f aca="false">IF(L1027=1,M1027+N1027-$B$26,M1027)</f>
        <v>8.10541678220034E-009</v>
      </c>
      <c r="P1027" s="56" t="n">
        <f aca="false">IF(L1027=1,IF($B$26&lt;=N1027,1,0),0)</f>
        <v>0</v>
      </c>
      <c r="Q1027" s="58" t="n">
        <f aca="false">Q1026+N1027</f>
        <v>145877.630223336</v>
      </c>
      <c r="S1027" s="56" t="n">
        <f aca="false">S1026+1</f>
        <v>1020</v>
      </c>
      <c r="T1027" s="57" t="n">
        <f aca="false">IF(AND(S1027&lt;=Assumptions!$C$42,T1026=1,X1026=0,W1026&gt;Assumptions!$C$43),1,0)</f>
        <v>0</v>
      </c>
      <c r="U1027" s="58" t="n">
        <f aca="false">W1026</f>
        <v>-182.103705036234</v>
      </c>
      <c r="V1027" s="58" t="n">
        <f aca="false">IF(T1027=1,U1027*$B$22,0)</f>
        <v>0</v>
      </c>
      <c r="W1027" s="58" t="n">
        <f aca="false">IF(T1027=1,U1027+V1027-$B$27,U1027)</f>
        <v>-182.103705036234</v>
      </c>
      <c r="X1027" s="56" t="n">
        <f aca="false">IF(T1027=1,IF($B$27&lt;=V1027,1,0),0)</f>
        <v>0</v>
      </c>
      <c r="Y1027" s="58" t="n">
        <f aca="false">Y1026+V1027</f>
        <v>113000.408372882</v>
      </c>
    </row>
    <row r="1028" customFormat="false" ht="15" hidden="false" customHeight="false" outlineLevel="0" collapsed="false">
      <c r="K1028" s="56" t="n">
        <f aca="false">K1027+1</f>
        <v>1021</v>
      </c>
      <c r="L1028" s="57" t="n">
        <f aca="false">IF(AND(K1028&lt;=Assumptions!$C$42,L1027=1,P1027=0,O1027&gt;Assumptions!$C$43),1,0)</f>
        <v>0</v>
      </c>
      <c r="M1028" s="58" t="n">
        <f aca="false">O1027</f>
        <v>8.10541678220034E-009</v>
      </c>
      <c r="N1028" s="58" t="n">
        <f aca="false">IF(L1028=1,M1028*$B$22,0)</f>
        <v>0</v>
      </c>
      <c r="O1028" s="58" t="n">
        <f aca="false">IF(L1028=1,M1028+N1028-$B$26,M1028)</f>
        <v>8.10541678220034E-009</v>
      </c>
      <c r="P1028" s="56" t="n">
        <f aca="false">IF(L1028=1,IF($B$26&lt;=N1028,1,0),0)</f>
        <v>0</v>
      </c>
      <c r="Q1028" s="58" t="n">
        <f aca="false">Q1027+N1028</f>
        <v>145877.630223336</v>
      </c>
      <c r="S1028" s="56" t="n">
        <f aca="false">S1027+1</f>
        <v>1021</v>
      </c>
      <c r="T1028" s="57" t="n">
        <f aca="false">IF(AND(S1028&lt;=Assumptions!$C$42,T1027=1,X1027=0,W1027&gt;Assumptions!$C$43),1,0)</f>
        <v>0</v>
      </c>
      <c r="U1028" s="58" t="n">
        <f aca="false">W1027</f>
        <v>-182.103705036234</v>
      </c>
      <c r="V1028" s="58" t="n">
        <f aca="false">IF(T1028=1,U1028*$B$22,0)</f>
        <v>0</v>
      </c>
      <c r="W1028" s="58" t="n">
        <f aca="false">IF(T1028=1,U1028+V1028-$B$27,U1028)</f>
        <v>-182.103705036234</v>
      </c>
      <c r="X1028" s="56" t="n">
        <f aca="false">IF(T1028=1,IF($B$27&lt;=V1028,1,0),0)</f>
        <v>0</v>
      </c>
      <c r="Y1028" s="58" t="n">
        <f aca="false">Y1027+V1028</f>
        <v>113000.408372882</v>
      </c>
    </row>
    <row r="1029" customFormat="false" ht="15" hidden="false" customHeight="false" outlineLevel="0" collapsed="false">
      <c r="K1029" s="56" t="n">
        <f aca="false">K1028+1</f>
        <v>1022</v>
      </c>
      <c r="L1029" s="57" t="n">
        <f aca="false">IF(AND(K1029&lt;=Assumptions!$C$42,L1028=1,P1028=0,O1028&gt;Assumptions!$C$43),1,0)</f>
        <v>0</v>
      </c>
      <c r="M1029" s="58" t="n">
        <f aca="false">O1028</f>
        <v>8.10541678220034E-009</v>
      </c>
      <c r="N1029" s="58" t="n">
        <f aca="false">IF(L1029=1,M1029*$B$22,0)</f>
        <v>0</v>
      </c>
      <c r="O1029" s="58" t="n">
        <f aca="false">IF(L1029=1,M1029+N1029-$B$26,M1029)</f>
        <v>8.10541678220034E-009</v>
      </c>
      <c r="P1029" s="56" t="n">
        <f aca="false">IF(L1029=1,IF($B$26&lt;=N1029,1,0),0)</f>
        <v>0</v>
      </c>
      <c r="Q1029" s="58" t="n">
        <f aca="false">Q1028+N1029</f>
        <v>145877.630223336</v>
      </c>
      <c r="S1029" s="56" t="n">
        <f aca="false">S1028+1</f>
        <v>1022</v>
      </c>
      <c r="T1029" s="57" t="n">
        <f aca="false">IF(AND(S1029&lt;=Assumptions!$C$42,T1028=1,X1028=0,W1028&gt;Assumptions!$C$43),1,0)</f>
        <v>0</v>
      </c>
      <c r="U1029" s="58" t="n">
        <f aca="false">W1028</f>
        <v>-182.103705036234</v>
      </c>
      <c r="V1029" s="58" t="n">
        <f aca="false">IF(T1029=1,U1029*$B$22,0)</f>
        <v>0</v>
      </c>
      <c r="W1029" s="58" t="n">
        <f aca="false">IF(T1029=1,U1029+V1029-$B$27,U1029)</f>
        <v>-182.103705036234</v>
      </c>
      <c r="X1029" s="56" t="n">
        <f aca="false">IF(T1029=1,IF($B$27&lt;=V1029,1,0),0)</f>
        <v>0</v>
      </c>
      <c r="Y1029" s="58" t="n">
        <f aca="false">Y1028+V1029</f>
        <v>113000.408372882</v>
      </c>
    </row>
    <row r="1030" customFormat="false" ht="15" hidden="false" customHeight="false" outlineLevel="0" collapsed="false">
      <c r="K1030" s="56" t="n">
        <f aca="false">K1029+1</f>
        <v>1023</v>
      </c>
      <c r="L1030" s="57" t="n">
        <f aca="false">IF(AND(K1030&lt;=Assumptions!$C$42,L1029=1,P1029=0,O1029&gt;Assumptions!$C$43),1,0)</f>
        <v>0</v>
      </c>
      <c r="M1030" s="58" t="n">
        <f aca="false">O1029</f>
        <v>8.10541678220034E-009</v>
      </c>
      <c r="N1030" s="58" t="n">
        <f aca="false">IF(L1030=1,M1030*$B$22,0)</f>
        <v>0</v>
      </c>
      <c r="O1030" s="58" t="n">
        <f aca="false">IF(L1030=1,M1030+N1030-$B$26,M1030)</f>
        <v>8.10541678220034E-009</v>
      </c>
      <c r="P1030" s="56" t="n">
        <f aca="false">IF(L1030=1,IF($B$26&lt;=N1030,1,0),0)</f>
        <v>0</v>
      </c>
      <c r="Q1030" s="58" t="n">
        <f aca="false">Q1029+N1030</f>
        <v>145877.630223336</v>
      </c>
      <c r="S1030" s="56" t="n">
        <f aca="false">S1029+1</f>
        <v>1023</v>
      </c>
      <c r="T1030" s="57" t="n">
        <f aca="false">IF(AND(S1030&lt;=Assumptions!$C$42,T1029=1,X1029=0,W1029&gt;Assumptions!$C$43),1,0)</f>
        <v>0</v>
      </c>
      <c r="U1030" s="58" t="n">
        <f aca="false">W1029</f>
        <v>-182.103705036234</v>
      </c>
      <c r="V1030" s="58" t="n">
        <f aca="false">IF(T1030=1,U1030*$B$22,0)</f>
        <v>0</v>
      </c>
      <c r="W1030" s="58" t="n">
        <f aca="false">IF(T1030=1,U1030+V1030-$B$27,U1030)</f>
        <v>-182.103705036234</v>
      </c>
      <c r="X1030" s="56" t="n">
        <f aca="false">IF(T1030=1,IF($B$27&lt;=V1030,1,0),0)</f>
        <v>0</v>
      </c>
      <c r="Y1030" s="58" t="n">
        <f aca="false">Y1029+V1030</f>
        <v>113000.408372882</v>
      </c>
    </row>
    <row r="1031" customFormat="false" ht="15" hidden="false" customHeight="false" outlineLevel="0" collapsed="false">
      <c r="K1031" s="56" t="n">
        <f aca="false">K1030+1</f>
        <v>1024</v>
      </c>
      <c r="L1031" s="57" t="n">
        <f aca="false">IF(AND(K1031&lt;=Assumptions!$C$42,L1030=1,P1030=0,O1030&gt;Assumptions!$C$43),1,0)</f>
        <v>0</v>
      </c>
      <c r="M1031" s="58" t="n">
        <f aca="false">O1030</f>
        <v>8.10541678220034E-009</v>
      </c>
      <c r="N1031" s="58" t="n">
        <f aca="false">IF(L1031=1,M1031*$B$22,0)</f>
        <v>0</v>
      </c>
      <c r="O1031" s="58" t="n">
        <f aca="false">IF(L1031=1,M1031+N1031-$B$26,M1031)</f>
        <v>8.10541678220034E-009</v>
      </c>
      <c r="P1031" s="56" t="n">
        <f aca="false">IF(L1031=1,IF($B$26&lt;=N1031,1,0),0)</f>
        <v>0</v>
      </c>
      <c r="Q1031" s="58" t="n">
        <f aca="false">Q1030+N1031</f>
        <v>145877.630223336</v>
      </c>
      <c r="S1031" s="56" t="n">
        <f aca="false">S1030+1</f>
        <v>1024</v>
      </c>
      <c r="T1031" s="57" t="n">
        <f aca="false">IF(AND(S1031&lt;=Assumptions!$C$42,T1030=1,X1030=0,W1030&gt;Assumptions!$C$43),1,0)</f>
        <v>0</v>
      </c>
      <c r="U1031" s="58" t="n">
        <f aca="false">W1030</f>
        <v>-182.103705036234</v>
      </c>
      <c r="V1031" s="58" t="n">
        <f aca="false">IF(T1031=1,U1031*$B$22,0)</f>
        <v>0</v>
      </c>
      <c r="W1031" s="58" t="n">
        <f aca="false">IF(T1031=1,U1031+V1031-$B$27,U1031)</f>
        <v>-182.103705036234</v>
      </c>
      <c r="X1031" s="56" t="n">
        <f aca="false">IF(T1031=1,IF($B$27&lt;=V1031,1,0),0)</f>
        <v>0</v>
      </c>
      <c r="Y1031" s="58" t="n">
        <f aca="false">Y1030+V1031</f>
        <v>113000.408372882</v>
      </c>
    </row>
    <row r="1032" customFormat="false" ht="15" hidden="false" customHeight="false" outlineLevel="0" collapsed="false">
      <c r="K1032" s="56" t="n">
        <f aca="false">K1031+1</f>
        <v>1025</v>
      </c>
      <c r="L1032" s="57" t="n">
        <f aca="false">IF(AND(K1032&lt;=Assumptions!$C$42,L1031=1,P1031=0,O1031&gt;Assumptions!$C$43),1,0)</f>
        <v>0</v>
      </c>
      <c r="M1032" s="58" t="n">
        <f aca="false">O1031</f>
        <v>8.10541678220034E-009</v>
      </c>
      <c r="N1032" s="58" t="n">
        <f aca="false">IF(L1032=1,M1032*$B$22,0)</f>
        <v>0</v>
      </c>
      <c r="O1032" s="58" t="n">
        <f aca="false">IF(L1032=1,M1032+N1032-$B$26,M1032)</f>
        <v>8.10541678220034E-009</v>
      </c>
      <c r="P1032" s="56" t="n">
        <f aca="false">IF(L1032=1,IF($B$26&lt;=N1032,1,0),0)</f>
        <v>0</v>
      </c>
      <c r="Q1032" s="58" t="n">
        <f aca="false">Q1031+N1032</f>
        <v>145877.630223336</v>
      </c>
      <c r="S1032" s="56" t="n">
        <f aca="false">S1031+1</f>
        <v>1025</v>
      </c>
      <c r="T1032" s="57" t="n">
        <f aca="false">IF(AND(S1032&lt;=Assumptions!$C$42,T1031=1,X1031=0,W1031&gt;Assumptions!$C$43),1,0)</f>
        <v>0</v>
      </c>
      <c r="U1032" s="58" t="n">
        <f aca="false">W1031</f>
        <v>-182.103705036234</v>
      </c>
      <c r="V1032" s="58" t="n">
        <f aca="false">IF(T1032=1,U1032*$B$22,0)</f>
        <v>0</v>
      </c>
      <c r="W1032" s="58" t="n">
        <f aca="false">IF(T1032=1,U1032+V1032-$B$27,U1032)</f>
        <v>-182.103705036234</v>
      </c>
      <c r="X1032" s="56" t="n">
        <f aca="false">IF(T1032=1,IF($B$27&lt;=V1032,1,0),0)</f>
        <v>0</v>
      </c>
      <c r="Y1032" s="58" t="n">
        <f aca="false">Y1031+V1032</f>
        <v>113000.408372882</v>
      </c>
    </row>
    <row r="1033" customFormat="false" ht="15" hidden="false" customHeight="false" outlineLevel="0" collapsed="false">
      <c r="K1033" s="56" t="n">
        <f aca="false">K1032+1</f>
        <v>1026</v>
      </c>
      <c r="L1033" s="57" t="n">
        <f aca="false">IF(AND(K1033&lt;=Assumptions!$C$42,L1032=1,P1032=0,O1032&gt;Assumptions!$C$43),1,0)</f>
        <v>0</v>
      </c>
      <c r="M1033" s="58" t="n">
        <f aca="false">O1032</f>
        <v>8.10541678220034E-009</v>
      </c>
      <c r="N1033" s="58" t="n">
        <f aca="false">IF(L1033=1,M1033*$B$22,0)</f>
        <v>0</v>
      </c>
      <c r="O1033" s="58" t="n">
        <f aca="false">IF(L1033=1,M1033+N1033-$B$26,M1033)</f>
        <v>8.10541678220034E-009</v>
      </c>
      <c r="P1033" s="56" t="n">
        <f aca="false">IF(L1033=1,IF($B$26&lt;=N1033,1,0),0)</f>
        <v>0</v>
      </c>
      <c r="Q1033" s="58" t="n">
        <f aca="false">Q1032+N1033</f>
        <v>145877.630223336</v>
      </c>
      <c r="S1033" s="56" t="n">
        <f aca="false">S1032+1</f>
        <v>1026</v>
      </c>
      <c r="T1033" s="57" t="n">
        <f aca="false">IF(AND(S1033&lt;=Assumptions!$C$42,T1032=1,X1032=0,W1032&gt;Assumptions!$C$43),1,0)</f>
        <v>0</v>
      </c>
      <c r="U1033" s="58" t="n">
        <f aca="false">W1032</f>
        <v>-182.103705036234</v>
      </c>
      <c r="V1033" s="58" t="n">
        <f aca="false">IF(T1033=1,U1033*$B$22,0)</f>
        <v>0</v>
      </c>
      <c r="W1033" s="58" t="n">
        <f aca="false">IF(T1033=1,U1033+V1033-$B$27,U1033)</f>
        <v>-182.103705036234</v>
      </c>
      <c r="X1033" s="56" t="n">
        <f aca="false">IF(T1033=1,IF($B$27&lt;=V1033,1,0),0)</f>
        <v>0</v>
      </c>
      <c r="Y1033" s="58" t="n">
        <f aca="false">Y1032+V1033</f>
        <v>113000.408372882</v>
      </c>
    </row>
    <row r="1034" customFormat="false" ht="15" hidden="false" customHeight="false" outlineLevel="0" collapsed="false">
      <c r="K1034" s="56" t="n">
        <f aca="false">K1033+1</f>
        <v>1027</v>
      </c>
      <c r="L1034" s="57" t="n">
        <f aca="false">IF(AND(K1034&lt;=Assumptions!$C$42,L1033=1,P1033=0,O1033&gt;Assumptions!$C$43),1,0)</f>
        <v>0</v>
      </c>
      <c r="M1034" s="58" t="n">
        <f aca="false">O1033</f>
        <v>8.10541678220034E-009</v>
      </c>
      <c r="N1034" s="58" t="n">
        <f aca="false">IF(L1034=1,M1034*$B$22,0)</f>
        <v>0</v>
      </c>
      <c r="O1034" s="58" t="n">
        <f aca="false">IF(L1034=1,M1034+N1034-$B$26,M1034)</f>
        <v>8.10541678220034E-009</v>
      </c>
      <c r="P1034" s="56" t="n">
        <f aca="false">IF(L1034=1,IF($B$26&lt;=N1034,1,0),0)</f>
        <v>0</v>
      </c>
      <c r="Q1034" s="58" t="n">
        <f aca="false">Q1033+N1034</f>
        <v>145877.630223336</v>
      </c>
      <c r="S1034" s="56" t="n">
        <f aca="false">S1033+1</f>
        <v>1027</v>
      </c>
      <c r="T1034" s="57" t="n">
        <f aca="false">IF(AND(S1034&lt;=Assumptions!$C$42,T1033=1,X1033=0,W1033&gt;Assumptions!$C$43),1,0)</f>
        <v>0</v>
      </c>
      <c r="U1034" s="58" t="n">
        <f aca="false">W1033</f>
        <v>-182.103705036234</v>
      </c>
      <c r="V1034" s="58" t="n">
        <f aca="false">IF(T1034=1,U1034*$B$22,0)</f>
        <v>0</v>
      </c>
      <c r="W1034" s="58" t="n">
        <f aca="false">IF(T1034=1,U1034+V1034-$B$27,U1034)</f>
        <v>-182.103705036234</v>
      </c>
      <c r="X1034" s="56" t="n">
        <f aca="false">IF(T1034=1,IF($B$27&lt;=V1034,1,0),0)</f>
        <v>0</v>
      </c>
      <c r="Y1034" s="58" t="n">
        <f aca="false">Y1033+V1034</f>
        <v>113000.408372882</v>
      </c>
    </row>
    <row r="1035" customFormat="false" ht="15" hidden="false" customHeight="false" outlineLevel="0" collapsed="false">
      <c r="K1035" s="56" t="n">
        <f aca="false">K1034+1</f>
        <v>1028</v>
      </c>
      <c r="L1035" s="57" t="n">
        <f aca="false">IF(AND(K1035&lt;=Assumptions!$C$42,L1034=1,P1034=0,O1034&gt;Assumptions!$C$43),1,0)</f>
        <v>0</v>
      </c>
      <c r="M1035" s="58" t="n">
        <f aca="false">O1034</f>
        <v>8.10541678220034E-009</v>
      </c>
      <c r="N1035" s="58" t="n">
        <f aca="false">IF(L1035=1,M1035*$B$22,0)</f>
        <v>0</v>
      </c>
      <c r="O1035" s="58" t="n">
        <f aca="false">IF(L1035=1,M1035+N1035-$B$26,M1035)</f>
        <v>8.10541678220034E-009</v>
      </c>
      <c r="P1035" s="56" t="n">
        <f aca="false">IF(L1035=1,IF($B$26&lt;=N1035,1,0),0)</f>
        <v>0</v>
      </c>
      <c r="Q1035" s="58" t="n">
        <f aca="false">Q1034+N1035</f>
        <v>145877.630223336</v>
      </c>
      <c r="S1035" s="56" t="n">
        <f aca="false">S1034+1</f>
        <v>1028</v>
      </c>
      <c r="T1035" s="57" t="n">
        <f aca="false">IF(AND(S1035&lt;=Assumptions!$C$42,T1034=1,X1034=0,W1034&gt;Assumptions!$C$43),1,0)</f>
        <v>0</v>
      </c>
      <c r="U1035" s="58" t="n">
        <f aca="false">W1034</f>
        <v>-182.103705036234</v>
      </c>
      <c r="V1035" s="58" t="n">
        <f aca="false">IF(T1035=1,U1035*$B$22,0)</f>
        <v>0</v>
      </c>
      <c r="W1035" s="58" t="n">
        <f aca="false">IF(T1035=1,U1035+V1035-$B$27,U1035)</f>
        <v>-182.103705036234</v>
      </c>
      <c r="X1035" s="56" t="n">
        <f aca="false">IF(T1035=1,IF($B$27&lt;=V1035,1,0),0)</f>
        <v>0</v>
      </c>
      <c r="Y1035" s="58" t="n">
        <f aca="false">Y1034+V1035</f>
        <v>113000.408372882</v>
      </c>
    </row>
    <row r="1036" customFormat="false" ht="15" hidden="false" customHeight="false" outlineLevel="0" collapsed="false">
      <c r="K1036" s="56" t="n">
        <f aca="false">K1035+1</f>
        <v>1029</v>
      </c>
      <c r="L1036" s="57" t="n">
        <f aca="false">IF(AND(K1036&lt;=Assumptions!$C$42,L1035=1,P1035=0,O1035&gt;Assumptions!$C$43),1,0)</f>
        <v>0</v>
      </c>
      <c r="M1036" s="58" t="n">
        <f aca="false">O1035</f>
        <v>8.10541678220034E-009</v>
      </c>
      <c r="N1036" s="58" t="n">
        <f aca="false">IF(L1036=1,M1036*$B$22,0)</f>
        <v>0</v>
      </c>
      <c r="O1036" s="58" t="n">
        <f aca="false">IF(L1036=1,M1036+N1036-$B$26,M1036)</f>
        <v>8.10541678220034E-009</v>
      </c>
      <c r="P1036" s="56" t="n">
        <f aca="false">IF(L1036=1,IF($B$26&lt;=N1036,1,0),0)</f>
        <v>0</v>
      </c>
      <c r="Q1036" s="58" t="n">
        <f aca="false">Q1035+N1036</f>
        <v>145877.630223336</v>
      </c>
      <c r="S1036" s="56" t="n">
        <f aca="false">S1035+1</f>
        <v>1029</v>
      </c>
      <c r="T1036" s="57" t="n">
        <f aca="false">IF(AND(S1036&lt;=Assumptions!$C$42,T1035=1,X1035=0,W1035&gt;Assumptions!$C$43),1,0)</f>
        <v>0</v>
      </c>
      <c r="U1036" s="58" t="n">
        <f aca="false">W1035</f>
        <v>-182.103705036234</v>
      </c>
      <c r="V1036" s="58" t="n">
        <f aca="false">IF(T1036=1,U1036*$B$22,0)</f>
        <v>0</v>
      </c>
      <c r="W1036" s="58" t="n">
        <f aca="false">IF(T1036=1,U1036+V1036-$B$27,U1036)</f>
        <v>-182.103705036234</v>
      </c>
      <c r="X1036" s="56" t="n">
        <f aca="false">IF(T1036=1,IF($B$27&lt;=V1036,1,0),0)</f>
        <v>0</v>
      </c>
      <c r="Y1036" s="58" t="n">
        <f aca="false">Y1035+V1036</f>
        <v>113000.408372882</v>
      </c>
    </row>
    <row r="1037" customFormat="false" ht="15" hidden="false" customHeight="false" outlineLevel="0" collapsed="false">
      <c r="K1037" s="56" t="n">
        <f aca="false">K1036+1</f>
        <v>1030</v>
      </c>
      <c r="L1037" s="57" t="n">
        <f aca="false">IF(AND(K1037&lt;=Assumptions!$C$42,L1036=1,P1036=0,O1036&gt;Assumptions!$C$43),1,0)</f>
        <v>0</v>
      </c>
      <c r="M1037" s="58" t="n">
        <f aca="false">O1036</f>
        <v>8.10541678220034E-009</v>
      </c>
      <c r="N1037" s="58" t="n">
        <f aca="false">IF(L1037=1,M1037*$B$22,0)</f>
        <v>0</v>
      </c>
      <c r="O1037" s="58" t="n">
        <f aca="false">IF(L1037=1,M1037+N1037-$B$26,M1037)</f>
        <v>8.10541678220034E-009</v>
      </c>
      <c r="P1037" s="56" t="n">
        <f aca="false">IF(L1037=1,IF($B$26&lt;=N1037,1,0),0)</f>
        <v>0</v>
      </c>
      <c r="Q1037" s="58" t="n">
        <f aca="false">Q1036+N1037</f>
        <v>145877.630223336</v>
      </c>
      <c r="S1037" s="56" t="n">
        <f aca="false">S1036+1</f>
        <v>1030</v>
      </c>
      <c r="T1037" s="57" t="n">
        <f aca="false">IF(AND(S1037&lt;=Assumptions!$C$42,T1036=1,X1036=0,W1036&gt;Assumptions!$C$43),1,0)</f>
        <v>0</v>
      </c>
      <c r="U1037" s="58" t="n">
        <f aca="false">W1036</f>
        <v>-182.103705036234</v>
      </c>
      <c r="V1037" s="58" t="n">
        <f aca="false">IF(T1037=1,U1037*$B$22,0)</f>
        <v>0</v>
      </c>
      <c r="W1037" s="58" t="n">
        <f aca="false">IF(T1037=1,U1037+V1037-$B$27,U1037)</f>
        <v>-182.103705036234</v>
      </c>
      <c r="X1037" s="56" t="n">
        <f aca="false">IF(T1037=1,IF($B$27&lt;=V1037,1,0),0)</f>
        <v>0</v>
      </c>
      <c r="Y1037" s="58" t="n">
        <f aca="false">Y1036+V1037</f>
        <v>113000.408372882</v>
      </c>
    </row>
    <row r="1038" customFormat="false" ht="15" hidden="false" customHeight="false" outlineLevel="0" collapsed="false">
      <c r="K1038" s="56" t="n">
        <f aca="false">K1037+1</f>
        <v>1031</v>
      </c>
      <c r="L1038" s="57" t="n">
        <f aca="false">IF(AND(K1038&lt;=Assumptions!$C$42,L1037=1,P1037=0,O1037&gt;Assumptions!$C$43),1,0)</f>
        <v>0</v>
      </c>
      <c r="M1038" s="58" t="n">
        <f aca="false">O1037</f>
        <v>8.10541678220034E-009</v>
      </c>
      <c r="N1038" s="58" t="n">
        <f aca="false">IF(L1038=1,M1038*$B$22,0)</f>
        <v>0</v>
      </c>
      <c r="O1038" s="58" t="n">
        <f aca="false">IF(L1038=1,M1038+N1038-$B$26,M1038)</f>
        <v>8.10541678220034E-009</v>
      </c>
      <c r="P1038" s="56" t="n">
        <f aca="false">IF(L1038=1,IF($B$26&lt;=N1038,1,0),0)</f>
        <v>0</v>
      </c>
      <c r="Q1038" s="58" t="n">
        <f aca="false">Q1037+N1038</f>
        <v>145877.630223336</v>
      </c>
      <c r="S1038" s="56" t="n">
        <f aca="false">S1037+1</f>
        <v>1031</v>
      </c>
      <c r="T1038" s="57" t="n">
        <f aca="false">IF(AND(S1038&lt;=Assumptions!$C$42,T1037=1,X1037=0,W1037&gt;Assumptions!$C$43),1,0)</f>
        <v>0</v>
      </c>
      <c r="U1038" s="58" t="n">
        <f aca="false">W1037</f>
        <v>-182.103705036234</v>
      </c>
      <c r="V1038" s="58" t="n">
        <f aca="false">IF(T1038=1,U1038*$B$22,0)</f>
        <v>0</v>
      </c>
      <c r="W1038" s="58" t="n">
        <f aca="false">IF(T1038=1,U1038+V1038-$B$27,U1038)</f>
        <v>-182.103705036234</v>
      </c>
      <c r="X1038" s="56" t="n">
        <f aca="false">IF(T1038=1,IF($B$27&lt;=V1038,1,0),0)</f>
        <v>0</v>
      </c>
      <c r="Y1038" s="58" t="n">
        <f aca="false">Y1037+V1038</f>
        <v>113000.408372882</v>
      </c>
    </row>
    <row r="1039" customFormat="false" ht="15" hidden="false" customHeight="false" outlineLevel="0" collapsed="false">
      <c r="K1039" s="56" t="n">
        <f aca="false">K1038+1</f>
        <v>1032</v>
      </c>
      <c r="L1039" s="57" t="n">
        <f aca="false">IF(AND(K1039&lt;=Assumptions!$C$42,L1038=1,P1038=0,O1038&gt;Assumptions!$C$43),1,0)</f>
        <v>0</v>
      </c>
      <c r="M1039" s="58" t="n">
        <f aca="false">O1038</f>
        <v>8.10541678220034E-009</v>
      </c>
      <c r="N1039" s="58" t="n">
        <f aca="false">IF(L1039=1,M1039*$B$22,0)</f>
        <v>0</v>
      </c>
      <c r="O1039" s="58" t="n">
        <f aca="false">IF(L1039=1,M1039+N1039-$B$26,M1039)</f>
        <v>8.10541678220034E-009</v>
      </c>
      <c r="P1039" s="56" t="n">
        <f aca="false">IF(L1039=1,IF($B$26&lt;=N1039,1,0),0)</f>
        <v>0</v>
      </c>
      <c r="Q1039" s="58" t="n">
        <f aca="false">Q1038+N1039</f>
        <v>145877.630223336</v>
      </c>
      <c r="S1039" s="56" t="n">
        <f aca="false">S1038+1</f>
        <v>1032</v>
      </c>
      <c r="T1039" s="57" t="n">
        <f aca="false">IF(AND(S1039&lt;=Assumptions!$C$42,T1038=1,X1038=0,W1038&gt;Assumptions!$C$43),1,0)</f>
        <v>0</v>
      </c>
      <c r="U1039" s="58" t="n">
        <f aca="false">W1038</f>
        <v>-182.103705036234</v>
      </c>
      <c r="V1039" s="58" t="n">
        <f aca="false">IF(T1039=1,U1039*$B$22,0)</f>
        <v>0</v>
      </c>
      <c r="W1039" s="58" t="n">
        <f aca="false">IF(T1039=1,U1039+V1039-$B$27,U1039)</f>
        <v>-182.103705036234</v>
      </c>
      <c r="X1039" s="56" t="n">
        <f aca="false">IF(T1039=1,IF($B$27&lt;=V1039,1,0),0)</f>
        <v>0</v>
      </c>
      <c r="Y1039" s="58" t="n">
        <f aca="false">Y1038+V1039</f>
        <v>113000.408372882</v>
      </c>
    </row>
    <row r="1040" customFormat="false" ht="15" hidden="false" customHeight="false" outlineLevel="0" collapsed="false">
      <c r="K1040" s="56" t="n">
        <f aca="false">K1039+1</f>
        <v>1033</v>
      </c>
      <c r="L1040" s="57" t="n">
        <f aca="false">IF(AND(K1040&lt;=Assumptions!$C$42,L1039=1,P1039=0,O1039&gt;Assumptions!$C$43),1,0)</f>
        <v>0</v>
      </c>
      <c r="M1040" s="58" t="n">
        <f aca="false">O1039</f>
        <v>8.10541678220034E-009</v>
      </c>
      <c r="N1040" s="58" t="n">
        <f aca="false">IF(L1040=1,M1040*$B$22,0)</f>
        <v>0</v>
      </c>
      <c r="O1040" s="58" t="n">
        <f aca="false">IF(L1040=1,M1040+N1040-$B$26,M1040)</f>
        <v>8.10541678220034E-009</v>
      </c>
      <c r="P1040" s="56" t="n">
        <f aca="false">IF(L1040=1,IF($B$26&lt;=N1040,1,0),0)</f>
        <v>0</v>
      </c>
      <c r="Q1040" s="58" t="n">
        <f aca="false">Q1039+N1040</f>
        <v>145877.630223336</v>
      </c>
      <c r="S1040" s="56" t="n">
        <f aca="false">S1039+1</f>
        <v>1033</v>
      </c>
      <c r="T1040" s="57" t="n">
        <f aca="false">IF(AND(S1040&lt;=Assumptions!$C$42,T1039=1,X1039=0,W1039&gt;Assumptions!$C$43),1,0)</f>
        <v>0</v>
      </c>
      <c r="U1040" s="58" t="n">
        <f aca="false">W1039</f>
        <v>-182.103705036234</v>
      </c>
      <c r="V1040" s="58" t="n">
        <f aca="false">IF(T1040=1,U1040*$B$22,0)</f>
        <v>0</v>
      </c>
      <c r="W1040" s="58" t="n">
        <f aca="false">IF(T1040=1,U1040+V1040-$B$27,U1040)</f>
        <v>-182.103705036234</v>
      </c>
      <c r="X1040" s="56" t="n">
        <f aca="false">IF(T1040=1,IF($B$27&lt;=V1040,1,0),0)</f>
        <v>0</v>
      </c>
      <c r="Y1040" s="58" t="n">
        <f aca="false">Y1039+V1040</f>
        <v>113000.408372882</v>
      </c>
    </row>
    <row r="1041" customFormat="false" ht="15" hidden="false" customHeight="false" outlineLevel="0" collapsed="false">
      <c r="K1041" s="56" t="n">
        <f aca="false">K1040+1</f>
        <v>1034</v>
      </c>
      <c r="L1041" s="57" t="n">
        <f aca="false">IF(AND(K1041&lt;=Assumptions!$C$42,L1040=1,P1040=0,O1040&gt;Assumptions!$C$43),1,0)</f>
        <v>0</v>
      </c>
      <c r="M1041" s="58" t="n">
        <f aca="false">O1040</f>
        <v>8.10541678220034E-009</v>
      </c>
      <c r="N1041" s="58" t="n">
        <f aca="false">IF(L1041=1,M1041*$B$22,0)</f>
        <v>0</v>
      </c>
      <c r="O1041" s="58" t="n">
        <f aca="false">IF(L1041=1,M1041+N1041-$B$26,M1041)</f>
        <v>8.10541678220034E-009</v>
      </c>
      <c r="P1041" s="56" t="n">
        <f aca="false">IF(L1041=1,IF($B$26&lt;=N1041,1,0),0)</f>
        <v>0</v>
      </c>
      <c r="Q1041" s="58" t="n">
        <f aca="false">Q1040+N1041</f>
        <v>145877.630223336</v>
      </c>
      <c r="S1041" s="56" t="n">
        <f aca="false">S1040+1</f>
        <v>1034</v>
      </c>
      <c r="T1041" s="57" t="n">
        <f aca="false">IF(AND(S1041&lt;=Assumptions!$C$42,T1040=1,X1040=0,W1040&gt;Assumptions!$C$43),1,0)</f>
        <v>0</v>
      </c>
      <c r="U1041" s="58" t="n">
        <f aca="false">W1040</f>
        <v>-182.103705036234</v>
      </c>
      <c r="V1041" s="58" t="n">
        <f aca="false">IF(T1041=1,U1041*$B$22,0)</f>
        <v>0</v>
      </c>
      <c r="W1041" s="58" t="n">
        <f aca="false">IF(T1041=1,U1041+V1041-$B$27,U1041)</f>
        <v>-182.103705036234</v>
      </c>
      <c r="X1041" s="56" t="n">
        <f aca="false">IF(T1041=1,IF($B$27&lt;=V1041,1,0),0)</f>
        <v>0</v>
      </c>
      <c r="Y1041" s="58" t="n">
        <f aca="false">Y1040+V1041</f>
        <v>113000.408372882</v>
      </c>
    </row>
    <row r="1042" customFormat="false" ht="15" hidden="false" customHeight="false" outlineLevel="0" collapsed="false">
      <c r="K1042" s="56" t="n">
        <f aca="false">K1041+1</f>
        <v>1035</v>
      </c>
      <c r="L1042" s="57" t="n">
        <f aca="false">IF(AND(K1042&lt;=Assumptions!$C$42,L1041=1,P1041=0,O1041&gt;Assumptions!$C$43),1,0)</f>
        <v>0</v>
      </c>
      <c r="M1042" s="58" t="n">
        <f aca="false">O1041</f>
        <v>8.10541678220034E-009</v>
      </c>
      <c r="N1042" s="58" t="n">
        <f aca="false">IF(L1042=1,M1042*$B$22,0)</f>
        <v>0</v>
      </c>
      <c r="O1042" s="58" t="n">
        <f aca="false">IF(L1042=1,M1042+N1042-$B$26,M1042)</f>
        <v>8.10541678220034E-009</v>
      </c>
      <c r="P1042" s="56" t="n">
        <f aca="false">IF(L1042=1,IF($B$26&lt;=N1042,1,0),0)</f>
        <v>0</v>
      </c>
      <c r="Q1042" s="58" t="n">
        <f aca="false">Q1041+N1042</f>
        <v>145877.630223336</v>
      </c>
      <c r="S1042" s="56" t="n">
        <f aca="false">S1041+1</f>
        <v>1035</v>
      </c>
      <c r="T1042" s="57" t="n">
        <f aca="false">IF(AND(S1042&lt;=Assumptions!$C$42,T1041=1,X1041=0,W1041&gt;Assumptions!$C$43),1,0)</f>
        <v>0</v>
      </c>
      <c r="U1042" s="58" t="n">
        <f aca="false">W1041</f>
        <v>-182.103705036234</v>
      </c>
      <c r="V1042" s="58" t="n">
        <f aca="false">IF(T1042=1,U1042*$B$22,0)</f>
        <v>0</v>
      </c>
      <c r="W1042" s="58" t="n">
        <f aca="false">IF(T1042=1,U1042+V1042-$B$27,U1042)</f>
        <v>-182.103705036234</v>
      </c>
      <c r="X1042" s="56" t="n">
        <f aca="false">IF(T1042=1,IF($B$27&lt;=V1042,1,0),0)</f>
        <v>0</v>
      </c>
      <c r="Y1042" s="58" t="n">
        <f aca="false">Y1041+V1042</f>
        <v>113000.408372882</v>
      </c>
    </row>
    <row r="1043" customFormat="false" ht="15" hidden="false" customHeight="false" outlineLevel="0" collapsed="false">
      <c r="K1043" s="56" t="n">
        <f aca="false">K1042+1</f>
        <v>1036</v>
      </c>
      <c r="L1043" s="57" t="n">
        <f aca="false">IF(AND(K1043&lt;=Assumptions!$C$42,L1042=1,P1042=0,O1042&gt;Assumptions!$C$43),1,0)</f>
        <v>0</v>
      </c>
      <c r="M1043" s="58" t="n">
        <f aca="false">O1042</f>
        <v>8.10541678220034E-009</v>
      </c>
      <c r="N1043" s="58" t="n">
        <f aca="false">IF(L1043=1,M1043*$B$22,0)</f>
        <v>0</v>
      </c>
      <c r="O1043" s="58" t="n">
        <f aca="false">IF(L1043=1,M1043+N1043-$B$26,M1043)</f>
        <v>8.10541678220034E-009</v>
      </c>
      <c r="P1043" s="56" t="n">
        <f aca="false">IF(L1043=1,IF($B$26&lt;=N1043,1,0),0)</f>
        <v>0</v>
      </c>
      <c r="Q1043" s="58" t="n">
        <f aca="false">Q1042+N1043</f>
        <v>145877.630223336</v>
      </c>
      <c r="S1043" s="56" t="n">
        <f aca="false">S1042+1</f>
        <v>1036</v>
      </c>
      <c r="T1043" s="57" t="n">
        <f aca="false">IF(AND(S1043&lt;=Assumptions!$C$42,T1042=1,X1042=0,W1042&gt;Assumptions!$C$43),1,0)</f>
        <v>0</v>
      </c>
      <c r="U1043" s="58" t="n">
        <f aca="false">W1042</f>
        <v>-182.103705036234</v>
      </c>
      <c r="V1043" s="58" t="n">
        <f aca="false">IF(T1043=1,U1043*$B$22,0)</f>
        <v>0</v>
      </c>
      <c r="W1043" s="58" t="n">
        <f aca="false">IF(T1043=1,U1043+V1043-$B$27,U1043)</f>
        <v>-182.103705036234</v>
      </c>
      <c r="X1043" s="56" t="n">
        <f aca="false">IF(T1043=1,IF($B$27&lt;=V1043,1,0),0)</f>
        <v>0</v>
      </c>
      <c r="Y1043" s="58" t="n">
        <f aca="false">Y1042+V1043</f>
        <v>113000.408372882</v>
      </c>
    </row>
    <row r="1044" customFormat="false" ht="15" hidden="false" customHeight="false" outlineLevel="0" collapsed="false">
      <c r="K1044" s="56" t="n">
        <f aca="false">K1043+1</f>
        <v>1037</v>
      </c>
      <c r="L1044" s="57" t="n">
        <f aca="false">IF(AND(K1044&lt;=Assumptions!$C$42,L1043=1,P1043=0,O1043&gt;Assumptions!$C$43),1,0)</f>
        <v>0</v>
      </c>
      <c r="M1044" s="58" t="n">
        <f aca="false">O1043</f>
        <v>8.10541678220034E-009</v>
      </c>
      <c r="N1044" s="58" t="n">
        <f aca="false">IF(L1044=1,M1044*$B$22,0)</f>
        <v>0</v>
      </c>
      <c r="O1044" s="58" t="n">
        <f aca="false">IF(L1044=1,M1044+N1044-$B$26,M1044)</f>
        <v>8.10541678220034E-009</v>
      </c>
      <c r="P1044" s="56" t="n">
        <f aca="false">IF(L1044=1,IF($B$26&lt;=N1044,1,0),0)</f>
        <v>0</v>
      </c>
      <c r="Q1044" s="58" t="n">
        <f aca="false">Q1043+N1044</f>
        <v>145877.630223336</v>
      </c>
      <c r="S1044" s="56" t="n">
        <f aca="false">S1043+1</f>
        <v>1037</v>
      </c>
      <c r="T1044" s="57" t="n">
        <f aca="false">IF(AND(S1044&lt;=Assumptions!$C$42,T1043=1,X1043=0,W1043&gt;Assumptions!$C$43),1,0)</f>
        <v>0</v>
      </c>
      <c r="U1044" s="58" t="n">
        <f aca="false">W1043</f>
        <v>-182.103705036234</v>
      </c>
      <c r="V1044" s="58" t="n">
        <f aca="false">IF(T1044=1,U1044*$B$22,0)</f>
        <v>0</v>
      </c>
      <c r="W1044" s="58" t="n">
        <f aca="false">IF(T1044=1,U1044+V1044-$B$27,U1044)</f>
        <v>-182.103705036234</v>
      </c>
      <c r="X1044" s="56" t="n">
        <f aca="false">IF(T1044=1,IF($B$27&lt;=V1044,1,0),0)</f>
        <v>0</v>
      </c>
      <c r="Y1044" s="58" t="n">
        <f aca="false">Y1043+V1044</f>
        <v>113000.408372882</v>
      </c>
    </row>
    <row r="1045" customFormat="false" ht="15" hidden="false" customHeight="false" outlineLevel="0" collapsed="false">
      <c r="K1045" s="56" t="n">
        <f aca="false">K1044+1</f>
        <v>1038</v>
      </c>
      <c r="L1045" s="57" t="n">
        <f aca="false">IF(AND(K1045&lt;=Assumptions!$C$42,L1044=1,P1044=0,O1044&gt;Assumptions!$C$43),1,0)</f>
        <v>0</v>
      </c>
      <c r="M1045" s="58" t="n">
        <f aca="false">O1044</f>
        <v>8.10541678220034E-009</v>
      </c>
      <c r="N1045" s="58" t="n">
        <f aca="false">IF(L1045=1,M1045*$B$22,0)</f>
        <v>0</v>
      </c>
      <c r="O1045" s="58" t="n">
        <f aca="false">IF(L1045=1,M1045+N1045-$B$26,M1045)</f>
        <v>8.10541678220034E-009</v>
      </c>
      <c r="P1045" s="56" t="n">
        <f aca="false">IF(L1045=1,IF($B$26&lt;=N1045,1,0),0)</f>
        <v>0</v>
      </c>
      <c r="Q1045" s="58" t="n">
        <f aca="false">Q1044+N1045</f>
        <v>145877.630223336</v>
      </c>
      <c r="S1045" s="56" t="n">
        <f aca="false">S1044+1</f>
        <v>1038</v>
      </c>
      <c r="T1045" s="57" t="n">
        <f aca="false">IF(AND(S1045&lt;=Assumptions!$C$42,T1044=1,X1044=0,W1044&gt;Assumptions!$C$43),1,0)</f>
        <v>0</v>
      </c>
      <c r="U1045" s="58" t="n">
        <f aca="false">W1044</f>
        <v>-182.103705036234</v>
      </c>
      <c r="V1045" s="58" t="n">
        <f aca="false">IF(T1045=1,U1045*$B$22,0)</f>
        <v>0</v>
      </c>
      <c r="W1045" s="58" t="n">
        <f aca="false">IF(T1045=1,U1045+V1045-$B$27,U1045)</f>
        <v>-182.103705036234</v>
      </c>
      <c r="X1045" s="56" t="n">
        <f aca="false">IF(T1045=1,IF($B$27&lt;=V1045,1,0),0)</f>
        <v>0</v>
      </c>
      <c r="Y1045" s="58" t="n">
        <f aca="false">Y1044+V1045</f>
        <v>113000.408372882</v>
      </c>
    </row>
    <row r="1046" customFormat="false" ht="15" hidden="false" customHeight="false" outlineLevel="0" collapsed="false">
      <c r="K1046" s="56" t="n">
        <f aca="false">K1045+1</f>
        <v>1039</v>
      </c>
      <c r="L1046" s="57" t="n">
        <f aca="false">IF(AND(K1046&lt;=Assumptions!$C$42,L1045=1,P1045=0,O1045&gt;Assumptions!$C$43),1,0)</f>
        <v>0</v>
      </c>
      <c r="M1046" s="58" t="n">
        <f aca="false">O1045</f>
        <v>8.10541678220034E-009</v>
      </c>
      <c r="N1046" s="58" t="n">
        <f aca="false">IF(L1046=1,M1046*$B$22,0)</f>
        <v>0</v>
      </c>
      <c r="O1046" s="58" t="n">
        <f aca="false">IF(L1046=1,M1046+N1046-$B$26,M1046)</f>
        <v>8.10541678220034E-009</v>
      </c>
      <c r="P1046" s="56" t="n">
        <f aca="false">IF(L1046=1,IF($B$26&lt;=N1046,1,0),0)</f>
        <v>0</v>
      </c>
      <c r="Q1046" s="58" t="n">
        <f aca="false">Q1045+N1046</f>
        <v>145877.630223336</v>
      </c>
      <c r="S1046" s="56" t="n">
        <f aca="false">S1045+1</f>
        <v>1039</v>
      </c>
      <c r="T1046" s="57" t="n">
        <f aca="false">IF(AND(S1046&lt;=Assumptions!$C$42,T1045=1,X1045=0,W1045&gt;Assumptions!$C$43),1,0)</f>
        <v>0</v>
      </c>
      <c r="U1046" s="58" t="n">
        <f aca="false">W1045</f>
        <v>-182.103705036234</v>
      </c>
      <c r="V1046" s="58" t="n">
        <f aca="false">IF(T1046=1,U1046*$B$22,0)</f>
        <v>0</v>
      </c>
      <c r="W1046" s="58" t="n">
        <f aca="false">IF(T1046=1,U1046+V1046-$B$27,U1046)</f>
        <v>-182.103705036234</v>
      </c>
      <c r="X1046" s="56" t="n">
        <f aca="false">IF(T1046=1,IF($B$27&lt;=V1046,1,0),0)</f>
        <v>0</v>
      </c>
      <c r="Y1046" s="58" t="n">
        <f aca="false">Y1045+V1046</f>
        <v>113000.408372882</v>
      </c>
    </row>
    <row r="1047" customFormat="false" ht="15" hidden="false" customHeight="false" outlineLevel="0" collapsed="false">
      <c r="K1047" s="56" t="n">
        <f aca="false">K1046+1</f>
        <v>1040</v>
      </c>
      <c r="L1047" s="57" t="n">
        <f aca="false">IF(AND(K1047&lt;=Assumptions!$C$42,L1046=1,P1046=0,O1046&gt;Assumptions!$C$43),1,0)</f>
        <v>0</v>
      </c>
      <c r="M1047" s="58" t="n">
        <f aca="false">O1046</f>
        <v>8.10541678220034E-009</v>
      </c>
      <c r="N1047" s="58" t="n">
        <f aca="false">IF(L1047=1,M1047*$B$22,0)</f>
        <v>0</v>
      </c>
      <c r="O1047" s="58" t="n">
        <f aca="false">IF(L1047=1,M1047+N1047-$B$26,M1047)</f>
        <v>8.10541678220034E-009</v>
      </c>
      <c r="P1047" s="56" t="n">
        <f aca="false">IF(L1047=1,IF($B$26&lt;=N1047,1,0),0)</f>
        <v>0</v>
      </c>
      <c r="Q1047" s="58" t="n">
        <f aca="false">Q1046+N1047</f>
        <v>145877.630223336</v>
      </c>
      <c r="S1047" s="56" t="n">
        <f aca="false">S1046+1</f>
        <v>1040</v>
      </c>
      <c r="T1047" s="57" t="n">
        <f aca="false">IF(AND(S1047&lt;=Assumptions!$C$42,T1046=1,X1046=0,W1046&gt;Assumptions!$C$43),1,0)</f>
        <v>0</v>
      </c>
      <c r="U1047" s="58" t="n">
        <f aca="false">W1046</f>
        <v>-182.103705036234</v>
      </c>
      <c r="V1047" s="58" t="n">
        <f aca="false">IF(T1047=1,U1047*$B$22,0)</f>
        <v>0</v>
      </c>
      <c r="W1047" s="58" t="n">
        <f aca="false">IF(T1047=1,U1047+V1047-$B$27,U1047)</f>
        <v>-182.103705036234</v>
      </c>
      <c r="X1047" s="56" t="n">
        <f aca="false">IF(T1047=1,IF($B$27&lt;=V1047,1,0),0)</f>
        <v>0</v>
      </c>
      <c r="Y1047" s="58" t="n">
        <f aca="false">Y1046+V1047</f>
        <v>113000.408372882</v>
      </c>
    </row>
    <row r="1048" customFormat="false" ht="15" hidden="false" customHeight="false" outlineLevel="0" collapsed="false">
      <c r="K1048" s="56" t="n">
        <f aca="false">K1047+1</f>
        <v>1041</v>
      </c>
      <c r="L1048" s="57" t="n">
        <f aca="false">IF(AND(K1048&lt;=Assumptions!$C$42,L1047=1,P1047=0,O1047&gt;Assumptions!$C$43),1,0)</f>
        <v>0</v>
      </c>
      <c r="M1048" s="58" t="n">
        <f aca="false">O1047</f>
        <v>8.10541678220034E-009</v>
      </c>
      <c r="N1048" s="58" t="n">
        <f aca="false">IF(L1048=1,M1048*$B$22,0)</f>
        <v>0</v>
      </c>
      <c r="O1048" s="58" t="n">
        <f aca="false">IF(L1048=1,M1048+N1048-$B$26,M1048)</f>
        <v>8.10541678220034E-009</v>
      </c>
      <c r="P1048" s="56" t="n">
        <f aca="false">IF(L1048=1,IF($B$26&lt;=N1048,1,0),0)</f>
        <v>0</v>
      </c>
      <c r="Q1048" s="58" t="n">
        <f aca="false">Q1047+N1048</f>
        <v>145877.630223336</v>
      </c>
      <c r="S1048" s="56" t="n">
        <f aca="false">S1047+1</f>
        <v>1041</v>
      </c>
      <c r="T1048" s="57" t="n">
        <f aca="false">IF(AND(S1048&lt;=Assumptions!$C$42,T1047=1,X1047=0,W1047&gt;Assumptions!$C$43),1,0)</f>
        <v>0</v>
      </c>
      <c r="U1048" s="58" t="n">
        <f aca="false">W1047</f>
        <v>-182.103705036234</v>
      </c>
      <c r="V1048" s="58" t="n">
        <f aca="false">IF(T1048=1,U1048*$B$22,0)</f>
        <v>0</v>
      </c>
      <c r="W1048" s="58" t="n">
        <f aca="false">IF(T1048=1,U1048+V1048-$B$27,U1048)</f>
        <v>-182.103705036234</v>
      </c>
      <c r="X1048" s="56" t="n">
        <f aca="false">IF(T1048=1,IF($B$27&lt;=V1048,1,0),0)</f>
        <v>0</v>
      </c>
      <c r="Y1048" s="58" t="n">
        <f aca="false">Y1047+V1048</f>
        <v>113000.408372882</v>
      </c>
    </row>
    <row r="1049" customFormat="false" ht="15" hidden="false" customHeight="false" outlineLevel="0" collapsed="false">
      <c r="K1049" s="56" t="n">
        <f aca="false">K1048+1</f>
        <v>1042</v>
      </c>
      <c r="L1049" s="57" t="n">
        <f aca="false">IF(AND(K1049&lt;=Assumptions!$C$42,L1048=1,P1048=0,O1048&gt;Assumptions!$C$43),1,0)</f>
        <v>0</v>
      </c>
      <c r="M1049" s="58" t="n">
        <f aca="false">O1048</f>
        <v>8.10541678220034E-009</v>
      </c>
      <c r="N1049" s="58" t="n">
        <f aca="false">IF(L1049=1,M1049*$B$22,0)</f>
        <v>0</v>
      </c>
      <c r="O1049" s="58" t="n">
        <f aca="false">IF(L1049=1,M1049+N1049-$B$26,M1049)</f>
        <v>8.10541678220034E-009</v>
      </c>
      <c r="P1049" s="56" t="n">
        <f aca="false">IF(L1049=1,IF($B$26&lt;=N1049,1,0),0)</f>
        <v>0</v>
      </c>
      <c r="Q1049" s="58" t="n">
        <f aca="false">Q1048+N1049</f>
        <v>145877.630223336</v>
      </c>
      <c r="S1049" s="56" t="n">
        <f aca="false">S1048+1</f>
        <v>1042</v>
      </c>
      <c r="T1049" s="57" t="n">
        <f aca="false">IF(AND(S1049&lt;=Assumptions!$C$42,T1048=1,X1048=0,W1048&gt;Assumptions!$C$43),1,0)</f>
        <v>0</v>
      </c>
      <c r="U1049" s="58" t="n">
        <f aca="false">W1048</f>
        <v>-182.103705036234</v>
      </c>
      <c r="V1049" s="58" t="n">
        <f aca="false">IF(T1049=1,U1049*$B$22,0)</f>
        <v>0</v>
      </c>
      <c r="W1049" s="58" t="n">
        <f aca="false">IF(T1049=1,U1049+V1049-$B$27,U1049)</f>
        <v>-182.103705036234</v>
      </c>
      <c r="X1049" s="56" t="n">
        <f aca="false">IF(T1049=1,IF($B$27&lt;=V1049,1,0),0)</f>
        <v>0</v>
      </c>
      <c r="Y1049" s="58" t="n">
        <f aca="false">Y1048+V1049</f>
        <v>113000.408372882</v>
      </c>
    </row>
    <row r="1050" customFormat="false" ht="15" hidden="false" customHeight="false" outlineLevel="0" collapsed="false">
      <c r="K1050" s="56" t="n">
        <f aca="false">K1049+1</f>
        <v>1043</v>
      </c>
      <c r="L1050" s="57" t="n">
        <f aca="false">IF(AND(K1050&lt;=Assumptions!$C$42,L1049=1,P1049=0,O1049&gt;Assumptions!$C$43),1,0)</f>
        <v>0</v>
      </c>
      <c r="M1050" s="58" t="n">
        <f aca="false">O1049</f>
        <v>8.10541678220034E-009</v>
      </c>
      <c r="N1050" s="58" t="n">
        <f aca="false">IF(L1050=1,M1050*$B$22,0)</f>
        <v>0</v>
      </c>
      <c r="O1050" s="58" t="n">
        <f aca="false">IF(L1050=1,M1050+N1050-$B$26,M1050)</f>
        <v>8.10541678220034E-009</v>
      </c>
      <c r="P1050" s="56" t="n">
        <f aca="false">IF(L1050=1,IF($B$26&lt;=N1050,1,0),0)</f>
        <v>0</v>
      </c>
      <c r="Q1050" s="58" t="n">
        <f aca="false">Q1049+N1050</f>
        <v>145877.630223336</v>
      </c>
      <c r="S1050" s="56" t="n">
        <f aca="false">S1049+1</f>
        <v>1043</v>
      </c>
      <c r="T1050" s="57" t="n">
        <f aca="false">IF(AND(S1050&lt;=Assumptions!$C$42,T1049=1,X1049=0,W1049&gt;Assumptions!$C$43),1,0)</f>
        <v>0</v>
      </c>
      <c r="U1050" s="58" t="n">
        <f aca="false">W1049</f>
        <v>-182.103705036234</v>
      </c>
      <c r="V1050" s="58" t="n">
        <f aca="false">IF(T1050=1,U1050*$B$22,0)</f>
        <v>0</v>
      </c>
      <c r="W1050" s="58" t="n">
        <f aca="false">IF(T1050=1,U1050+V1050-$B$27,U1050)</f>
        <v>-182.103705036234</v>
      </c>
      <c r="X1050" s="56" t="n">
        <f aca="false">IF(T1050=1,IF($B$27&lt;=V1050,1,0),0)</f>
        <v>0</v>
      </c>
      <c r="Y1050" s="58" t="n">
        <f aca="false">Y1049+V1050</f>
        <v>113000.408372882</v>
      </c>
    </row>
    <row r="1051" customFormat="false" ht="15" hidden="false" customHeight="false" outlineLevel="0" collapsed="false">
      <c r="K1051" s="56" t="n">
        <f aca="false">K1050+1</f>
        <v>1044</v>
      </c>
      <c r="L1051" s="57" t="n">
        <f aca="false">IF(AND(K1051&lt;=Assumptions!$C$42,L1050=1,P1050=0,O1050&gt;Assumptions!$C$43),1,0)</f>
        <v>0</v>
      </c>
      <c r="M1051" s="58" t="n">
        <f aca="false">O1050</f>
        <v>8.10541678220034E-009</v>
      </c>
      <c r="N1051" s="58" t="n">
        <f aca="false">IF(L1051=1,M1051*$B$22,0)</f>
        <v>0</v>
      </c>
      <c r="O1051" s="58" t="n">
        <f aca="false">IF(L1051=1,M1051+N1051-$B$26,M1051)</f>
        <v>8.10541678220034E-009</v>
      </c>
      <c r="P1051" s="56" t="n">
        <f aca="false">IF(L1051=1,IF($B$26&lt;=N1051,1,0),0)</f>
        <v>0</v>
      </c>
      <c r="Q1051" s="58" t="n">
        <f aca="false">Q1050+N1051</f>
        <v>145877.630223336</v>
      </c>
      <c r="S1051" s="56" t="n">
        <f aca="false">S1050+1</f>
        <v>1044</v>
      </c>
      <c r="T1051" s="57" t="n">
        <f aca="false">IF(AND(S1051&lt;=Assumptions!$C$42,T1050=1,X1050=0,W1050&gt;Assumptions!$C$43),1,0)</f>
        <v>0</v>
      </c>
      <c r="U1051" s="58" t="n">
        <f aca="false">W1050</f>
        <v>-182.103705036234</v>
      </c>
      <c r="V1051" s="58" t="n">
        <f aca="false">IF(T1051=1,U1051*$B$22,0)</f>
        <v>0</v>
      </c>
      <c r="W1051" s="58" t="n">
        <f aca="false">IF(T1051=1,U1051+V1051-$B$27,U1051)</f>
        <v>-182.103705036234</v>
      </c>
      <c r="X1051" s="56" t="n">
        <f aca="false">IF(T1051=1,IF($B$27&lt;=V1051,1,0),0)</f>
        <v>0</v>
      </c>
      <c r="Y1051" s="58" t="n">
        <f aca="false">Y1050+V1051</f>
        <v>113000.408372882</v>
      </c>
    </row>
    <row r="1052" customFormat="false" ht="15" hidden="false" customHeight="false" outlineLevel="0" collapsed="false">
      <c r="K1052" s="56" t="n">
        <f aca="false">K1051+1</f>
        <v>1045</v>
      </c>
      <c r="L1052" s="57" t="n">
        <f aca="false">IF(AND(K1052&lt;=Assumptions!$C$42,L1051=1,P1051=0,O1051&gt;Assumptions!$C$43),1,0)</f>
        <v>0</v>
      </c>
      <c r="M1052" s="58" t="n">
        <f aca="false">O1051</f>
        <v>8.10541678220034E-009</v>
      </c>
      <c r="N1052" s="58" t="n">
        <f aca="false">IF(L1052=1,M1052*$B$22,0)</f>
        <v>0</v>
      </c>
      <c r="O1052" s="58" t="n">
        <f aca="false">IF(L1052=1,M1052+N1052-$B$26,M1052)</f>
        <v>8.10541678220034E-009</v>
      </c>
      <c r="P1052" s="56" t="n">
        <f aca="false">IF(L1052=1,IF($B$26&lt;=N1052,1,0),0)</f>
        <v>0</v>
      </c>
      <c r="Q1052" s="58" t="n">
        <f aca="false">Q1051+N1052</f>
        <v>145877.630223336</v>
      </c>
      <c r="S1052" s="56" t="n">
        <f aca="false">S1051+1</f>
        <v>1045</v>
      </c>
      <c r="T1052" s="57" t="n">
        <f aca="false">IF(AND(S1052&lt;=Assumptions!$C$42,T1051=1,X1051=0,W1051&gt;Assumptions!$C$43),1,0)</f>
        <v>0</v>
      </c>
      <c r="U1052" s="58" t="n">
        <f aca="false">W1051</f>
        <v>-182.103705036234</v>
      </c>
      <c r="V1052" s="58" t="n">
        <f aca="false">IF(T1052=1,U1052*$B$22,0)</f>
        <v>0</v>
      </c>
      <c r="W1052" s="58" t="n">
        <f aca="false">IF(T1052=1,U1052+V1052-$B$27,U1052)</f>
        <v>-182.103705036234</v>
      </c>
      <c r="X1052" s="56" t="n">
        <f aca="false">IF(T1052=1,IF($B$27&lt;=V1052,1,0),0)</f>
        <v>0</v>
      </c>
      <c r="Y1052" s="58" t="n">
        <f aca="false">Y1051+V1052</f>
        <v>113000.408372882</v>
      </c>
    </row>
    <row r="1053" customFormat="false" ht="15" hidden="false" customHeight="false" outlineLevel="0" collapsed="false">
      <c r="K1053" s="56" t="n">
        <f aca="false">K1052+1</f>
        <v>1046</v>
      </c>
      <c r="L1053" s="57" t="n">
        <f aca="false">IF(AND(K1053&lt;=Assumptions!$C$42,L1052=1,P1052=0,O1052&gt;Assumptions!$C$43),1,0)</f>
        <v>0</v>
      </c>
      <c r="M1053" s="58" t="n">
        <f aca="false">O1052</f>
        <v>8.10541678220034E-009</v>
      </c>
      <c r="N1053" s="58" t="n">
        <f aca="false">IF(L1053=1,M1053*$B$22,0)</f>
        <v>0</v>
      </c>
      <c r="O1053" s="58" t="n">
        <f aca="false">IF(L1053=1,M1053+N1053-$B$26,M1053)</f>
        <v>8.10541678220034E-009</v>
      </c>
      <c r="P1053" s="56" t="n">
        <f aca="false">IF(L1053=1,IF($B$26&lt;=N1053,1,0),0)</f>
        <v>0</v>
      </c>
      <c r="Q1053" s="58" t="n">
        <f aca="false">Q1052+N1053</f>
        <v>145877.630223336</v>
      </c>
      <c r="S1053" s="56" t="n">
        <f aca="false">S1052+1</f>
        <v>1046</v>
      </c>
      <c r="T1053" s="57" t="n">
        <f aca="false">IF(AND(S1053&lt;=Assumptions!$C$42,T1052=1,X1052=0,W1052&gt;Assumptions!$C$43),1,0)</f>
        <v>0</v>
      </c>
      <c r="U1053" s="58" t="n">
        <f aca="false">W1052</f>
        <v>-182.103705036234</v>
      </c>
      <c r="V1053" s="58" t="n">
        <f aca="false">IF(T1053=1,U1053*$B$22,0)</f>
        <v>0</v>
      </c>
      <c r="W1053" s="58" t="n">
        <f aca="false">IF(T1053=1,U1053+V1053-$B$27,U1053)</f>
        <v>-182.103705036234</v>
      </c>
      <c r="X1053" s="56" t="n">
        <f aca="false">IF(T1053=1,IF($B$27&lt;=V1053,1,0),0)</f>
        <v>0</v>
      </c>
      <c r="Y1053" s="58" t="n">
        <f aca="false">Y1052+V1053</f>
        <v>113000.408372882</v>
      </c>
    </row>
    <row r="1054" customFormat="false" ht="15" hidden="false" customHeight="false" outlineLevel="0" collapsed="false">
      <c r="K1054" s="56" t="n">
        <f aca="false">K1053+1</f>
        <v>1047</v>
      </c>
      <c r="L1054" s="57" t="n">
        <f aca="false">IF(AND(K1054&lt;=Assumptions!$C$42,L1053=1,P1053=0,O1053&gt;Assumptions!$C$43),1,0)</f>
        <v>0</v>
      </c>
      <c r="M1054" s="58" t="n">
        <f aca="false">O1053</f>
        <v>8.10541678220034E-009</v>
      </c>
      <c r="N1054" s="58" t="n">
        <f aca="false">IF(L1054=1,M1054*$B$22,0)</f>
        <v>0</v>
      </c>
      <c r="O1054" s="58" t="n">
        <f aca="false">IF(L1054=1,M1054+N1054-$B$26,M1054)</f>
        <v>8.10541678220034E-009</v>
      </c>
      <c r="P1054" s="56" t="n">
        <f aca="false">IF(L1054=1,IF($B$26&lt;=N1054,1,0),0)</f>
        <v>0</v>
      </c>
      <c r="Q1054" s="58" t="n">
        <f aca="false">Q1053+N1054</f>
        <v>145877.630223336</v>
      </c>
      <c r="S1054" s="56" t="n">
        <f aca="false">S1053+1</f>
        <v>1047</v>
      </c>
      <c r="T1054" s="57" t="n">
        <f aca="false">IF(AND(S1054&lt;=Assumptions!$C$42,T1053=1,X1053=0,W1053&gt;Assumptions!$C$43),1,0)</f>
        <v>0</v>
      </c>
      <c r="U1054" s="58" t="n">
        <f aca="false">W1053</f>
        <v>-182.103705036234</v>
      </c>
      <c r="V1054" s="58" t="n">
        <f aca="false">IF(T1054=1,U1054*$B$22,0)</f>
        <v>0</v>
      </c>
      <c r="W1054" s="58" t="n">
        <f aca="false">IF(T1054=1,U1054+V1054-$B$27,U1054)</f>
        <v>-182.103705036234</v>
      </c>
      <c r="X1054" s="56" t="n">
        <f aca="false">IF(T1054=1,IF($B$27&lt;=V1054,1,0),0)</f>
        <v>0</v>
      </c>
      <c r="Y1054" s="58" t="n">
        <f aca="false">Y1053+V1054</f>
        <v>113000.408372882</v>
      </c>
    </row>
    <row r="1055" customFormat="false" ht="15" hidden="false" customHeight="false" outlineLevel="0" collapsed="false">
      <c r="K1055" s="56" t="n">
        <f aca="false">K1054+1</f>
        <v>1048</v>
      </c>
      <c r="L1055" s="57" t="n">
        <f aca="false">IF(AND(K1055&lt;=Assumptions!$C$42,L1054=1,P1054=0,O1054&gt;Assumptions!$C$43),1,0)</f>
        <v>0</v>
      </c>
      <c r="M1055" s="58" t="n">
        <f aca="false">O1054</f>
        <v>8.10541678220034E-009</v>
      </c>
      <c r="N1055" s="58" t="n">
        <f aca="false">IF(L1055=1,M1055*$B$22,0)</f>
        <v>0</v>
      </c>
      <c r="O1055" s="58" t="n">
        <f aca="false">IF(L1055=1,M1055+N1055-$B$26,M1055)</f>
        <v>8.10541678220034E-009</v>
      </c>
      <c r="P1055" s="56" t="n">
        <f aca="false">IF(L1055=1,IF($B$26&lt;=N1055,1,0),0)</f>
        <v>0</v>
      </c>
      <c r="Q1055" s="58" t="n">
        <f aca="false">Q1054+N1055</f>
        <v>145877.630223336</v>
      </c>
      <c r="S1055" s="56" t="n">
        <f aca="false">S1054+1</f>
        <v>1048</v>
      </c>
      <c r="T1055" s="57" t="n">
        <f aca="false">IF(AND(S1055&lt;=Assumptions!$C$42,T1054=1,X1054=0,W1054&gt;Assumptions!$C$43),1,0)</f>
        <v>0</v>
      </c>
      <c r="U1055" s="58" t="n">
        <f aca="false">W1054</f>
        <v>-182.103705036234</v>
      </c>
      <c r="V1055" s="58" t="n">
        <f aca="false">IF(T1055=1,U1055*$B$22,0)</f>
        <v>0</v>
      </c>
      <c r="W1055" s="58" t="n">
        <f aca="false">IF(T1055=1,U1055+V1055-$B$27,U1055)</f>
        <v>-182.103705036234</v>
      </c>
      <c r="X1055" s="56" t="n">
        <f aca="false">IF(T1055=1,IF($B$27&lt;=V1055,1,0),0)</f>
        <v>0</v>
      </c>
      <c r="Y1055" s="58" t="n">
        <f aca="false">Y1054+V1055</f>
        <v>113000.408372882</v>
      </c>
    </row>
    <row r="1056" customFormat="false" ht="15" hidden="false" customHeight="false" outlineLevel="0" collapsed="false">
      <c r="K1056" s="56" t="n">
        <f aca="false">K1055+1</f>
        <v>1049</v>
      </c>
      <c r="L1056" s="57" t="n">
        <f aca="false">IF(AND(K1056&lt;=Assumptions!$C$42,L1055=1,P1055=0,O1055&gt;Assumptions!$C$43),1,0)</f>
        <v>0</v>
      </c>
      <c r="M1056" s="58" t="n">
        <f aca="false">O1055</f>
        <v>8.10541678220034E-009</v>
      </c>
      <c r="N1056" s="58" t="n">
        <f aca="false">IF(L1056=1,M1056*$B$22,0)</f>
        <v>0</v>
      </c>
      <c r="O1056" s="58" t="n">
        <f aca="false">IF(L1056=1,M1056+N1056-$B$26,M1056)</f>
        <v>8.10541678220034E-009</v>
      </c>
      <c r="P1056" s="56" t="n">
        <f aca="false">IF(L1056=1,IF($B$26&lt;=N1056,1,0),0)</f>
        <v>0</v>
      </c>
      <c r="Q1056" s="58" t="n">
        <f aca="false">Q1055+N1056</f>
        <v>145877.630223336</v>
      </c>
      <c r="S1056" s="56" t="n">
        <f aca="false">S1055+1</f>
        <v>1049</v>
      </c>
      <c r="T1056" s="57" t="n">
        <f aca="false">IF(AND(S1056&lt;=Assumptions!$C$42,T1055=1,X1055=0,W1055&gt;Assumptions!$C$43),1,0)</f>
        <v>0</v>
      </c>
      <c r="U1056" s="58" t="n">
        <f aca="false">W1055</f>
        <v>-182.103705036234</v>
      </c>
      <c r="V1056" s="58" t="n">
        <f aca="false">IF(T1056=1,U1056*$B$22,0)</f>
        <v>0</v>
      </c>
      <c r="W1056" s="58" t="n">
        <f aca="false">IF(T1056=1,U1056+V1056-$B$27,U1056)</f>
        <v>-182.103705036234</v>
      </c>
      <c r="X1056" s="56" t="n">
        <f aca="false">IF(T1056=1,IF($B$27&lt;=V1056,1,0),0)</f>
        <v>0</v>
      </c>
      <c r="Y1056" s="58" t="n">
        <f aca="false">Y1055+V1056</f>
        <v>113000.408372882</v>
      </c>
    </row>
    <row r="1057" customFormat="false" ht="15" hidden="false" customHeight="false" outlineLevel="0" collapsed="false">
      <c r="K1057" s="56" t="n">
        <f aca="false">K1056+1</f>
        <v>1050</v>
      </c>
      <c r="L1057" s="57" t="n">
        <f aca="false">IF(AND(K1057&lt;=Assumptions!$C$42,L1056=1,P1056=0,O1056&gt;Assumptions!$C$43),1,0)</f>
        <v>0</v>
      </c>
      <c r="M1057" s="58" t="n">
        <f aca="false">O1056</f>
        <v>8.10541678220034E-009</v>
      </c>
      <c r="N1057" s="58" t="n">
        <f aca="false">IF(L1057=1,M1057*$B$22,0)</f>
        <v>0</v>
      </c>
      <c r="O1057" s="58" t="n">
        <f aca="false">IF(L1057=1,M1057+N1057-$B$26,M1057)</f>
        <v>8.10541678220034E-009</v>
      </c>
      <c r="P1057" s="56" t="n">
        <f aca="false">IF(L1057=1,IF($B$26&lt;=N1057,1,0),0)</f>
        <v>0</v>
      </c>
      <c r="Q1057" s="58" t="n">
        <f aca="false">Q1056+N1057</f>
        <v>145877.630223336</v>
      </c>
      <c r="S1057" s="56" t="n">
        <f aca="false">S1056+1</f>
        <v>1050</v>
      </c>
      <c r="T1057" s="57" t="n">
        <f aca="false">IF(AND(S1057&lt;=Assumptions!$C$42,T1056=1,X1056=0,W1056&gt;Assumptions!$C$43),1,0)</f>
        <v>0</v>
      </c>
      <c r="U1057" s="58" t="n">
        <f aca="false">W1056</f>
        <v>-182.103705036234</v>
      </c>
      <c r="V1057" s="58" t="n">
        <f aca="false">IF(T1057=1,U1057*$B$22,0)</f>
        <v>0</v>
      </c>
      <c r="W1057" s="58" t="n">
        <f aca="false">IF(T1057=1,U1057+V1057-$B$27,U1057)</f>
        <v>-182.103705036234</v>
      </c>
      <c r="X1057" s="56" t="n">
        <f aca="false">IF(T1057=1,IF($B$27&lt;=V1057,1,0),0)</f>
        <v>0</v>
      </c>
      <c r="Y1057" s="58" t="n">
        <f aca="false">Y1056+V1057</f>
        <v>113000.408372882</v>
      </c>
    </row>
    <row r="1058" customFormat="false" ht="15" hidden="false" customHeight="false" outlineLevel="0" collapsed="false">
      <c r="K1058" s="56" t="n">
        <f aca="false">K1057+1</f>
        <v>1051</v>
      </c>
      <c r="L1058" s="57" t="n">
        <f aca="false">IF(AND(K1058&lt;=Assumptions!$C$42,L1057=1,P1057=0,O1057&gt;Assumptions!$C$43),1,0)</f>
        <v>0</v>
      </c>
      <c r="M1058" s="58" t="n">
        <f aca="false">O1057</f>
        <v>8.10541678220034E-009</v>
      </c>
      <c r="N1058" s="58" t="n">
        <f aca="false">IF(L1058=1,M1058*$B$22,0)</f>
        <v>0</v>
      </c>
      <c r="O1058" s="58" t="n">
        <f aca="false">IF(L1058=1,M1058+N1058-$B$26,M1058)</f>
        <v>8.10541678220034E-009</v>
      </c>
      <c r="P1058" s="56" t="n">
        <f aca="false">IF(L1058=1,IF($B$26&lt;=N1058,1,0),0)</f>
        <v>0</v>
      </c>
      <c r="Q1058" s="58" t="n">
        <f aca="false">Q1057+N1058</f>
        <v>145877.630223336</v>
      </c>
      <c r="S1058" s="56" t="n">
        <f aca="false">S1057+1</f>
        <v>1051</v>
      </c>
      <c r="T1058" s="57" t="n">
        <f aca="false">IF(AND(S1058&lt;=Assumptions!$C$42,T1057=1,X1057=0,W1057&gt;Assumptions!$C$43),1,0)</f>
        <v>0</v>
      </c>
      <c r="U1058" s="58" t="n">
        <f aca="false">W1057</f>
        <v>-182.103705036234</v>
      </c>
      <c r="V1058" s="58" t="n">
        <f aca="false">IF(T1058=1,U1058*$B$22,0)</f>
        <v>0</v>
      </c>
      <c r="W1058" s="58" t="n">
        <f aca="false">IF(T1058=1,U1058+V1058-$B$27,U1058)</f>
        <v>-182.103705036234</v>
      </c>
      <c r="X1058" s="56" t="n">
        <f aca="false">IF(T1058=1,IF($B$27&lt;=V1058,1,0),0)</f>
        <v>0</v>
      </c>
      <c r="Y1058" s="58" t="n">
        <f aca="false">Y1057+V1058</f>
        <v>113000.408372882</v>
      </c>
    </row>
    <row r="1059" customFormat="false" ht="15" hidden="false" customHeight="false" outlineLevel="0" collapsed="false">
      <c r="K1059" s="56" t="n">
        <f aca="false">K1058+1</f>
        <v>1052</v>
      </c>
      <c r="L1059" s="57" t="n">
        <f aca="false">IF(AND(K1059&lt;=Assumptions!$C$42,L1058=1,P1058=0,O1058&gt;Assumptions!$C$43),1,0)</f>
        <v>0</v>
      </c>
      <c r="M1059" s="58" t="n">
        <f aca="false">O1058</f>
        <v>8.10541678220034E-009</v>
      </c>
      <c r="N1059" s="58" t="n">
        <f aca="false">IF(L1059=1,M1059*$B$22,0)</f>
        <v>0</v>
      </c>
      <c r="O1059" s="58" t="n">
        <f aca="false">IF(L1059=1,M1059+N1059-$B$26,M1059)</f>
        <v>8.10541678220034E-009</v>
      </c>
      <c r="P1059" s="56" t="n">
        <f aca="false">IF(L1059=1,IF($B$26&lt;=N1059,1,0),0)</f>
        <v>0</v>
      </c>
      <c r="Q1059" s="58" t="n">
        <f aca="false">Q1058+N1059</f>
        <v>145877.630223336</v>
      </c>
      <c r="S1059" s="56" t="n">
        <f aca="false">S1058+1</f>
        <v>1052</v>
      </c>
      <c r="T1059" s="57" t="n">
        <f aca="false">IF(AND(S1059&lt;=Assumptions!$C$42,T1058=1,X1058=0,W1058&gt;Assumptions!$C$43),1,0)</f>
        <v>0</v>
      </c>
      <c r="U1059" s="58" t="n">
        <f aca="false">W1058</f>
        <v>-182.103705036234</v>
      </c>
      <c r="V1059" s="58" t="n">
        <f aca="false">IF(T1059=1,U1059*$B$22,0)</f>
        <v>0</v>
      </c>
      <c r="W1059" s="58" t="n">
        <f aca="false">IF(T1059=1,U1059+V1059-$B$27,U1059)</f>
        <v>-182.103705036234</v>
      </c>
      <c r="X1059" s="56" t="n">
        <f aca="false">IF(T1059=1,IF($B$27&lt;=V1059,1,0),0)</f>
        <v>0</v>
      </c>
      <c r="Y1059" s="58" t="n">
        <f aca="false">Y1058+V1059</f>
        <v>113000.408372882</v>
      </c>
    </row>
    <row r="1060" customFormat="false" ht="15" hidden="false" customHeight="false" outlineLevel="0" collapsed="false">
      <c r="K1060" s="56" t="n">
        <f aca="false">K1059+1</f>
        <v>1053</v>
      </c>
      <c r="L1060" s="57" t="n">
        <f aca="false">IF(AND(K1060&lt;=Assumptions!$C$42,L1059=1,P1059=0,O1059&gt;Assumptions!$C$43),1,0)</f>
        <v>0</v>
      </c>
      <c r="M1060" s="58" t="n">
        <f aca="false">O1059</f>
        <v>8.10541678220034E-009</v>
      </c>
      <c r="N1060" s="58" t="n">
        <f aca="false">IF(L1060=1,M1060*$B$22,0)</f>
        <v>0</v>
      </c>
      <c r="O1060" s="58" t="n">
        <f aca="false">IF(L1060=1,M1060+N1060-$B$26,M1060)</f>
        <v>8.10541678220034E-009</v>
      </c>
      <c r="P1060" s="56" t="n">
        <f aca="false">IF(L1060=1,IF($B$26&lt;=N1060,1,0),0)</f>
        <v>0</v>
      </c>
      <c r="Q1060" s="58" t="n">
        <f aca="false">Q1059+N1060</f>
        <v>145877.630223336</v>
      </c>
      <c r="S1060" s="56" t="n">
        <f aca="false">S1059+1</f>
        <v>1053</v>
      </c>
      <c r="T1060" s="57" t="n">
        <f aca="false">IF(AND(S1060&lt;=Assumptions!$C$42,T1059=1,X1059=0,W1059&gt;Assumptions!$C$43),1,0)</f>
        <v>0</v>
      </c>
      <c r="U1060" s="58" t="n">
        <f aca="false">W1059</f>
        <v>-182.103705036234</v>
      </c>
      <c r="V1060" s="58" t="n">
        <f aca="false">IF(T1060=1,U1060*$B$22,0)</f>
        <v>0</v>
      </c>
      <c r="W1060" s="58" t="n">
        <f aca="false">IF(T1060=1,U1060+V1060-$B$27,U1060)</f>
        <v>-182.103705036234</v>
      </c>
      <c r="X1060" s="56" t="n">
        <f aca="false">IF(T1060=1,IF($B$27&lt;=V1060,1,0),0)</f>
        <v>0</v>
      </c>
      <c r="Y1060" s="58" t="n">
        <f aca="false">Y1059+V1060</f>
        <v>113000.408372882</v>
      </c>
    </row>
    <row r="1061" customFormat="false" ht="15" hidden="false" customHeight="false" outlineLevel="0" collapsed="false">
      <c r="K1061" s="56" t="n">
        <f aca="false">K1060+1</f>
        <v>1054</v>
      </c>
      <c r="L1061" s="57" t="n">
        <f aca="false">IF(AND(K1061&lt;=Assumptions!$C$42,L1060=1,P1060=0,O1060&gt;Assumptions!$C$43),1,0)</f>
        <v>0</v>
      </c>
      <c r="M1061" s="58" t="n">
        <f aca="false">O1060</f>
        <v>8.10541678220034E-009</v>
      </c>
      <c r="N1061" s="58" t="n">
        <f aca="false">IF(L1061=1,M1061*$B$22,0)</f>
        <v>0</v>
      </c>
      <c r="O1061" s="58" t="n">
        <f aca="false">IF(L1061=1,M1061+N1061-$B$26,M1061)</f>
        <v>8.10541678220034E-009</v>
      </c>
      <c r="P1061" s="56" t="n">
        <f aca="false">IF(L1061=1,IF($B$26&lt;=N1061,1,0),0)</f>
        <v>0</v>
      </c>
      <c r="Q1061" s="58" t="n">
        <f aca="false">Q1060+N1061</f>
        <v>145877.630223336</v>
      </c>
      <c r="S1061" s="56" t="n">
        <f aca="false">S1060+1</f>
        <v>1054</v>
      </c>
      <c r="T1061" s="57" t="n">
        <f aca="false">IF(AND(S1061&lt;=Assumptions!$C$42,T1060=1,X1060=0,W1060&gt;Assumptions!$C$43),1,0)</f>
        <v>0</v>
      </c>
      <c r="U1061" s="58" t="n">
        <f aca="false">W1060</f>
        <v>-182.103705036234</v>
      </c>
      <c r="V1061" s="58" t="n">
        <f aca="false">IF(T1061=1,U1061*$B$22,0)</f>
        <v>0</v>
      </c>
      <c r="W1061" s="58" t="n">
        <f aca="false">IF(T1061=1,U1061+V1061-$B$27,U1061)</f>
        <v>-182.103705036234</v>
      </c>
      <c r="X1061" s="56" t="n">
        <f aca="false">IF(T1061=1,IF($B$27&lt;=V1061,1,0),0)</f>
        <v>0</v>
      </c>
      <c r="Y1061" s="58" t="n">
        <f aca="false">Y1060+V1061</f>
        <v>113000.408372882</v>
      </c>
    </row>
    <row r="1062" customFormat="false" ht="15" hidden="false" customHeight="false" outlineLevel="0" collapsed="false">
      <c r="K1062" s="56" t="n">
        <f aca="false">K1061+1</f>
        <v>1055</v>
      </c>
      <c r="L1062" s="57" t="n">
        <f aca="false">IF(AND(K1062&lt;=Assumptions!$C$42,L1061=1,P1061=0,O1061&gt;Assumptions!$C$43),1,0)</f>
        <v>0</v>
      </c>
      <c r="M1062" s="58" t="n">
        <f aca="false">O1061</f>
        <v>8.10541678220034E-009</v>
      </c>
      <c r="N1062" s="58" t="n">
        <f aca="false">IF(L1062=1,M1062*$B$22,0)</f>
        <v>0</v>
      </c>
      <c r="O1062" s="58" t="n">
        <f aca="false">IF(L1062=1,M1062+N1062-$B$26,M1062)</f>
        <v>8.10541678220034E-009</v>
      </c>
      <c r="P1062" s="56" t="n">
        <f aca="false">IF(L1062=1,IF($B$26&lt;=N1062,1,0),0)</f>
        <v>0</v>
      </c>
      <c r="Q1062" s="58" t="n">
        <f aca="false">Q1061+N1062</f>
        <v>145877.630223336</v>
      </c>
      <c r="S1062" s="56" t="n">
        <f aca="false">S1061+1</f>
        <v>1055</v>
      </c>
      <c r="T1062" s="57" t="n">
        <f aca="false">IF(AND(S1062&lt;=Assumptions!$C$42,T1061=1,X1061=0,W1061&gt;Assumptions!$C$43),1,0)</f>
        <v>0</v>
      </c>
      <c r="U1062" s="58" t="n">
        <f aca="false">W1061</f>
        <v>-182.103705036234</v>
      </c>
      <c r="V1062" s="58" t="n">
        <f aca="false">IF(T1062=1,U1062*$B$22,0)</f>
        <v>0</v>
      </c>
      <c r="W1062" s="58" t="n">
        <f aca="false">IF(T1062=1,U1062+V1062-$B$27,U1062)</f>
        <v>-182.103705036234</v>
      </c>
      <c r="X1062" s="56" t="n">
        <f aca="false">IF(T1062=1,IF($B$27&lt;=V1062,1,0),0)</f>
        <v>0</v>
      </c>
      <c r="Y1062" s="58" t="n">
        <f aca="false">Y1061+V1062</f>
        <v>113000.408372882</v>
      </c>
    </row>
    <row r="1063" customFormat="false" ht="15" hidden="false" customHeight="false" outlineLevel="0" collapsed="false">
      <c r="K1063" s="56" t="n">
        <f aca="false">K1062+1</f>
        <v>1056</v>
      </c>
      <c r="L1063" s="57" t="n">
        <f aca="false">IF(AND(K1063&lt;=Assumptions!$C$42,L1062=1,P1062=0,O1062&gt;Assumptions!$C$43),1,0)</f>
        <v>0</v>
      </c>
      <c r="M1063" s="58" t="n">
        <f aca="false">O1062</f>
        <v>8.10541678220034E-009</v>
      </c>
      <c r="N1063" s="58" t="n">
        <f aca="false">IF(L1063=1,M1063*$B$22,0)</f>
        <v>0</v>
      </c>
      <c r="O1063" s="58" t="n">
        <f aca="false">IF(L1063=1,M1063+N1063-$B$26,M1063)</f>
        <v>8.10541678220034E-009</v>
      </c>
      <c r="P1063" s="56" t="n">
        <f aca="false">IF(L1063=1,IF($B$26&lt;=N1063,1,0),0)</f>
        <v>0</v>
      </c>
      <c r="Q1063" s="58" t="n">
        <f aca="false">Q1062+N1063</f>
        <v>145877.630223336</v>
      </c>
      <c r="S1063" s="56" t="n">
        <f aca="false">S1062+1</f>
        <v>1056</v>
      </c>
      <c r="T1063" s="57" t="n">
        <f aca="false">IF(AND(S1063&lt;=Assumptions!$C$42,T1062=1,X1062=0,W1062&gt;Assumptions!$C$43),1,0)</f>
        <v>0</v>
      </c>
      <c r="U1063" s="58" t="n">
        <f aca="false">W1062</f>
        <v>-182.103705036234</v>
      </c>
      <c r="V1063" s="58" t="n">
        <f aca="false">IF(T1063=1,U1063*$B$22,0)</f>
        <v>0</v>
      </c>
      <c r="W1063" s="58" t="n">
        <f aca="false">IF(T1063=1,U1063+V1063-$B$27,U1063)</f>
        <v>-182.103705036234</v>
      </c>
      <c r="X1063" s="56" t="n">
        <f aca="false">IF(T1063=1,IF($B$27&lt;=V1063,1,0),0)</f>
        <v>0</v>
      </c>
      <c r="Y1063" s="58" t="n">
        <f aca="false">Y1062+V1063</f>
        <v>113000.408372882</v>
      </c>
    </row>
    <row r="1064" customFormat="false" ht="15" hidden="false" customHeight="false" outlineLevel="0" collapsed="false">
      <c r="K1064" s="56" t="n">
        <f aca="false">K1063+1</f>
        <v>1057</v>
      </c>
      <c r="L1064" s="57" t="n">
        <f aca="false">IF(AND(K1064&lt;=Assumptions!$C$42,L1063=1,P1063=0,O1063&gt;Assumptions!$C$43),1,0)</f>
        <v>0</v>
      </c>
      <c r="M1064" s="58" t="n">
        <f aca="false">O1063</f>
        <v>8.10541678220034E-009</v>
      </c>
      <c r="N1064" s="58" t="n">
        <f aca="false">IF(L1064=1,M1064*$B$22,0)</f>
        <v>0</v>
      </c>
      <c r="O1064" s="58" t="n">
        <f aca="false">IF(L1064=1,M1064+N1064-$B$26,M1064)</f>
        <v>8.10541678220034E-009</v>
      </c>
      <c r="P1064" s="56" t="n">
        <f aca="false">IF(L1064=1,IF($B$26&lt;=N1064,1,0),0)</f>
        <v>0</v>
      </c>
      <c r="Q1064" s="58" t="n">
        <f aca="false">Q1063+N1064</f>
        <v>145877.630223336</v>
      </c>
      <c r="S1064" s="56" t="n">
        <f aca="false">S1063+1</f>
        <v>1057</v>
      </c>
      <c r="T1064" s="57" t="n">
        <f aca="false">IF(AND(S1064&lt;=Assumptions!$C$42,T1063=1,X1063=0,W1063&gt;Assumptions!$C$43),1,0)</f>
        <v>0</v>
      </c>
      <c r="U1064" s="58" t="n">
        <f aca="false">W1063</f>
        <v>-182.103705036234</v>
      </c>
      <c r="V1064" s="58" t="n">
        <f aca="false">IF(T1064=1,U1064*$B$22,0)</f>
        <v>0</v>
      </c>
      <c r="W1064" s="58" t="n">
        <f aca="false">IF(T1064=1,U1064+V1064-$B$27,U1064)</f>
        <v>-182.103705036234</v>
      </c>
      <c r="X1064" s="56" t="n">
        <f aca="false">IF(T1064=1,IF($B$27&lt;=V1064,1,0),0)</f>
        <v>0</v>
      </c>
      <c r="Y1064" s="58" t="n">
        <f aca="false">Y1063+V1064</f>
        <v>113000.408372882</v>
      </c>
    </row>
    <row r="1065" customFormat="false" ht="15" hidden="false" customHeight="false" outlineLevel="0" collapsed="false">
      <c r="K1065" s="56" t="n">
        <f aca="false">K1064+1</f>
        <v>1058</v>
      </c>
      <c r="L1065" s="57" t="n">
        <f aca="false">IF(AND(K1065&lt;=Assumptions!$C$42,L1064=1,P1064=0,O1064&gt;Assumptions!$C$43),1,0)</f>
        <v>0</v>
      </c>
      <c r="M1065" s="58" t="n">
        <f aca="false">O1064</f>
        <v>8.10541678220034E-009</v>
      </c>
      <c r="N1065" s="58" t="n">
        <f aca="false">IF(L1065=1,M1065*$B$22,0)</f>
        <v>0</v>
      </c>
      <c r="O1065" s="58" t="n">
        <f aca="false">IF(L1065=1,M1065+N1065-$B$26,M1065)</f>
        <v>8.10541678220034E-009</v>
      </c>
      <c r="P1065" s="56" t="n">
        <f aca="false">IF(L1065=1,IF($B$26&lt;=N1065,1,0),0)</f>
        <v>0</v>
      </c>
      <c r="Q1065" s="58" t="n">
        <f aca="false">Q1064+N1065</f>
        <v>145877.630223336</v>
      </c>
      <c r="S1065" s="56" t="n">
        <f aca="false">S1064+1</f>
        <v>1058</v>
      </c>
      <c r="T1065" s="57" t="n">
        <f aca="false">IF(AND(S1065&lt;=Assumptions!$C$42,T1064=1,X1064=0,W1064&gt;Assumptions!$C$43),1,0)</f>
        <v>0</v>
      </c>
      <c r="U1065" s="58" t="n">
        <f aca="false">W1064</f>
        <v>-182.103705036234</v>
      </c>
      <c r="V1065" s="58" t="n">
        <f aca="false">IF(T1065=1,U1065*$B$22,0)</f>
        <v>0</v>
      </c>
      <c r="W1065" s="58" t="n">
        <f aca="false">IF(T1065=1,U1065+V1065-$B$27,U1065)</f>
        <v>-182.103705036234</v>
      </c>
      <c r="X1065" s="56" t="n">
        <f aca="false">IF(T1065=1,IF($B$27&lt;=V1065,1,0),0)</f>
        <v>0</v>
      </c>
      <c r="Y1065" s="58" t="n">
        <f aca="false">Y1064+V1065</f>
        <v>113000.408372882</v>
      </c>
    </row>
    <row r="1066" customFormat="false" ht="15" hidden="false" customHeight="false" outlineLevel="0" collapsed="false">
      <c r="K1066" s="56" t="n">
        <f aca="false">K1065+1</f>
        <v>1059</v>
      </c>
      <c r="L1066" s="57" t="n">
        <f aca="false">IF(AND(K1066&lt;=Assumptions!$C$42,L1065=1,P1065=0,O1065&gt;Assumptions!$C$43),1,0)</f>
        <v>0</v>
      </c>
      <c r="M1066" s="58" t="n">
        <f aca="false">O1065</f>
        <v>8.10541678220034E-009</v>
      </c>
      <c r="N1066" s="58" t="n">
        <f aca="false">IF(L1066=1,M1066*$B$22,0)</f>
        <v>0</v>
      </c>
      <c r="O1066" s="58" t="n">
        <f aca="false">IF(L1066=1,M1066+N1066-$B$26,M1066)</f>
        <v>8.10541678220034E-009</v>
      </c>
      <c r="P1066" s="56" t="n">
        <f aca="false">IF(L1066=1,IF($B$26&lt;=N1066,1,0),0)</f>
        <v>0</v>
      </c>
      <c r="Q1066" s="58" t="n">
        <f aca="false">Q1065+N1066</f>
        <v>145877.630223336</v>
      </c>
      <c r="S1066" s="56" t="n">
        <f aca="false">S1065+1</f>
        <v>1059</v>
      </c>
      <c r="T1066" s="57" t="n">
        <f aca="false">IF(AND(S1066&lt;=Assumptions!$C$42,T1065=1,X1065=0,W1065&gt;Assumptions!$C$43),1,0)</f>
        <v>0</v>
      </c>
      <c r="U1066" s="58" t="n">
        <f aca="false">W1065</f>
        <v>-182.103705036234</v>
      </c>
      <c r="V1066" s="58" t="n">
        <f aca="false">IF(T1066=1,U1066*$B$22,0)</f>
        <v>0</v>
      </c>
      <c r="W1066" s="58" t="n">
        <f aca="false">IF(T1066=1,U1066+V1066-$B$27,U1066)</f>
        <v>-182.103705036234</v>
      </c>
      <c r="X1066" s="56" t="n">
        <f aca="false">IF(T1066=1,IF($B$27&lt;=V1066,1,0),0)</f>
        <v>0</v>
      </c>
      <c r="Y1066" s="58" t="n">
        <f aca="false">Y1065+V1066</f>
        <v>113000.408372882</v>
      </c>
    </row>
    <row r="1067" customFormat="false" ht="15" hidden="false" customHeight="false" outlineLevel="0" collapsed="false">
      <c r="K1067" s="56" t="n">
        <f aca="false">K1066+1</f>
        <v>1060</v>
      </c>
      <c r="L1067" s="57" t="n">
        <f aca="false">IF(AND(K1067&lt;=Assumptions!$C$42,L1066=1,P1066=0,O1066&gt;Assumptions!$C$43),1,0)</f>
        <v>0</v>
      </c>
      <c r="M1067" s="58" t="n">
        <f aca="false">O1066</f>
        <v>8.10541678220034E-009</v>
      </c>
      <c r="N1067" s="58" t="n">
        <f aca="false">IF(L1067=1,M1067*$B$22,0)</f>
        <v>0</v>
      </c>
      <c r="O1067" s="58" t="n">
        <f aca="false">IF(L1067=1,M1067+N1067-$B$26,M1067)</f>
        <v>8.10541678220034E-009</v>
      </c>
      <c r="P1067" s="56" t="n">
        <f aca="false">IF(L1067=1,IF($B$26&lt;=N1067,1,0),0)</f>
        <v>0</v>
      </c>
      <c r="Q1067" s="58" t="n">
        <f aca="false">Q1066+N1067</f>
        <v>145877.630223336</v>
      </c>
      <c r="S1067" s="56" t="n">
        <f aca="false">S1066+1</f>
        <v>1060</v>
      </c>
      <c r="T1067" s="57" t="n">
        <f aca="false">IF(AND(S1067&lt;=Assumptions!$C$42,T1066=1,X1066=0,W1066&gt;Assumptions!$C$43),1,0)</f>
        <v>0</v>
      </c>
      <c r="U1067" s="58" t="n">
        <f aca="false">W1066</f>
        <v>-182.103705036234</v>
      </c>
      <c r="V1067" s="58" t="n">
        <f aca="false">IF(T1067=1,U1067*$B$22,0)</f>
        <v>0</v>
      </c>
      <c r="W1067" s="58" t="n">
        <f aca="false">IF(T1067=1,U1067+V1067-$B$27,U1067)</f>
        <v>-182.103705036234</v>
      </c>
      <c r="X1067" s="56" t="n">
        <f aca="false">IF(T1067=1,IF($B$27&lt;=V1067,1,0),0)</f>
        <v>0</v>
      </c>
      <c r="Y1067" s="58" t="n">
        <f aca="false">Y1066+V1067</f>
        <v>113000.408372882</v>
      </c>
    </row>
    <row r="1068" customFormat="false" ht="15" hidden="false" customHeight="false" outlineLevel="0" collapsed="false">
      <c r="K1068" s="56" t="n">
        <f aca="false">K1067+1</f>
        <v>1061</v>
      </c>
      <c r="L1068" s="57" t="n">
        <f aca="false">IF(AND(K1068&lt;=Assumptions!$C$42,L1067=1,P1067=0,O1067&gt;Assumptions!$C$43),1,0)</f>
        <v>0</v>
      </c>
      <c r="M1068" s="58" t="n">
        <f aca="false">O1067</f>
        <v>8.10541678220034E-009</v>
      </c>
      <c r="N1068" s="58" t="n">
        <f aca="false">IF(L1068=1,M1068*$B$22,0)</f>
        <v>0</v>
      </c>
      <c r="O1068" s="58" t="n">
        <f aca="false">IF(L1068=1,M1068+N1068-$B$26,M1068)</f>
        <v>8.10541678220034E-009</v>
      </c>
      <c r="P1068" s="56" t="n">
        <f aca="false">IF(L1068=1,IF($B$26&lt;=N1068,1,0),0)</f>
        <v>0</v>
      </c>
      <c r="Q1068" s="58" t="n">
        <f aca="false">Q1067+N1068</f>
        <v>145877.630223336</v>
      </c>
      <c r="S1068" s="56" t="n">
        <f aca="false">S1067+1</f>
        <v>1061</v>
      </c>
      <c r="T1068" s="57" t="n">
        <f aca="false">IF(AND(S1068&lt;=Assumptions!$C$42,T1067=1,X1067=0,W1067&gt;Assumptions!$C$43),1,0)</f>
        <v>0</v>
      </c>
      <c r="U1068" s="58" t="n">
        <f aca="false">W1067</f>
        <v>-182.103705036234</v>
      </c>
      <c r="V1068" s="58" t="n">
        <f aca="false">IF(T1068=1,U1068*$B$22,0)</f>
        <v>0</v>
      </c>
      <c r="W1068" s="58" t="n">
        <f aca="false">IF(T1068=1,U1068+V1068-$B$27,U1068)</f>
        <v>-182.103705036234</v>
      </c>
      <c r="X1068" s="56" t="n">
        <f aca="false">IF(T1068=1,IF($B$27&lt;=V1068,1,0),0)</f>
        <v>0</v>
      </c>
      <c r="Y1068" s="58" t="n">
        <f aca="false">Y1067+V1068</f>
        <v>113000.408372882</v>
      </c>
    </row>
    <row r="1069" customFormat="false" ht="15" hidden="false" customHeight="false" outlineLevel="0" collapsed="false">
      <c r="K1069" s="56" t="n">
        <f aca="false">K1068+1</f>
        <v>1062</v>
      </c>
      <c r="L1069" s="57" t="n">
        <f aca="false">IF(AND(K1069&lt;=Assumptions!$C$42,L1068=1,P1068=0,O1068&gt;Assumptions!$C$43),1,0)</f>
        <v>0</v>
      </c>
      <c r="M1069" s="58" t="n">
        <f aca="false">O1068</f>
        <v>8.10541678220034E-009</v>
      </c>
      <c r="N1069" s="58" t="n">
        <f aca="false">IF(L1069=1,M1069*$B$22,0)</f>
        <v>0</v>
      </c>
      <c r="O1069" s="58" t="n">
        <f aca="false">IF(L1069=1,M1069+N1069-$B$26,M1069)</f>
        <v>8.10541678220034E-009</v>
      </c>
      <c r="P1069" s="56" t="n">
        <f aca="false">IF(L1069=1,IF($B$26&lt;=N1069,1,0),0)</f>
        <v>0</v>
      </c>
      <c r="Q1069" s="58" t="n">
        <f aca="false">Q1068+N1069</f>
        <v>145877.630223336</v>
      </c>
      <c r="S1069" s="56" t="n">
        <f aca="false">S1068+1</f>
        <v>1062</v>
      </c>
      <c r="T1069" s="57" t="n">
        <f aca="false">IF(AND(S1069&lt;=Assumptions!$C$42,T1068=1,X1068=0,W1068&gt;Assumptions!$C$43),1,0)</f>
        <v>0</v>
      </c>
      <c r="U1069" s="58" t="n">
        <f aca="false">W1068</f>
        <v>-182.103705036234</v>
      </c>
      <c r="V1069" s="58" t="n">
        <f aca="false">IF(T1069=1,U1069*$B$22,0)</f>
        <v>0</v>
      </c>
      <c r="W1069" s="58" t="n">
        <f aca="false">IF(T1069=1,U1069+V1069-$B$27,U1069)</f>
        <v>-182.103705036234</v>
      </c>
      <c r="X1069" s="56" t="n">
        <f aca="false">IF(T1069=1,IF($B$27&lt;=V1069,1,0),0)</f>
        <v>0</v>
      </c>
      <c r="Y1069" s="58" t="n">
        <f aca="false">Y1068+V1069</f>
        <v>113000.408372882</v>
      </c>
    </row>
    <row r="1070" customFormat="false" ht="15" hidden="false" customHeight="false" outlineLevel="0" collapsed="false">
      <c r="K1070" s="56" t="n">
        <f aca="false">K1069+1</f>
        <v>1063</v>
      </c>
      <c r="L1070" s="57" t="n">
        <f aca="false">IF(AND(K1070&lt;=Assumptions!$C$42,L1069=1,P1069=0,O1069&gt;Assumptions!$C$43),1,0)</f>
        <v>0</v>
      </c>
      <c r="M1070" s="58" t="n">
        <f aca="false">O1069</f>
        <v>8.10541678220034E-009</v>
      </c>
      <c r="N1070" s="58" t="n">
        <f aca="false">IF(L1070=1,M1070*$B$22,0)</f>
        <v>0</v>
      </c>
      <c r="O1070" s="58" t="n">
        <f aca="false">IF(L1070=1,M1070+N1070-$B$26,M1070)</f>
        <v>8.10541678220034E-009</v>
      </c>
      <c r="P1070" s="56" t="n">
        <f aca="false">IF(L1070=1,IF($B$26&lt;=N1070,1,0),0)</f>
        <v>0</v>
      </c>
      <c r="Q1070" s="58" t="n">
        <f aca="false">Q1069+N1070</f>
        <v>145877.630223336</v>
      </c>
      <c r="S1070" s="56" t="n">
        <f aca="false">S1069+1</f>
        <v>1063</v>
      </c>
      <c r="T1070" s="57" t="n">
        <f aca="false">IF(AND(S1070&lt;=Assumptions!$C$42,T1069=1,X1069=0,W1069&gt;Assumptions!$C$43),1,0)</f>
        <v>0</v>
      </c>
      <c r="U1070" s="58" t="n">
        <f aca="false">W1069</f>
        <v>-182.103705036234</v>
      </c>
      <c r="V1070" s="58" t="n">
        <f aca="false">IF(T1070=1,U1070*$B$22,0)</f>
        <v>0</v>
      </c>
      <c r="W1070" s="58" t="n">
        <f aca="false">IF(T1070=1,U1070+V1070-$B$27,U1070)</f>
        <v>-182.103705036234</v>
      </c>
      <c r="X1070" s="56" t="n">
        <f aca="false">IF(T1070=1,IF($B$27&lt;=V1070,1,0),0)</f>
        <v>0</v>
      </c>
      <c r="Y1070" s="58" t="n">
        <f aca="false">Y1069+V1070</f>
        <v>113000.408372882</v>
      </c>
    </row>
    <row r="1071" customFormat="false" ht="15" hidden="false" customHeight="false" outlineLevel="0" collapsed="false">
      <c r="K1071" s="56" t="n">
        <f aca="false">K1070+1</f>
        <v>1064</v>
      </c>
      <c r="L1071" s="57" t="n">
        <f aca="false">IF(AND(K1071&lt;=Assumptions!$C$42,L1070=1,P1070=0,O1070&gt;Assumptions!$C$43),1,0)</f>
        <v>0</v>
      </c>
      <c r="M1071" s="58" t="n">
        <f aca="false">O1070</f>
        <v>8.10541678220034E-009</v>
      </c>
      <c r="N1071" s="58" t="n">
        <f aca="false">IF(L1071=1,M1071*$B$22,0)</f>
        <v>0</v>
      </c>
      <c r="O1071" s="58" t="n">
        <f aca="false">IF(L1071=1,M1071+N1071-$B$26,M1071)</f>
        <v>8.10541678220034E-009</v>
      </c>
      <c r="P1071" s="56" t="n">
        <f aca="false">IF(L1071=1,IF($B$26&lt;=N1071,1,0),0)</f>
        <v>0</v>
      </c>
      <c r="Q1071" s="58" t="n">
        <f aca="false">Q1070+N1071</f>
        <v>145877.630223336</v>
      </c>
      <c r="S1071" s="56" t="n">
        <f aca="false">S1070+1</f>
        <v>1064</v>
      </c>
      <c r="T1071" s="57" t="n">
        <f aca="false">IF(AND(S1071&lt;=Assumptions!$C$42,T1070=1,X1070=0,W1070&gt;Assumptions!$C$43),1,0)</f>
        <v>0</v>
      </c>
      <c r="U1071" s="58" t="n">
        <f aca="false">W1070</f>
        <v>-182.103705036234</v>
      </c>
      <c r="V1071" s="58" t="n">
        <f aca="false">IF(T1071=1,U1071*$B$22,0)</f>
        <v>0</v>
      </c>
      <c r="W1071" s="58" t="n">
        <f aca="false">IF(T1071=1,U1071+V1071-$B$27,U1071)</f>
        <v>-182.103705036234</v>
      </c>
      <c r="X1071" s="56" t="n">
        <f aca="false">IF(T1071=1,IF($B$27&lt;=V1071,1,0),0)</f>
        <v>0</v>
      </c>
      <c r="Y1071" s="58" t="n">
        <f aca="false">Y1070+V1071</f>
        <v>113000.408372882</v>
      </c>
    </row>
    <row r="1072" customFormat="false" ht="15" hidden="false" customHeight="false" outlineLevel="0" collapsed="false">
      <c r="K1072" s="56" t="n">
        <f aca="false">K1071+1</f>
        <v>1065</v>
      </c>
      <c r="L1072" s="57" t="n">
        <f aca="false">IF(AND(K1072&lt;=Assumptions!$C$42,L1071=1,P1071=0,O1071&gt;Assumptions!$C$43),1,0)</f>
        <v>0</v>
      </c>
      <c r="M1072" s="58" t="n">
        <f aca="false">O1071</f>
        <v>8.10541678220034E-009</v>
      </c>
      <c r="N1072" s="58" t="n">
        <f aca="false">IF(L1072=1,M1072*$B$22,0)</f>
        <v>0</v>
      </c>
      <c r="O1072" s="58" t="n">
        <f aca="false">IF(L1072=1,M1072+N1072-$B$26,M1072)</f>
        <v>8.10541678220034E-009</v>
      </c>
      <c r="P1072" s="56" t="n">
        <f aca="false">IF(L1072=1,IF($B$26&lt;=N1072,1,0),0)</f>
        <v>0</v>
      </c>
      <c r="Q1072" s="58" t="n">
        <f aca="false">Q1071+N1072</f>
        <v>145877.630223336</v>
      </c>
      <c r="S1072" s="56" t="n">
        <f aca="false">S1071+1</f>
        <v>1065</v>
      </c>
      <c r="T1072" s="57" t="n">
        <f aca="false">IF(AND(S1072&lt;=Assumptions!$C$42,T1071=1,X1071=0,W1071&gt;Assumptions!$C$43),1,0)</f>
        <v>0</v>
      </c>
      <c r="U1072" s="58" t="n">
        <f aca="false">W1071</f>
        <v>-182.103705036234</v>
      </c>
      <c r="V1072" s="58" t="n">
        <f aca="false">IF(T1072=1,U1072*$B$22,0)</f>
        <v>0</v>
      </c>
      <c r="W1072" s="58" t="n">
        <f aca="false">IF(T1072=1,U1072+V1072-$B$27,U1072)</f>
        <v>-182.103705036234</v>
      </c>
      <c r="X1072" s="56" t="n">
        <f aca="false">IF(T1072=1,IF($B$27&lt;=V1072,1,0),0)</f>
        <v>0</v>
      </c>
      <c r="Y1072" s="58" t="n">
        <f aca="false">Y1071+V1072</f>
        <v>113000.408372882</v>
      </c>
    </row>
    <row r="1073" customFormat="false" ht="15" hidden="false" customHeight="false" outlineLevel="0" collapsed="false">
      <c r="K1073" s="56" t="n">
        <f aca="false">K1072+1</f>
        <v>1066</v>
      </c>
      <c r="L1073" s="57" t="n">
        <f aca="false">IF(AND(K1073&lt;=Assumptions!$C$42,L1072=1,P1072=0,O1072&gt;Assumptions!$C$43),1,0)</f>
        <v>0</v>
      </c>
      <c r="M1073" s="58" t="n">
        <f aca="false">O1072</f>
        <v>8.10541678220034E-009</v>
      </c>
      <c r="N1073" s="58" t="n">
        <f aca="false">IF(L1073=1,M1073*$B$22,0)</f>
        <v>0</v>
      </c>
      <c r="O1073" s="58" t="n">
        <f aca="false">IF(L1073=1,M1073+N1073-$B$26,M1073)</f>
        <v>8.10541678220034E-009</v>
      </c>
      <c r="P1073" s="56" t="n">
        <f aca="false">IF(L1073=1,IF($B$26&lt;=N1073,1,0),0)</f>
        <v>0</v>
      </c>
      <c r="Q1073" s="58" t="n">
        <f aca="false">Q1072+N1073</f>
        <v>145877.630223336</v>
      </c>
      <c r="S1073" s="56" t="n">
        <f aca="false">S1072+1</f>
        <v>1066</v>
      </c>
      <c r="T1073" s="57" t="n">
        <f aca="false">IF(AND(S1073&lt;=Assumptions!$C$42,T1072=1,X1072=0,W1072&gt;Assumptions!$C$43),1,0)</f>
        <v>0</v>
      </c>
      <c r="U1073" s="58" t="n">
        <f aca="false">W1072</f>
        <v>-182.103705036234</v>
      </c>
      <c r="V1073" s="58" t="n">
        <f aca="false">IF(T1073=1,U1073*$B$22,0)</f>
        <v>0</v>
      </c>
      <c r="W1073" s="58" t="n">
        <f aca="false">IF(T1073=1,U1073+V1073-$B$27,U1073)</f>
        <v>-182.103705036234</v>
      </c>
      <c r="X1073" s="56" t="n">
        <f aca="false">IF(T1073=1,IF($B$27&lt;=V1073,1,0),0)</f>
        <v>0</v>
      </c>
      <c r="Y1073" s="58" t="n">
        <f aca="false">Y1072+V1073</f>
        <v>113000.408372882</v>
      </c>
    </row>
    <row r="1074" customFormat="false" ht="15" hidden="false" customHeight="false" outlineLevel="0" collapsed="false">
      <c r="K1074" s="56" t="n">
        <f aca="false">K1073+1</f>
        <v>1067</v>
      </c>
      <c r="L1074" s="57" t="n">
        <f aca="false">IF(AND(K1074&lt;=Assumptions!$C$42,L1073=1,P1073=0,O1073&gt;Assumptions!$C$43),1,0)</f>
        <v>0</v>
      </c>
      <c r="M1074" s="58" t="n">
        <f aca="false">O1073</f>
        <v>8.10541678220034E-009</v>
      </c>
      <c r="N1074" s="58" t="n">
        <f aca="false">IF(L1074=1,M1074*$B$22,0)</f>
        <v>0</v>
      </c>
      <c r="O1074" s="58" t="n">
        <f aca="false">IF(L1074=1,M1074+N1074-$B$26,M1074)</f>
        <v>8.10541678220034E-009</v>
      </c>
      <c r="P1074" s="56" t="n">
        <f aca="false">IF(L1074=1,IF($B$26&lt;=N1074,1,0),0)</f>
        <v>0</v>
      </c>
      <c r="Q1074" s="58" t="n">
        <f aca="false">Q1073+N1074</f>
        <v>145877.630223336</v>
      </c>
      <c r="S1074" s="56" t="n">
        <f aca="false">S1073+1</f>
        <v>1067</v>
      </c>
      <c r="T1074" s="57" t="n">
        <f aca="false">IF(AND(S1074&lt;=Assumptions!$C$42,T1073=1,X1073=0,W1073&gt;Assumptions!$C$43),1,0)</f>
        <v>0</v>
      </c>
      <c r="U1074" s="58" t="n">
        <f aca="false">W1073</f>
        <v>-182.103705036234</v>
      </c>
      <c r="V1074" s="58" t="n">
        <f aca="false">IF(T1074=1,U1074*$B$22,0)</f>
        <v>0</v>
      </c>
      <c r="W1074" s="58" t="n">
        <f aca="false">IF(T1074=1,U1074+V1074-$B$27,U1074)</f>
        <v>-182.103705036234</v>
      </c>
      <c r="X1074" s="56" t="n">
        <f aca="false">IF(T1074=1,IF($B$27&lt;=V1074,1,0),0)</f>
        <v>0</v>
      </c>
      <c r="Y1074" s="58" t="n">
        <f aca="false">Y1073+V1074</f>
        <v>113000.408372882</v>
      </c>
    </row>
    <row r="1075" customFormat="false" ht="15" hidden="false" customHeight="false" outlineLevel="0" collapsed="false">
      <c r="K1075" s="56" t="n">
        <f aca="false">K1074+1</f>
        <v>1068</v>
      </c>
      <c r="L1075" s="57" t="n">
        <f aca="false">IF(AND(K1075&lt;=Assumptions!$C$42,L1074=1,P1074=0,O1074&gt;Assumptions!$C$43),1,0)</f>
        <v>0</v>
      </c>
      <c r="M1075" s="58" t="n">
        <f aca="false">O1074</f>
        <v>8.10541678220034E-009</v>
      </c>
      <c r="N1075" s="58" t="n">
        <f aca="false">IF(L1075=1,M1075*$B$22,0)</f>
        <v>0</v>
      </c>
      <c r="O1075" s="58" t="n">
        <f aca="false">IF(L1075=1,M1075+N1075-$B$26,M1075)</f>
        <v>8.10541678220034E-009</v>
      </c>
      <c r="P1075" s="56" t="n">
        <f aca="false">IF(L1075=1,IF($B$26&lt;=N1075,1,0),0)</f>
        <v>0</v>
      </c>
      <c r="Q1075" s="58" t="n">
        <f aca="false">Q1074+N1075</f>
        <v>145877.630223336</v>
      </c>
      <c r="S1075" s="56" t="n">
        <f aca="false">S1074+1</f>
        <v>1068</v>
      </c>
      <c r="T1075" s="57" t="n">
        <f aca="false">IF(AND(S1075&lt;=Assumptions!$C$42,T1074=1,X1074=0,W1074&gt;Assumptions!$C$43),1,0)</f>
        <v>0</v>
      </c>
      <c r="U1075" s="58" t="n">
        <f aca="false">W1074</f>
        <v>-182.103705036234</v>
      </c>
      <c r="V1075" s="58" t="n">
        <f aca="false">IF(T1075=1,U1075*$B$22,0)</f>
        <v>0</v>
      </c>
      <c r="W1075" s="58" t="n">
        <f aca="false">IF(T1075=1,U1075+V1075-$B$27,U1075)</f>
        <v>-182.103705036234</v>
      </c>
      <c r="X1075" s="56" t="n">
        <f aca="false">IF(T1075=1,IF($B$27&lt;=V1075,1,0),0)</f>
        <v>0</v>
      </c>
      <c r="Y1075" s="58" t="n">
        <f aca="false">Y1074+V1075</f>
        <v>113000.408372882</v>
      </c>
    </row>
    <row r="1076" customFormat="false" ht="15" hidden="false" customHeight="false" outlineLevel="0" collapsed="false">
      <c r="K1076" s="56" t="n">
        <f aca="false">K1075+1</f>
        <v>1069</v>
      </c>
      <c r="L1076" s="57" t="n">
        <f aca="false">IF(AND(K1076&lt;=Assumptions!$C$42,L1075=1,P1075=0,O1075&gt;Assumptions!$C$43),1,0)</f>
        <v>0</v>
      </c>
      <c r="M1076" s="58" t="n">
        <f aca="false">O1075</f>
        <v>8.10541678220034E-009</v>
      </c>
      <c r="N1076" s="58" t="n">
        <f aca="false">IF(L1076=1,M1076*$B$22,0)</f>
        <v>0</v>
      </c>
      <c r="O1076" s="58" t="n">
        <f aca="false">IF(L1076=1,M1076+N1076-$B$26,M1076)</f>
        <v>8.10541678220034E-009</v>
      </c>
      <c r="P1076" s="56" t="n">
        <f aca="false">IF(L1076=1,IF($B$26&lt;=N1076,1,0),0)</f>
        <v>0</v>
      </c>
      <c r="Q1076" s="58" t="n">
        <f aca="false">Q1075+N1076</f>
        <v>145877.630223336</v>
      </c>
      <c r="S1076" s="56" t="n">
        <f aca="false">S1075+1</f>
        <v>1069</v>
      </c>
      <c r="T1076" s="57" t="n">
        <f aca="false">IF(AND(S1076&lt;=Assumptions!$C$42,T1075=1,X1075=0,W1075&gt;Assumptions!$C$43),1,0)</f>
        <v>0</v>
      </c>
      <c r="U1076" s="58" t="n">
        <f aca="false">W1075</f>
        <v>-182.103705036234</v>
      </c>
      <c r="V1076" s="58" t="n">
        <f aca="false">IF(T1076=1,U1076*$B$22,0)</f>
        <v>0</v>
      </c>
      <c r="W1076" s="58" t="n">
        <f aca="false">IF(T1076=1,U1076+V1076-$B$27,U1076)</f>
        <v>-182.103705036234</v>
      </c>
      <c r="X1076" s="56" t="n">
        <f aca="false">IF(T1076=1,IF($B$27&lt;=V1076,1,0),0)</f>
        <v>0</v>
      </c>
      <c r="Y1076" s="58" t="n">
        <f aca="false">Y1075+V1076</f>
        <v>113000.408372882</v>
      </c>
    </row>
    <row r="1077" customFormat="false" ht="15" hidden="false" customHeight="false" outlineLevel="0" collapsed="false">
      <c r="K1077" s="56" t="n">
        <f aca="false">K1076+1</f>
        <v>1070</v>
      </c>
      <c r="L1077" s="57" t="n">
        <f aca="false">IF(AND(K1077&lt;=Assumptions!$C$42,L1076=1,P1076=0,O1076&gt;Assumptions!$C$43),1,0)</f>
        <v>0</v>
      </c>
      <c r="M1077" s="58" t="n">
        <f aca="false">O1076</f>
        <v>8.10541678220034E-009</v>
      </c>
      <c r="N1077" s="58" t="n">
        <f aca="false">IF(L1077=1,M1077*$B$22,0)</f>
        <v>0</v>
      </c>
      <c r="O1077" s="58" t="n">
        <f aca="false">IF(L1077=1,M1077+N1077-$B$26,M1077)</f>
        <v>8.10541678220034E-009</v>
      </c>
      <c r="P1077" s="56" t="n">
        <f aca="false">IF(L1077=1,IF($B$26&lt;=N1077,1,0),0)</f>
        <v>0</v>
      </c>
      <c r="Q1077" s="58" t="n">
        <f aca="false">Q1076+N1077</f>
        <v>145877.630223336</v>
      </c>
      <c r="S1077" s="56" t="n">
        <f aca="false">S1076+1</f>
        <v>1070</v>
      </c>
      <c r="T1077" s="57" t="n">
        <f aca="false">IF(AND(S1077&lt;=Assumptions!$C$42,T1076=1,X1076=0,W1076&gt;Assumptions!$C$43),1,0)</f>
        <v>0</v>
      </c>
      <c r="U1077" s="58" t="n">
        <f aca="false">W1076</f>
        <v>-182.103705036234</v>
      </c>
      <c r="V1077" s="58" t="n">
        <f aca="false">IF(T1077=1,U1077*$B$22,0)</f>
        <v>0</v>
      </c>
      <c r="W1077" s="58" t="n">
        <f aca="false">IF(T1077=1,U1077+V1077-$B$27,U1077)</f>
        <v>-182.103705036234</v>
      </c>
      <c r="X1077" s="56" t="n">
        <f aca="false">IF(T1077=1,IF($B$27&lt;=V1077,1,0),0)</f>
        <v>0</v>
      </c>
      <c r="Y1077" s="58" t="n">
        <f aca="false">Y1076+V1077</f>
        <v>113000.408372882</v>
      </c>
    </row>
    <row r="1078" customFormat="false" ht="15" hidden="false" customHeight="false" outlineLevel="0" collapsed="false">
      <c r="K1078" s="56" t="n">
        <f aca="false">K1077+1</f>
        <v>1071</v>
      </c>
      <c r="L1078" s="57" t="n">
        <f aca="false">IF(AND(K1078&lt;=Assumptions!$C$42,L1077=1,P1077=0,O1077&gt;Assumptions!$C$43),1,0)</f>
        <v>0</v>
      </c>
      <c r="M1078" s="58" t="n">
        <f aca="false">O1077</f>
        <v>8.10541678220034E-009</v>
      </c>
      <c r="N1078" s="58" t="n">
        <f aca="false">IF(L1078=1,M1078*$B$22,0)</f>
        <v>0</v>
      </c>
      <c r="O1078" s="58" t="n">
        <f aca="false">IF(L1078=1,M1078+N1078-$B$26,M1078)</f>
        <v>8.10541678220034E-009</v>
      </c>
      <c r="P1078" s="56" t="n">
        <f aca="false">IF(L1078=1,IF($B$26&lt;=N1078,1,0),0)</f>
        <v>0</v>
      </c>
      <c r="Q1078" s="58" t="n">
        <f aca="false">Q1077+N1078</f>
        <v>145877.630223336</v>
      </c>
      <c r="S1078" s="56" t="n">
        <f aca="false">S1077+1</f>
        <v>1071</v>
      </c>
      <c r="T1078" s="57" t="n">
        <f aca="false">IF(AND(S1078&lt;=Assumptions!$C$42,T1077=1,X1077=0,W1077&gt;Assumptions!$C$43),1,0)</f>
        <v>0</v>
      </c>
      <c r="U1078" s="58" t="n">
        <f aca="false">W1077</f>
        <v>-182.103705036234</v>
      </c>
      <c r="V1078" s="58" t="n">
        <f aca="false">IF(T1078=1,U1078*$B$22,0)</f>
        <v>0</v>
      </c>
      <c r="W1078" s="58" t="n">
        <f aca="false">IF(T1078=1,U1078+V1078-$B$27,U1078)</f>
        <v>-182.103705036234</v>
      </c>
      <c r="X1078" s="56" t="n">
        <f aca="false">IF(T1078=1,IF($B$27&lt;=V1078,1,0),0)</f>
        <v>0</v>
      </c>
      <c r="Y1078" s="58" t="n">
        <f aca="false">Y1077+V1078</f>
        <v>113000.408372882</v>
      </c>
    </row>
    <row r="1079" customFormat="false" ht="15" hidden="false" customHeight="false" outlineLevel="0" collapsed="false">
      <c r="K1079" s="56" t="n">
        <f aca="false">K1078+1</f>
        <v>1072</v>
      </c>
      <c r="L1079" s="57" t="n">
        <f aca="false">IF(AND(K1079&lt;=Assumptions!$C$42,L1078=1,P1078=0,O1078&gt;Assumptions!$C$43),1,0)</f>
        <v>0</v>
      </c>
      <c r="M1079" s="58" t="n">
        <f aca="false">O1078</f>
        <v>8.10541678220034E-009</v>
      </c>
      <c r="N1079" s="58" t="n">
        <f aca="false">IF(L1079=1,M1079*$B$22,0)</f>
        <v>0</v>
      </c>
      <c r="O1079" s="58" t="n">
        <f aca="false">IF(L1079=1,M1079+N1079-$B$26,M1079)</f>
        <v>8.10541678220034E-009</v>
      </c>
      <c r="P1079" s="56" t="n">
        <f aca="false">IF(L1079=1,IF($B$26&lt;=N1079,1,0),0)</f>
        <v>0</v>
      </c>
      <c r="Q1079" s="58" t="n">
        <f aca="false">Q1078+N1079</f>
        <v>145877.630223336</v>
      </c>
      <c r="S1079" s="56" t="n">
        <f aca="false">S1078+1</f>
        <v>1072</v>
      </c>
      <c r="T1079" s="57" t="n">
        <f aca="false">IF(AND(S1079&lt;=Assumptions!$C$42,T1078=1,X1078=0,W1078&gt;Assumptions!$C$43),1,0)</f>
        <v>0</v>
      </c>
      <c r="U1079" s="58" t="n">
        <f aca="false">W1078</f>
        <v>-182.103705036234</v>
      </c>
      <c r="V1079" s="58" t="n">
        <f aca="false">IF(T1079=1,U1079*$B$22,0)</f>
        <v>0</v>
      </c>
      <c r="W1079" s="58" t="n">
        <f aca="false">IF(T1079=1,U1079+V1079-$B$27,U1079)</f>
        <v>-182.103705036234</v>
      </c>
      <c r="X1079" s="56" t="n">
        <f aca="false">IF(T1079=1,IF($B$27&lt;=V1079,1,0),0)</f>
        <v>0</v>
      </c>
      <c r="Y1079" s="58" t="n">
        <f aca="false">Y1078+V1079</f>
        <v>113000.408372882</v>
      </c>
    </row>
    <row r="1080" customFormat="false" ht="15" hidden="false" customHeight="false" outlineLevel="0" collapsed="false">
      <c r="K1080" s="56" t="n">
        <f aca="false">K1079+1</f>
        <v>1073</v>
      </c>
      <c r="L1080" s="57" t="n">
        <f aca="false">IF(AND(K1080&lt;=Assumptions!$C$42,L1079=1,P1079=0,O1079&gt;Assumptions!$C$43),1,0)</f>
        <v>0</v>
      </c>
      <c r="M1080" s="58" t="n">
        <f aca="false">O1079</f>
        <v>8.10541678220034E-009</v>
      </c>
      <c r="N1080" s="58" t="n">
        <f aca="false">IF(L1080=1,M1080*$B$22,0)</f>
        <v>0</v>
      </c>
      <c r="O1080" s="58" t="n">
        <f aca="false">IF(L1080=1,M1080+N1080-$B$26,M1080)</f>
        <v>8.10541678220034E-009</v>
      </c>
      <c r="P1080" s="56" t="n">
        <f aca="false">IF(L1080=1,IF($B$26&lt;=N1080,1,0),0)</f>
        <v>0</v>
      </c>
      <c r="Q1080" s="58" t="n">
        <f aca="false">Q1079+N1080</f>
        <v>145877.630223336</v>
      </c>
      <c r="S1080" s="56" t="n">
        <f aca="false">S1079+1</f>
        <v>1073</v>
      </c>
      <c r="T1080" s="57" t="n">
        <f aca="false">IF(AND(S1080&lt;=Assumptions!$C$42,T1079=1,X1079=0,W1079&gt;Assumptions!$C$43),1,0)</f>
        <v>0</v>
      </c>
      <c r="U1080" s="58" t="n">
        <f aca="false">W1079</f>
        <v>-182.103705036234</v>
      </c>
      <c r="V1080" s="58" t="n">
        <f aca="false">IF(T1080=1,U1080*$B$22,0)</f>
        <v>0</v>
      </c>
      <c r="W1080" s="58" t="n">
        <f aca="false">IF(T1080=1,U1080+V1080-$B$27,U1080)</f>
        <v>-182.103705036234</v>
      </c>
      <c r="X1080" s="56" t="n">
        <f aca="false">IF(T1080=1,IF($B$27&lt;=V1080,1,0),0)</f>
        <v>0</v>
      </c>
      <c r="Y1080" s="58" t="n">
        <f aca="false">Y1079+V1080</f>
        <v>113000.408372882</v>
      </c>
    </row>
    <row r="1081" customFormat="false" ht="15" hidden="false" customHeight="false" outlineLevel="0" collapsed="false">
      <c r="K1081" s="56" t="n">
        <f aca="false">K1080+1</f>
        <v>1074</v>
      </c>
      <c r="L1081" s="57" t="n">
        <f aca="false">IF(AND(K1081&lt;=Assumptions!$C$42,L1080=1,P1080=0,O1080&gt;Assumptions!$C$43),1,0)</f>
        <v>0</v>
      </c>
      <c r="M1081" s="58" t="n">
        <f aca="false">O1080</f>
        <v>8.10541678220034E-009</v>
      </c>
      <c r="N1081" s="58" t="n">
        <f aca="false">IF(L1081=1,M1081*$B$22,0)</f>
        <v>0</v>
      </c>
      <c r="O1081" s="58" t="n">
        <f aca="false">IF(L1081=1,M1081+N1081-$B$26,M1081)</f>
        <v>8.10541678220034E-009</v>
      </c>
      <c r="P1081" s="56" t="n">
        <f aca="false">IF(L1081=1,IF($B$26&lt;=N1081,1,0),0)</f>
        <v>0</v>
      </c>
      <c r="Q1081" s="58" t="n">
        <f aca="false">Q1080+N1081</f>
        <v>145877.630223336</v>
      </c>
      <c r="S1081" s="56" t="n">
        <f aca="false">S1080+1</f>
        <v>1074</v>
      </c>
      <c r="T1081" s="57" t="n">
        <f aca="false">IF(AND(S1081&lt;=Assumptions!$C$42,T1080=1,X1080=0,W1080&gt;Assumptions!$C$43),1,0)</f>
        <v>0</v>
      </c>
      <c r="U1081" s="58" t="n">
        <f aca="false">W1080</f>
        <v>-182.103705036234</v>
      </c>
      <c r="V1081" s="58" t="n">
        <f aca="false">IF(T1081=1,U1081*$B$22,0)</f>
        <v>0</v>
      </c>
      <c r="W1081" s="58" t="n">
        <f aca="false">IF(T1081=1,U1081+V1081-$B$27,U1081)</f>
        <v>-182.103705036234</v>
      </c>
      <c r="X1081" s="56" t="n">
        <f aca="false">IF(T1081=1,IF($B$27&lt;=V1081,1,0),0)</f>
        <v>0</v>
      </c>
      <c r="Y1081" s="58" t="n">
        <f aca="false">Y1080+V1081</f>
        <v>113000.408372882</v>
      </c>
    </row>
    <row r="1082" customFormat="false" ht="15" hidden="false" customHeight="false" outlineLevel="0" collapsed="false">
      <c r="K1082" s="56" t="n">
        <f aca="false">K1081+1</f>
        <v>1075</v>
      </c>
      <c r="L1082" s="57" t="n">
        <f aca="false">IF(AND(K1082&lt;=Assumptions!$C$42,L1081=1,P1081=0,O1081&gt;Assumptions!$C$43),1,0)</f>
        <v>0</v>
      </c>
      <c r="M1082" s="58" t="n">
        <f aca="false">O1081</f>
        <v>8.10541678220034E-009</v>
      </c>
      <c r="N1082" s="58" t="n">
        <f aca="false">IF(L1082=1,M1082*$B$22,0)</f>
        <v>0</v>
      </c>
      <c r="O1082" s="58" t="n">
        <f aca="false">IF(L1082=1,M1082+N1082-$B$26,M1082)</f>
        <v>8.10541678220034E-009</v>
      </c>
      <c r="P1082" s="56" t="n">
        <f aca="false">IF(L1082=1,IF($B$26&lt;=N1082,1,0),0)</f>
        <v>0</v>
      </c>
      <c r="Q1082" s="58" t="n">
        <f aca="false">Q1081+N1082</f>
        <v>145877.630223336</v>
      </c>
      <c r="S1082" s="56" t="n">
        <f aca="false">S1081+1</f>
        <v>1075</v>
      </c>
      <c r="T1082" s="57" t="n">
        <f aca="false">IF(AND(S1082&lt;=Assumptions!$C$42,T1081=1,X1081=0,W1081&gt;Assumptions!$C$43),1,0)</f>
        <v>0</v>
      </c>
      <c r="U1082" s="58" t="n">
        <f aca="false">W1081</f>
        <v>-182.103705036234</v>
      </c>
      <c r="V1082" s="58" t="n">
        <f aca="false">IF(T1082=1,U1082*$B$22,0)</f>
        <v>0</v>
      </c>
      <c r="W1082" s="58" t="n">
        <f aca="false">IF(T1082=1,U1082+V1082-$B$27,U1082)</f>
        <v>-182.103705036234</v>
      </c>
      <c r="X1082" s="56" t="n">
        <f aca="false">IF(T1082=1,IF($B$27&lt;=V1082,1,0),0)</f>
        <v>0</v>
      </c>
      <c r="Y1082" s="58" t="n">
        <f aca="false">Y1081+V1082</f>
        <v>113000.408372882</v>
      </c>
    </row>
    <row r="1083" customFormat="false" ht="15" hidden="false" customHeight="false" outlineLevel="0" collapsed="false">
      <c r="K1083" s="56" t="n">
        <f aca="false">K1082+1</f>
        <v>1076</v>
      </c>
      <c r="L1083" s="57" t="n">
        <f aca="false">IF(AND(K1083&lt;=Assumptions!$C$42,L1082=1,P1082=0,O1082&gt;Assumptions!$C$43),1,0)</f>
        <v>0</v>
      </c>
      <c r="M1083" s="58" t="n">
        <f aca="false">O1082</f>
        <v>8.10541678220034E-009</v>
      </c>
      <c r="N1083" s="58" t="n">
        <f aca="false">IF(L1083=1,M1083*$B$22,0)</f>
        <v>0</v>
      </c>
      <c r="O1083" s="58" t="n">
        <f aca="false">IF(L1083=1,M1083+N1083-$B$26,M1083)</f>
        <v>8.10541678220034E-009</v>
      </c>
      <c r="P1083" s="56" t="n">
        <f aca="false">IF(L1083=1,IF($B$26&lt;=N1083,1,0),0)</f>
        <v>0</v>
      </c>
      <c r="Q1083" s="58" t="n">
        <f aca="false">Q1082+N1083</f>
        <v>145877.630223336</v>
      </c>
      <c r="S1083" s="56" t="n">
        <f aca="false">S1082+1</f>
        <v>1076</v>
      </c>
      <c r="T1083" s="57" t="n">
        <f aca="false">IF(AND(S1083&lt;=Assumptions!$C$42,T1082=1,X1082=0,W1082&gt;Assumptions!$C$43),1,0)</f>
        <v>0</v>
      </c>
      <c r="U1083" s="58" t="n">
        <f aca="false">W1082</f>
        <v>-182.103705036234</v>
      </c>
      <c r="V1083" s="58" t="n">
        <f aca="false">IF(T1083=1,U1083*$B$22,0)</f>
        <v>0</v>
      </c>
      <c r="W1083" s="58" t="n">
        <f aca="false">IF(T1083=1,U1083+V1083-$B$27,U1083)</f>
        <v>-182.103705036234</v>
      </c>
      <c r="X1083" s="56" t="n">
        <f aca="false">IF(T1083=1,IF($B$27&lt;=V1083,1,0),0)</f>
        <v>0</v>
      </c>
      <c r="Y1083" s="58" t="n">
        <f aca="false">Y1082+V1083</f>
        <v>113000.408372882</v>
      </c>
    </row>
    <row r="1084" customFormat="false" ht="15" hidden="false" customHeight="false" outlineLevel="0" collapsed="false">
      <c r="K1084" s="56" t="n">
        <f aca="false">K1083+1</f>
        <v>1077</v>
      </c>
      <c r="L1084" s="57" t="n">
        <f aca="false">IF(AND(K1084&lt;=Assumptions!$C$42,L1083=1,P1083=0,O1083&gt;Assumptions!$C$43),1,0)</f>
        <v>0</v>
      </c>
      <c r="M1084" s="58" t="n">
        <f aca="false">O1083</f>
        <v>8.10541678220034E-009</v>
      </c>
      <c r="N1084" s="58" t="n">
        <f aca="false">IF(L1084=1,M1084*$B$22,0)</f>
        <v>0</v>
      </c>
      <c r="O1084" s="58" t="n">
        <f aca="false">IF(L1084=1,M1084+N1084-$B$26,M1084)</f>
        <v>8.10541678220034E-009</v>
      </c>
      <c r="P1084" s="56" t="n">
        <f aca="false">IF(L1084=1,IF($B$26&lt;=N1084,1,0),0)</f>
        <v>0</v>
      </c>
      <c r="Q1084" s="58" t="n">
        <f aca="false">Q1083+N1084</f>
        <v>145877.630223336</v>
      </c>
      <c r="S1084" s="56" t="n">
        <f aca="false">S1083+1</f>
        <v>1077</v>
      </c>
      <c r="T1084" s="57" t="n">
        <f aca="false">IF(AND(S1084&lt;=Assumptions!$C$42,T1083=1,X1083=0,W1083&gt;Assumptions!$C$43),1,0)</f>
        <v>0</v>
      </c>
      <c r="U1084" s="58" t="n">
        <f aca="false">W1083</f>
        <v>-182.103705036234</v>
      </c>
      <c r="V1084" s="58" t="n">
        <f aca="false">IF(T1084=1,U1084*$B$22,0)</f>
        <v>0</v>
      </c>
      <c r="W1084" s="58" t="n">
        <f aca="false">IF(T1084=1,U1084+V1084-$B$27,U1084)</f>
        <v>-182.103705036234</v>
      </c>
      <c r="X1084" s="56" t="n">
        <f aca="false">IF(T1084=1,IF($B$27&lt;=V1084,1,0),0)</f>
        <v>0</v>
      </c>
      <c r="Y1084" s="58" t="n">
        <f aca="false">Y1083+V1084</f>
        <v>113000.408372882</v>
      </c>
    </row>
    <row r="1085" customFormat="false" ht="15" hidden="false" customHeight="false" outlineLevel="0" collapsed="false">
      <c r="K1085" s="56" t="n">
        <f aca="false">K1084+1</f>
        <v>1078</v>
      </c>
      <c r="L1085" s="57" t="n">
        <f aca="false">IF(AND(K1085&lt;=Assumptions!$C$42,L1084=1,P1084=0,O1084&gt;Assumptions!$C$43),1,0)</f>
        <v>0</v>
      </c>
      <c r="M1085" s="58" t="n">
        <f aca="false">O1084</f>
        <v>8.10541678220034E-009</v>
      </c>
      <c r="N1085" s="58" t="n">
        <f aca="false">IF(L1085=1,M1085*$B$22,0)</f>
        <v>0</v>
      </c>
      <c r="O1085" s="58" t="n">
        <f aca="false">IF(L1085=1,M1085+N1085-$B$26,M1085)</f>
        <v>8.10541678220034E-009</v>
      </c>
      <c r="P1085" s="56" t="n">
        <f aca="false">IF(L1085=1,IF($B$26&lt;=N1085,1,0),0)</f>
        <v>0</v>
      </c>
      <c r="Q1085" s="58" t="n">
        <f aca="false">Q1084+N1085</f>
        <v>145877.630223336</v>
      </c>
      <c r="S1085" s="56" t="n">
        <f aca="false">S1084+1</f>
        <v>1078</v>
      </c>
      <c r="T1085" s="57" t="n">
        <f aca="false">IF(AND(S1085&lt;=Assumptions!$C$42,T1084=1,X1084=0,W1084&gt;Assumptions!$C$43),1,0)</f>
        <v>0</v>
      </c>
      <c r="U1085" s="58" t="n">
        <f aca="false">W1084</f>
        <v>-182.103705036234</v>
      </c>
      <c r="V1085" s="58" t="n">
        <f aca="false">IF(T1085=1,U1085*$B$22,0)</f>
        <v>0</v>
      </c>
      <c r="W1085" s="58" t="n">
        <f aca="false">IF(T1085=1,U1085+V1085-$B$27,U1085)</f>
        <v>-182.103705036234</v>
      </c>
      <c r="X1085" s="56" t="n">
        <f aca="false">IF(T1085=1,IF($B$27&lt;=V1085,1,0),0)</f>
        <v>0</v>
      </c>
      <c r="Y1085" s="58" t="n">
        <f aca="false">Y1084+V1085</f>
        <v>113000.408372882</v>
      </c>
    </row>
    <row r="1086" customFormat="false" ht="15" hidden="false" customHeight="false" outlineLevel="0" collapsed="false">
      <c r="K1086" s="56" t="n">
        <f aca="false">K1085+1</f>
        <v>1079</v>
      </c>
      <c r="L1086" s="57" t="n">
        <f aca="false">IF(AND(K1086&lt;=Assumptions!$C$42,L1085=1,P1085=0,O1085&gt;Assumptions!$C$43),1,0)</f>
        <v>0</v>
      </c>
      <c r="M1086" s="58" t="n">
        <f aca="false">O1085</f>
        <v>8.10541678220034E-009</v>
      </c>
      <c r="N1086" s="58" t="n">
        <f aca="false">IF(L1086=1,M1086*$B$22,0)</f>
        <v>0</v>
      </c>
      <c r="O1086" s="58" t="n">
        <f aca="false">IF(L1086=1,M1086+N1086-$B$26,M1086)</f>
        <v>8.10541678220034E-009</v>
      </c>
      <c r="P1086" s="56" t="n">
        <f aca="false">IF(L1086=1,IF($B$26&lt;=N1086,1,0),0)</f>
        <v>0</v>
      </c>
      <c r="Q1086" s="58" t="n">
        <f aca="false">Q1085+N1086</f>
        <v>145877.630223336</v>
      </c>
      <c r="S1086" s="56" t="n">
        <f aca="false">S1085+1</f>
        <v>1079</v>
      </c>
      <c r="T1086" s="57" t="n">
        <f aca="false">IF(AND(S1086&lt;=Assumptions!$C$42,T1085=1,X1085=0,W1085&gt;Assumptions!$C$43),1,0)</f>
        <v>0</v>
      </c>
      <c r="U1086" s="58" t="n">
        <f aca="false">W1085</f>
        <v>-182.103705036234</v>
      </c>
      <c r="V1086" s="58" t="n">
        <f aca="false">IF(T1086=1,U1086*$B$22,0)</f>
        <v>0</v>
      </c>
      <c r="W1086" s="58" t="n">
        <f aca="false">IF(T1086=1,U1086+V1086-$B$27,U1086)</f>
        <v>-182.103705036234</v>
      </c>
      <c r="X1086" s="56" t="n">
        <f aca="false">IF(T1086=1,IF($B$27&lt;=V1086,1,0),0)</f>
        <v>0</v>
      </c>
      <c r="Y1086" s="58" t="n">
        <f aca="false">Y1085+V1086</f>
        <v>113000.408372882</v>
      </c>
    </row>
    <row r="1087" customFormat="false" ht="15" hidden="false" customHeight="false" outlineLevel="0" collapsed="false">
      <c r="K1087" s="56" t="n">
        <f aca="false">K1086+1</f>
        <v>1080</v>
      </c>
      <c r="L1087" s="57" t="n">
        <f aca="false">IF(AND(K1087&lt;=Assumptions!$C$42,L1086=1,P1086=0,O1086&gt;Assumptions!$C$43),1,0)</f>
        <v>0</v>
      </c>
      <c r="M1087" s="58" t="n">
        <f aca="false">O1086</f>
        <v>8.10541678220034E-009</v>
      </c>
      <c r="N1087" s="58" t="n">
        <f aca="false">IF(L1087=1,M1087*$B$22,0)</f>
        <v>0</v>
      </c>
      <c r="O1087" s="58" t="n">
        <f aca="false">IF(L1087=1,M1087+N1087-$B$26,M1087)</f>
        <v>8.10541678220034E-009</v>
      </c>
      <c r="P1087" s="56" t="n">
        <f aca="false">IF(L1087=1,IF($B$26&lt;=N1087,1,0),0)</f>
        <v>0</v>
      </c>
      <c r="Q1087" s="58" t="n">
        <f aca="false">Q1086+N1087</f>
        <v>145877.630223336</v>
      </c>
      <c r="S1087" s="56" t="n">
        <f aca="false">S1086+1</f>
        <v>1080</v>
      </c>
      <c r="T1087" s="57" t="n">
        <f aca="false">IF(AND(S1087&lt;=Assumptions!$C$42,T1086=1,X1086=0,W1086&gt;Assumptions!$C$43),1,0)</f>
        <v>0</v>
      </c>
      <c r="U1087" s="58" t="n">
        <f aca="false">W1086</f>
        <v>-182.103705036234</v>
      </c>
      <c r="V1087" s="58" t="n">
        <f aca="false">IF(T1087=1,U1087*$B$22,0)</f>
        <v>0</v>
      </c>
      <c r="W1087" s="58" t="n">
        <f aca="false">IF(T1087=1,U1087+V1087-$B$27,U1087)</f>
        <v>-182.103705036234</v>
      </c>
      <c r="X1087" s="56" t="n">
        <f aca="false">IF(T1087=1,IF($B$27&lt;=V1087,1,0),0)</f>
        <v>0</v>
      </c>
      <c r="Y1087" s="58" t="n">
        <f aca="false">Y1086+V1087</f>
        <v>113000.408372882</v>
      </c>
    </row>
    <row r="1088" customFormat="false" ht="15" hidden="false" customHeight="false" outlineLevel="0" collapsed="false">
      <c r="K1088" s="56" t="n">
        <f aca="false">K1087+1</f>
        <v>1081</v>
      </c>
      <c r="L1088" s="57" t="n">
        <f aca="false">IF(AND(K1088&lt;=Assumptions!$C$42,L1087=1,P1087=0,O1087&gt;Assumptions!$C$43),1,0)</f>
        <v>0</v>
      </c>
      <c r="M1088" s="58" t="n">
        <f aca="false">O1087</f>
        <v>8.10541678220034E-009</v>
      </c>
      <c r="N1088" s="58" t="n">
        <f aca="false">IF(L1088=1,M1088*$B$22,0)</f>
        <v>0</v>
      </c>
      <c r="O1088" s="58" t="n">
        <f aca="false">IF(L1088=1,M1088+N1088-$B$26,M1088)</f>
        <v>8.10541678220034E-009</v>
      </c>
      <c r="P1088" s="56" t="n">
        <f aca="false">IF(L1088=1,IF($B$26&lt;=N1088,1,0),0)</f>
        <v>0</v>
      </c>
      <c r="Q1088" s="58" t="n">
        <f aca="false">Q1087+N1088</f>
        <v>145877.630223336</v>
      </c>
      <c r="S1088" s="56" t="n">
        <f aca="false">S1087+1</f>
        <v>1081</v>
      </c>
      <c r="T1088" s="57" t="n">
        <f aca="false">IF(AND(S1088&lt;=Assumptions!$C$42,T1087=1,X1087=0,W1087&gt;Assumptions!$C$43),1,0)</f>
        <v>0</v>
      </c>
      <c r="U1088" s="58" t="n">
        <f aca="false">W1087</f>
        <v>-182.103705036234</v>
      </c>
      <c r="V1088" s="58" t="n">
        <f aca="false">IF(T1088=1,U1088*$B$22,0)</f>
        <v>0</v>
      </c>
      <c r="W1088" s="58" t="n">
        <f aca="false">IF(T1088=1,U1088+V1088-$B$27,U1088)</f>
        <v>-182.103705036234</v>
      </c>
      <c r="X1088" s="56" t="n">
        <f aca="false">IF(T1088=1,IF($B$27&lt;=V1088,1,0),0)</f>
        <v>0</v>
      </c>
      <c r="Y1088" s="58" t="n">
        <f aca="false">Y1087+V1088</f>
        <v>113000.408372882</v>
      </c>
    </row>
    <row r="1089" customFormat="false" ht="15" hidden="false" customHeight="false" outlineLevel="0" collapsed="false">
      <c r="K1089" s="56" t="n">
        <f aca="false">K1088+1</f>
        <v>1082</v>
      </c>
      <c r="L1089" s="57" t="n">
        <f aca="false">IF(AND(K1089&lt;=Assumptions!$C$42,L1088=1,P1088=0,O1088&gt;Assumptions!$C$43),1,0)</f>
        <v>0</v>
      </c>
      <c r="M1089" s="58" t="n">
        <f aca="false">O1088</f>
        <v>8.10541678220034E-009</v>
      </c>
      <c r="N1089" s="58" t="n">
        <f aca="false">IF(L1089=1,M1089*$B$22,0)</f>
        <v>0</v>
      </c>
      <c r="O1089" s="58" t="n">
        <f aca="false">IF(L1089=1,M1089+N1089-$B$26,M1089)</f>
        <v>8.10541678220034E-009</v>
      </c>
      <c r="P1089" s="56" t="n">
        <f aca="false">IF(L1089=1,IF($B$26&lt;=N1089,1,0),0)</f>
        <v>0</v>
      </c>
      <c r="Q1089" s="58" t="n">
        <f aca="false">Q1088+N1089</f>
        <v>145877.630223336</v>
      </c>
      <c r="S1089" s="56" t="n">
        <f aca="false">S1088+1</f>
        <v>1082</v>
      </c>
      <c r="T1089" s="57" t="n">
        <f aca="false">IF(AND(S1089&lt;=Assumptions!$C$42,T1088=1,X1088=0,W1088&gt;Assumptions!$C$43),1,0)</f>
        <v>0</v>
      </c>
      <c r="U1089" s="58" t="n">
        <f aca="false">W1088</f>
        <v>-182.103705036234</v>
      </c>
      <c r="V1089" s="58" t="n">
        <f aca="false">IF(T1089=1,U1089*$B$22,0)</f>
        <v>0</v>
      </c>
      <c r="W1089" s="58" t="n">
        <f aca="false">IF(T1089=1,U1089+V1089-$B$27,U1089)</f>
        <v>-182.103705036234</v>
      </c>
      <c r="X1089" s="56" t="n">
        <f aca="false">IF(T1089=1,IF($B$27&lt;=V1089,1,0),0)</f>
        <v>0</v>
      </c>
      <c r="Y1089" s="58" t="n">
        <f aca="false">Y1088+V1089</f>
        <v>113000.408372882</v>
      </c>
    </row>
    <row r="1090" customFormat="false" ht="15" hidden="false" customHeight="false" outlineLevel="0" collapsed="false">
      <c r="K1090" s="56" t="n">
        <f aca="false">K1089+1</f>
        <v>1083</v>
      </c>
      <c r="L1090" s="57" t="n">
        <f aca="false">IF(AND(K1090&lt;=Assumptions!$C$42,L1089=1,P1089=0,O1089&gt;Assumptions!$C$43),1,0)</f>
        <v>0</v>
      </c>
      <c r="M1090" s="58" t="n">
        <f aca="false">O1089</f>
        <v>8.10541678220034E-009</v>
      </c>
      <c r="N1090" s="58" t="n">
        <f aca="false">IF(L1090=1,M1090*$B$22,0)</f>
        <v>0</v>
      </c>
      <c r="O1090" s="58" t="n">
        <f aca="false">IF(L1090=1,M1090+N1090-$B$26,M1090)</f>
        <v>8.10541678220034E-009</v>
      </c>
      <c r="P1090" s="56" t="n">
        <f aca="false">IF(L1090=1,IF($B$26&lt;=N1090,1,0),0)</f>
        <v>0</v>
      </c>
      <c r="Q1090" s="58" t="n">
        <f aca="false">Q1089+N1090</f>
        <v>145877.630223336</v>
      </c>
      <c r="S1090" s="56" t="n">
        <f aca="false">S1089+1</f>
        <v>1083</v>
      </c>
      <c r="T1090" s="57" t="n">
        <f aca="false">IF(AND(S1090&lt;=Assumptions!$C$42,T1089=1,X1089=0,W1089&gt;Assumptions!$C$43),1,0)</f>
        <v>0</v>
      </c>
      <c r="U1090" s="58" t="n">
        <f aca="false">W1089</f>
        <v>-182.103705036234</v>
      </c>
      <c r="V1090" s="58" t="n">
        <f aca="false">IF(T1090=1,U1090*$B$22,0)</f>
        <v>0</v>
      </c>
      <c r="W1090" s="58" t="n">
        <f aca="false">IF(T1090=1,U1090+V1090-$B$27,U1090)</f>
        <v>-182.103705036234</v>
      </c>
      <c r="X1090" s="56" t="n">
        <f aca="false">IF(T1090=1,IF($B$27&lt;=V1090,1,0),0)</f>
        <v>0</v>
      </c>
      <c r="Y1090" s="58" t="n">
        <f aca="false">Y1089+V1090</f>
        <v>113000.408372882</v>
      </c>
    </row>
    <row r="1091" customFormat="false" ht="15" hidden="false" customHeight="false" outlineLevel="0" collapsed="false">
      <c r="K1091" s="56" t="n">
        <f aca="false">K1090+1</f>
        <v>1084</v>
      </c>
      <c r="L1091" s="57" t="n">
        <f aca="false">IF(AND(K1091&lt;=Assumptions!$C$42,L1090=1,P1090=0,O1090&gt;Assumptions!$C$43),1,0)</f>
        <v>0</v>
      </c>
      <c r="M1091" s="58" t="n">
        <f aca="false">O1090</f>
        <v>8.10541678220034E-009</v>
      </c>
      <c r="N1091" s="58" t="n">
        <f aca="false">IF(L1091=1,M1091*$B$22,0)</f>
        <v>0</v>
      </c>
      <c r="O1091" s="58" t="n">
        <f aca="false">IF(L1091=1,M1091+N1091-$B$26,M1091)</f>
        <v>8.10541678220034E-009</v>
      </c>
      <c r="P1091" s="56" t="n">
        <f aca="false">IF(L1091=1,IF($B$26&lt;=N1091,1,0),0)</f>
        <v>0</v>
      </c>
      <c r="Q1091" s="58" t="n">
        <f aca="false">Q1090+N1091</f>
        <v>145877.630223336</v>
      </c>
      <c r="S1091" s="56" t="n">
        <f aca="false">S1090+1</f>
        <v>1084</v>
      </c>
      <c r="T1091" s="57" t="n">
        <f aca="false">IF(AND(S1091&lt;=Assumptions!$C$42,T1090=1,X1090=0,W1090&gt;Assumptions!$C$43),1,0)</f>
        <v>0</v>
      </c>
      <c r="U1091" s="58" t="n">
        <f aca="false">W1090</f>
        <v>-182.103705036234</v>
      </c>
      <c r="V1091" s="58" t="n">
        <f aca="false">IF(T1091=1,U1091*$B$22,0)</f>
        <v>0</v>
      </c>
      <c r="W1091" s="58" t="n">
        <f aca="false">IF(T1091=1,U1091+V1091-$B$27,U1091)</f>
        <v>-182.103705036234</v>
      </c>
      <c r="X1091" s="56" t="n">
        <f aca="false">IF(T1091=1,IF($B$27&lt;=V1091,1,0),0)</f>
        <v>0</v>
      </c>
      <c r="Y1091" s="58" t="n">
        <f aca="false">Y1090+V1091</f>
        <v>113000.408372882</v>
      </c>
    </row>
    <row r="1092" customFormat="false" ht="15" hidden="false" customHeight="false" outlineLevel="0" collapsed="false">
      <c r="K1092" s="56" t="n">
        <f aca="false">K1091+1</f>
        <v>1085</v>
      </c>
      <c r="L1092" s="57" t="n">
        <f aca="false">IF(AND(K1092&lt;=Assumptions!$C$42,L1091=1,P1091=0,O1091&gt;Assumptions!$C$43),1,0)</f>
        <v>0</v>
      </c>
      <c r="M1092" s="58" t="n">
        <f aca="false">O1091</f>
        <v>8.10541678220034E-009</v>
      </c>
      <c r="N1092" s="58" t="n">
        <f aca="false">IF(L1092=1,M1092*$B$22,0)</f>
        <v>0</v>
      </c>
      <c r="O1092" s="58" t="n">
        <f aca="false">IF(L1092=1,M1092+N1092-$B$26,M1092)</f>
        <v>8.10541678220034E-009</v>
      </c>
      <c r="P1092" s="56" t="n">
        <f aca="false">IF(L1092=1,IF($B$26&lt;=N1092,1,0),0)</f>
        <v>0</v>
      </c>
      <c r="Q1092" s="58" t="n">
        <f aca="false">Q1091+N1092</f>
        <v>145877.630223336</v>
      </c>
      <c r="S1092" s="56" t="n">
        <f aca="false">S1091+1</f>
        <v>1085</v>
      </c>
      <c r="T1092" s="57" t="n">
        <f aca="false">IF(AND(S1092&lt;=Assumptions!$C$42,T1091=1,X1091=0,W1091&gt;Assumptions!$C$43),1,0)</f>
        <v>0</v>
      </c>
      <c r="U1092" s="58" t="n">
        <f aca="false">W1091</f>
        <v>-182.103705036234</v>
      </c>
      <c r="V1092" s="58" t="n">
        <f aca="false">IF(T1092=1,U1092*$B$22,0)</f>
        <v>0</v>
      </c>
      <c r="W1092" s="58" t="n">
        <f aca="false">IF(T1092=1,U1092+V1092-$B$27,U1092)</f>
        <v>-182.103705036234</v>
      </c>
      <c r="X1092" s="56" t="n">
        <f aca="false">IF(T1092=1,IF($B$27&lt;=V1092,1,0),0)</f>
        <v>0</v>
      </c>
      <c r="Y1092" s="58" t="n">
        <f aca="false">Y1091+V1092</f>
        <v>113000.408372882</v>
      </c>
    </row>
    <row r="1093" customFormat="false" ht="15" hidden="false" customHeight="false" outlineLevel="0" collapsed="false">
      <c r="K1093" s="56" t="n">
        <f aca="false">K1092+1</f>
        <v>1086</v>
      </c>
      <c r="L1093" s="57" t="n">
        <f aca="false">IF(AND(K1093&lt;=Assumptions!$C$42,L1092=1,P1092=0,O1092&gt;Assumptions!$C$43),1,0)</f>
        <v>0</v>
      </c>
      <c r="M1093" s="58" t="n">
        <f aca="false">O1092</f>
        <v>8.10541678220034E-009</v>
      </c>
      <c r="N1093" s="58" t="n">
        <f aca="false">IF(L1093=1,M1093*$B$22,0)</f>
        <v>0</v>
      </c>
      <c r="O1093" s="58" t="n">
        <f aca="false">IF(L1093=1,M1093+N1093-$B$26,M1093)</f>
        <v>8.10541678220034E-009</v>
      </c>
      <c r="P1093" s="56" t="n">
        <f aca="false">IF(L1093=1,IF($B$26&lt;=N1093,1,0),0)</f>
        <v>0</v>
      </c>
      <c r="Q1093" s="58" t="n">
        <f aca="false">Q1092+N1093</f>
        <v>145877.630223336</v>
      </c>
      <c r="S1093" s="56" t="n">
        <f aca="false">S1092+1</f>
        <v>1086</v>
      </c>
      <c r="T1093" s="57" t="n">
        <f aca="false">IF(AND(S1093&lt;=Assumptions!$C$42,T1092=1,X1092=0,W1092&gt;Assumptions!$C$43),1,0)</f>
        <v>0</v>
      </c>
      <c r="U1093" s="58" t="n">
        <f aca="false">W1092</f>
        <v>-182.103705036234</v>
      </c>
      <c r="V1093" s="58" t="n">
        <f aca="false">IF(T1093=1,U1093*$B$22,0)</f>
        <v>0</v>
      </c>
      <c r="W1093" s="58" t="n">
        <f aca="false">IF(T1093=1,U1093+V1093-$B$27,U1093)</f>
        <v>-182.103705036234</v>
      </c>
      <c r="X1093" s="56" t="n">
        <f aca="false">IF(T1093=1,IF($B$27&lt;=V1093,1,0),0)</f>
        <v>0</v>
      </c>
      <c r="Y1093" s="58" t="n">
        <f aca="false">Y1092+V1093</f>
        <v>113000.408372882</v>
      </c>
    </row>
    <row r="1094" customFormat="false" ht="15" hidden="false" customHeight="false" outlineLevel="0" collapsed="false">
      <c r="K1094" s="56" t="n">
        <f aca="false">K1093+1</f>
        <v>1087</v>
      </c>
      <c r="L1094" s="57" t="n">
        <f aca="false">IF(AND(K1094&lt;=Assumptions!$C$42,L1093=1,P1093=0,O1093&gt;Assumptions!$C$43),1,0)</f>
        <v>0</v>
      </c>
      <c r="M1094" s="58" t="n">
        <f aca="false">O1093</f>
        <v>8.10541678220034E-009</v>
      </c>
      <c r="N1094" s="58" t="n">
        <f aca="false">IF(L1094=1,M1094*$B$22,0)</f>
        <v>0</v>
      </c>
      <c r="O1094" s="58" t="n">
        <f aca="false">IF(L1094=1,M1094+N1094-$B$26,M1094)</f>
        <v>8.10541678220034E-009</v>
      </c>
      <c r="P1094" s="56" t="n">
        <f aca="false">IF(L1094=1,IF($B$26&lt;=N1094,1,0),0)</f>
        <v>0</v>
      </c>
      <c r="Q1094" s="58" t="n">
        <f aca="false">Q1093+N1094</f>
        <v>145877.630223336</v>
      </c>
      <c r="S1094" s="56" t="n">
        <f aca="false">S1093+1</f>
        <v>1087</v>
      </c>
      <c r="T1094" s="57" t="n">
        <f aca="false">IF(AND(S1094&lt;=Assumptions!$C$42,T1093=1,X1093=0,W1093&gt;Assumptions!$C$43),1,0)</f>
        <v>0</v>
      </c>
      <c r="U1094" s="58" t="n">
        <f aca="false">W1093</f>
        <v>-182.103705036234</v>
      </c>
      <c r="V1094" s="58" t="n">
        <f aca="false">IF(T1094=1,U1094*$B$22,0)</f>
        <v>0</v>
      </c>
      <c r="W1094" s="58" t="n">
        <f aca="false">IF(T1094=1,U1094+V1094-$B$27,U1094)</f>
        <v>-182.103705036234</v>
      </c>
      <c r="X1094" s="56" t="n">
        <f aca="false">IF(T1094=1,IF($B$27&lt;=V1094,1,0),0)</f>
        <v>0</v>
      </c>
      <c r="Y1094" s="58" t="n">
        <f aca="false">Y1093+V1094</f>
        <v>113000.408372882</v>
      </c>
    </row>
    <row r="1095" customFormat="false" ht="15" hidden="false" customHeight="false" outlineLevel="0" collapsed="false">
      <c r="K1095" s="56" t="n">
        <f aca="false">K1094+1</f>
        <v>1088</v>
      </c>
      <c r="L1095" s="57" t="n">
        <f aca="false">IF(AND(K1095&lt;=Assumptions!$C$42,L1094=1,P1094=0,O1094&gt;Assumptions!$C$43),1,0)</f>
        <v>0</v>
      </c>
      <c r="M1095" s="58" t="n">
        <f aca="false">O1094</f>
        <v>8.10541678220034E-009</v>
      </c>
      <c r="N1095" s="58" t="n">
        <f aca="false">IF(L1095=1,M1095*$B$22,0)</f>
        <v>0</v>
      </c>
      <c r="O1095" s="58" t="n">
        <f aca="false">IF(L1095=1,M1095+N1095-$B$26,M1095)</f>
        <v>8.10541678220034E-009</v>
      </c>
      <c r="P1095" s="56" t="n">
        <f aca="false">IF(L1095=1,IF($B$26&lt;=N1095,1,0),0)</f>
        <v>0</v>
      </c>
      <c r="Q1095" s="58" t="n">
        <f aca="false">Q1094+N1095</f>
        <v>145877.630223336</v>
      </c>
      <c r="S1095" s="56" t="n">
        <f aca="false">S1094+1</f>
        <v>1088</v>
      </c>
      <c r="T1095" s="57" t="n">
        <f aca="false">IF(AND(S1095&lt;=Assumptions!$C$42,T1094=1,X1094=0,W1094&gt;Assumptions!$C$43),1,0)</f>
        <v>0</v>
      </c>
      <c r="U1095" s="58" t="n">
        <f aca="false">W1094</f>
        <v>-182.103705036234</v>
      </c>
      <c r="V1095" s="58" t="n">
        <f aca="false">IF(T1095=1,U1095*$B$22,0)</f>
        <v>0</v>
      </c>
      <c r="W1095" s="58" t="n">
        <f aca="false">IF(T1095=1,U1095+V1095-$B$27,U1095)</f>
        <v>-182.103705036234</v>
      </c>
      <c r="X1095" s="56" t="n">
        <f aca="false">IF(T1095=1,IF($B$27&lt;=V1095,1,0),0)</f>
        <v>0</v>
      </c>
      <c r="Y1095" s="58" t="n">
        <f aca="false">Y1094+V1095</f>
        <v>113000.408372882</v>
      </c>
    </row>
    <row r="1096" customFormat="false" ht="15" hidden="false" customHeight="false" outlineLevel="0" collapsed="false">
      <c r="K1096" s="56" t="n">
        <f aca="false">K1095+1</f>
        <v>1089</v>
      </c>
      <c r="L1096" s="57" t="n">
        <f aca="false">IF(AND(K1096&lt;=Assumptions!$C$42,L1095=1,P1095=0,O1095&gt;Assumptions!$C$43),1,0)</f>
        <v>0</v>
      </c>
      <c r="M1096" s="58" t="n">
        <f aca="false">O1095</f>
        <v>8.10541678220034E-009</v>
      </c>
      <c r="N1096" s="58" t="n">
        <f aca="false">IF(L1096=1,M1096*$B$22,0)</f>
        <v>0</v>
      </c>
      <c r="O1096" s="58" t="n">
        <f aca="false">IF(L1096=1,M1096+N1096-$B$26,M1096)</f>
        <v>8.10541678220034E-009</v>
      </c>
      <c r="P1096" s="56" t="n">
        <f aca="false">IF(L1096=1,IF($B$26&lt;=N1096,1,0),0)</f>
        <v>0</v>
      </c>
      <c r="Q1096" s="58" t="n">
        <f aca="false">Q1095+N1096</f>
        <v>145877.630223336</v>
      </c>
      <c r="S1096" s="56" t="n">
        <f aca="false">S1095+1</f>
        <v>1089</v>
      </c>
      <c r="T1096" s="57" t="n">
        <f aca="false">IF(AND(S1096&lt;=Assumptions!$C$42,T1095=1,X1095=0,W1095&gt;Assumptions!$C$43),1,0)</f>
        <v>0</v>
      </c>
      <c r="U1096" s="58" t="n">
        <f aca="false">W1095</f>
        <v>-182.103705036234</v>
      </c>
      <c r="V1096" s="58" t="n">
        <f aca="false">IF(T1096=1,U1096*$B$22,0)</f>
        <v>0</v>
      </c>
      <c r="W1096" s="58" t="n">
        <f aca="false">IF(T1096=1,U1096+V1096-$B$27,U1096)</f>
        <v>-182.103705036234</v>
      </c>
      <c r="X1096" s="56" t="n">
        <f aca="false">IF(T1096=1,IF($B$27&lt;=V1096,1,0),0)</f>
        <v>0</v>
      </c>
      <c r="Y1096" s="58" t="n">
        <f aca="false">Y1095+V1096</f>
        <v>113000.408372882</v>
      </c>
    </row>
    <row r="1097" customFormat="false" ht="15" hidden="false" customHeight="false" outlineLevel="0" collapsed="false">
      <c r="K1097" s="56" t="n">
        <f aca="false">K1096+1</f>
        <v>1090</v>
      </c>
      <c r="L1097" s="57" t="n">
        <f aca="false">IF(AND(K1097&lt;=Assumptions!$C$42,L1096=1,P1096=0,O1096&gt;Assumptions!$C$43),1,0)</f>
        <v>0</v>
      </c>
      <c r="M1097" s="58" t="n">
        <f aca="false">O1096</f>
        <v>8.10541678220034E-009</v>
      </c>
      <c r="N1097" s="58" t="n">
        <f aca="false">IF(L1097=1,M1097*$B$22,0)</f>
        <v>0</v>
      </c>
      <c r="O1097" s="58" t="n">
        <f aca="false">IF(L1097=1,M1097+N1097-$B$26,M1097)</f>
        <v>8.10541678220034E-009</v>
      </c>
      <c r="P1097" s="56" t="n">
        <f aca="false">IF(L1097=1,IF($B$26&lt;=N1097,1,0),0)</f>
        <v>0</v>
      </c>
      <c r="Q1097" s="58" t="n">
        <f aca="false">Q1096+N1097</f>
        <v>145877.630223336</v>
      </c>
      <c r="S1097" s="56" t="n">
        <f aca="false">S1096+1</f>
        <v>1090</v>
      </c>
      <c r="T1097" s="57" t="n">
        <f aca="false">IF(AND(S1097&lt;=Assumptions!$C$42,T1096=1,X1096=0,W1096&gt;Assumptions!$C$43),1,0)</f>
        <v>0</v>
      </c>
      <c r="U1097" s="58" t="n">
        <f aca="false">W1096</f>
        <v>-182.103705036234</v>
      </c>
      <c r="V1097" s="58" t="n">
        <f aca="false">IF(T1097=1,U1097*$B$22,0)</f>
        <v>0</v>
      </c>
      <c r="W1097" s="58" t="n">
        <f aca="false">IF(T1097=1,U1097+V1097-$B$27,U1097)</f>
        <v>-182.103705036234</v>
      </c>
      <c r="X1097" s="56" t="n">
        <f aca="false">IF(T1097=1,IF($B$27&lt;=V1097,1,0),0)</f>
        <v>0</v>
      </c>
      <c r="Y1097" s="58" t="n">
        <f aca="false">Y1096+V1097</f>
        <v>113000.408372882</v>
      </c>
    </row>
    <row r="1098" customFormat="false" ht="15" hidden="false" customHeight="false" outlineLevel="0" collapsed="false">
      <c r="K1098" s="56" t="n">
        <f aca="false">K1097+1</f>
        <v>1091</v>
      </c>
      <c r="L1098" s="57" t="n">
        <f aca="false">IF(AND(K1098&lt;=Assumptions!$C$42,L1097=1,P1097=0,O1097&gt;Assumptions!$C$43),1,0)</f>
        <v>0</v>
      </c>
      <c r="M1098" s="58" t="n">
        <f aca="false">O1097</f>
        <v>8.10541678220034E-009</v>
      </c>
      <c r="N1098" s="58" t="n">
        <f aca="false">IF(L1098=1,M1098*$B$22,0)</f>
        <v>0</v>
      </c>
      <c r="O1098" s="58" t="n">
        <f aca="false">IF(L1098=1,M1098+N1098-$B$26,M1098)</f>
        <v>8.10541678220034E-009</v>
      </c>
      <c r="P1098" s="56" t="n">
        <f aca="false">IF(L1098=1,IF($B$26&lt;=N1098,1,0),0)</f>
        <v>0</v>
      </c>
      <c r="Q1098" s="58" t="n">
        <f aca="false">Q1097+N1098</f>
        <v>145877.630223336</v>
      </c>
      <c r="S1098" s="56" t="n">
        <f aca="false">S1097+1</f>
        <v>1091</v>
      </c>
      <c r="T1098" s="57" t="n">
        <f aca="false">IF(AND(S1098&lt;=Assumptions!$C$42,T1097=1,X1097=0,W1097&gt;Assumptions!$C$43),1,0)</f>
        <v>0</v>
      </c>
      <c r="U1098" s="58" t="n">
        <f aca="false">W1097</f>
        <v>-182.103705036234</v>
      </c>
      <c r="V1098" s="58" t="n">
        <f aca="false">IF(T1098=1,U1098*$B$22,0)</f>
        <v>0</v>
      </c>
      <c r="W1098" s="58" t="n">
        <f aca="false">IF(T1098=1,U1098+V1098-$B$27,U1098)</f>
        <v>-182.103705036234</v>
      </c>
      <c r="X1098" s="56" t="n">
        <f aca="false">IF(T1098=1,IF($B$27&lt;=V1098,1,0),0)</f>
        <v>0</v>
      </c>
      <c r="Y1098" s="58" t="n">
        <f aca="false">Y1097+V1098</f>
        <v>113000.408372882</v>
      </c>
    </row>
    <row r="1099" customFormat="false" ht="15" hidden="false" customHeight="false" outlineLevel="0" collapsed="false">
      <c r="K1099" s="56" t="n">
        <f aca="false">K1098+1</f>
        <v>1092</v>
      </c>
      <c r="L1099" s="57" t="n">
        <f aca="false">IF(AND(K1099&lt;=Assumptions!$C$42,L1098=1,P1098=0,O1098&gt;Assumptions!$C$43),1,0)</f>
        <v>0</v>
      </c>
      <c r="M1099" s="58" t="n">
        <f aca="false">O1098</f>
        <v>8.10541678220034E-009</v>
      </c>
      <c r="N1099" s="58" t="n">
        <f aca="false">IF(L1099=1,M1099*$B$22,0)</f>
        <v>0</v>
      </c>
      <c r="O1099" s="58" t="n">
        <f aca="false">IF(L1099=1,M1099+N1099-$B$26,M1099)</f>
        <v>8.10541678220034E-009</v>
      </c>
      <c r="P1099" s="56" t="n">
        <f aca="false">IF(L1099=1,IF($B$26&lt;=N1099,1,0),0)</f>
        <v>0</v>
      </c>
      <c r="Q1099" s="58" t="n">
        <f aca="false">Q1098+N1099</f>
        <v>145877.630223336</v>
      </c>
      <c r="S1099" s="56" t="n">
        <f aca="false">S1098+1</f>
        <v>1092</v>
      </c>
      <c r="T1099" s="57" t="n">
        <f aca="false">IF(AND(S1099&lt;=Assumptions!$C$42,T1098=1,X1098=0,W1098&gt;Assumptions!$C$43),1,0)</f>
        <v>0</v>
      </c>
      <c r="U1099" s="58" t="n">
        <f aca="false">W1098</f>
        <v>-182.103705036234</v>
      </c>
      <c r="V1099" s="58" t="n">
        <f aca="false">IF(T1099=1,U1099*$B$22,0)</f>
        <v>0</v>
      </c>
      <c r="W1099" s="58" t="n">
        <f aca="false">IF(T1099=1,U1099+V1099-$B$27,U1099)</f>
        <v>-182.103705036234</v>
      </c>
      <c r="X1099" s="56" t="n">
        <f aca="false">IF(T1099=1,IF($B$27&lt;=V1099,1,0),0)</f>
        <v>0</v>
      </c>
      <c r="Y1099" s="58" t="n">
        <f aca="false">Y1098+V1099</f>
        <v>113000.408372882</v>
      </c>
    </row>
    <row r="1100" customFormat="false" ht="15" hidden="false" customHeight="false" outlineLevel="0" collapsed="false">
      <c r="K1100" s="56" t="n">
        <f aca="false">K1099+1</f>
        <v>1093</v>
      </c>
      <c r="L1100" s="57" t="n">
        <f aca="false">IF(AND(K1100&lt;=Assumptions!$C$42,L1099=1,P1099=0,O1099&gt;Assumptions!$C$43),1,0)</f>
        <v>0</v>
      </c>
      <c r="M1100" s="58" t="n">
        <f aca="false">O1099</f>
        <v>8.10541678220034E-009</v>
      </c>
      <c r="N1100" s="58" t="n">
        <f aca="false">IF(L1100=1,M1100*$B$22,0)</f>
        <v>0</v>
      </c>
      <c r="O1100" s="58" t="n">
        <f aca="false">IF(L1100=1,M1100+N1100-$B$26,M1100)</f>
        <v>8.10541678220034E-009</v>
      </c>
      <c r="P1100" s="56" t="n">
        <f aca="false">IF(L1100=1,IF($B$26&lt;=N1100,1,0),0)</f>
        <v>0</v>
      </c>
      <c r="Q1100" s="58" t="n">
        <f aca="false">Q1099+N1100</f>
        <v>145877.630223336</v>
      </c>
      <c r="S1100" s="56" t="n">
        <f aca="false">S1099+1</f>
        <v>1093</v>
      </c>
      <c r="T1100" s="57" t="n">
        <f aca="false">IF(AND(S1100&lt;=Assumptions!$C$42,T1099=1,X1099=0,W1099&gt;Assumptions!$C$43),1,0)</f>
        <v>0</v>
      </c>
      <c r="U1100" s="58" t="n">
        <f aca="false">W1099</f>
        <v>-182.103705036234</v>
      </c>
      <c r="V1100" s="58" t="n">
        <f aca="false">IF(T1100=1,U1100*$B$22,0)</f>
        <v>0</v>
      </c>
      <c r="W1100" s="58" t="n">
        <f aca="false">IF(T1100=1,U1100+V1100-$B$27,U1100)</f>
        <v>-182.103705036234</v>
      </c>
      <c r="X1100" s="56" t="n">
        <f aca="false">IF(T1100=1,IF($B$27&lt;=V1100,1,0),0)</f>
        <v>0</v>
      </c>
      <c r="Y1100" s="58" t="n">
        <f aca="false">Y1099+V1100</f>
        <v>113000.408372882</v>
      </c>
    </row>
    <row r="1101" customFormat="false" ht="15" hidden="false" customHeight="false" outlineLevel="0" collapsed="false">
      <c r="K1101" s="56" t="n">
        <f aca="false">K1100+1</f>
        <v>1094</v>
      </c>
      <c r="L1101" s="57" t="n">
        <f aca="false">IF(AND(K1101&lt;=Assumptions!$C$42,L1100=1,P1100=0,O1100&gt;Assumptions!$C$43),1,0)</f>
        <v>0</v>
      </c>
      <c r="M1101" s="58" t="n">
        <f aca="false">O1100</f>
        <v>8.10541678220034E-009</v>
      </c>
      <c r="N1101" s="58" t="n">
        <f aca="false">IF(L1101=1,M1101*$B$22,0)</f>
        <v>0</v>
      </c>
      <c r="O1101" s="58" t="n">
        <f aca="false">IF(L1101=1,M1101+N1101-$B$26,M1101)</f>
        <v>8.10541678220034E-009</v>
      </c>
      <c r="P1101" s="56" t="n">
        <f aca="false">IF(L1101=1,IF($B$26&lt;=N1101,1,0),0)</f>
        <v>0</v>
      </c>
      <c r="Q1101" s="58" t="n">
        <f aca="false">Q1100+N1101</f>
        <v>145877.630223336</v>
      </c>
      <c r="S1101" s="56" t="n">
        <f aca="false">S1100+1</f>
        <v>1094</v>
      </c>
      <c r="T1101" s="57" t="n">
        <f aca="false">IF(AND(S1101&lt;=Assumptions!$C$42,T1100=1,X1100=0,W1100&gt;Assumptions!$C$43),1,0)</f>
        <v>0</v>
      </c>
      <c r="U1101" s="58" t="n">
        <f aca="false">W1100</f>
        <v>-182.103705036234</v>
      </c>
      <c r="V1101" s="58" t="n">
        <f aca="false">IF(T1101=1,U1101*$B$22,0)</f>
        <v>0</v>
      </c>
      <c r="W1101" s="58" t="n">
        <f aca="false">IF(T1101=1,U1101+V1101-$B$27,U1101)</f>
        <v>-182.103705036234</v>
      </c>
      <c r="X1101" s="56" t="n">
        <f aca="false">IF(T1101=1,IF($B$27&lt;=V1101,1,0),0)</f>
        <v>0</v>
      </c>
      <c r="Y1101" s="58" t="n">
        <f aca="false">Y1100+V1101</f>
        <v>113000.408372882</v>
      </c>
    </row>
    <row r="1102" customFormat="false" ht="15" hidden="false" customHeight="false" outlineLevel="0" collapsed="false">
      <c r="K1102" s="56" t="n">
        <f aca="false">K1101+1</f>
        <v>1095</v>
      </c>
      <c r="L1102" s="57" t="n">
        <f aca="false">IF(AND(K1102&lt;=Assumptions!$C$42,L1101=1,P1101=0,O1101&gt;Assumptions!$C$43),1,0)</f>
        <v>0</v>
      </c>
      <c r="M1102" s="58" t="n">
        <f aca="false">O1101</f>
        <v>8.10541678220034E-009</v>
      </c>
      <c r="N1102" s="58" t="n">
        <f aca="false">IF(L1102=1,M1102*$B$22,0)</f>
        <v>0</v>
      </c>
      <c r="O1102" s="58" t="n">
        <f aca="false">IF(L1102=1,M1102+N1102-$B$26,M1102)</f>
        <v>8.10541678220034E-009</v>
      </c>
      <c r="P1102" s="56" t="n">
        <f aca="false">IF(L1102=1,IF($B$26&lt;=N1102,1,0),0)</f>
        <v>0</v>
      </c>
      <c r="Q1102" s="58" t="n">
        <f aca="false">Q1101+N1102</f>
        <v>145877.630223336</v>
      </c>
      <c r="S1102" s="56" t="n">
        <f aca="false">S1101+1</f>
        <v>1095</v>
      </c>
      <c r="T1102" s="57" t="n">
        <f aca="false">IF(AND(S1102&lt;=Assumptions!$C$42,T1101=1,X1101=0,W1101&gt;Assumptions!$C$43),1,0)</f>
        <v>0</v>
      </c>
      <c r="U1102" s="58" t="n">
        <f aca="false">W1101</f>
        <v>-182.103705036234</v>
      </c>
      <c r="V1102" s="58" t="n">
        <f aca="false">IF(T1102=1,U1102*$B$22,0)</f>
        <v>0</v>
      </c>
      <c r="W1102" s="58" t="n">
        <f aca="false">IF(T1102=1,U1102+V1102-$B$27,U1102)</f>
        <v>-182.103705036234</v>
      </c>
      <c r="X1102" s="56" t="n">
        <f aca="false">IF(T1102=1,IF($B$27&lt;=V1102,1,0),0)</f>
        <v>0</v>
      </c>
      <c r="Y1102" s="58" t="n">
        <f aca="false">Y1101+V1102</f>
        <v>113000.408372882</v>
      </c>
    </row>
    <row r="1103" customFormat="false" ht="15" hidden="false" customHeight="false" outlineLevel="0" collapsed="false">
      <c r="K1103" s="56" t="n">
        <f aca="false">K1102+1</f>
        <v>1096</v>
      </c>
      <c r="L1103" s="57" t="n">
        <f aca="false">IF(AND(K1103&lt;=Assumptions!$C$42,L1102=1,P1102=0,O1102&gt;Assumptions!$C$43),1,0)</f>
        <v>0</v>
      </c>
      <c r="M1103" s="58" t="n">
        <f aca="false">O1102</f>
        <v>8.10541678220034E-009</v>
      </c>
      <c r="N1103" s="58" t="n">
        <f aca="false">IF(L1103=1,M1103*$B$22,0)</f>
        <v>0</v>
      </c>
      <c r="O1103" s="58" t="n">
        <f aca="false">IF(L1103=1,M1103+N1103-$B$26,M1103)</f>
        <v>8.10541678220034E-009</v>
      </c>
      <c r="P1103" s="56" t="n">
        <f aca="false">IF(L1103=1,IF($B$26&lt;=N1103,1,0),0)</f>
        <v>0</v>
      </c>
      <c r="Q1103" s="58" t="n">
        <f aca="false">Q1102+N1103</f>
        <v>145877.630223336</v>
      </c>
      <c r="S1103" s="56" t="n">
        <f aca="false">S1102+1</f>
        <v>1096</v>
      </c>
      <c r="T1103" s="57" t="n">
        <f aca="false">IF(AND(S1103&lt;=Assumptions!$C$42,T1102=1,X1102=0,W1102&gt;Assumptions!$C$43),1,0)</f>
        <v>0</v>
      </c>
      <c r="U1103" s="58" t="n">
        <f aca="false">W1102</f>
        <v>-182.103705036234</v>
      </c>
      <c r="V1103" s="58" t="n">
        <f aca="false">IF(T1103=1,U1103*$B$22,0)</f>
        <v>0</v>
      </c>
      <c r="W1103" s="58" t="n">
        <f aca="false">IF(T1103=1,U1103+V1103-$B$27,U1103)</f>
        <v>-182.103705036234</v>
      </c>
      <c r="X1103" s="56" t="n">
        <f aca="false">IF(T1103=1,IF($B$27&lt;=V1103,1,0),0)</f>
        <v>0</v>
      </c>
      <c r="Y1103" s="58" t="n">
        <f aca="false">Y1102+V1103</f>
        <v>113000.408372882</v>
      </c>
    </row>
    <row r="1104" customFormat="false" ht="15" hidden="false" customHeight="false" outlineLevel="0" collapsed="false">
      <c r="K1104" s="56" t="n">
        <f aca="false">K1103+1</f>
        <v>1097</v>
      </c>
      <c r="L1104" s="57" t="n">
        <f aca="false">IF(AND(K1104&lt;=Assumptions!$C$42,L1103=1,P1103=0,O1103&gt;Assumptions!$C$43),1,0)</f>
        <v>0</v>
      </c>
      <c r="M1104" s="58" t="n">
        <f aca="false">O1103</f>
        <v>8.10541678220034E-009</v>
      </c>
      <c r="N1104" s="58" t="n">
        <f aca="false">IF(L1104=1,M1104*$B$22,0)</f>
        <v>0</v>
      </c>
      <c r="O1104" s="58" t="n">
        <f aca="false">IF(L1104=1,M1104+N1104-$B$26,M1104)</f>
        <v>8.10541678220034E-009</v>
      </c>
      <c r="P1104" s="56" t="n">
        <f aca="false">IF(L1104=1,IF($B$26&lt;=N1104,1,0),0)</f>
        <v>0</v>
      </c>
      <c r="Q1104" s="58" t="n">
        <f aca="false">Q1103+N1104</f>
        <v>145877.630223336</v>
      </c>
      <c r="S1104" s="56" t="n">
        <f aca="false">S1103+1</f>
        <v>1097</v>
      </c>
      <c r="T1104" s="57" t="n">
        <f aca="false">IF(AND(S1104&lt;=Assumptions!$C$42,T1103=1,X1103=0,W1103&gt;Assumptions!$C$43),1,0)</f>
        <v>0</v>
      </c>
      <c r="U1104" s="58" t="n">
        <f aca="false">W1103</f>
        <v>-182.103705036234</v>
      </c>
      <c r="V1104" s="58" t="n">
        <f aca="false">IF(T1104=1,U1104*$B$22,0)</f>
        <v>0</v>
      </c>
      <c r="W1104" s="58" t="n">
        <f aca="false">IF(T1104=1,U1104+V1104-$B$27,U1104)</f>
        <v>-182.103705036234</v>
      </c>
      <c r="X1104" s="56" t="n">
        <f aca="false">IF(T1104=1,IF($B$27&lt;=V1104,1,0),0)</f>
        <v>0</v>
      </c>
      <c r="Y1104" s="58" t="n">
        <f aca="false">Y1103+V1104</f>
        <v>113000.408372882</v>
      </c>
    </row>
    <row r="1105" customFormat="false" ht="15" hidden="false" customHeight="false" outlineLevel="0" collapsed="false">
      <c r="K1105" s="56" t="n">
        <f aca="false">K1104+1</f>
        <v>1098</v>
      </c>
      <c r="L1105" s="57" t="n">
        <f aca="false">IF(AND(K1105&lt;=Assumptions!$C$42,L1104=1,P1104=0,O1104&gt;Assumptions!$C$43),1,0)</f>
        <v>0</v>
      </c>
      <c r="M1105" s="58" t="n">
        <f aca="false">O1104</f>
        <v>8.10541678220034E-009</v>
      </c>
      <c r="N1105" s="58" t="n">
        <f aca="false">IF(L1105=1,M1105*$B$22,0)</f>
        <v>0</v>
      </c>
      <c r="O1105" s="58" t="n">
        <f aca="false">IF(L1105=1,M1105+N1105-$B$26,M1105)</f>
        <v>8.10541678220034E-009</v>
      </c>
      <c r="P1105" s="56" t="n">
        <f aca="false">IF(L1105=1,IF($B$26&lt;=N1105,1,0),0)</f>
        <v>0</v>
      </c>
      <c r="Q1105" s="58" t="n">
        <f aca="false">Q1104+N1105</f>
        <v>145877.630223336</v>
      </c>
      <c r="S1105" s="56" t="n">
        <f aca="false">S1104+1</f>
        <v>1098</v>
      </c>
      <c r="T1105" s="57" t="n">
        <f aca="false">IF(AND(S1105&lt;=Assumptions!$C$42,T1104=1,X1104=0,W1104&gt;Assumptions!$C$43),1,0)</f>
        <v>0</v>
      </c>
      <c r="U1105" s="58" t="n">
        <f aca="false">W1104</f>
        <v>-182.103705036234</v>
      </c>
      <c r="V1105" s="58" t="n">
        <f aca="false">IF(T1105=1,U1105*$B$22,0)</f>
        <v>0</v>
      </c>
      <c r="W1105" s="58" t="n">
        <f aca="false">IF(T1105=1,U1105+V1105-$B$27,U1105)</f>
        <v>-182.103705036234</v>
      </c>
      <c r="X1105" s="56" t="n">
        <f aca="false">IF(T1105=1,IF($B$27&lt;=V1105,1,0),0)</f>
        <v>0</v>
      </c>
      <c r="Y1105" s="58" t="n">
        <f aca="false">Y1104+V1105</f>
        <v>113000.408372882</v>
      </c>
    </row>
    <row r="1106" customFormat="false" ht="15" hidden="false" customHeight="false" outlineLevel="0" collapsed="false">
      <c r="K1106" s="56" t="n">
        <f aca="false">K1105+1</f>
        <v>1099</v>
      </c>
      <c r="L1106" s="57" t="n">
        <f aca="false">IF(AND(K1106&lt;=Assumptions!$C$42,L1105=1,P1105=0,O1105&gt;Assumptions!$C$43),1,0)</f>
        <v>0</v>
      </c>
      <c r="M1106" s="58" t="n">
        <f aca="false">O1105</f>
        <v>8.10541678220034E-009</v>
      </c>
      <c r="N1106" s="58" t="n">
        <f aca="false">IF(L1106=1,M1106*$B$22,0)</f>
        <v>0</v>
      </c>
      <c r="O1106" s="58" t="n">
        <f aca="false">IF(L1106=1,M1106+N1106-$B$26,M1106)</f>
        <v>8.10541678220034E-009</v>
      </c>
      <c r="P1106" s="56" t="n">
        <f aca="false">IF(L1106=1,IF($B$26&lt;=N1106,1,0),0)</f>
        <v>0</v>
      </c>
      <c r="Q1106" s="58" t="n">
        <f aca="false">Q1105+N1106</f>
        <v>145877.630223336</v>
      </c>
      <c r="S1106" s="56" t="n">
        <f aca="false">S1105+1</f>
        <v>1099</v>
      </c>
      <c r="T1106" s="57" t="n">
        <f aca="false">IF(AND(S1106&lt;=Assumptions!$C$42,T1105=1,X1105=0,W1105&gt;Assumptions!$C$43),1,0)</f>
        <v>0</v>
      </c>
      <c r="U1106" s="58" t="n">
        <f aca="false">W1105</f>
        <v>-182.103705036234</v>
      </c>
      <c r="V1106" s="58" t="n">
        <f aca="false">IF(T1106=1,U1106*$B$22,0)</f>
        <v>0</v>
      </c>
      <c r="W1106" s="58" t="n">
        <f aca="false">IF(T1106=1,U1106+V1106-$B$27,U1106)</f>
        <v>-182.103705036234</v>
      </c>
      <c r="X1106" s="56" t="n">
        <f aca="false">IF(T1106=1,IF($B$27&lt;=V1106,1,0),0)</f>
        <v>0</v>
      </c>
      <c r="Y1106" s="58" t="n">
        <f aca="false">Y1105+V1106</f>
        <v>113000.408372882</v>
      </c>
    </row>
    <row r="1107" customFormat="false" ht="15" hidden="false" customHeight="false" outlineLevel="0" collapsed="false">
      <c r="K1107" s="56" t="n">
        <f aca="false">K1106+1</f>
        <v>1100</v>
      </c>
      <c r="L1107" s="57" t="n">
        <f aca="false">IF(AND(K1107&lt;=Assumptions!$C$42,L1106=1,P1106=0,O1106&gt;Assumptions!$C$43),1,0)</f>
        <v>0</v>
      </c>
      <c r="M1107" s="58" t="n">
        <f aca="false">O1106</f>
        <v>8.10541678220034E-009</v>
      </c>
      <c r="N1107" s="58" t="n">
        <f aca="false">IF(L1107=1,M1107*$B$22,0)</f>
        <v>0</v>
      </c>
      <c r="O1107" s="58" t="n">
        <f aca="false">IF(L1107=1,M1107+N1107-$B$26,M1107)</f>
        <v>8.10541678220034E-009</v>
      </c>
      <c r="P1107" s="56" t="n">
        <f aca="false">IF(L1107=1,IF($B$26&lt;=N1107,1,0),0)</f>
        <v>0</v>
      </c>
      <c r="Q1107" s="58" t="n">
        <f aca="false">Q1106+N1107</f>
        <v>145877.630223336</v>
      </c>
      <c r="S1107" s="56" t="n">
        <f aca="false">S1106+1</f>
        <v>1100</v>
      </c>
      <c r="T1107" s="57" t="n">
        <f aca="false">IF(AND(S1107&lt;=Assumptions!$C$42,T1106=1,X1106=0,W1106&gt;Assumptions!$C$43),1,0)</f>
        <v>0</v>
      </c>
      <c r="U1107" s="58" t="n">
        <f aca="false">W1106</f>
        <v>-182.103705036234</v>
      </c>
      <c r="V1107" s="58" t="n">
        <f aca="false">IF(T1107=1,U1107*$B$22,0)</f>
        <v>0</v>
      </c>
      <c r="W1107" s="58" t="n">
        <f aca="false">IF(T1107=1,U1107+V1107-$B$27,U1107)</f>
        <v>-182.103705036234</v>
      </c>
      <c r="X1107" s="56" t="n">
        <f aca="false">IF(T1107=1,IF($B$27&lt;=V1107,1,0),0)</f>
        <v>0</v>
      </c>
      <c r="Y1107" s="58" t="n">
        <f aca="false">Y1106+V1107</f>
        <v>113000.408372882</v>
      </c>
    </row>
    <row r="1108" customFormat="false" ht="15" hidden="false" customHeight="false" outlineLevel="0" collapsed="false">
      <c r="K1108" s="56" t="n">
        <f aca="false">K1107+1</f>
        <v>1101</v>
      </c>
      <c r="L1108" s="57" t="n">
        <f aca="false">IF(AND(K1108&lt;=Assumptions!$C$42,L1107=1,P1107=0,O1107&gt;Assumptions!$C$43),1,0)</f>
        <v>0</v>
      </c>
      <c r="M1108" s="58" t="n">
        <f aca="false">O1107</f>
        <v>8.10541678220034E-009</v>
      </c>
      <c r="N1108" s="58" t="n">
        <f aca="false">IF(L1108=1,M1108*$B$22,0)</f>
        <v>0</v>
      </c>
      <c r="O1108" s="58" t="n">
        <f aca="false">IF(L1108=1,M1108+N1108-$B$26,M1108)</f>
        <v>8.10541678220034E-009</v>
      </c>
      <c r="P1108" s="56" t="n">
        <f aca="false">IF(L1108=1,IF($B$26&lt;=N1108,1,0),0)</f>
        <v>0</v>
      </c>
      <c r="Q1108" s="58" t="n">
        <f aca="false">Q1107+N1108</f>
        <v>145877.630223336</v>
      </c>
      <c r="S1108" s="56" t="n">
        <f aca="false">S1107+1</f>
        <v>1101</v>
      </c>
      <c r="T1108" s="57" t="n">
        <f aca="false">IF(AND(S1108&lt;=Assumptions!$C$42,T1107=1,X1107=0,W1107&gt;Assumptions!$C$43),1,0)</f>
        <v>0</v>
      </c>
      <c r="U1108" s="58" t="n">
        <f aca="false">W1107</f>
        <v>-182.103705036234</v>
      </c>
      <c r="V1108" s="58" t="n">
        <f aca="false">IF(T1108=1,U1108*$B$22,0)</f>
        <v>0</v>
      </c>
      <c r="W1108" s="58" t="n">
        <f aca="false">IF(T1108=1,U1108+V1108-$B$27,U1108)</f>
        <v>-182.103705036234</v>
      </c>
      <c r="X1108" s="56" t="n">
        <f aca="false">IF(T1108=1,IF($B$27&lt;=V1108,1,0),0)</f>
        <v>0</v>
      </c>
      <c r="Y1108" s="58" t="n">
        <f aca="false">Y1107+V1108</f>
        <v>113000.408372882</v>
      </c>
    </row>
    <row r="1109" customFormat="false" ht="15" hidden="false" customHeight="false" outlineLevel="0" collapsed="false">
      <c r="K1109" s="56" t="n">
        <f aca="false">K1108+1</f>
        <v>1102</v>
      </c>
      <c r="L1109" s="57" t="n">
        <f aca="false">IF(AND(K1109&lt;=Assumptions!$C$42,L1108=1,P1108=0,O1108&gt;Assumptions!$C$43),1,0)</f>
        <v>0</v>
      </c>
      <c r="M1109" s="58" t="n">
        <f aca="false">O1108</f>
        <v>8.10541678220034E-009</v>
      </c>
      <c r="N1109" s="58" t="n">
        <f aca="false">IF(L1109=1,M1109*$B$22,0)</f>
        <v>0</v>
      </c>
      <c r="O1109" s="58" t="n">
        <f aca="false">IF(L1109=1,M1109+N1109-$B$26,M1109)</f>
        <v>8.10541678220034E-009</v>
      </c>
      <c r="P1109" s="56" t="n">
        <f aca="false">IF(L1109=1,IF($B$26&lt;=N1109,1,0),0)</f>
        <v>0</v>
      </c>
      <c r="Q1109" s="58" t="n">
        <f aca="false">Q1108+N1109</f>
        <v>145877.630223336</v>
      </c>
      <c r="S1109" s="56" t="n">
        <f aca="false">S1108+1</f>
        <v>1102</v>
      </c>
      <c r="T1109" s="57" t="n">
        <f aca="false">IF(AND(S1109&lt;=Assumptions!$C$42,T1108=1,X1108=0,W1108&gt;Assumptions!$C$43),1,0)</f>
        <v>0</v>
      </c>
      <c r="U1109" s="58" t="n">
        <f aca="false">W1108</f>
        <v>-182.103705036234</v>
      </c>
      <c r="V1109" s="58" t="n">
        <f aca="false">IF(T1109=1,U1109*$B$22,0)</f>
        <v>0</v>
      </c>
      <c r="W1109" s="58" t="n">
        <f aca="false">IF(T1109=1,U1109+V1109-$B$27,U1109)</f>
        <v>-182.103705036234</v>
      </c>
      <c r="X1109" s="56" t="n">
        <f aca="false">IF(T1109=1,IF($B$27&lt;=V1109,1,0),0)</f>
        <v>0</v>
      </c>
      <c r="Y1109" s="58" t="n">
        <f aca="false">Y1108+V1109</f>
        <v>113000.408372882</v>
      </c>
    </row>
    <row r="1110" customFormat="false" ht="15" hidden="false" customHeight="false" outlineLevel="0" collapsed="false">
      <c r="K1110" s="56" t="n">
        <f aca="false">K1109+1</f>
        <v>1103</v>
      </c>
      <c r="L1110" s="57" t="n">
        <f aca="false">IF(AND(K1110&lt;=Assumptions!$C$42,L1109=1,P1109=0,O1109&gt;Assumptions!$C$43),1,0)</f>
        <v>0</v>
      </c>
      <c r="M1110" s="58" t="n">
        <f aca="false">O1109</f>
        <v>8.10541678220034E-009</v>
      </c>
      <c r="N1110" s="58" t="n">
        <f aca="false">IF(L1110=1,M1110*$B$22,0)</f>
        <v>0</v>
      </c>
      <c r="O1110" s="58" t="n">
        <f aca="false">IF(L1110=1,M1110+N1110-$B$26,M1110)</f>
        <v>8.10541678220034E-009</v>
      </c>
      <c r="P1110" s="56" t="n">
        <f aca="false">IF(L1110=1,IF($B$26&lt;=N1110,1,0),0)</f>
        <v>0</v>
      </c>
      <c r="Q1110" s="58" t="n">
        <f aca="false">Q1109+N1110</f>
        <v>145877.630223336</v>
      </c>
      <c r="S1110" s="56" t="n">
        <f aca="false">S1109+1</f>
        <v>1103</v>
      </c>
      <c r="T1110" s="57" t="n">
        <f aca="false">IF(AND(S1110&lt;=Assumptions!$C$42,T1109=1,X1109=0,W1109&gt;Assumptions!$C$43),1,0)</f>
        <v>0</v>
      </c>
      <c r="U1110" s="58" t="n">
        <f aca="false">W1109</f>
        <v>-182.103705036234</v>
      </c>
      <c r="V1110" s="58" t="n">
        <f aca="false">IF(T1110=1,U1110*$B$22,0)</f>
        <v>0</v>
      </c>
      <c r="W1110" s="58" t="n">
        <f aca="false">IF(T1110=1,U1110+V1110-$B$27,U1110)</f>
        <v>-182.103705036234</v>
      </c>
      <c r="X1110" s="56" t="n">
        <f aca="false">IF(T1110=1,IF($B$27&lt;=V1110,1,0),0)</f>
        <v>0</v>
      </c>
      <c r="Y1110" s="58" t="n">
        <f aca="false">Y1109+V1110</f>
        <v>113000.408372882</v>
      </c>
    </row>
    <row r="1111" customFormat="false" ht="15" hidden="false" customHeight="false" outlineLevel="0" collapsed="false">
      <c r="K1111" s="56" t="n">
        <f aca="false">K1110+1</f>
        <v>1104</v>
      </c>
      <c r="L1111" s="57" t="n">
        <f aca="false">IF(AND(K1111&lt;=Assumptions!$C$42,L1110=1,P1110=0,O1110&gt;Assumptions!$C$43),1,0)</f>
        <v>0</v>
      </c>
      <c r="M1111" s="58" t="n">
        <f aca="false">O1110</f>
        <v>8.10541678220034E-009</v>
      </c>
      <c r="N1111" s="58" t="n">
        <f aca="false">IF(L1111=1,M1111*$B$22,0)</f>
        <v>0</v>
      </c>
      <c r="O1111" s="58" t="n">
        <f aca="false">IF(L1111=1,M1111+N1111-$B$26,M1111)</f>
        <v>8.10541678220034E-009</v>
      </c>
      <c r="P1111" s="56" t="n">
        <f aca="false">IF(L1111=1,IF($B$26&lt;=N1111,1,0),0)</f>
        <v>0</v>
      </c>
      <c r="Q1111" s="58" t="n">
        <f aca="false">Q1110+N1111</f>
        <v>145877.630223336</v>
      </c>
      <c r="S1111" s="56" t="n">
        <f aca="false">S1110+1</f>
        <v>1104</v>
      </c>
      <c r="T1111" s="57" t="n">
        <f aca="false">IF(AND(S1111&lt;=Assumptions!$C$42,T1110=1,X1110=0,W1110&gt;Assumptions!$C$43),1,0)</f>
        <v>0</v>
      </c>
      <c r="U1111" s="58" t="n">
        <f aca="false">W1110</f>
        <v>-182.103705036234</v>
      </c>
      <c r="V1111" s="58" t="n">
        <f aca="false">IF(T1111=1,U1111*$B$22,0)</f>
        <v>0</v>
      </c>
      <c r="W1111" s="58" t="n">
        <f aca="false">IF(T1111=1,U1111+V1111-$B$27,U1111)</f>
        <v>-182.103705036234</v>
      </c>
      <c r="X1111" s="56" t="n">
        <f aca="false">IF(T1111=1,IF($B$27&lt;=V1111,1,0),0)</f>
        <v>0</v>
      </c>
      <c r="Y1111" s="58" t="n">
        <f aca="false">Y1110+V1111</f>
        <v>113000.408372882</v>
      </c>
    </row>
    <row r="1112" customFormat="false" ht="15" hidden="false" customHeight="false" outlineLevel="0" collapsed="false">
      <c r="K1112" s="56" t="n">
        <f aca="false">K1111+1</f>
        <v>1105</v>
      </c>
      <c r="L1112" s="57" t="n">
        <f aca="false">IF(AND(K1112&lt;=Assumptions!$C$42,L1111=1,P1111=0,O1111&gt;Assumptions!$C$43),1,0)</f>
        <v>0</v>
      </c>
      <c r="M1112" s="58" t="n">
        <f aca="false">O1111</f>
        <v>8.10541678220034E-009</v>
      </c>
      <c r="N1112" s="58" t="n">
        <f aca="false">IF(L1112=1,M1112*$B$22,0)</f>
        <v>0</v>
      </c>
      <c r="O1112" s="58" t="n">
        <f aca="false">IF(L1112=1,M1112+N1112-$B$26,M1112)</f>
        <v>8.10541678220034E-009</v>
      </c>
      <c r="P1112" s="56" t="n">
        <f aca="false">IF(L1112=1,IF($B$26&lt;=N1112,1,0),0)</f>
        <v>0</v>
      </c>
      <c r="Q1112" s="58" t="n">
        <f aca="false">Q1111+N1112</f>
        <v>145877.630223336</v>
      </c>
      <c r="S1112" s="56" t="n">
        <f aca="false">S1111+1</f>
        <v>1105</v>
      </c>
      <c r="T1112" s="57" t="n">
        <f aca="false">IF(AND(S1112&lt;=Assumptions!$C$42,T1111=1,X1111=0,W1111&gt;Assumptions!$C$43),1,0)</f>
        <v>0</v>
      </c>
      <c r="U1112" s="58" t="n">
        <f aca="false">W1111</f>
        <v>-182.103705036234</v>
      </c>
      <c r="V1112" s="58" t="n">
        <f aca="false">IF(T1112=1,U1112*$B$22,0)</f>
        <v>0</v>
      </c>
      <c r="W1112" s="58" t="n">
        <f aca="false">IF(T1112=1,U1112+V1112-$B$27,U1112)</f>
        <v>-182.103705036234</v>
      </c>
      <c r="X1112" s="56" t="n">
        <f aca="false">IF(T1112=1,IF($B$27&lt;=V1112,1,0),0)</f>
        <v>0</v>
      </c>
      <c r="Y1112" s="58" t="n">
        <f aca="false">Y1111+V1112</f>
        <v>113000.408372882</v>
      </c>
    </row>
    <row r="1113" customFormat="false" ht="15" hidden="false" customHeight="false" outlineLevel="0" collapsed="false">
      <c r="K1113" s="56" t="n">
        <f aca="false">K1112+1</f>
        <v>1106</v>
      </c>
      <c r="L1113" s="57" t="n">
        <f aca="false">IF(AND(K1113&lt;=Assumptions!$C$42,L1112=1,P1112=0,O1112&gt;Assumptions!$C$43),1,0)</f>
        <v>0</v>
      </c>
      <c r="M1113" s="58" t="n">
        <f aca="false">O1112</f>
        <v>8.10541678220034E-009</v>
      </c>
      <c r="N1113" s="58" t="n">
        <f aca="false">IF(L1113=1,M1113*$B$22,0)</f>
        <v>0</v>
      </c>
      <c r="O1113" s="58" t="n">
        <f aca="false">IF(L1113=1,M1113+N1113-$B$26,M1113)</f>
        <v>8.10541678220034E-009</v>
      </c>
      <c r="P1113" s="56" t="n">
        <f aca="false">IF(L1113=1,IF($B$26&lt;=N1113,1,0),0)</f>
        <v>0</v>
      </c>
      <c r="Q1113" s="58" t="n">
        <f aca="false">Q1112+N1113</f>
        <v>145877.630223336</v>
      </c>
      <c r="S1113" s="56" t="n">
        <f aca="false">S1112+1</f>
        <v>1106</v>
      </c>
      <c r="T1113" s="57" t="n">
        <f aca="false">IF(AND(S1113&lt;=Assumptions!$C$42,T1112=1,X1112=0,W1112&gt;Assumptions!$C$43),1,0)</f>
        <v>0</v>
      </c>
      <c r="U1113" s="58" t="n">
        <f aca="false">W1112</f>
        <v>-182.103705036234</v>
      </c>
      <c r="V1113" s="58" t="n">
        <f aca="false">IF(T1113=1,U1113*$B$22,0)</f>
        <v>0</v>
      </c>
      <c r="W1113" s="58" t="n">
        <f aca="false">IF(T1113=1,U1113+V1113-$B$27,U1113)</f>
        <v>-182.103705036234</v>
      </c>
      <c r="X1113" s="56" t="n">
        <f aca="false">IF(T1113=1,IF($B$27&lt;=V1113,1,0),0)</f>
        <v>0</v>
      </c>
      <c r="Y1113" s="58" t="n">
        <f aca="false">Y1112+V1113</f>
        <v>113000.408372882</v>
      </c>
    </row>
    <row r="1114" customFormat="false" ht="15" hidden="false" customHeight="false" outlineLevel="0" collapsed="false">
      <c r="K1114" s="56" t="n">
        <f aca="false">K1113+1</f>
        <v>1107</v>
      </c>
      <c r="L1114" s="57" t="n">
        <f aca="false">IF(AND(K1114&lt;=Assumptions!$C$42,L1113=1,P1113=0,O1113&gt;Assumptions!$C$43),1,0)</f>
        <v>0</v>
      </c>
      <c r="M1114" s="58" t="n">
        <f aca="false">O1113</f>
        <v>8.10541678220034E-009</v>
      </c>
      <c r="N1114" s="58" t="n">
        <f aca="false">IF(L1114=1,M1114*$B$22,0)</f>
        <v>0</v>
      </c>
      <c r="O1114" s="58" t="n">
        <f aca="false">IF(L1114=1,M1114+N1114-$B$26,M1114)</f>
        <v>8.10541678220034E-009</v>
      </c>
      <c r="P1114" s="56" t="n">
        <f aca="false">IF(L1114=1,IF($B$26&lt;=N1114,1,0),0)</f>
        <v>0</v>
      </c>
      <c r="Q1114" s="58" t="n">
        <f aca="false">Q1113+N1114</f>
        <v>145877.630223336</v>
      </c>
      <c r="S1114" s="56" t="n">
        <f aca="false">S1113+1</f>
        <v>1107</v>
      </c>
      <c r="T1114" s="57" t="n">
        <f aca="false">IF(AND(S1114&lt;=Assumptions!$C$42,T1113=1,X1113=0,W1113&gt;Assumptions!$C$43),1,0)</f>
        <v>0</v>
      </c>
      <c r="U1114" s="58" t="n">
        <f aca="false">W1113</f>
        <v>-182.103705036234</v>
      </c>
      <c r="V1114" s="58" t="n">
        <f aca="false">IF(T1114=1,U1114*$B$22,0)</f>
        <v>0</v>
      </c>
      <c r="W1114" s="58" t="n">
        <f aca="false">IF(T1114=1,U1114+V1114-$B$27,U1114)</f>
        <v>-182.103705036234</v>
      </c>
      <c r="X1114" s="56" t="n">
        <f aca="false">IF(T1114=1,IF($B$27&lt;=V1114,1,0),0)</f>
        <v>0</v>
      </c>
      <c r="Y1114" s="58" t="n">
        <f aca="false">Y1113+V1114</f>
        <v>113000.408372882</v>
      </c>
    </row>
    <row r="1115" customFormat="false" ht="15" hidden="false" customHeight="false" outlineLevel="0" collapsed="false">
      <c r="K1115" s="56" t="n">
        <f aca="false">K1114+1</f>
        <v>1108</v>
      </c>
      <c r="L1115" s="57" t="n">
        <f aca="false">IF(AND(K1115&lt;=Assumptions!$C$42,L1114=1,P1114=0,O1114&gt;Assumptions!$C$43),1,0)</f>
        <v>0</v>
      </c>
      <c r="M1115" s="58" t="n">
        <f aca="false">O1114</f>
        <v>8.10541678220034E-009</v>
      </c>
      <c r="N1115" s="58" t="n">
        <f aca="false">IF(L1115=1,M1115*$B$22,0)</f>
        <v>0</v>
      </c>
      <c r="O1115" s="58" t="n">
        <f aca="false">IF(L1115=1,M1115+N1115-$B$26,M1115)</f>
        <v>8.10541678220034E-009</v>
      </c>
      <c r="P1115" s="56" t="n">
        <f aca="false">IF(L1115=1,IF($B$26&lt;=N1115,1,0),0)</f>
        <v>0</v>
      </c>
      <c r="Q1115" s="58" t="n">
        <f aca="false">Q1114+N1115</f>
        <v>145877.630223336</v>
      </c>
      <c r="S1115" s="56" t="n">
        <f aca="false">S1114+1</f>
        <v>1108</v>
      </c>
      <c r="T1115" s="57" t="n">
        <f aca="false">IF(AND(S1115&lt;=Assumptions!$C$42,T1114=1,X1114=0,W1114&gt;Assumptions!$C$43),1,0)</f>
        <v>0</v>
      </c>
      <c r="U1115" s="58" t="n">
        <f aca="false">W1114</f>
        <v>-182.103705036234</v>
      </c>
      <c r="V1115" s="58" t="n">
        <f aca="false">IF(T1115=1,U1115*$B$22,0)</f>
        <v>0</v>
      </c>
      <c r="W1115" s="58" t="n">
        <f aca="false">IF(T1115=1,U1115+V1115-$B$27,U1115)</f>
        <v>-182.103705036234</v>
      </c>
      <c r="X1115" s="56" t="n">
        <f aca="false">IF(T1115=1,IF($B$27&lt;=V1115,1,0),0)</f>
        <v>0</v>
      </c>
      <c r="Y1115" s="58" t="n">
        <f aca="false">Y1114+V1115</f>
        <v>113000.408372882</v>
      </c>
    </row>
    <row r="1116" customFormat="false" ht="15" hidden="false" customHeight="false" outlineLevel="0" collapsed="false">
      <c r="K1116" s="56" t="n">
        <f aca="false">K1115+1</f>
        <v>1109</v>
      </c>
      <c r="L1116" s="57" t="n">
        <f aca="false">IF(AND(K1116&lt;=Assumptions!$C$42,L1115=1,P1115=0,O1115&gt;Assumptions!$C$43),1,0)</f>
        <v>0</v>
      </c>
      <c r="M1116" s="58" t="n">
        <f aca="false">O1115</f>
        <v>8.10541678220034E-009</v>
      </c>
      <c r="N1116" s="58" t="n">
        <f aca="false">IF(L1116=1,M1116*$B$22,0)</f>
        <v>0</v>
      </c>
      <c r="O1116" s="58" t="n">
        <f aca="false">IF(L1116=1,M1116+N1116-$B$26,M1116)</f>
        <v>8.10541678220034E-009</v>
      </c>
      <c r="P1116" s="56" t="n">
        <f aca="false">IF(L1116=1,IF($B$26&lt;=N1116,1,0),0)</f>
        <v>0</v>
      </c>
      <c r="Q1116" s="58" t="n">
        <f aca="false">Q1115+N1116</f>
        <v>145877.630223336</v>
      </c>
      <c r="S1116" s="56" t="n">
        <f aca="false">S1115+1</f>
        <v>1109</v>
      </c>
      <c r="T1116" s="57" t="n">
        <f aca="false">IF(AND(S1116&lt;=Assumptions!$C$42,T1115=1,X1115=0,W1115&gt;Assumptions!$C$43),1,0)</f>
        <v>0</v>
      </c>
      <c r="U1116" s="58" t="n">
        <f aca="false">W1115</f>
        <v>-182.103705036234</v>
      </c>
      <c r="V1116" s="58" t="n">
        <f aca="false">IF(T1116=1,U1116*$B$22,0)</f>
        <v>0</v>
      </c>
      <c r="W1116" s="58" t="n">
        <f aca="false">IF(T1116=1,U1116+V1116-$B$27,U1116)</f>
        <v>-182.103705036234</v>
      </c>
      <c r="X1116" s="56" t="n">
        <f aca="false">IF(T1116=1,IF($B$27&lt;=V1116,1,0),0)</f>
        <v>0</v>
      </c>
      <c r="Y1116" s="58" t="n">
        <f aca="false">Y1115+V1116</f>
        <v>113000.408372882</v>
      </c>
    </row>
    <row r="1117" customFormat="false" ht="15" hidden="false" customHeight="false" outlineLevel="0" collapsed="false">
      <c r="K1117" s="56" t="n">
        <f aca="false">K1116+1</f>
        <v>1110</v>
      </c>
      <c r="L1117" s="57" t="n">
        <f aca="false">IF(AND(K1117&lt;=Assumptions!$C$42,L1116=1,P1116=0,O1116&gt;Assumptions!$C$43),1,0)</f>
        <v>0</v>
      </c>
      <c r="M1117" s="58" t="n">
        <f aca="false">O1116</f>
        <v>8.10541678220034E-009</v>
      </c>
      <c r="N1117" s="58" t="n">
        <f aca="false">IF(L1117=1,M1117*$B$22,0)</f>
        <v>0</v>
      </c>
      <c r="O1117" s="58" t="n">
        <f aca="false">IF(L1117=1,M1117+N1117-$B$26,M1117)</f>
        <v>8.10541678220034E-009</v>
      </c>
      <c r="P1117" s="56" t="n">
        <f aca="false">IF(L1117=1,IF($B$26&lt;=N1117,1,0),0)</f>
        <v>0</v>
      </c>
      <c r="Q1117" s="58" t="n">
        <f aca="false">Q1116+N1117</f>
        <v>145877.630223336</v>
      </c>
      <c r="S1117" s="56" t="n">
        <f aca="false">S1116+1</f>
        <v>1110</v>
      </c>
      <c r="T1117" s="57" t="n">
        <f aca="false">IF(AND(S1117&lt;=Assumptions!$C$42,T1116=1,X1116=0,W1116&gt;Assumptions!$C$43),1,0)</f>
        <v>0</v>
      </c>
      <c r="U1117" s="58" t="n">
        <f aca="false">W1116</f>
        <v>-182.103705036234</v>
      </c>
      <c r="V1117" s="58" t="n">
        <f aca="false">IF(T1117=1,U1117*$B$22,0)</f>
        <v>0</v>
      </c>
      <c r="W1117" s="58" t="n">
        <f aca="false">IF(T1117=1,U1117+V1117-$B$27,U1117)</f>
        <v>-182.103705036234</v>
      </c>
      <c r="X1117" s="56" t="n">
        <f aca="false">IF(T1117=1,IF($B$27&lt;=V1117,1,0),0)</f>
        <v>0</v>
      </c>
      <c r="Y1117" s="58" t="n">
        <f aca="false">Y1116+V1117</f>
        <v>113000.408372882</v>
      </c>
    </row>
    <row r="1118" customFormat="false" ht="15" hidden="false" customHeight="false" outlineLevel="0" collapsed="false">
      <c r="K1118" s="56" t="n">
        <f aca="false">K1117+1</f>
        <v>1111</v>
      </c>
      <c r="L1118" s="57" t="n">
        <f aca="false">IF(AND(K1118&lt;=Assumptions!$C$42,L1117=1,P1117=0,O1117&gt;Assumptions!$C$43),1,0)</f>
        <v>0</v>
      </c>
      <c r="M1118" s="58" t="n">
        <f aca="false">O1117</f>
        <v>8.10541678220034E-009</v>
      </c>
      <c r="N1118" s="58" t="n">
        <f aca="false">IF(L1118=1,M1118*$B$22,0)</f>
        <v>0</v>
      </c>
      <c r="O1118" s="58" t="n">
        <f aca="false">IF(L1118=1,M1118+N1118-$B$26,M1118)</f>
        <v>8.10541678220034E-009</v>
      </c>
      <c r="P1118" s="56" t="n">
        <f aca="false">IF(L1118=1,IF($B$26&lt;=N1118,1,0),0)</f>
        <v>0</v>
      </c>
      <c r="Q1118" s="58" t="n">
        <f aca="false">Q1117+N1118</f>
        <v>145877.630223336</v>
      </c>
      <c r="S1118" s="56" t="n">
        <f aca="false">S1117+1</f>
        <v>1111</v>
      </c>
      <c r="T1118" s="57" t="n">
        <f aca="false">IF(AND(S1118&lt;=Assumptions!$C$42,T1117=1,X1117=0,W1117&gt;Assumptions!$C$43),1,0)</f>
        <v>0</v>
      </c>
      <c r="U1118" s="58" t="n">
        <f aca="false">W1117</f>
        <v>-182.103705036234</v>
      </c>
      <c r="V1118" s="58" t="n">
        <f aca="false">IF(T1118=1,U1118*$B$22,0)</f>
        <v>0</v>
      </c>
      <c r="W1118" s="58" t="n">
        <f aca="false">IF(T1118=1,U1118+V1118-$B$27,U1118)</f>
        <v>-182.103705036234</v>
      </c>
      <c r="X1118" s="56" t="n">
        <f aca="false">IF(T1118=1,IF($B$27&lt;=V1118,1,0),0)</f>
        <v>0</v>
      </c>
      <c r="Y1118" s="58" t="n">
        <f aca="false">Y1117+V1118</f>
        <v>113000.408372882</v>
      </c>
    </row>
    <row r="1119" customFormat="false" ht="15" hidden="false" customHeight="false" outlineLevel="0" collapsed="false">
      <c r="K1119" s="56" t="n">
        <f aca="false">K1118+1</f>
        <v>1112</v>
      </c>
      <c r="L1119" s="57" t="n">
        <f aca="false">IF(AND(K1119&lt;=Assumptions!$C$42,L1118=1,P1118=0,O1118&gt;Assumptions!$C$43),1,0)</f>
        <v>0</v>
      </c>
      <c r="M1119" s="58" t="n">
        <f aca="false">O1118</f>
        <v>8.10541678220034E-009</v>
      </c>
      <c r="N1119" s="58" t="n">
        <f aca="false">IF(L1119=1,M1119*$B$22,0)</f>
        <v>0</v>
      </c>
      <c r="O1119" s="58" t="n">
        <f aca="false">IF(L1119=1,M1119+N1119-$B$26,M1119)</f>
        <v>8.10541678220034E-009</v>
      </c>
      <c r="P1119" s="56" t="n">
        <f aca="false">IF(L1119=1,IF($B$26&lt;=N1119,1,0),0)</f>
        <v>0</v>
      </c>
      <c r="Q1119" s="58" t="n">
        <f aca="false">Q1118+N1119</f>
        <v>145877.630223336</v>
      </c>
      <c r="S1119" s="56" t="n">
        <f aca="false">S1118+1</f>
        <v>1112</v>
      </c>
      <c r="T1119" s="57" t="n">
        <f aca="false">IF(AND(S1119&lt;=Assumptions!$C$42,T1118=1,X1118=0,W1118&gt;Assumptions!$C$43),1,0)</f>
        <v>0</v>
      </c>
      <c r="U1119" s="58" t="n">
        <f aca="false">W1118</f>
        <v>-182.103705036234</v>
      </c>
      <c r="V1119" s="58" t="n">
        <f aca="false">IF(T1119=1,U1119*$B$22,0)</f>
        <v>0</v>
      </c>
      <c r="W1119" s="58" t="n">
        <f aca="false">IF(T1119=1,U1119+V1119-$B$27,U1119)</f>
        <v>-182.103705036234</v>
      </c>
      <c r="X1119" s="56" t="n">
        <f aca="false">IF(T1119=1,IF($B$27&lt;=V1119,1,0),0)</f>
        <v>0</v>
      </c>
      <c r="Y1119" s="58" t="n">
        <f aca="false">Y1118+V1119</f>
        <v>113000.408372882</v>
      </c>
    </row>
    <row r="1120" customFormat="false" ht="15" hidden="false" customHeight="false" outlineLevel="0" collapsed="false">
      <c r="K1120" s="56" t="n">
        <f aca="false">K1119+1</f>
        <v>1113</v>
      </c>
      <c r="L1120" s="57" t="n">
        <f aca="false">IF(AND(K1120&lt;=Assumptions!$C$42,L1119=1,P1119=0,O1119&gt;Assumptions!$C$43),1,0)</f>
        <v>0</v>
      </c>
      <c r="M1120" s="58" t="n">
        <f aca="false">O1119</f>
        <v>8.10541678220034E-009</v>
      </c>
      <c r="N1120" s="58" t="n">
        <f aca="false">IF(L1120=1,M1120*$B$22,0)</f>
        <v>0</v>
      </c>
      <c r="O1120" s="58" t="n">
        <f aca="false">IF(L1120=1,M1120+N1120-$B$26,M1120)</f>
        <v>8.10541678220034E-009</v>
      </c>
      <c r="P1120" s="56" t="n">
        <f aca="false">IF(L1120=1,IF($B$26&lt;=N1120,1,0),0)</f>
        <v>0</v>
      </c>
      <c r="Q1120" s="58" t="n">
        <f aca="false">Q1119+N1120</f>
        <v>145877.630223336</v>
      </c>
      <c r="S1120" s="56" t="n">
        <f aca="false">S1119+1</f>
        <v>1113</v>
      </c>
      <c r="T1120" s="57" t="n">
        <f aca="false">IF(AND(S1120&lt;=Assumptions!$C$42,T1119=1,X1119=0,W1119&gt;Assumptions!$C$43),1,0)</f>
        <v>0</v>
      </c>
      <c r="U1120" s="58" t="n">
        <f aca="false">W1119</f>
        <v>-182.103705036234</v>
      </c>
      <c r="V1120" s="58" t="n">
        <f aca="false">IF(T1120=1,U1120*$B$22,0)</f>
        <v>0</v>
      </c>
      <c r="W1120" s="58" t="n">
        <f aca="false">IF(T1120=1,U1120+V1120-$B$27,U1120)</f>
        <v>-182.103705036234</v>
      </c>
      <c r="X1120" s="56" t="n">
        <f aca="false">IF(T1120=1,IF($B$27&lt;=V1120,1,0),0)</f>
        <v>0</v>
      </c>
      <c r="Y1120" s="58" t="n">
        <f aca="false">Y1119+V1120</f>
        <v>113000.408372882</v>
      </c>
    </row>
    <row r="1121" customFormat="false" ht="15" hidden="false" customHeight="false" outlineLevel="0" collapsed="false">
      <c r="K1121" s="56" t="n">
        <f aca="false">K1120+1</f>
        <v>1114</v>
      </c>
      <c r="L1121" s="57" t="n">
        <f aca="false">IF(AND(K1121&lt;=Assumptions!$C$42,L1120=1,P1120=0,O1120&gt;Assumptions!$C$43),1,0)</f>
        <v>0</v>
      </c>
      <c r="M1121" s="58" t="n">
        <f aca="false">O1120</f>
        <v>8.10541678220034E-009</v>
      </c>
      <c r="N1121" s="58" t="n">
        <f aca="false">IF(L1121=1,M1121*$B$22,0)</f>
        <v>0</v>
      </c>
      <c r="O1121" s="58" t="n">
        <f aca="false">IF(L1121=1,M1121+N1121-$B$26,M1121)</f>
        <v>8.10541678220034E-009</v>
      </c>
      <c r="P1121" s="56" t="n">
        <f aca="false">IF(L1121=1,IF($B$26&lt;=N1121,1,0),0)</f>
        <v>0</v>
      </c>
      <c r="Q1121" s="58" t="n">
        <f aca="false">Q1120+N1121</f>
        <v>145877.630223336</v>
      </c>
      <c r="S1121" s="56" t="n">
        <f aca="false">S1120+1</f>
        <v>1114</v>
      </c>
      <c r="T1121" s="57" t="n">
        <f aca="false">IF(AND(S1121&lt;=Assumptions!$C$42,T1120=1,X1120=0,W1120&gt;Assumptions!$C$43),1,0)</f>
        <v>0</v>
      </c>
      <c r="U1121" s="58" t="n">
        <f aca="false">W1120</f>
        <v>-182.103705036234</v>
      </c>
      <c r="V1121" s="58" t="n">
        <f aca="false">IF(T1121=1,U1121*$B$22,0)</f>
        <v>0</v>
      </c>
      <c r="W1121" s="58" t="n">
        <f aca="false">IF(T1121=1,U1121+V1121-$B$27,U1121)</f>
        <v>-182.103705036234</v>
      </c>
      <c r="X1121" s="56" t="n">
        <f aca="false">IF(T1121=1,IF($B$27&lt;=V1121,1,0),0)</f>
        <v>0</v>
      </c>
      <c r="Y1121" s="58" t="n">
        <f aca="false">Y1120+V1121</f>
        <v>113000.408372882</v>
      </c>
    </row>
    <row r="1122" customFormat="false" ht="15" hidden="false" customHeight="false" outlineLevel="0" collapsed="false">
      <c r="K1122" s="56" t="n">
        <f aca="false">K1121+1</f>
        <v>1115</v>
      </c>
      <c r="L1122" s="57" t="n">
        <f aca="false">IF(AND(K1122&lt;=Assumptions!$C$42,L1121=1,P1121=0,O1121&gt;Assumptions!$C$43),1,0)</f>
        <v>0</v>
      </c>
      <c r="M1122" s="58" t="n">
        <f aca="false">O1121</f>
        <v>8.10541678220034E-009</v>
      </c>
      <c r="N1122" s="58" t="n">
        <f aca="false">IF(L1122=1,M1122*$B$22,0)</f>
        <v>0</v>
      </c>
      <c r="O1122" s="58" t="n">
        <f aca="false">IF(L1122=1,M1122+N1122-$B$26,M1122)</f>
        <v>8.10541678220034E-009</v>
      </c>
      <c r="P1122" s="56" t="n">
        <f aca="false">IF(L1122=1,IF($B$26&lt;=N1122,1,0),0)</f>
        <v>0</v>
      </c>
      <c r="Q1122" s="58" t="n">
        <f aca="false">Q1121+N1122</f>
        <v>145877.630223336</v>
      </c>
      <c r="S1122" s="56" t="n">
        <f aca="false">S1121+1</f>
        <v>1115</v>
      </c>
      <c r="T1122" s="57" t="n">
        <f aca="false">IF(AND(S1122&lt;=Assumptions!$C$42,T1121=1,X1121=0,W1121&gt;Assumptions!$C$43),1,0)</f>
        <v>0</v>
      </c>
      <c r="U1122" s="58" t="n">
        <f aca="false">W1121</f>
        <v>-182.103705036234</v>
      </c>
      <c r="V1122" s="58" t="n">
        <f aca="false">IF(T1122=1,U1122*$B$22,0)</f>
        <v>0</v>
      </c>
      <c r="W1122" s="58" t="n">
        <f aca="false">IF(T1122=1,U1122+V1122-$B$27,U1122)</f>
        <v>-182.103705036234</v>
      </c>
      <c r="X1122" s="56" t="n">
        <f aca="false">IF(T1122=1,IF($B$27&lt;=V1122,1,0),0)</f>
        <v>0</v>
      </c>
      <c r="Y1122" s="58" t="n">
        <f aca="false">Y1121+V1122</f>
        <v>113000.408372882</v>
      </c>
    </row>
    <row r="1123" customFormat="false" ht="15" hidden="false" customHeight="false" outlineLevel="0" collapsed="false">
      <c r="K1123" s="56" t="n">
        <f aca="false">K1122+1</f>
        <v>1116</v>
      </c>
      <c r="L1123" s="57" t="n">
        <f aca="false">IF(AND(K1123&lt;=Assumptions!$C$42,L1122=1,P1122=0,O1122&gt;Assumptions!$C$43),1,0)</f>
        <v>0</v>
      </c>
      <c r="M1123" s="58" t="n">
        <f aca="false">O1122</f>
        <v>8.10541678220034E-009</v>
      </c>
      <c r="N1123" s="58" t="n">
        <f aca="false">IF(L1123=1,M1123*$B$22,0)</f>
        <v>0</v>
      </c>
      <c r="O1123" s="58" t="n">
        <f aca="false">IF(L1123=1,M1123+N1123-$B$26,M1123)</f>
        <v>8.10541678220034E-009</v>
      </c>
      <c r="P1123" s="56" t="n">
        <f aca="false">IF(L1123=1,IF($B$26&lt;=N1123,1,0),0)</f>
        <v>0</v>
      </c>
      <c r="Q1123" s="58" t="n">
        <f aca="false">Q1122+N1123</f>
        <v>145877.630223336</v>
      </c>
      <c r="S1123" s="56" t="n">
        <f aca="false">S1122+1</f>
        <v>1116</v>
      </c>
      <c r="T1123" s="57" t="n">
        <f aca="false">IF(AND(S1123&lt;=Assumptions!$C$42,T1122=1,X1122=0,W1122&gt;Assumptions!$C$43),1,0)</f>
        <v>0</v>
      </c>
      <c r="U1123" s="58" t="n">
        <f aca="false">W1122</f>
        <v>-182.103705036234</v>
      </c>
      <c r="V1123" s="58" t="n">
        <f aca="false">IF(T1123=1,U1123*$B$22,0)</f>
        <v>0</v>
      </c>
      <c r="W1123" s="58" t="n">
        <f aca="false">IF(T1123=1,U1123+V1123-$B$27,U1123)</f>
        <v>-182.103705036234</v>
      </c>
      <c r="X1123" s="56" t="n">
        <f aca="false">IF(T1123=1,IF($B$27&lt;=V1123,1,0),0)</f>
        <v>0</v>
      </c>
      <c r="Y1123" s="58" t="n">
        <f aca="false">Y1122+V1123</f>
        <v>113000.408372882</v>
      </c>
    </row>
    <row r="1124" customFormat="false" ht="15" hidden="false" customHeight="false" outlineLevel="0" collapsed="false">
      <c r="K1124" s="56" t="n">
        <f aca="false">K1123+1</f>
        <v>1117</v>
      </c>
      <c r="L1124" s="57" t="n">
        <f aca="false">IF(AND(K1124&lt;=Assumptions!$C$42,L1123=1,P1123=0,O1123&gt;Assumptions!$C$43),1,0)</f>
        <v>0</v>
      </c>
      <c r="M1124" s="58" t="n">
        <f aca="false">O1123</f>
        <v>8.10541678220034E-009</v>
      </c>
      <c r="N1124" s="58" t="n">
        <f aca="false">IF(L1124=1,M1124*$B$22,0)</f>
        <v>0</v>
      </c>
      <c r="O1124" s="58" t="n">
        <f aca="false">IF(L1124=1,M1124+N1124-$B$26,M1124)</f>
        <v>8.10541678220034E-009</v>
      </c>
      <c r="P1124" s="56" t="n">
        <f aca="false">IF(L1124=1,IF($B$26&lt;=N1124,1,0),0)</f>
        <v>0</v>
      </c>
      <c r="Q1124" s="58" t="n">
        <f aca="false">Q1123+N1124</f>
        <v>145877.630223336</v>
      </c>
      <c r="S1124" s="56" t="n">
        <f aca="false">S1123+1</f>
        <v>1117</v>
      </c>
      <c r="T1124" s="57" t="n">
        <f aca="false">IF(AND(S1124&lt;=Assumptions!$C$42,T1123=1,X1123=0,W1123&gt;Assumptions!$C$43),1,0)</f>
        <v>0</v>
      </c>
      <c r="U1124" s="58" t="n">
        <f aca="false">W1123</f>
        <v>-182.103705036234</v>
      </c>
      <c r="V1124" s="58" t="n">
        <f aca="false">IF(T1124=1,U1124*$B$22,0)</f>
        <v>0</v>
      </c>
      <c r="W1124" s="58" t="n">
        <f aca="false">IF(T1124=1,U1124+V1124-$B$27,U1124)</f>
        <v>-182.103705036234</v>
      </c>
      <c r="X1124" s="56" t="n">
        <f aca="false">IF(T1124=1,IF($B$27&lt;=V1124,1,0),0)</f>
        <v>0</v>
      </c>
      <c r="Y1124" s="58" t="n">
        <f aca="false">Y1123+V1124</f>
        <v>113000.408372882</v>
      </c>
    </row>
    <row r="1125" customFormat="false" ht="15" hidden="false" customHeight="false" outlineLevel="0" collapsed="false">
      <c r="K1125" s="56" t="n">
        <f aca="false">K1124+1</f>
        <v>1118</v>
      </c>
      <c r="L1125" s="57" t="n">
        <f aca="false">IF(AND(K1125&lt;=Assumptions!$C$42,L1124=1,P1124=0,O1124&gt;Assumptions!$C$43),1,0)</f>
        <v>0</v>
      </c>
      <c r="M1125" s="58" t="n">
        <f aca="false">O1124</f>
        <v>8.10541678220034E-009</v>
      </c>
      <c r="N1125" s="58" t="n">
        <f aca="false">IF(L1125=1,M1125*$B$22,0)</f>
        <v>0</v>
      </c>
      <c r="O1125" s="58" t="n">
        <f aca="false">IF(L1125=1,M1125+N1125-$B$26,M1125)</f>
        <v>8.10541678220034E-009</v>
      </c>
      <c r="P1125" s="56" t="n">
        <f aca="false">IF(L1125=1,IF($B$26&lt;=N1125,1,0),0)</f>
        <v>0</v>
      </c>
      <c r="Q1125" s="58" t="n">
        <f aca="false">Q1124+N1125</f>
        <v>145877.630223336</v>
      </c>
      <c r="S1125" s="56" t="n">
        <f aca="false">S1124+1</f>
        <v>1118</v>
      </c>
      <c r="T1125" s="57" t="n">
        <f aca="false">IF(AND(S1125&lt;=Assumptions!$C$42,T1124=1,X1124=0,W1124&gt;Assumptions!$C$43),1,0)</f>
        <v>0</v>
      </c>
      <c r="U1125" s="58" t="n">
        <f aca="false">W1124</f>
        <v>-182.103705036234</v>
      </c>
      <c r="V1125" s="58" t="n">
        <f aca="false">IF(T1125=1,U1125*$B$22,0)</f>
        <v>0</v>
      </c>
      <c r="W1125" s="58" t="n">
        <f aca="false">IF(T1125=1,U1125+V1125-$B$27,U1125)</f>
        <v>-182.103705036234</v>
      </c>
      <c r="X1125" s="56" t="n">
        <f aca="false">IF(T1125=1,IF($B$27&lt;=V1125,1,0),0)</f>
        <v>0</v>
      </c>
      <c r="Y1125" s="58" t="n">
        <f aca="false">Y1124+V1125</f>
        <v>113000.408372882</v>
      </c>
    </row>
    <row r="1126" customFormat="false" ht="15" hidden="false" customHeight="false" outlineLevel="0" collapsed="false">
      <c r="K1126" s="56" t="n">
        <f aca="false">K1125+1</f>
        <v>1119</v>
      </c>
      <c r="L1126" s="57" t="n">
        <f aca="false">IF(AND(K1126&lt;=Assumptions!$C$42,L1125=1,P1125=0,O1125&gt;Assumptions!$C$43),1,0)</f>
        <v>0</v>
      </c>
      <c r="M1126" s="58" t="n">
        <f aca="false">O1125</f>
        <v>8.10541678220034E-009</v>
      </c>
      <c r="N1126" s="58" t="n">
        <f aca="false">IF(L1126=1,M1126*$B$22,0)</f>
        <v>0</v>
      </c>
      <c r="O1126" s="58" t="n">
        <f aca="false">IF(L1126=1,M1126+N1126-$B$26,M1126)</f>
        <v>8.10541678220034E-009</v>
      </c>
      <c r="P1126" s="56" t="n">
        <f aca="false">IF(L1126=1,IF($B$26&lt;=N1126,1,0),0)</f>
        <v>0</v>
      </c>
      <c r="Q1126" s="58" t="n">
        <f aca="false">Q1125+N1126</f>
        <v>145877.630223336</v>
      </c>
      <c r="S1126" s="56" t="n">
        <f aca="false">S1125+1</f>
        <v>1119</v>
      </c>
      <c r="T1126" s="57" t="n">
        <f aca="false">IF(AND(S1126&lt;=Assumptions!$C$42,T1125=1,X1125=0,W1125&gt;Assumptions!$C$43),1,0)</f>
        <v>0</v>
      </c>
      <c r="U1126" s="58" t="n">
        <f aca="false">W1125</f>
        <v>-182.103705036234</v>
      </c>
      <c r="V1126" s="58" t="n">
        <f aca="false">IF(T1126=1,U1126*$B$22,0)</f>
        <v>0</v>
      </c>
      <c r="W1126" s="58" t="n">
        <f aca="false">IF(T1126=1,U1126+V1126-$B$27,U1126)</f>
        <v>-182.103705036234</v>
      </c>
      <c r="X1126" s="56" t="n">
        <f aca="false">IF(T1126=1,IF($B$27&lt;=V1126,1,0),0)</f>
        <v>0</v>
      </c>
      <c r="Y1126" s="58" t="n">
        <f aca="false">Y1125+V1126</f>
        <v>113000.408372882</v>
      </c>
    </row>
    <row r="1127" customFormat="false" ht="15" hidden="false" customHeight="false" outlineLevel="0" collapsed="false">
      <c r="K1127" s="56" t="n">
        <f aca="false">K1126+1</f>
        <v>1120</v>
      </c>
      <c r="L1127" s="57" t="n">
        <f aca="false">IF(AND(K1127&lt;=Assumptions!$C$42,L1126=1,P1126=0,O1126&gt;Assumptions!$C$43),1,0)</f>
        <v>0</v>
      </c>
      <c r="M1127" s="58" t="n">
        <f aca="false">O1126</f>
        <v>8.10541678220034E-009</v>
      </c>
      <c r="N1127" s="58" t="n">
        <f aca="false">IF(L1127=1,M1127*$B$22,0)</f>
        <v>0</v>
      </c>
      <c r="O1127" s="58" t="n">
        <f aca="false">IF(L1127=1,M1127+N1127-$B$26,M1127)</f>
        <v>8.10541678220034E-009</v>
      </c>
      <c r="P1127" s="56" t="n">
        <f aca="false">IF(L1127=1,IF($B$26&lt;=N1127,1,0),0)</f>
        <v>0</v>
      </c>
      <c r="Q1127" s="58" t="n">
        <f aca="false">Q1126+N1127</f>
        <v>145877.630223336</v>
      </c>
      <c r="S1127" s="56" t="n">
        <f aca="false">S1126+1</f>
        <v>1120</v>
      </c>
      <c r="T1127" s="57" t="n">
        <f aca="false">IF(AND(S1127&lt;=Assumptions!$C$42,T1126=1,X1126=0,W1126&gt;Assumptions!$C$43),1,0)</f>
        <v>0</v>
      </c>
      <c r="U1127" s="58" t="n">
        <f aca="false">W1126</f>
        <v>-182.103705036234</v>
      </c>
      <c r="V1127" s="58" t="n">
        <f aca="false">IF(T1127=1,U1127*$B$22,0)</f>
        <v>0</v>
      </c>
      <c r="W1127" s="58" t="n">
        <f aca="false">IF(T1127=1,U1127+V1127-$B$27,U1127)</f>
        <v>-182.103705036234</v>
      </c>
      <c r="X1127" s="56" t="n">
        <f aca="false">IF(T1127=1,IF($B$27&lt;=V1127,1,0),0)</f>
        <v>0</v>
      </c>
      <c r="Y1127" s="58" t="n">
        <f aca="false">Y1126+V1127</f>
        <v>113000.408372882</v>
      </c>
    </row>
    <row r="1128" customFormat="false" ht="15" hidden="false" customHeight="false" outlineLevel="0" collapsed="false">
      <c r="K1128" s="56" t="n">
        <f aca="false">K1127+1</f>
        <v>1121</v>
      </c>
      <c r="L1128" s="57" t="n">
        <f aca="false">IF(AND(K1128&lt;=Assumptions!$C$42,L1127=1,P1127=0,O1127&gt;Assumptions!$C$43),1,0)</f>
        <v>0</v>
      </c>
      <c r="M1128" s="58" t="n">
        <f aca="false">O1127</f>
        <v>8.10541678220034E-009</v>
      </c>
      <c r="N1128" s="58" t="n">
        <f aca="false">IF(L1128=1,M1128*$B$22,0)</f>
        <v>0</v>
      </c>
      <c r="O1128" s="58" t="n">
        <f aca="false">IF(L1128=1,M1128+N1128-$B$26,M1128)</f>
        <v>8.10541678220034E-009</v>
      </c>
      <c r="P1128" s="56" t="n">
        <f aca="false">IF(L1128=1,IF($B$26&lt;=N1128,1,0),0)</f>
        <v>0</v>
      </c>
      <c r="Q1128" s="58" t="n">
        <f aca="false">Q1127+N1128</f>
        <v>145877.630223336</v>
      </c>
      <c r="S1128" s="56" t="n">
        <f aca="false">S1127+1</f>
        <v>1121</v>
      </c>
      <c r="T1128" s="57" t="n">
        <f aca="false">IF(AND(S1128&lt;=Assumptions!$C$42,T1127=1,X1127=0,W1127&gt;Assumptions!$C$43),1,0)</f>
        <v>0</v>
      </c>
      <c r="U1128" s="58" t="n">
        <f aca="false">W1127</f>
        <v>-182.103705036234</v>
      </c>
      <c r="V1128" s="58" t="n">
        <f aca="false">IF(T1128=1,U1128*$B$22,0)</f>
        <v>0</v>
      </c>
      <c r="W1128" s="58" t="n">
        <f aca="false">IF(T1128=1,U1128+V1128-$B$27,U1128)</f>
        <v>-182.103705036234</v>
      </c>
      <c r="X1128" s="56" t="n">
        <f aca="false">IF(T1128=1,IF($B$27&lt;=V1128,1,0),0)</f>
        <v>0</v>
      </c>
      <c r="Y1128" s="58" t="n">
        <f aca="false">Y1127+V1128</f>
        <v>113000.408372882</v>
      </c>
    </row>
    <row r="1129" customFormat="false" ht="15" hidden="false" customHeight="false" outlineLevel="0" collapsed="false">
      <c r="K1129" s="56" t="n">
        <f aca="false">K1128+1</f>
        <v>1122</v>
      </c>
      <c r="L1129" s="57" t="n">
        <f aca="false">IF(AND(K1129&lt;=Assumptions!$C$42,L1128=1,P1128=0,O1128&gt;Assumptions!$C$43),1,0)</f>
        <v>0</v>
      </c>
      <c r="M1129" s="58" t="n">
        <f aca="false">O1128</f>
        <v>8.10541678220034E-009</v>
      </c>
      <c r="N1129" s="58" t="n">
        <f aca="false">IF(L1129=1,M1129*$B$22,0)</f>
        <v>0</v>
      </c>
      <c r="O1129" s="58" t="n">
        <f aca="false">IF(L1129=1,M1129+N1129-$B$26,M1129)</f>
        <v>8.10541678220034E-009</v>
      </c>
      <c r="P1129" s="56" t="n">
        <f aca="false">IF(L1129=1,IF($B$26&lt;=N1129,1,0),0)</f>
        <v>0</v>
      </c>
      <c r="Q1129" s="58" t="n">
        <f aca="false">Q1128+N1129</f>
        <v>145877.630223336</v>
      </c>
      <c r="S1129" s="56" t="n">
        <f aca="false">S1128+1</f>
        <v>1122</v>
      </c>
      <c r="T1129" s="57" t="n">
        <f aca="false">IF(AND(S1129&lt;=Assumptions!$C$42,T1128=1,X1128=0,W1128&gt;Assumptions!$C$43),1,0)</f>
        <v>0</v>
      </c>
      <c r="U1129" s="58" t="n">
        <f aca="false">W1128</f>
        <v>-182.103705036234</v>
      </c>
      <c r="V1129" s="58" t="n">
        <f aca="false">IF(T1129=1,U1129*$B$22,0)</f>
        <v>0</v>
      </c>
      <c r="W1129" s="58" t="n">
        <f aca="false">IF(T1129=1,U1129+V1129-$B$27,U1129)</f>
        <v>-182.103705036234</v>
      </c>
      <c r="X1129" s="56" t="n">
        <f aca="false">IF(T1129=1,IF($B$27&lt;=V1129,1,0),0)</f>
        <v>0</v>
      </c>
      <c r="Y1129" s="58" t="n">
        <f aca="false">Y1128+V1129</f>
        <v>113000.408372882</v>
      </c>
    </row>
    <row r="1130" customFormat="false" ht="15" hidden="false" customHeight="false" outlineLevel="0" collapsed="false">
      <c r="K1130" s="56" t="n">
        <f aca="false">K1129+1</f>
        <v>1123</v>
      </c>
      <c r="L1130" s="57" t="n">
        <f aca="false">IF(AND(K1130&lt;=Assumptions!$C$42,L1129=1,P1129=0,O1129&gt;Assumptions!$C$43),1,0)</f>
        <v>0</v>
      </c>
      <c r="M1130" s="58" t="n">
        <f aca="false">O1129</f>
        <v>8.10541678220034E-009</v>
      </c>
      <c r="N1130" s="58" t="n">
        <f aca="false">IF(L1130=1,M1130*$B$22,0)</f>
        <v>0</v>
      </c>
      <c r="O1130" s="58" t="n">
        <f aca="false">IF(L1130=1,M1130+N1130-$B$26,M1130)</f>
        <v>8.10541678220034E-009</v>
      </c>
      <c r="P1130" s="56" t="n">
        <f aca="false">IF(L1130=1,IF($B$26&lt;=N1130,1,0),0)</f>
        <v>0</v>
      </c>
      <c r="Q1130" s="58" t="n">
        <f aca="false">Q1129+N1130</f>
        <v>145877.630223336</v>
      </c>
      <c r="S1130" s="56" t="n">
        <f aca="false">S1129+1</f>
        <v>1123</v>
      </c>
      <c r="T1130" s="57" t="n">
        <f aca="false">IF(AND(S1130&lt;=Assumptions!$C$42,T1129=1,X1129=0,W1129&gt;Assumptions!$C$43),1,0)</f>
        <v>0</v>
      </c>
      <c r="U1130" s="58" t="n">
        <f aca="false">W1129</f>
        <v>-182.103705036234</v>
      </c>
      <c r="V1130" s="58" t="n">
        <f aca="false">IF(T1130=1,U1130*$B$22,0)</f>
        <v>0</v>
      </c>
      <c r="W1130" s="58" t="n">
        <f aca="false">IF(T1130=1,U1130+V1130-$B$27,U1130)</f>
        <v>-182.103705036234</v>
      </c>
      <c r="X1130" s="56" t="n">
        <f aca="false">IF(T1130=1,IF($B$27&lt;=V1130,1,0),0)</f>
        <v>0</v>
      </c>
      <c r="Y1130" s="58" t="n">
        <f aca="false">Y1129+V1130</f>
        <v>113000.408372882</v>
      </c>
    </row>
    <row r="1131" customFormat="false" ht="15" hidden="false" customHeight="false" outlineLevel="0" collapsed="false">
      <c r="K1131" s="56" t="n">
        <f aca="false">K1130+1</f>
        <v>1124</v>
      </c>
      <c r="L1131" s="57" t="n">
        <f aca="false">IF(AND(K1131&lt;=Assumptions!$C$42,L1130=1,P1130=0,O1130&gt;Assumptions!$C$43),1,0)</f>
        <v>0</v>
      </c>
      <c r="M1131" s="58" t="n">
        <f aca="false">O1130</f>
        <v>8.10541678220034E-009</v>
      </c>
      <c r="N1131" s="58" t="n">
        <f aca="false">IF(L1131=1,M1131*$B$22,0)</f>
        <v>0</v>
      </c>
      <c r="O1131" s="58" t="n">
        <f aca="false">IF(L1131=1,M1131+N1131-$B$26,M1131)</f>
        <v>8.10541678220034E-009</v>
      </c>
      <c r="P1131" s="56" t="n">
        <f aca="false">IF(L1131=1,IF($B$26&lt;=N1131,1,0),0)</f>
        <v>0</v>
      </c>
      <c r="Q1131" s="58" t="n">
        <f aca="false">Q1130+N1131</f>
        <v>145877.630223336</v>
      </c>
      <c r="S1131" s="56" t="n">
        <f aca="false">S1130+1</f>
        <v>1124</v>
      </c>
      <c r="T1131" s="57" t="n">
        <f aca="false">IF(AND(S1131&lt;=Assumptions!$C$42,T1130=1,X1130=0,W1130&gt;Assumptions!$C$43),1,0)</f>
        <v>0</v>
      </c>
      <c r="U1131" s="58" t="n">
        <f aca="false">W1130</f>
        <v>-182.103705036234</v>
      </c>
      <c r="V1131" s="58" t="n">
        <f aca="false">IF(T1131=1,U1131*$B$22,0)</f>
        <v>0</v>
      </c>
      <c r="W1131" s="58" t="n">
        <f aca="false">IF(T1131=1,U1131+V1131-$B$27,U1131)</f>
        <v>-182.103705036234</v>
      </c>
      <c r="X1131" s="56" t="n">
        <f aca="false">IF(T1131=1,IF($B$27&lt;=V1131,1,0),0)</f>
        <v>0</v>
      </c>
      <c r="Y1131" s="58" t="n">
        <f aca="false">Y1130+V1131</f>
        <v>113000.408372882</v>
      </c>
    </row>
    <row r="1132" customFormat="false" ht="15" hidden="false" customHeight="false" outlineLevel="0" collapsed="false">
      <c r="K1132" s="56" t="n">
        <f aca="false">K1131+1</f>
        <v>1125</v>
      </c>
      <c r="L1132" s="57" t="n">
        <f aca="false">IF(AND(K1132&lt;=Assumptions!$C$42,L1131=1,P1131=0,O1131&gt;Assumptions!$C$43),1,0)</f>
        <v>0</v>
      </c>
      <c r="M1132" s="58" t="n">
        <f aca="false">O1131</f>
        <v>8.10541678220034E-009</v>
      </c>
      <c r="N1132" s="58" t="n">
        <f aca="false">IF(L1132=1,M1132*$B$22,0)</f>
        <v>0</v>
      </c>
      <c r="O1132" s="58" t="n">
        <f aca="false">IF(L1132=1,M1132+N1132-$B$26,M1132)</f>
        <v>8.10541678220034E-009</v>
      </c>
      <c r="P1132" s="56" t="n">
        <f aca="false">IF(L1132=1,IF($B$26&lt;=N1132,1,0),0)</f>
        <v>0</v>
      </c>
      <c r="Q1132" s="58" t="n">
        <f aca="false">Q1131+N1132</f>
        <v>145877.630223336</v>
      </c>
      <c r="S1132" s="56" t="n">
        <f aca="false">S1131+1</f>
        <v>1125</v>
      </c>
      <c r="T1132" s="57" t="n">
        <f aca="false">IF(AND(S1132&lt;=Assumptions!$C$42,T1131=1,X1131=0,W1131&gt;Assumptions!$C$43),1,0)</f>
        <v>0</v>
      </c>
      <c r="U1132" s="58" t="n">
        <f aca="false">W1131</f>
        <v>-182.103705036234</v>
      </c>
      <c r="V1132" s="58" t="n">
        <f aca="false">IF(T1132=1,U1132*$B$22,0)</f>
        <v>0</v>
      </c>
      <c r="W1132" s="58" t="n">
        <f aca="false">IF(T1132=1,U1132+V1132-$B$27,U1132)</f>
        <v>-182.103705036234</v>
      </c>
      <c r="X1132" s="56" t="n">
        <f aca="false">IF(T1132=1,IF($B$27&lt;=V1132,1,0),0)</f>
        <v>0</v>
      </c>
      <c r="Y1132" s="58" t="n">
        <f aca="false">Y1131+V1132</f>
        <v>113000.408372882</v>
      </c>
    </row>
    <row r="1133" customFormat="false" ht="15" hidden="false" customHeight="false" outlineLevel="0" collapsed="false">
      <c r="K1133" s="56" t="n">
        <f aca="false">K1132+1</f>
        <v>1126</v>
      </c>
      <c r="L1133" s="57" t="n">
        <f aca="false">IF(AND(K1133&lt;=Assumptions!$C$42,L1132=1,P1132=0,O1132&gt;Assumptions!$C$43),1,0)</f>
        <v>0</v>
      </c>
      <c r="M1133" s="58" t="n">
        <f aca="false">O1132</f>
        <v>8.10541678220034E-009</v>
      </c>
      <c r="N1133" s="58" t="n">
        <f aca="false">IF(L1133=1,M1133*$B$22,0)</f>
        <v>0</v>
      </c>
      <c r="O1133" s="58" t="n">
        <f aca="false">IF(L1133=1,M1133+N1133-$B$26,M1133)</f>
        <v>8.10541678220034E-009</v>
      </c>
      <c r="P1133" s="56" t="n">
        <f aca="false">IF(L1133=1,IF($B$26&lt;=N1133,1,0),0)</f>
        <v>0</v>
      </c>
      <c r="Q1133" s="58" t="n">
        <f aca="false">Q1132+N1133</f>
        <v>145877.630223336</v>
      </c>
      <c r="S1133" s="56" t="n">
        <f aca="false">S1132+1</f>
        <v>1126</v>
      </c>
      <c r="T1133" s="57" t="n">
        <f aca="false">IF(AND(S1133&lt;=Assumptions!$C$42,T1132=1,X1132=0,W1132&gt;Assumptions!$C$43),1,0)</f>
        <v>0</v>
      </c>
      <c r="U1133" s="58" t="n">
        <f aca="false">W1132</f>
        <v>-182.103705036234</v>
      </c>
      <c r="V1133" s="58" t="n">
        <f aca="false">IF(T1133=1,U1133*$B$22,0)</f>
        <v>0</v>
      </c>
      <c r="W1133" s="58" t="n">
        <f aca="false">IF(T1133=1,U1133+V1133-$B$27,U1133)</f>
        <v>-182.103705036234</v>
      </c>
      <c r="X1133" s="56" t="n">
        <f aca="false">IF(T1133=1,IF($B$27&lt;=V1133,1,0),0)</f>
        <v>0</v>
      </c>
      <c r="Y1133" s="58" t="n">
        <f aca="false">Y1132+V1133</f>
        <v>113000.408372882</v>
      </c>
    </row>
    <row r="1134" customFormat="false" ht="15" hidden="false" customHeight="false" outlineLevel="0" collapsed="false">
      <c r="K1134" s="56" t="n">
        <f aca="false">K1133+1</f>
        <v>1127</v>
      </c>
      <c r="L1134" s="57" t="n">
        <f aca="false">IF(AND(K1134&lt;=Assumptions!$C$42,L1133=1,P1133=0,O1133&gt;Assumptions!$C$43),1,0)</f>
        <v>0</v>
      </c>
      <c r="M1134" s="58" t="n">
        <f aca="false">O1133</f>
        <v>8.10541678220034E-009</v>
      </c>
      <c r="N1134" s="58" t="n">
        <f aca="false">IF(L1134=1,M1134*$B$22,0)</f>
        <v>0</v>
      </c>
      <c r="O1134" s="58" t="n">
        <f aca="false">IF(L1134=1,M1134+N1134-$B$26,M1134)</f>
        <v>8.10541678220034E-009</v>
      </c>
      <c r="P1134" s="56" t="n">
        <f aca="false">IF(L1134=1,IF($B$26&lt;=N1134,1,0),0)</f>
        <v>0</v>
      </c>
      <c r="Q1134" s="58" t="n">
        <f aca="false">Q1133+N1134</f>
        <v>145877.630223336</v>
      </c>
      <c r="S1134" s="56" t="n">
        <f aca="false">S1133+1</f>
        <v>1127</v>
      </c>
      <c r="T1134" s="57" t="n">
        <f aca="false">IF(AND(S1134&lt;=Assumptions!$C$42,T1133=1,X1133=0,W1133&gt;Assumptions!$C$43),1,0)</f>
        <v>0</v>
      </c>
      <c r="U1134" s="58" t="n">
        <f aca="false">W1133</f>
        <v>-182.103705036234</v>
      </c>
      <c r="V1134" s="58" t="n">
        <f aca="false">IF(T1134=1,U1134*$B$22,0)</f>
        <v>0</v>
      </c>
      <c r="W1134" s="58" t="n">
        <f aca="false">IF(T1134=1,U1134+V1134-$B$27,U1134)</f>
        <v>-182.103705036234</v>
      </c>
      <c r="X1134" s="56" t="n">
        <f aca="false">IF(T1134=1,IF($B$27&lt;=V1134,1,0),0)</f>
        <v>0</v>
      </c>
      <c r="Y1134" s="58" t="n">
        <f aca="false">Y1133+V1134</f>
        <v>113000.408372882</v>
      </c>
    </row>
    <row r="1135" customFormat="false" ht="15" hidden="false" customHeight="false" outlineLevel="0" collapsed="false">
      <c r="K1135" s="56" t="n">
        <f aca="false">K1134+1</f>
        <v>1128</v>
      </c>
      <c r="L1135" s="57" t="n">
        <f aca="false">IF(AND(K1135&lt;=Assumptions!$C$42,L1134=1,P1134=0,O1134&gt;Assumptions!$C$43),1,0)</f>
        <v>0</v>
      </c>
      <c r="M1135" s="58" t="n">
        <f aca="false">O1134</f>
        <v>8.10541678220034E-009</v>
      </c>
      <c r="N1135" s="58" t="n">
        <f aca="false">IF(L1135=1,M1135*$B$22,0)</f>
        <v>0</v>
      </c>
      <c r="O1135" s="58" t="n">
        <f aca="false">IF(L1135=1,M1135+N1135-$B$26,M1135)</f>
        <v>8.10541678220034E-009</v>
      </c>
      <c r="P1135" s="56" t="n">
        <f aca="false">IF(L1135=1,IF($B$26&lt;=N1135,1,0),0)</f>
        <v>0</v>
      </c>
      <c r="Q1135" s="58" t="n">
        <f aca="false">Q1134+N1135</f>
        <v>145877.630223336</v>
      </c>
      <c r="S1135" s="56" t="n">
        <f aca="false">S1134+1</f>
        <v>1128</v>
      </c>
      <c r="T1135" s="57" t="n">
        <f aca="false">IF(AND(S1135&lt;=Assumptions!$C$42,T1134=1,X1134=0,W1134&gt;Assumptions!$C$43),1,0)</f>
        <v>0</v>
      </c>
      <c r="U1135" s="58" t="n">
        <f aca="false">W1134</f>
        <v>-182.103705036234</v>
      </c>
      <c r="V1135" s="58" t="n">
        <f aca="false">IF(T1135=1,U1135*$B$22,0)</f>
        <v>0</v>
      </c>
      <c r="W1135" s="58" t="n">
        <f aca="false">IF(T1135=1,U1135+V1135-$B$27,U1135)</f>
        <v>-182.103705036234</v>
      </c>
      <c r="X1135" s="56" t="n">
        <f aca="false">IF(T1135=1,IF($B$27&lt;=V1135,1,0),0)</f>
        <v>0</v>
      </c>
      <c r="Y1135" s="58" t="n">
        <f aca="false">Y1134+V1135</f>
        <v>113000.408372882</v>
      </c>
    </row>
    <row r="1136" customFormat="false" ht="15" hidden="false" customHeight="false" outlineLevel="0" collapsed="false">
      <c r="K1136" s="56" t="n">
        <f aca="false">K1135+1</f>
        <v>1129</v>
      </c>
      <c r="L1136" s="57" t="n">
        <f aca="false">IF(AND(K1136&lt;=Assumptions!$C$42,L1135=1,P1135=0,O1135&gt;Assumptions!$C$43),1,0)</f>
        <v>0</v>
      </c>
      <c r="M1136" s="58" t="n">
        <f aca="false">O1135</f>
        <v>8.10541678220034E-009</v>
      </c>
      <c r="N1136" s="58" t="n">
        <f aca="false">IF(L1136=1,M1136*$B$22,0)</f>
        <v>0</v>
      </c>
      <c r="O1136" s="58" t="n">
        <f aca="false">IF(L1136=1,M1136+N1136-$B$26,M1136)</f>
        <v>8.10541678220034E-009</v>
      </c>
      <c r="P1136" s="56" t="n">
        <f aca="false">IF(L1136=1,IF($B$26&lt;=N1136,1,0),0)</f>
        <v>0</v>
      </c>
      <c r="Q1136" s="58" t="n">
        <f aca="false">Q1135+N1136</f>
        <v>145877.630223336</v>
      </c>
      <c r="S1136" s="56" t="n">
        <f aca="false">S1135+1</f>
        <v>1129</v>
      </c>
      <c r="T1136" s="57" t="n">
        <f aca="false">IF(AND(S1136&lt;=Assumptions!$C$42,T1135=1,X1135=0,W1135&gt;Assumptions!$C$43),1,0)</f>
        <v>0</v>
      </c>
      <c r="U1136" s="58" t="n">
        <f aca="false">W1135</f>
        <v>-182.103705036234</v>
      </c>
      <c r="V1136" s="58" t="n">
        <f aca="false">IF(T1136=1,U1136*$B$22,0)</f>
        <v>0</v>
      </c>
      <c r="W1136" s="58" t="n">
        <f aca="false">IF(T1136=1,U1136+V1136-$B$27,U1136)</f>
        <v>-182.103705036234</v>
      </c>
      <c r="X1136" s="56" t="n">
        <f aca="false">IF(T1136=1,IF($B$27&lt;=V1136,1,0),0)</f>
        <v>0</v>
      </c>
      <c r="Y1136" s="58" t="n">
        <f aca="false">Y1135+V1136</f>
        <v>113000.408372882</v>
      </c>
    </row>
    <row r="1137" customFormat="false" ht="15" hidden="false" customHeight="false" outlineLevel="0" collapsed="false">
      <c r="K1137" s="56" t="n">
        <f aca="false">K1136+1</f>
        <v>1130</v>
      </c>
      <c r="L1137" s="57" t="n">
        <f aca="false">IF(AND(K1137&lt;=Assumptions!$C$42,L1136=1,P1136=0,O1136&gt;Assumptions!$C$43),1,0)</f>
        <v>0</v>
      </c>
      <c r="M1137" s="58" t="n">
        <f aca="false">O1136</f>
        <v>8.10541678220034E-009</v>
      </c>
      <c r="N1137" s="58" t="n">
        <f aca="false">IF(L1137=1,M1137*$B$22,0)</f>
        <v>0</v>
      </c>
      <c r="O1137" s="58" t="n">
        <f aca="false">IF(L1137=1,M1137+N1137-$B$26,M1137)</f>
        <v>8.10541678220034E-009</v>
      </c>
      <c r="P1137" s="56" t="n">
        <f aca="false">IF(L1137=1,IF($B$26&lt;=N1137,1,0),0)</f>
        <v>0</v>
      </c>
      <c r="Q1137" s="58" t="n">
        <f aca="false">Q1136+N1137</f>
        <v>145877.630223336</v>
      </c>
      <c r="S1137" s="56" t="n">
        <f aca="false">S1136+1</f>
        <v>1130</v>
      </c>
      <c r="T1137" s="57" t="n">
        <f aca="false">IF(AND(S1137&lt;=Assumptions!$C$42,T1136=1,X1136=0,W1136&gt;Assumptions!$C$43),1,0)</f>
        <v>0</v>
      </c>
      <c r="U1137" s="58" t="n">
        <f aca="false">W1136</f>
        <v>-182.103705036234</v>
      </c>
      <c r="V1137" s="58" t="n">
        <f aca="false">IF(T1137=1,U1137*$B$22,0)</f>
        <v>0</v>
      </c>
      <c r="W1137" s="58" t="n">
        <f aca="false">IF(T1137=1,U1137+V1137-$B$27,U1137)</f>
        <v>-182.103705036234</v>
      </c>
      <c r="X1137" s="56" t="n">
        <f aca="false">IF(T1137=1,IF($B$27&lt;=V1137,1,0),0)</f>
        <v>0</v>
      </c>
      <c r="Y1137" s="58" t="n">
        <f aca="false">Y1136+V1137</f>
        <v>113000.408372882</v>
      </c>
    </row>
    <row r="1138" customFormat="false" ht="15" hidden="false" customHeight="false" outlineLevel="0" collapsed="false">
      <c r="K1138" s="56" t="n">
        <f aca="false">K1137+1</f>
        <v>1131</v>
      </c>
      <c r="L1138" s="57" t="n">
        <f aca="false">IF(AND(K1138&lt;=Assumptions!$C$42,L1137=1,P1137=0,O1137&gt;Assumptions!$C$43),1,0)</f>
        <v>0</v>
      </c>
      <c r="M1138" s="58" t="n">
        <f aca="false">O1137</f>
        <v>8.10541678220034E-009</v>
      </c>
      <c r="N1138" s="58" t="n">
        <f aca="false">IF(L1138=1,M1138*$B$22,0)</f>
        <v>0</v>
      </c>
      <c r="O1138" s="58" t="n">
        <f aca="false">IF(L1138=1,M1138+N1138-$B$26,M1138)</f>
        <v>8.10541678220034E-009</v>
      </c>
      <c r="P1138" s="56" t="n">
        <f aca="false">IF(L1138=1,IF($B$26&lt;=N1138,1,0),0)</f>
        <v>0</v>
      </c>
      <c r="Q1138" s="58" t="n">
        <f aca="false">Q1137+N1138</f>
        <v>145877.630223336</v>
      </c>
      <c r="S1138" s="56" t="n">
        <f aca="false">S1137+1</f>
        <v>1131</v>
      </c>
      <c r="T1138" s="57" t="n">
        <f aca="false">IF(AND(S1138&lt;=Assumptions!$C$42,T1137=1,X1137=0,W1137&gt;Assumptions!$C$43),1,0)</f>
        <v>0</v>
      </c>
      <c r="U1138" s="58" t="n">
        <f aca="false">W1137</f>
        <v>-182.103705036234</v>
      </c>
      <c r="V1138" s="58" t="n">
        <f aca="false">IF(T1138=1,U1138*$B$22,0)</f>
        <v>0</v>
      </c>
      <c r="W1138" s="58" t="n">
        <f aca="false">IF(T1138=1,U1138+V1138-$B$27,U1138)</f>
        <v>-182.103705036234</v>
      </c>
      <c r="X1138" s="56" t="n">
        <f aca="false">IF(T1138=1,IF($B$27&lt;=V1138,1,0),0)</f>
        <v>0</v>
      </c>
      <c r="Y1138" s="58" t="n">
        <f aca="false">Y1137+V1138</f>
        <v>113000.408372882</v>
      </c>
    </row>
    <row r="1139" customFormat="false" ht="15" hidden="false" customHeight="false" outlineLevel="0" collapsed="false">
      <c r="K1139" s="56" t="n">
        <f aca="false">K1138+1</f>
        <v>1132</v>
      </c>
      <c r="L1139" s="57" t="n">
        <f aca="false">IF(AND(K1139&lt;=Assumptions!$C$42,L1138=1,P1138=0,O1138&gt;Assumptions!$C$43),1,0)</f>
        <v>0</v>
      </c>
      <c r="M1139" s="58" t="n">
        <f aca="false">O1138</f>
        <v>8.10541678220034E-009</v>
      </c>
      <c r="N1139" s="58" t="n">
        <f aca="false">IF(L1139=1,M1139*$B$22,0)</f>
        <v>0</v>
      </c>
      <c r="O1139" s="58" t="n">
        <f aca="false">IF(L1139=1,M1139+N1139-$B$26,M1139)</f>
        <v>8.10541678220034E-009</v>
      </c>
      <c r="P1139" s="56" t="n">
        <f aca="false">IF(L1139=1,IF($B$26&lt;=N1139,1,0),0)</f>
        <v>0</v>
      </c>
      <c r="Q1139" s="58" t="n">
        <f aca="false">Q1138+N1139</f>
        <v>145877.630223336</v>
      </c>
      <c r="S1139" s="56" t="n">
        <f aca="false">S1138+1</f>
        <v>1132</v>
      </c>
      <c r="T1139" s="57" t="n">
        <f aca="false">IF(AND(S1139&lt;=Assumptions!$C$42,T1138=1,X1138=0,W1138&gt;Assumptions!$C$43),1,0)</f>
        <v>0</v>
      </c>
      <c r="U1139" s="58" t="n">
        <f aca="false">W1138</f>
        <v>-182.103705036234</v>
      </c>
      <c r="V1139" s="58" t="n">
        <f aca="false">IF(T1139=1,U1139*$B$22,0)</f>
        <v>0</v>
      </c>
      <c r="W1139" s="58" t="n">
        <f aca="false">IF(T1139=1,U1139+V1139-$B$27,U1139)</f>
        <v>-182.103705036234</v>
      </c>
      <c r="X1139" s="56" t="n">
        <f aca="false">IF(T1139=1,IF($B$27&lt;=V1139,1,0),0)</f>
        <v>0</v>
      </c>
      <c r="Y1139" s="58" t="n">
        <f aca="false">Y1138+V1139</f>
        <v>113000.408372882</v>
      </c>
    </row>
    <row r="1140" customFormat="false" ht="15" hidden="false" customHeight="false" outlineLevel="0" collapsed="false">
      <c r="K1140" s="56" t="n">
        <f aca="false">K1139+1</f>
        <v>1133</v>
      </c>
      <c r="L1140" s="57" t="n">
        <f aca="false">IF(AND(K1140&lt;=Assumptions!$C$42,L1139=1,P1139=0,O1139&gt;Assumptions!$C$43),1,0)</f>
        <v>0</v>
      </c>
      <c r="M1140" s="58" t="n">
        <f aca="false">O1139</f>
        <v>8.10541678220034E-009</v>
      </c>
      <c r="N1140" s="58" t="n">
        <f aca="false">IF(L1140=1,M1140*$B$22,0)</f>
        <v>0</v>
      </c>
      <c r="O1140" s="58" t="n">
        <f aca="false">IF(L1140=1,M1140+N1140-$B$26,M1140)</f>
        <v>8.10541678220034E-009</v>
      </c>
      <c r="P1140" s="56" t="n">
        <f aca="false">IF(L1140=1,IF($B$26&lt;=N1140,1,0),0)</f>
        <v>0</v>
      </c>
      <c r="Q1140" s="58" t="n">
        <f aca="false">Q1139+N1140</f>
        <v>145877.630223336</v>
      </c>
      <c r="S1140" s="56" t="n">
        <f aca="false">S1139+1</f>
        <v>1133</v>
      </c>
      <c r="T1140" s="57" t="n">
        <f aca="false">IF(AND(S1140&lt;=Assumptions!$C$42,T1139=1,X1139=0,W1139&gt;Assumptions!$C$43),1,0)</f>
        <v>0</v>
      </c>
      <c r="U1140" s="58" t="n">
        <f aca="false">W1139</f>
        <v>-182.103705036234</v>
      </c>
      <c r="V1140" s="58" t="n">
        <f aca="false">IF(T1140=1,U1140*$B$22,0)</f>
        <v>0</v>
      </c>
      <c r="W1140" s="58" t="n">
        <f aca="false">IF(T1140=1,U1140+V1140-$B$27,U1140)</f>
        <v>-182.103705036234</v>
      </c>
      <c r="X1140" s="56" t="n">
        <f aca="false">IF(T1140=1,IF($B$27&lt;=V1140,1,0),0)</f>
        <v>0</v>
      </c>
      <c r="Y1140" s="58" t="n">
        <f aca="false">Y1139+V1140</f>
        <v>113000.408372882</v>
      </c>
    </row>
    <row r="1141" customFormat="false" ht="15" hidden="false" customHeight="false" outlineLevel="0" collapsed="false">
      <c r="K1141" s="56" t="n">
        <f aca="false">K1140+1</f>
        <v>1134</v>
      </c>
      <c r="L1141" s="57" t="n">
        <f aca="false">IF(AND(K1141&lt;=Assumptions!$C$42,L1140=1,P1140=0,O1140&gt;Assumptions!$C$43),1,0)</f>
        <v>0</v>
      </c>
      <c r="M1141" s="58" t="n">
        <f aca="false">O1140</f>
        <v>8.10541678220034E-009</v>
      </c>
      <c r="N1141" s="58" t="n">
        <f aca="false">IF(L1141=1,M1141*$B$22,0)</f>
        <v>0</v>
      </c>
      <c r="O1141" s="58" t="n">
        <f aca="false">IF(L1141=1,M1141+N1141-$B$26,M1141)</f>
        <v>8.10541678220034E-009</v>
      </c>
      <c r="P1141" s="56" t="n">
        <f aca="false">IF(L1141=1,IF($B$26&lt;=N1141,1,0),0)</f>
        <v>0</v>
      </c>
      <c r="Q1141" s="58" t="n">
        <f aca="false">Q1140+N1141</f>
        <v>145877.630223336</v>
      </c>
      <c r="S1141" s="56" t="n">
        <f aca="false">S1140+1</f>
        <v>1134</v>
      </c>
      <c r="T1141" s="57" t="n">
        <f aca="false">IF(AND(S1141&lt;=Assumptions!$C$42,T1140=1,X1140=0,W1140&gt;Assumptions!$C$43),1,0)</f>
        <v>0</v>
      </c>
      <c r="U1141" s="58" t="n">
        <f aca="false">W1140</f>
        <v>-182.103705036234</v>
      </c>
      <c r="V1141" s="58" t="n">
        <f aca="false">IF(T1141=1,U1141*$B$22,0)</f>
        <v>0</v>
      </c>
      <c r="W1141" s="58" t="n">
        <f aca="false">IF(T1141=1,U1141+V1141-$B$27,U1141)</f>
        <v>-182.103705036234</v>
      </c>
      <c r="X1141" s="56" t="n">
        <f aca="false">IF(T1141=1,IF($B$27&lt;=V1141,1,0),0)</f>
        <v>0</v>
      </c>
      <c r="Y1141" s="58" t="n">
        <f aca="false">Y1140+V1141</f>
        <v>113000.408372882</v>
      </c>
    </row>
    <row r="1142" customFormat="false" ht="15" hidden="false" customHeight="false" outlineLevel="0" collapsed="false">
      <c r="K1142" s="56" t="n">
        <f aca="false">K1141+1</f>
        <v>1135</v>
      </c>
      <c r="L1142" s="57" t="n">
        <f aca="false">IF(AND(K1142&lt;=Assumptions!$C$42,L1141=1,P1141=0,O1141&gt;Assumptions!$C$43),1,0)</f>
        <v>0</v>
      </c>
      <c r="M1142" s="58" t="n">
        <f aca="false">O1141</f>
        <v>8.10541678220034E-009</v>
      </c>
      <c r="N1142" s="58" t="n">
        <f aca="false">IF(L1142=1,M1142*$B$22,0)</f>
        <v>0</v>
      </c>
      <c r="O1142" s="58" t="n">
        <f aca="false">IF(L1142=1,M1142+N1142-$B$26,M1142)</f>
        <v>8.10541678220034E-009</v>
      </c>
      <c r="P1142" s="56" t="n">
        <f aca="false">IF(L1142=1,IF($B$26&lt;=N1142,1,0),0)</f>
        <v>0</v>
      </c>
      <c r="Q1142" s="58" t="n">
        <f aca="false">Q1141+N1142</f>
        <v>145877.630223336</v>
      </c>
      <c r="S1142" s="56" t="n">
        <f aca="false">S1141+1</f>
        <v>1135</v>
      </c>
      <c r="T1142" s="57" t="n">
        <f aca="false">IF(AND(S1142&lt;=Assumptions!$C$42,T1141=1,X1141=0,W1141&gt;Assumptions!$C$43),1,0)</f>
        <v>0</v>
      </c>
      <c r="U1142" s="58" t="n">
        <f aca="false">W1141</f>
        <v>-182.103705036234</v>
      </c>
      <c r="V1142" s="58" t="n">
        <f aca="false">IF(T1142=1,U1142*$B$22,0)</f>
        <v>0</v>
      </c>
      <c r="W1142" s="58" t="n">
        <f aca="false">IF(T1142=1,U1142+V1142-$B$27,U1142)</f>
        <v>-182.103705036234</v>
      </c>
      <c r="X1142" s="56" t="n">
        <f aca="false">IF(T1142=1,IF($B$27&lt;=V1142,1,0),0)</f>
        <v>0</v>
      </c>
      <c r="Y1142" s="58" t="n">
        <f aca="false">Y1141+V1142</f>
        <v>113000.408372882</v>
      </c>
    </row>
    <row r="1143" customFormat="false" ht="15" hidden="false" customHeight="false" outlineLevel="0" collapsed="false">
      <c r="K1143" s="56" t="n">
        <f aca="false">K1142+1</f>
        <v>1136</v>
      </c>
      <c r="L1143" s="57" t="n">
        <f aca="false">IF(AND(K1143&lt;=Assumptions!$C$42,L1142=1,P1142=0,O1142&gt;Assumptions!$C$43),1,0)</f>
        <v>0</v>
      </c>
      <c r="M1143" s="58" t="n">
        <f aca="false">O1142</f>
        <v>8.10541678220034E-009</v>
      </c>
      <c r="N1143" s="58" t="n">
        <f aca="false">IF(L1143=1,M1143*$B$22,0)</f>
        <v>0</v>
      </c>
      <c r="O1143" s="58" t="n">
        <f aca="false">IF(L1143=1,M1143+N1143-$B$26,M1143)</f>
        <v>8.10541678220034E-009</v>
      </c>
      <c r="P1143" s="56" t="n">
        <f aca="false">IF(L1143=1,IF($B$26&lt;=N1143,1,0),0)</f>
        <v>0</v>
      </c>
      <c r="Q1143" s="58" t="n">
        <f aca="false">Q1142+N1143</f>
        <v>145877.630223336</v>
      </c>
      <c r="S1143" s="56" t="n">
        <f aca="false">S1142+1</f>
        <v>1136</v>
      </c>
      <c r="T1143" s="57" t="n">
        <f aca="false">IF(AND(S1143&lt;=Assumptions!$C$42,T1142=1,X1142=0,W1142&gt;Assumptions!$C$43),1,0)</f>
        <v>0</v>
      </c>
      <c r="U1143" s="58" t="n">
        <f aca="false">W1142</f>
        <v>-182.103705036234</v>
      </c>
      <c r="V1143" s="58" t="n">
        <f aca="false">IF(T1143=1,U1143*$B$22,0)</f>
        <v>0</v>
      </c>
      <c r="W1143" s="58" t="n">
        <f aca="false">IF(T1143=1,U1143+V1143-$B$27,U1143)</f>
        <v>-182.103705036234</v>
      </c>
      <c r="X1143" s="56" t="n">
        <f aca="false">IF(T1143=1,IF($B$27&lt;=V1143,1,0),0)</f>
        <v>0</v>
      </c>
      <c r="Y1143" s="58" t="n">
        <f aca="false">Y1142+V1143</f>
        <v>113000.408372882</v>
      </c>
    </row>
    <row r="1144" customFormat="false" ht="15" hidden="false" customHeight="false" outlineLevel="0" collapsed="false">
      <c r="K1144" s="56" t="n">
        <f aca="false">K1143+1</f>
        <v>1137</v>
      </c>
      <c r="L1144" s="57" t="n">
        <f aca="false">IF(AND(K1144&lt;=Assumptions!$C$42,L1143=1,P1143=0,O1143&gt;Assumptions!$C$43),1,0)</f>
        <v>0</v>
      </c>
      <c r="M1144" s="58" t="n">
        <f aca="false">O1143</f>
        <v>8.10541678220034E-009</v>
      </c>
      <c r="N1144" s="58" t="n">
        <f aca="false">IF(L1144=1,M1144*$B$22,0)</f>
        <v>0</v>
      </c>
      <c r="O1144" s="58" t="n">
        <f aca="false">IF(L1144=1,M1144+N1144-$B$26,M1144)</f>
        <v>8.10541678220034E-009</v>
      </c>
      <c r="P1144" s="56" t="n">
        <f aca="false">IF(L1144=1,IF($B$26&lt;=N1144,1,0),0)</f>
        <v>0</v>
      </c>
      <c r="Q1144" s="58" t="n">
        <f aca="false">Q1143+N1144</f>
        <v>145877.630223336</v>
      </c>
      <c r="S1144" s="56" t="n">
        <f aca="false">S1143+1</f>
        <v>1137</v>
      </c>
      <c r="T1144" s="57" t="n">
        <f aca="false">IF(AND(S1144&lt;=Assumptions!$C$42,T1143=1,X1143=0,W1143&gt;Assumptions!$C$43),1,0)</f>
        <v>0</v>
      </c>
      <c r="U1144" s="58" t="n">
        <f aca="false">W1143</f>
        <v>-182.103705036234</v>
      </c>
      <c r="V1144" s="58" t="n">
        <f aca="false">IF(T1144=1,U1144*$B$22,0)</f>
        <v>0</v>
      </c>
      <c r="W1144" s="58" t="n">
        <f aca="false">IF(T1144=1,U1144+V1144-$B$27,U1144)</f>
        <v>-182.103705036234</v>
      </c>
      <c r="X1144" s="56" t="n">
        <f aca="false">IF(T1144=1,IF($B$27&lt;=V1144,1,0),0)</f>
        <v>0</v>
      </c>
      <c r="Y1144" s="58" t="n">
        <f aca="false">Y1143+V1144</f>
        <v>113000.408372882</v>
      </c>
    </row>
    <row r="1145" customFormat="false" ht="15" hidden="false" customHeight="false" outlineLevel="0" collapsed="false">
      <c r="K1145" s="56" t="n">
        <f aca="false">K1144+1</f>
        <v>1138</v>
      </c>
      <c r="L1145" s="57" t="n">
        <f aca="false">IF(AND(K1145&lt;=Assumptions!$C$42,L1144=1,P1144=0,O1144&gt;Assumptions!$C$43),1,0)</f>
        <v>0</v>
      </c>
      <c r="M1145" s="58" t="n">
        <f aca="false">O1144</f>
        <v>8.10541678220034E-009</v>
      </c>
      <c r="N1145" s="58" t="n">
        <f aca="false">IF(L1145=1,M1145*$B$22,0)</f>
        <v>0</v>
      </c>
      <c r="O1145" s="58" t="n">
        <f aca="false">IF(L1145=1,M1145+N1145-$B$26,M1145)</f>
        <v>8.10541678220034E-009</v>
      </c>
      <c r="P1145" s="56" t="n">
        <f aca="false">IF(L1145=1,IF($B$26&lt;=N1145,1,0),0)</f>
        <v>0</v>
      </c>
      <c r="Q1145" s="58" t="n">
        <f aca="false">Q1144+N1145</f>
        <v>145877.630223336</v>
      </c>
      <c r="S1145" s="56" t="n">
        <f aca="false">S1144+1</f>
        <v>1138</v>
      </c>
      <c r="T1145" s="57" t="n">
        <f aca="false">IF(AND(S1145&lt;=Assumptions!$C$42,T1144=1,X1144=0,W1144&gt;Assumptions!$C$43),1,0)</f>
        <v>0</v>
      </c>
      <c r="U1145" s="58" t="n">
        <f aca="false">W1144</f>
        <v>-182.103705036234</v>
      </c>
      <c r="V1145" s="58" t="n">
        <f aca="false">IF(T1145=1,U1145*$B$22,0)</f>
        <v>0</v>
      </c>
      <c r="W1145" s="58" t="n">
        <f aca="false">IF(T1145=1,U1145+V1145-$B$27,U1145)</f>
        <v>-182.103705036234</v>
      </c>
      <c r="X1145" s="56" t="n">
        <f aca="false">IF(T1145=1,IF($B$27&lt;=V1145,1,0),0)</f>
        <v>0</v>
      </c>
      <c r="Y1145" s="58" t="n">
        <f aca="false">Y1144+V1145</f>
        <v>113000.408372882</v>
      </c>
    </row>
    <row r="1146" customFormat="false" ht="15" hidden="false" customHeight="false" outlineLevel="0" collapsed="false">
      <c r="K1146" s="56" t="n">
        <f aca="false">K1145+1</f>
        <v>1139</v>
      </c>
      <c r="L1146" s="57" t="n">
        <f aca="false">IF(AND(K1146&lt;=Assumptions!$C$42,L1145=1,P1145=0,O1145&gt;Assumptions!$C$43),1,0)</f>
        <v>0</v>
      </c>
      <c r="M1146" s="58" t="n">
        <f aca="false">O1145</f>
        <v>8.10541678220034E-009</v>
      </c>
      <c r="N1146" s="58" t="n">
        <f aca="false">IF(L1146=1,M1146*$B$22,0)</f>
        <v>0</v>
      </c>
      <c r="O1146" s="58" t="n">
        <f aca="false">IF(L1146=1,M1146+N1146-$B$26,M1146)</f>
        <v>8.10541678220034E-009</v>
      </c>
      <c r="P1146" s="56" t="n">
        <f aca="false">IF(L1146=1,IF($B$26&lt;=N1146,1,0),0)</f>
        <v>0</v>
      </c>
      <c r="Q1146" s="58" t="n">
        <f aca="false">Q1145+N1146</f>
        <v>145877.630223336</v>
      </c>
      <c r="S1146" s="56" t="n">
        <f aca="false">S1145+1</f>
        <v>1139</v>
      </c>
      <c r="T1146" s="57" t="n">
        <f aca="false">IF(AND(S1146&lt;=Assumptions!$C$42,T1145=1,X1145=0,W1145&gt;Assumptions!$C$43),1,0)</f>
        <v>0</v>
      </c>
      <c r="U1146" s="58" t="n">
        <f aca="false">W1145</f>
        <v>-182.103705036234</v>
      </c>
      <c r="V1146" s="58" t="n">
        <f aca="false">IF(T1146=1,U1146*$B$22,0)</f>
        <v>0</v>
      </c>
      <c r="W1146" s="58" t="n">
        <f aca="false">IF(T1146=1,U1146+V1146-$B$27,U1146)</f>
        <v>-182.103705036234</v>
      </c>
      <c r="X1146" s="56" t="n">
        <f aca="false">IF(T1146=1,IF($B$27&lt;=V1146,1,0),0)</f>
        <v>0</v>
      </c>
      <c r="Y1146" s="58" t="n">
        <f aca="false">Y1145+V1146</f>
        <v>113000.408372882</v>
      </c>
    </row>
    <row r="1147" customFormat="false" ht="15" hidden="false" customHeight="false" outlineLevel="0" collapsed="false">
      <c r="K1147" s="56" t="n">
        <f aca="false">K1146+1</f>
        <v>1140</v>
      </c>
      <c r="L1147" s="57" t="n">
        <f aca="false">IF(AND(K1147&lt;=Assumptions!$C$42,L1146=1,P1146=0,O1146&gt;Assumptions!$C$43),1,0)</f>
        <v>0</v>
      </c>
      <c r="M1147" s="58" t="n">
        <f aca="false">O1146</f>
        <v>8.10541678220034E-009</v>
      </c>
      <c r="N1147" s="58" t="n">
        <f aca="false">IF(L1147=1,M1147*$B$22,0)</f>
        <v>0</v>
      </c>
      <c r="O1147" s="58" t="n">
        <f aca="false">IF(L1147=1,M1147+N1147-$B$26,M1147)</f>
        <v>8.10541678220034E-009</v>
      </c>
      <c r="P1147" s="56" t="n">
        <f aca="false">IF(L1147=1,IF($B$26&lt;=N1147,1,0),0)</f>
        <v>0</v>
      </c>
      <c r="Q1147" s="58" t="n">
        <f aca="false">Q1146+N1147</f>
        <v>145877.630223336</v>
      </c>
      <c r="S1147" s="56" t="n">
        <f aca="false">S1146+1</f>
        <v>1140</v>
      </c>
      <c r="T1147" s="57" t="n">
        <f aca="false">IF(AND(S1147&lt;=Assumptions!$C$42,T1146=1,X1146=0,W1146&gt;Assumptions!$C$43),1,0)</f>
        <v>0</v>
      </c>
      <c r="U1147" s="58" t="n">
        <f aca="false">W1146</f>
        <v>-182.103705036234</v>
      </c>
      <c r="V1147" s="58" t="n">
        <f aca="false">IF(T1147=1,U1147*$B$22,0)</f>
        <v>0</v>
      </c>
      <c r="W1147" s="58" t="n">
        <f aca="false">IF(T1147=1,U1147+V1147-$B$27,U1147)</f>
        <v>-182.103705036234</v>
      </c>
      <c r="X1147" s="56" t="n">
        <f aca="false">IF(T1147=1,IF($B$27&lt;=V1147,1,0),0)</f>
        <v>0</v>
      </c>
      <c r="Y1147" s="58" t="n">
        <f aca="false">Y1146+V1147</f>
        <v>113000.408372882</v>
      </c>
    </row>
    <row r="1148" customFormat="false" ht="15" hidden="false" customHeight="false" outlineLevel="0" collapsed="false">
      <c r="K1148" s="56" t="n">
        <f aca="false">K1147+1</f>
        <v>1141</v>
      </c>
      <c r="L1148" s="57" t="n">
        <f aca="false">IF(AND(K1148&lt;=Assumptions!$C$42,L1147=1,P1147=0,O1147&gt;Assumptions!$C$43),1,0)</f>
        <v>0</v>
      </c>
      <c r="M1148" s="58" t="n">
        <f aca="false">O1147</f>
        <v>8.10541678220034E-009</v>
      </c>
      <c r="N1148" s="58" t="n">
        <f aca="false">IF(L1148=1,M1148*$B$22,0)</f>
        <v>0</v>
      </c>
      <c r="O1148" s="58" t="n">
        <f aca="false">IF(L1148=1,M1148+N1148-$B$26,M1148)</f>
        <v>8.10541678220034E-009</v>
      </c>
      <c r="P1148" s="56" t="n">
        <f aca="false">IF(L1148=1,IF($B$26&lt;=N1148,1,0),0)</f>
        <v>0</v>
      </c>
      <c r="Q1148" s="58" t="n">
        <f aca="false">Q1147+N1148</f>
        <v>145877.630223336</v>
      </c>
      <c r="S1148" s="56" t="n">
        <f aca="false">S1147+1</f>
        <v>1141</v>
      </c>
      <c r="T1148" s="57" t="n">
        <f aca="false">IF(AND(S1148&lt;=Assumptions!$C$42,T1147=1,X1147=0,W1147&gt;Assumptions!$C$43),1,0)</f>
        <v>0</v>
      </c>
      <c r="U1148" s="58" t="n">
        <f aca="false">W1147</f>
        <v>-182.103705036234</v>
      </c>
      <c r="V1148" s="58" t="n">
        <f aca="false">IF(T1148=1,U1148*$B$22,0)</f>
        <v>0</v>
      </c>
      <c r="W1148" s="58" t="n">
        <f aca="false">IF(T1148=1,U1148+V1148-$B$27,U1148)</f>
        <v>-182.103705036234</v>
      </c>
      <c r="X1148" s="56" t="n">
        <f aca="false">IF(T1148=1,IF($B$27&lt;=V1148,1,0),0)</f>
        <v>0</v>
      </c>
      <c r="Y1148" s="58" t="n">
        <f aca="false">Y1147+V1148</f>
        <v>113000.408372882</v>
      </c>
    </row>
    <row r="1149" customFormat="false" ht="15" hidden="false" customHeight="false" outlineLevel="0" collapsed="false">
      <c r="K1149" s="56" t="n">
        <f aca="false">K1148+1</f>
        <v>1142</v>
      </c>
      <c r="L1149" s="57" t="n">
        <f aca="false">IF(AND(K1149&lt;=Assumptions!$C$42,L1148=1,P1148=0,O1148&gt;Assumptions!$C$43),1,0)</f>
        <v>0</v>
      </c>
      <c r="M1149" s="58" t="n">
        <f aca="false">O1148</f>
        <v>8.10541678220034E-009</v>
      </c>
      <c r="N1149" s="58" t="n">
        <f aca="false">IF(L1149=1,M1149*$B$22,0)</f>
        <v>0</v>
      </c>
      <c r="O1149" s="58" t="n">
        <f aca="false">IF(L1149=1,M1149+N1149-$B$26,M1149)</f>
        <v>8.10541678220034E-009</v>
      </c>
      <c r="P1149" s="56" t="n">
        <f aca="false">IF(L1149=1,IF($B$26&lt;=N1149,1,0),0)</f>
        <v>0</v>
      </c>
      <c r="Q1149" s="58" t="n">
        <f aca="false">Q1148+N1149</f>
        <v>145877.630223336</v>
      </c>
      <c r="S1149" s="56" t="n">
        <f aca="false">S1148+1</f>
        <v>1142</v>
      </c>
      <c r="T1149" s="57" t="n">
        <f aca="false">IF(AND(S1149&lt;=Assumptions!$C$42,T1148=1,X1148=0,W1148&gt;Assumptions!$C$43),1,0)</f>
        <v>0</v>
      </c>
      <c r="U1149" s="58" t="n">
        <f aca="false">W1148</f>
        <v>-182.103705036234</v>
      </c>
      <c r="V1149" s="58" t="n">
        <f aca="false">IF(T1149=1,U1149*$B$22,0)</f>
        <v>0</v>
      </c>
      <c r="W1149" s="58" t="n">
        <f aca="false">IF(T1149=1,U1149+V1149-$B$27,U1149)</f>
        <v>-182.103705036234</v>
      </c>
      <c r="X1149" s="56" t="n">
        <f aca="false">IF(T1149=1,IF($B$27&lt;=V1149,1,0),0)</f>
        <v>0</v>
      </c>
      <c r="Y1149" s="58" t="n">
        <f aca="false">Y1148+V1149</f>
        <v>113000.408372882</v>
      </c>
    </row>
    <row r="1150" customFormat="false" ht="15" hidden="false" customHeight="false" outlineLevel="0" collapsed="false">
      <c r="K1150" s="56" t="n">
        <f aca="false">K1149+1</f>
        <v>1143</v>
      </c>
      <c r="L1150" s="57" t="n">
        <f aca="false">IF(AND(K1150&lt;=Assumptions!$C$42,L1149=1,P1149=0,O1149&gt;Assumptions!$C$43),1,0)</f>
        <v>0</v>
      </c>
      <c r="M1150" s="58" t="n">
        <f aca="false">O1149</f>
        <v>8.10541678220034E-009</v>
      </c>
      <c r="N1150" s="58" t="n">
        <f aca="false">IF(L1150=1,M1150*$B$22,0)</f>
        <v>0</v>
      </c>
      <c r="O1150" s="58" t="n">
        <f aca="false">IF(L1150=1,M1150+N1150-$B$26,M1150)</f>
        <v>8.10541678220034E-009</v>
      </c>
      <c r="P1150" s="56" t="n">
        <f aca="false">IF(L1150=1,IF($B$26&lt;=N1150,1,0),0)</f>
        <v>0</v>
      </c>
      <c r="Q1150" s="58" t="n">
        <f aca="false">Q1149+N1150</f>
        <v>145877.630223336</v>
      </c>
      <c r="S1150" s="56" t="n">
        <f aca="false">S1149+1</f>
        <v>1143</v>
      </c>
      <c r="T1150" s="57" t="n">
        <f aca="false">IF(AND(S1150&lt;=Assumptions!$C$42,T1149=1,X1149=0,W1149&gt;Assumptions!$C$43),1,0)</f>
        <v>0</v>
      </c>
      <c r="U1150" s="58" t="n">
        <f aca="false">W1149</f>
        <v>-182.103705036234</v>
      </c>
      <c r="V1150" s="58" t="n">
        <f aca="false">IF(T1150=1,U1150*$B$22,0)</f>
        <v>0</v>
      </c>
      <c r="W1150" s="58" t="n">
        <f aca="false">IF(T1150=1,U1150+V1150-$B$27,U1150)</f>
        <v>-182.103705036234</v>
      </c>
      <c r="X1150" s="56" t="n">
        <f aca="false">IF(T1150=1,IF($B$27&lt;=V1150,1,0),0)</f>
        <v>0</v>
      </c>
      <c r="Y1150" s="58" t="n">
        <f aca="false">Y1149+V1150</f>
        <v>113000.408372882</v>
      </c>
    </row>
    <row r="1151" customFormat="false" ht="15" hidden="false" customHeight="false" outlineLevel="0" collapsed="false">
      <c r="K1151" s="56" t="n">
        <f aca="false">K1150+1</f>
        <v>1144</v>
      </c>
      <c r="L1151" s="57" t="n">
        <f aca="false">IF(AND(K1151&lt;=Assumptions!$C$42,L1150=1,P1150=0,O1150&gt;Assumptions!$C$43),1,0)</f>
        <v>0</v>
      </c>
      <c r="M1151" s="58" t="n">
        <f aca="false">O1150</f>
        <v>8.10541678220034E-009</v>
      </c>
      <c r="N1151" s="58" t="n">
        <f aca="false">IF(L1151=1,M1151*$B$22,0)</f>
        <v>0</v>
      </c>
      <c r="O1151" s="58" t="n">
        <f aca="false">IF(L1151=1,M1151+N1151-$B$26,M1151)</f>
        <v>8.10541678220034E-009</v>
      </c>
      <c r="P1151" s="56" t="n">
        <f aca="false">IF(L1151=1,IF($B$26&lt;=N1151,1,0),0)</f>
        <v>0</v>
      </c>
      <c r="Q1151" s="58" t="n">
        <f aca="false">Q1150+N1151</f>
        <v>145877.630223336</v>
      </c>
      <c r="S1151" s="56" t="n">
        <f aca="false">S1150+1</f>
        <v>1144</v>
      </c>
      <c r="T1151" s="57" t="n">
        <f aca="false">IF(AND(S1151&lt;=Assumptions!$C$42,T1150=1,X1150=0,W1150&gt;Assumptions!$C$43),1,0)</f>
        <v>0</v>
      </c>
      <c r="U1151" s="58" t="n">
        <f aca="false">W1150</f>
        <v>-182.103705036234</v>
      </c>
      <c r="V1151" s="58" t="n">
        <f aca="false">IF(T1151=1,U1151*$B$22,0)</f>
        <v>0</v>
      </c>
      <c r="W1151" s="58" t="n">
        <f aca="false">IF(T1151=1,U1151+V1151-$B$27,U1151)</f>
        <v>-182.103705036234</v>
      </c>
      <c r="X1151" s="56" t="n">
        <f aca="false">IF(T1151=1,IF($B$27&lt;=V1151,1,0),0)</f>
        <v>0</v>
      </c>
      <c r="Y1151" s="58" t="n">
        <f aca="false">Y1150+V1151</f>
        <v>113000.408372882</v>
      </c>
    </row>
    <row r="1152" customFormat="false" ht="15" hidden="false" customHeight="false" outlineLevel="0" collapsed="false">
      <c r="K1152" s="56" t="n">
        <f aca="false">K1151+1</f>
        <v>1145</v>
      </c>
      <c r="L1152" s="57" t="n">
        <f aca="false">IF(AND(K1152&lt;=Assumptions!$C$42,L1151=1,P1151=0,O1151&gt;Assumptions!$C$43),1,0)</f>
        <v>0</v>
      </c>
      <c r="M1152" s="58" t="n">
        <f aca="false">O1151</f>
        <v>8.10541678220034E-009</v>
      </c>
      <c r="N1152" s="58" t="n">
        <f aca="false">IF(L1152=1,M1152*$B$22,0)</f>
        <v>0</v>
      </c>
      <c r="O1152" s="58" t="n">
        <f aca="false">IF(L1152=1,M1152+N1152-$B$26,M1152)</f>
        <v>8.10541678220034E-009</v>
      </c>
      <c r="P1152" s="56" t="n">
        <f aca="false">IF(L1152=1,IF($B$26&lt;=N1152,1,0),0)</f>
        <v>0</v>
      </c>
      <c r="Q1152" s="58" t="n">
        <f aca="false">Q1151+N1152</f>
        <v>145877.630223336</v>
      </c>
      <c r="S1152" s="56" t="n">
        <f aca="false">S1151+1</f>
        <v>1145</v>
      </c>
      <c r="T1152" s="57" t="n">
        <f aca="false">IF(AND(S1152&lt;=Assumptions!$C$42,T1151=1,X1151=0,W1151&gt;Assumptions!$C$43),1,0)</f>
        <v>0</v>
      </c>
      <c r="U1152" s="58" t="n">
        <f aca="false">W1151</f>
        <v>-182.103705036234</v>
      </c>
      <c r="V1152" s="58" t="n">
        <f aca="false">IF(T1152=1,U1152*$B$22,0)</f>
        <v>0</v>
      </c>
      <c r="W1152" s="58" t="n">
        <f aca="false">IF(T1152=1,U1152+V1152-$B$27,U1152)</f>
        <v>-182.103705036234</v>
      </c>
      <c r="X1152" s="56" t="n">
        <f aca="false">IF(T1152=1,IF($B$27&lt;=V1152,1,0),0)</f>
        <v>0</v>
      </c>
      <c r="Y1152" s="58" t="n">
        <f aca="false">Y1151+V1152</f>
        <v>113000.408372882</v>
      </c>
    </row>
    <row r="1153" customFormat="false" ht="15" hidden="false" customHeight="false" outlineLevel="0" collapsed="false">
      <c r="K1153" s="56" t="n">
        <f aca="false">K1152+1</f>
        <v>1146</v>
      </c>
      <c r="L1153" s="57" t="n">
        <f aca="false">IF(AND(K1153&lt;=Assumptions!$C$42,L1152=1,P1152=0,O1152&gt;Assumptions!$C$43),1,0)</f>
        <v>0</v>
      </c>
      <c r="M1153" s="58" t="n">
        <f aca="false">O1152</f>
        <v>8.10541678220034E-009</v>
      </c>
      <c r="N1153" s="58" t="n">
        <f aca="false">IF(L1153=1,M1153*$B$22,0)</f>
        <v>0</v>
      </c>
      <c r="O1153" s="58" t="n">
        <f aca="false">IF(L1153=1,M1153+N1153-$B$26,M1153)</f>
        <v>8.10541678220034E-009</v>
      </c>
      <c r="P1153" s="56" t="n">
        <f aca="false">IF(L1153=1,IF($B$26&lt;=N1153,1,0),0)</f>
        <v>0</v>
      </c>
      <c r="Q1153" s="58" t="n">
        <f aca="false">Q1152+N1153</f>
        <v>145877.630223336</v>
      </c>
      <c r="S1153" s="56" t="n">
        <f aca="false">S1152+1</f>
        <v>1146</v>
      </c>
      <c r="T1153" s="57" t="n">
        <f aca="false">IF(AND(S1153&lt;=Assumptions!$C$42,T1152=1,X1152=0,W1152&gt;Assumptions!$C$43),1,0)</f>
        <v>0</v>
      </c>
      <c r="U1153" s="58" t="n">
        <f aca="false">W1152</f>
        <v>-182.103705036234</v>
      </c>
      <c r="V1153" s="58" t="n">
        <f aca="false">IF(T1153=1,U1153*$B$22,0)</f>
        <v>0</v>
      </c>
      <c r="W1153" s="58" t="n">
        <f aca="false">IF(T1153=1,U1153+V1153-$B$27,U1153)</f>
        <v>-182.103705036234</v>
      </c>
      <c r="X1153" s="56" t="n">
        <f aca="false">IF(T1153=1,IF($B$27&lt;=V1153,1,0),0)</f>
        <v>0</v>
      </c>
      <c r="Y1153" s="58" t="n">
        <f aca="false">Y1152+V1153</f>
        <v>113000.408372882</v>
      </c>
    </row>
    <row r="1154" customFormat="false" ht="15" hidden="false" customHeight="false" outlineLevel="0" collapsed="false">
      <c r="K1154" s="56" t="n">
        <f aca="false">K1153+1</f>
        <v>1147</v>
      </c>
      <c r="L1154" s="57" t="n">
        <f aca="false">IF(AND(K1154&lt;=Assumptions!$C$42,L1153=1,P1153=0,O1153&gt;Assumptions!$C$43),1,0)</f>
        <v>0</v>
      </c>
      <c r="M1154" s="58" t="n">
        <f aca="false">O1153</f>
        <v>8.10541678220034E-009</v>
      </c>
      <c r="N1154" s="58" t="n">
        <f aca="false">IF(L1154=1,M1154*$B$22,0)</f>
        <v>0</v>
      </c>
      <c r="O1154" s="58" t="n">
        <f aca="false">IF(L1154=1,M1154+N1154-$B$26,M1154)</f>
        <v>8.10541678220034E-009</v>
      </c>
      <c r="P1154" s="56" t="n">
        <f aca="false">IF(L1154=1,IF($B$26&lt;=N1154,1,0),0)</f>
        <v>0</v>
      </c>
      <c r="Q1154" s="58" t="n">
        <f aca="false">Q1153+N1154</f>
        <v>145877.630223336</v>
      </c>
      <c r="S1154" s="56" t="n">
        <f aca="false">S1153+1</f>
        <v>1147</v>
      </c>
      <c r="T1154" s="57" t="n">
        <f aca="false">IF(AND(S1154&lt;=Assumptions!$C$42,T1153=1,X1153=0,W1153&gt;Assumptions!$C$43),1,0)</f>
        <v>0</v>
      </c>
      <c r="U1154" s="58" t="n">
        <f aca="false">W1153</f>
        <v>-182.103705036234</v>
      </c>
      <c r="V1154" s="58" t="n">
        <f aca="false">IF(T1154=1,U1154*$B$22,0)</f>
        <v>0</v>
      </c>
      <c r="W1154" s="58" t="n">
        <f aca="false">IF(T1154=1,U1154+V1154-$B$27,U1154)</f>
        <v>-182.103705036234</v>
      </c>
      <c r="X1154" s="56" t="n">
        <f aca="false">IF(T1154=1,IF($B$27&lt;=V1154,1,0),0)</f>
        <v>0</v>
      </c>
      <c r="Y1154" s="58" t="n">
        <f aca="false">Y1153+V1154</f>
        <v>113000.408372882</v>
      </c>
    </row>
    <row r="1155" customFormat="false" ht="15" hidden="false" customHeight="false" outlineLevel="0" collapsed="false">
      <c r="K1155" s="56" t="n">
        <f aca="false">K1154+1</f>
        <v>1148</v>
      </c>
      <c r="L1155" s="57" t="n">
        <f aca="false">IF(AND(K1155&lt;=Assumptions!$C$42,L1154=1,P1154=0,O1154&gt;Assumptions!$C$43),1,0)</f>
        <v>0</v>
      </c>
      <c r="M1155" s="58" t="n">
        <f aca="false">O1154</f>
        <v>8.10541678220034E-009</v>
      </c>
      <c r="N1155" s="58" t="n">
        <f aca="false">IF(L1155=1,M1155*$B$22,0)</f>
        <v>0</v>
      </c>
      <c r="O1155" s="58" t="n">
        <f aca="false">IF(L1155=1,M1155+N1155-$B$26,M1155)</f>
        <v>8.10541678220034E-009</v>
      </c>
      <c r="P1155" s="56" t="n">
        <f aca="false">IF(L1155=1,IF($B$26&lt;=N1155,1,0),0)</f>
        <v>0</v>
      </c>
      <c r="Q1155" s="58" t="n">
        <f aca="false">Q1154+N1155</f>
        <v>145877.630223336</v>
      </c>
      <c r="S1155" s="56" t="n">
        <f aca="false">S1154+1</f>
        <v>1148</v>
      </c>
      <c r="T1155" s="57" t="n">
        <f aca="false">IF(AND(S1155&lt;=Assumptions!$C$42,T1154=1,X1154=0,W1154&gt;Assumptions!$C$43),1,0)</f>
        <v>0</v>
      </c>
      <c r="U1155" s="58" t="n">
        <f aca="false">W1154</f>
        <v>-182.103705036234</v>
      </c>
      <c r="V1155" s="58" t="n">
        <f aca="false">IF(T1155=1,U1155*$B$22,0)</f>
        <v>0</v>
      </c>
      <c r="W1155" s="58" t="n">
        <f aca="false">IF(T1155=1,U1155+V1155-$B$27,U1155)</f>
        <v>-182.103705036234</v>
      </c>
      <c r="X1155" s="56" t="n">
        <f aca="false">IF(T1155=1,IF($B$27&lt;=V1155,1,0),0)</f>
        <v>0</v>
      </c>
      <c r="Y1155" s="58" t="n">
        <f aca="false">Y1154+V1155</f>
        <v>113000.408372882</v>
      </c>
    </row>
    <row r="1156" customFormat="false" ht="15" hidden="false" customHeight="false" outlineLevel="0" collapsed="false">
      <c r="K1156" s="56" t="n">
        <f aca="false">K1155+1</f>
        <v>1149</v>
      </c>
      <c r="L1156" s="57" t="n">
        <f aca="false">IF(AND(K1156&lt;=Assumptions!$C$42,L1155=1,P1155=0,O1155&gt;Assumptions!$C$43),1,0)</f>
        <v>0</v>
      </c>
      <c r="M1156" s="58" t="n">
        <f aca="false">O1155</f>
        <v>8.10541678220034E-009</v>
      </c>
      <c r="N1156" s="58" t="n">
        <f aca="false">IF(L1156=1,M1156*$B$22,0)</f>
        <v>0</v>
      </c>
      <c r="O1156" s="58" t="n">
        <f aca="false">IF(L1156=1,M1156+N1156-$B$26,M1156)</f>
        <v>8.10541678220034E-009</v>
      </c>
      <c r="P1156" s="56" t="n">
        <f aca="false">IF(L1156=1,IF($B$26&lt;=N1156,1,0),0)</f>
        <v>0</v>
      </c>
      <c r="Q1156" s="58" t="n">
        <f aca="false">Q1155+N1156</f>
        <v>145877.630223336</v>
      </c>
      <c r="S1156" s="56" t="n">
        <f aca="false">S1155+1</f>
        <v>1149</v>
      </c>
      <c r="T1156" s="57" t="n">
        <f aca="false">IF(AND(S1156&lt;=Assumptions!$C$42,T1155=1,X1155=0,W1155&gt;Assumptions!$C$43),1,0)</f>
        <v>0</v>
      </c>
      <c r="U1156" s="58" t="n">
        <f aca="false">W1155</f>
        <v>-182.103705036234</v>
      </c>
      <c r="V1156" s="58" t="n">
        <f aca="false">IF(T1156=1,U1156*$B$22,0)</f>
        <v>0</v>
      </c>
      <c r="W1156" s="58" t="n">
        <f aca="false">IF(T1156=1,U1156+V1156-$B$27,U1156)</f>
        <v>-182.103705036234</v>
      </c>
      <c r="X1156" s="56" t="n">
        <f aca="false">IF(T1156=1,IF($B$27&lt;=V1156,1,0),0)</f>
        <v>0</v>
      </c>
      <c r="Y1156" s="58" t="n">
        <f aca="false">Y1155+V1156</f>
        <v>113000.408372882</v>
      </c>
    </row>
    <row r="1157" customFormat="false" ht="15" hidden="false" customHeight="false" outlineLevel="0" collapsed="false">
      <c r="K1157" s="56" t="n">
        <f aca="false">K1156+1</f>
        <v>1150</v>
      </c>
      <c r="L1157" s="57" t="n">
        <f aca="false">IF(AND(K1157&lt;=Assumptions!$C$42,L1156=1,P1156=0,O1156&gt;Assumptions!$C$43),1,0)</f>
        <v>0</v>
      </c>
      <c r="M1157" s="58" t="n">
        <f aca="false">O1156</f>
        <v>8.10541678220034E-009</v>
      </c>
      <c r="N1157" s="58" t="n">
        <f aca="false">IF(L1157=1,M1157*$B$22,0)</f>
        <v>0</v>
      </c>
      <c r="O1157" s="58" t="n">
        <f aca="false">IF(L1157=1,M1157+N1157-$B$26,M1157)</f>
        <v>8.10541678220034E-009</v>
      </c>
      <c r="P1157" s="56" t="n">
        <f aca="false">IF(L1157=1,IF($B$26&lt;=N1157,1,0),0)</f>
        <v>0</v>
      </c>
      <c r="Q1157" s="58" t="n">
        <f aca="false">Q1156+N1157</f>
        <v>145877.630223336</v>
      </c>
      <c r="S1157" s="56" t="n">
        <f aca="false">S1156+1</f>
        <v>1150</v>
      </c>
      <c r="T1157" s="57" t="n">
        <f aca="false">IF(AND(S1157&lt;=Assumptions!$C$42,T1156=1,X1156=0,W1156&gt;Assumptions!$C$43),1,0)</f>
        <v>0</v>
      </c>
      <c r="U1157" s="58" t="n">
        <f aca="false">W1156</f>
        <v>-182.103705036234</v>
      </c>
      <c r="V1157" s="58" t="n">
        <f aca="false">IF(T1157=1,U1157*$B$22,0)</f>
        <v>0</v>
      </c>
      <c r="W1157" s="58" t="n">
        <f aca="false">IF(T1157=1,U1157+V1157-$B$27,U1157)</f>
        <v>-182.103705036234</v>
      </c>
      <c r="X1157" s="56" t="n">
        <f aca="false">IF(T1157=1,IF($B$27&lt;=V1157,1,0),0)</f>
        <v>0</v>
      </c>
      <c r="Y1157" s="58" t="n">
        <f aca="false">Y1156+V1157</f>
        <v>113000.408372882</v>
      </c>
    </row>
    <row r="1158" customFormat="false" ht="15" hidden="false" customHeight="false" outlineLevel="0" collapsed="false">
      <c r="K1158" s="56" t="n">
        <f aca="false">K1157+1</f>
        <v>1151</v>
      </c>
      <c r="L1158" s="57" t="n">
        <f aca="false">IF(AND(K1158&lt;=Assumptions!$C$42,L1157=1,P1157=0,O1157&gt;Assumptions!$C$43),1,0)</f>
        <v>0</v>
      </c>
      <c r="M1158" s="58" t="n">
        <f aca="false">O1157</f>
        <v>8.10541678220034E-009</v>
      </c>
      <c r="N1158" s="58" t="n">
        <f aca="false">IF(L1158=1,M1158*$B$22,0)</f>
        <v>0</v>
      </c>
      <c r="O1158" s="58" t="n">
        <f aca="false">IF(L1158=1,M1158+N1158-$B$26,M1158)</f>
        <v>8.10541678220034E-009</v>
      </c>
      <c r="P1158" s="56" t="n">
        <f aca="false">IF(L1158=1,IF($B$26&lt;=N1158,1,0),0)</f>
        <v>0</v>
      </c>
      <c r="Q1158" s="58" t="n">
        <f aca="false">Q1157+N1158</f>
        <v>145877.630223336</v>
      </c>
      <c r="S1158" s="56" t="n">
        <f aca="false">S1157+1</f>
        <v>1151</v>
      </c>
      <c r="T1158" s="57" t="n">
        <f aca="false">IF(AND(S1158&lt;=Assumptions!$C$42,T1157=1,X1157=0,W1157&gt;Assumptions!$C$43),1,0)</f>
        <v>0</v>
      </c>
      <c r="U1158" s="58" t="n">
        <f aca="false">W1157</f>
        <v>-182.103705036234</v>
      </c>
      <c r="V1158" s="58" t="n">
        <f aca="false">IF(T1158=1,U1158*$B$22,0)</f>
        <v>0</v>
      </c>
      <c r="W1158" s="58" t="n">
        <f aca="false">IF(T1158=1,U1158+V1158-$B$27,U1158)</f>
        <v>-182.103705036234</v>
      </c>
      <c r="X1158" s="56" t="n">
        <f aca="false">IF(T1158=1,IF($B$27&lt;=V1158,1,0),0)</f>
        <v>0</v>
      </c>
      <c r="Y1158" s="58" t="n">
        <f aca="false">Y1157+V1158</f>
        <v>113000.408372882</v>
      </c>
    </row>
    <row r="1159" customFormat="false" ht="15" hidden="false" customHeight="false" outlineLevel="0" collapsed="false">
      <c r="K1159" s="56" t="n">
        <f aca="false">K1158+1</f>
        <v>1152</v>
      </c>
      <c r="L1159" s="57" t="n">
        <f aca="false">IF(AND(K1159&lt;=Assumptions!$C$42,L1158=1,P1158=0,O1158&gt;Assumptions!$C$43),1,0)</f>
        <v>0</v>
      </c>
      <c r="M1159" s="58" t="n">
        <f aca="false">O1158</f>
        <v>8.10541678220034E-009</v>
      </c>
      <c r="N1159" s="58" t="n">
        <f aca="false">IF(L1159=1,M1159*$B$22,0)</f>
        <v>0</v>
      </c>
      <c r="O1159" s="58" t="n">
        <f aca="false">IF(L1159=1,M1159+N1159-$B$26,M1159)</f>
        <v>8.10541678220034E-009</v>
      </c>
      <c r="P1159" s="56" t="n">
        <f aca="false">IF(L1159=1,IF($B$26&lt;=N1159,1,0),0)</f>
        <v>0</v>
      </c>
      <c r="Q1159" s="58" t="n">
        <f aca="false">Q1158+N1159</f>
        <v>145877.630223336</v>
      </c>
      <c r="S1159" s="56" t="n">
        <f aca="false">S1158+1</f>
        <v>1152</v>
      </c>
      <c r="T1159" s="57" t="n">
        <f aca="false">IF(AND(S1159&lt;=Assumptions!$C$42,T1158=1,X1158=0,W1158&gt;Assumptions!$C$43),1,0)</f>
        <v>0</v>
      </c>
      <c r="U1159" s="58" t="n">
        <f aca="false">W1158</f>
        <v>-182.103705036234</v>
      </c>
      <c r="V1159" s="58" t="n">
        <f aca="false">IF(T1159=1,U1159*$B$22,0)</f>
        <v>0</v>
      </c>
      <c r="W1159" s="58" t="n">
        <f aca="false">IF(T1159=1,U1159+V1159-$B$27,U1159)</f>
        <v>-182.103705036234</v>
      </c>
      <c r="X1159" s="56" t="n">
        <f aca="false">IF(T1159=1,IF($B$27&lt;=V1159,1,0),0)</f>
        <v>0</v>
      </c>
      <c r="Y1159" s="58" t="n">
        <f aca="false">Y1158+V1159</f>
        <v>113000.408372882</v>
      </c>
    </row>
    <row r="1160" customFormat="false" ht="15" hidden="false" customHeight="false" outlineLevel="0" collapsed="false">
      <c r="K1160" s="56" t="n">
        <f aca="false">K1159+1</f>
        <v>1153</v>
      </c>
      <c r="L1160" s="57" t="n">
        <f aca="false">IF(AND(K1160&lt;=Assumptions!$C$42,L1159=1,P1159=0,O1159&gt;Assumptions!$C$43),1,0)</f>
        <v>0</v>
      </c>
      <c r="M1160" s="58" t="n">
        <f aca="false">O1159</f>
        <v>8.10541678220034E-009</v>
      </c>
      <c r="N1160" s="58" t="n">
        <f aca="false">IF(L1160=1,M1160*$B$22,0)</f>
        <v>0</v>
      </c>
      <c r="O1160" s="58" t="n">
        <f aca="false">IF(L1160=1,M1160+N1160-$B$26,M1160)</f>
        <v>8.10541678220034E-009</v>
      </c>
      <c r="P1160" s="56" t="n">
        <f aca="false">IF(L1160=1,IF($B$26&lt;=N1160,1,0),0)</f>
        <v>0</v>
      </c>
      <c r="Q1160" s="58" t="n">
        <f aca="false">Q1159+N1160</f>
        <v>145877.630223336</v>
      </c>
      <c r="S1160" s="56" t="n">
        <f aca="false">S1159+1</f>
        <v>1153</v>
      </c>
      <c r="T1160" s="57" t="n">
        <f aca="false">IF(AND(S1160&lt;=Assumptions!$C$42,T1159=1,X1159=0,W1159&gt;Assumptions!$C$43),1,0)</f>
        <v>0</v>
      </c>
      <c r="U1160" s="58" t="n">
        <f aca="false">W1159</f>
        <v>-182.103705036234</v>
      </c>
      <c r="V1160" s="58" t="n">
        <f aca="false">IF(T1160=1,U1160*$B$22,0)</f>
        <v>0</v>
      </c>
      <c r="W1160" s="58" t="n">
        <f aca="false">IF(T1160=1,U1160+V1160-$B$27,U1160)</f>
        <v>-182.103705036234</v>
      </c>
      <c r="X1160" s="56" t="n">
        <f aca="false">IF(T1160=1,IF($B$27&lt;=V1160,1,0),0)</f>
        <v>0</v>
      </c>
      <c r="Y1160" s="58" t="n">
        <f aca="false">Y1159+V1160</f>
        <v>113000.408372882</v>
      </c>
    </row>
    <row r="1161" customFormat="false" ht="15" hidden="false" customHeight="false" outlineLevel="0" collapsed="false">
      <c r="K1161" s="56" t="n">
        <f aca="false">K1160+1</f>
        <v>1154</v>
      </c>
      <c r="L1161" s="57" t="n">
        <f aca="false">IF(AND(K1161&lt;=Assumptions!$C$42,L1160=1,P1160=0,O1160&gt;Assumptions!$C$43),1,0)</f>
        <v>0</v>
      </c>
      <c r="M1161" s="58" t="n">
        <f aca="false">O1160</f>
        <v>8.10541678220034E-009</v>
      </c>
      <c r="N1161" s="58" t="n">
        <f aca="false">IF(L1161=1,M1161*$B$22,0)</f>
        <v>0</v>
      </c>
      <c r="O1161" s="58" t="n">
        <f aca="false">IF(L1161=1,M1161+N1161-$B$26,M1161)</f>
        <v>8.10541678220034E-009</v>
      </c>
      <c r="P1161" s="56" t="n">
        <f aca="false">IF(L1161=1,IF($B$26&lt;=N1161,1,0),0)</f>
        <v>0</v>
      </c>
      <c r="Q1161" s="58" t="n">
        <f aca="false">Q1160+N1161</f>
        <v>145877.630223336</v>
      </c>
      <c r="S1161" s="56" t="n">
        <f aca="false">S1160+1</f>
        <v>1154</v>
      </c>
      <c r="T1161" s="57" t="n">
        <f aca="false">IF(AND(S1161&lt;=Assumptions!$C$42,T1160=1,X1160=0,W1160&gt;Assumptions!$C$43),1,0)</f>
        <v>0</v>
      </c>
      <c r="U1161" s="58" t="n">
        <f aca="false">W1160</f>
        <v>-182.103705036234</v>
      </c>
      <c r="V1161" s="58" t="n">
        <f aca="false">IF(T1161=1,U1161*$B$22,0)</f>
        <v>0</v>
      </c>
      <c r="W1161" s="58" t="n">
        <f aca="false">IF(T1161=1,U1161+V1161-$B$27,U1161)</f>
        <v>-182.103705036234</v>
      </c>
      <c r="X1161" s="56" t="n">
        <f aca="false">IF(T1161=1,IF($B$27&lt;=V1161,1,0),0)</f>
        <v>0</v>
      </c>
      <c r="Y1161" s="58" t="n">
        <f aca="false">Y1160+V1161</f>
        <v>113000.408372882</v>
      </c>
    </row>
    <row r="1162" customFormat="false" ht="15" hidden="false" customHeight="false" outlineLevel="0" collapsed="false">
      <c r="K1162" s="56" t="n">
        <f aca="false">K1161+1</f>
        <v>1155</v>
      </c>
      <c r="L1162" s="57" t="n">
        <f aca="false">IF(AND(K1162&lt;=Assumptions!$C$42,L1161=1,P1161=0,O1161&gt;Assumptions!$C$43),1,0)</f>
        <v>0</v>
      </c>
      <c r="M1162" s="58" t="n">
        <f aca="false">O1161</f>
        <v>8.10541678220034E-009</v>
      </c>
      <c r="N1162" s="58" t="n">
        <f aca="false">IF(L1162=1,M1162*$B$22,0)</f>
        <v>0</v>
      </c>
      <c r="O1162" s="58" t="n">
        <f aca="false">IF(L1162=1,M1162+N1162-$B$26,M1162)</f>
        <v>8.10541678220034E-009</v>
      </c>
      <c r="P1162" s="56" t="n">
        <f aca="false">IF(L1162=1,IF($B$26&lt;=N1162,1,0),0)</f>
        <v>0</v>
      </c>
      <c r="Q1162" s="58" t="n">
        <f aca="false">Q1161+N1162</f>
        <v>145877.630223336</v>
      </c>
      <c r="S1162" s="56" t="n">
        <f aca="false">S1161+1</f>
        <v>1155</v>
      </c>
      <c r="T1162" s="57" t="n">
        <f aca="false">IF(AND(S1162&lt;=Assumptions!$C$42,T1161=1,X1161=0,W1161&gt;Assumptions!$C$43),1,0)</f>
        <v>0</v>
      </c>
      <c r="U1162" s="58" t="n">
        <f aca="false">W1161</f>
        <v>-182.103705036234</v>
      </c>
      <c r="V1162" s="58" t="n">
        <f aca="false">IF(T1162=1,U1162*$B$22,0)</f>
        <v>0</v>
      </c>
      <c r="W1162" s="58" t="n">
        <f aca="false">IF(T1162=1,U1162+V1162-$B$27,U1162)</f>
        <v>-182.103705036234</v>
      </c>
      <c r="X1162" s="56" t="n">
        <f aca="false">IF(T1162=1,IF($B$27&lt;=V1162,1,0),0)</f>
        <v>0</v>
      </c>
      <c r="Y1162" s="58" t="n">
        <f aca="false">Y1161+V1162</f>
        <v>113000.408372882</v>
      </c>
    </row>
    <row r="1163" customFormat="false" ht="15" hidden="false" customHeight="false" outlineLevel="0" collapsed="false">
      <c r="K1163" s="56" t="n">
        <f aca="false">K1162+1</f>
        <v>1156</v>
      </c>
      <c r="L1163" s="57" t="n">
        <f aca="false">IF(AND(K1163&lt;=Assumptions!$C$42,L1162=1,P1162=0,O1162&gt;Assumptions!$C$43),1,0)</f>
        <v>0</v>
      </c>
      <c r="M1163" s="58" t="n">
        <f aca="false">O1162</f>
        <v>8.10541678220034E-009</v>
      </c>
      <c r="N1163" s="58" t="n">
        <f aca="false">IF(L1163=1,M1163*$B$22,0)</f>
        <v>0</v>
      </c>
      <c r="O1163" s="58" t="n">
        <f aca="false">IF(L1163=1,M1163+N1163-$B$26,M1163)</f>
        <v>8.10541678220034E-009</v>
      </c>
      <c r="P1163" s="56" t="n">
        <f aca="false">IF(L1163=1,IF($B$26&lt;=N1163,1,0),0)</f>
        <v>0</v>
      </c>
      <c r="Q1163" s="58" t="n">
        <f aca="false">Q1162+N1163</f>
        <v>145877.630223336</v>
      </c>
      <c r="S1163" s="56" t="n">
        <f aca="false">S1162+1</f>
        <v>1156</v>
      </c>
      <c r="T1163" s="57" t="n">
        <f aca="false">IF(AND(S1163&lt;=Assumptions!$C$42,T1162=1,X1162=0,W1162&gt;Assumptions!$C$43),1,0)</f>
        <v>0</v>
      </c>
      <c r="U1163" s="58" t="n">
        <f aca="false">W1162</f>
        <v>-182.103705036234</v>
      </c>
      <c r="V1163" s="58" t="n">
        <f aca="false">IF(T1163=1,U1163*$B$22,0)</f>
        <v>0</v>
      </c>
      <c r="W1163" s="58" t="n">
        <f aca="false">IF(T1163=1,U1163+V1163-$B$27,U1163)</f>
        <v>-182.103705036234</v>
      </c>
      <c r="X1163" s="56" t="n">
        <f aca="false">IF(T1163=1,IF($B$27&lt;=V1163,1,0),0)</f>
        <v>0</v>
      </c>
      <c r="Y1163" s="58" t="n">
        <f aca="false">Y1162+V1163</f>
        <v>113000.408372882</v>
      </c>
    </row>
    <row r="1164" customFormat="false" ht="15" hidden="false" customHeight="false" outlineLevel="0" collapsed="false">
      <c r="K1164" s="56" t="n">
        <f aca="false">K1163+1</f>
        <v>1157</v>
      </c>
      <c r="L1164" s="57" t="n">
        <f aca="false">IF(AND(K1164&lt;=Assumptions!$C$42,L1163=1,P1163=0,O1163&gt;Assumptions!$C$43),1,0)</f>
        <v>0</v>
      </c>
      <c r="M1164" s="58" t="n">
        <f aca="false">O1163</f>
        <v>8.10541678220034E-009</v>
      </c>
      <c r="N1164" s="58" t="n">
        <f aca="false">IF(L1164=1,M1164*$B$22,0)</f>
        <v>0</v>
      </c>
      <c r="O1164" s="58" t="n">
        <f aca="false">IF(L1164=1,M1164+N1164-$B$26,M1164)</f>
        <v>8.10541678220034E-009</v>
      </c>
      <c r="P1164" s="56" t="n">
        <f aca="false">IF(L1164=1,IF($B$26&lt;=N1164,1,0),0)</f>
        <v>0</v>
      </c>
      <c r="Q1164" s="58" t="n">
        <f aca="false">Q1163+N1164</f>
        <v>145877.630223336</v>
      </c>
      <c r="S1164" s="56" t="n">
        <f aca="false">S1163+1</f>
        <v>1157</v>
      </c>
      <c r="T1164" s="57" t="n">
        <f aca="false">IF(AND(S1164&lt;=Assumptions!$C$42,T1163=1,X1163=0,W1163&gt;Assumptions!$C$43),1,0)</f>
        <v>0</v>
      </c>
      <c r="U1164" s="58" t="n">
        <f aca="false">W1163</f>
        <v>-182.103705036234</v>
      </c>
      <c r="V1164" s="58" t="n">
        <f aca="false">IF(T1164=1,U1164*$B$22,0)</f>
        <v>0</v>
      </c>
      <c r="W1164" s="58" t="n">
        <f aca="false">IF(T1164=1,U1164+V1164-$B$27,U1164)</f>
        <v>-182.103705036234</v>
      </c>
      <c r="X1164" s="56" t="n">
        <f aca="false">IF(T1164=1,IF($B$27&lt;=V1164,1,0),0)</f>
        <v>0</v>
      </c>
      <c r="Y1164" s="58" t="n">
        <f aca="false">Y1163+V1164</f>
        <v>113000.408372882</v>
      </c>
    </row>
    <row r="1165" customFormat="false" ht="15" hidden="false" customHeight="false" outlineLevel="0" collapsed="false">
      <c r="K1165" s="56" t="n">
        <f aca="false">K1164+1</f>
        <v>1158</v>
      </c>
      <c r="L1165" s="57" t="n">
        <f aca="false">IF(AND(K1165&lt;=Assumptions!$C$42,L1164=1,P1164=0,O1164&gt;Assumptions!$C$43),1,0)</f>
        <v>0</v>
      </c>
      <c r="M1165" s="58" t="n">
        <f aca="false">O1164</f>
        <v>8.10541678220034E-009</v>
      </c>
      <c r="N1165" s="58" t="n">
        <f aca="false">IF(L1165=1,M1165*$B$22,0)</f>
        <v>0</v>
      </c>
      <c r="O1165" s="58" t="n">
        <f aca="false">IF(L1165=1,M1165+N1165-$B$26,M1165)</f>
        <v>8.10541678220034E-009</v>
      </c>
      <c r="P1165" s="56" t="n">
        <f aca="false">IF(L1165=1,IF($B$26&lt;=N1165,1,0),0)</f>
        <v>0</v>
      </c>
      <c r="Q1165" s="58" t="n">
        <f aca="false">Q1164+N1165</f>
        <v>145877.630223336</v>
      </c>
      <c r="S1165" s="56" t="n">
        <f aca="false">S1164+1</f>
        <v>1158</v>
      </c>
      <c r="T1165" s="57" t="n">
        <f aca="false">IF(AND(S1165&lt;=Assumptions!$C$42,T1164=1,X1164=0,W1164&gt;Assumptions!$C$43),1,0)</f>
        <v>0</v>
      </c>
      <c r="U1165" s="58" t="n">
        <f aca="false">W1164</f>
        <v>-182.103705036234</v>
      </c>
      <c r="V1165" s="58" t="n">
        <f aca="false">IF(T1165=1,U1165*$B$22,0)</f>
        <v>0</v>
      </c>
      <c r="W1165" s="58" t="n">
        <f aca="false">IF(T1165=1,U1165+V1165-$B$27,U1165)</f>
        <v>-182.103705036234</v>
      </c>
      <c r="X1165" s="56" t="n">
        <f aca="false">IF(T1165=1,IF($B$27&lt;=V1165,1,0),0)</f>
        <v>0</v>
      </c>
      <c r="Y1165" s="58" t="n">
        <f aca="false">Y1164+V1165</f>
        <v>113000.408372882</v>
      </c>
    </row>
    <row r="1166" customFormat="false" ht="15" hidden="false" customHeight="false" outlineLevel="0" collapsed="false">
      <c r="K1166" s="56" t="n">
        <f aca="false">K1165+1</f>
        <v>1159</v>
      </c>
      <c r="L1166" s="57" t="n">
        <f aca="false">IF(AND(K1166&lt;=Assumptions!$C$42,L1165=1,P1165=0,O1165&gt;Assumptions!$C$43),1,0)</f>
        <v>0</v>
      </c>
      <c r="M1166" s="58" t="n">
        <f aca="false">O1165</f>
        <v>8.10541678220034E-009</v>
      </c>
      <c r="N1166" s="58" t="n">
        <f aca="false">IF(L1166=1,M1166*$B$22,0)</f>
        <v>0</v>
      </c>
      <c r="O1166" s="58" t="n">
        <f aca="false">IF(L1166=1,M1166+N1166-$B$26,M1166)</f>
        <v>8.10541678220034E-009</v>
      </c>
      <c r="P1166" s="56" t="n">
        <f aca="false">IF(L1166=1,IF($B$26&lt;=N1166,1,0),0)</f>
        <v>0</v>
      </c>
      <c r="Q1166" s="58" t="n">
        <f aca="false">Q1165+N1166</f>
        <v>145877.630223336</v>
      </c>
      <c r="S1166" s="56" t="n">
        <f aca="false">S1165+1</f>
        <v>1159</v>
      </c>
      <c r="T1166" s="57" t="n">
        <f aca="false">IF(AND(S1166&lt;=Assumptions!$C$42,T1165=1,X1165=0,W1165&gt;Assumptions!$C$43),1,0)</f>
        <v>0</v>
      </c>
      <c r="U1166" s="58" t="n">
        <f aca="false">W1165</f>
        <v>-182.103705036234</v>
      </c>
      <c r="V1166" s="58" t="n">
        <f aca="false">IF(T1166=1,U1166*$B$22,0)</f>
        <v>0</v>
      </c>
      <c r="W1166" s="58" t="n">
        <f aca="false">IF(T1166=1,U1166+V1166-$B$27,U1166)</f>
        <v>-182.103705036234</v>
      </c>
      <c r="X1166" s="56" t="n">
        <f aca="false">IF(T1166=1,IF($B$27&lt;=V1166,1,0),0)</f>
        <v>0</v>
      </c>
      <c r="Y1166" s="58" t="n">
        <f aca="false">Y1165+V1166</f>
        <v>113000.408372882</v>
      </c>
    </row>
    <row r="1167" customFormat="false" ht="15" hidden="false" customHeight="false" outlineLevel="0" collapsed="false">
      <c r="K1167" s="56" t="n">
        <f aca="false">K1166+1</f>
        <v>1160</v>
      </c>
      <c r="L1167" s="57" t="n">
        <f aca="false">IF(AND(K1167&lt;=Assumptions!$C$42,L1166=1,P1166=0,O1166&gt;Assumptions!$C$43),1,0)</f>
        <v>0</v>
      </c>
      <c r="M1167" s="58" t="n">
        <f aca="false">O1166</f>
        <v>8.10541678220034E-009</v>
      </c>
      <c r="N1167" s="58" t="n">
        <f aca="false">IF(L1167=1,M1167*$B$22,0)</f>
        <v>0</v>
      </c>
      <c r="O1167" s="58" t="n">
        <f aca="false">IF(L1167=1,M1167+N1167-$B$26,M1167)</f>
        <v>8.10541678220034E-009</v>
      </c>
      <c r="P1167" s="56" t="n">
        <f aca="false">IF(L1167=1,IF($B$26&lt;=N1167,1,0),0)</f>
        <v>0</v>
      </c>
      <c r="Q1167" s="58" t="n">
        <f aca="false">Q1166+N1167</f>
        <v>145877.630223336</v>
      </c>
      <c r="S1167" s="56" t="n">
        <f aca="false">S1166+1</f>
        <v>1160</v>
      </c>
      <c r="T1167" s="57" t="n">
        <f aca="false">IF(AND(S1167&lt;=Assumptions!$C$42,T1166=1,X1166=0,W1166&gt;Assumptions!$C$43),1,0)</f>
        <v>0</v>
      </c>
      <c r="U1167" s="58" t="n">
        <f aca="false">W1166</f>
        <v>-182.103705036234</v>
      </c>
      <c r="V1167" s="58" t="n">
        <f aca="false">IF(T1167=1,U1167*$B$22,0)</f>
        <v>0</v>
      </c>
      <c r="W1167" s="58" t="n">
        <f aca="false">IF(T1167=1,U1167+V1167-$B$27,U1167)</f>
        <v>-182.103705036234</v>
      </c>
      <c r="X1167" s="56" t="n">
        <f aca="false">IF(T1167=1,IF($B$27&lt;=V1167,1,0),0)</f>
        <v>0</v>
      </c>
      <c r="Y1167" s="58" t="n">
        <f aca="false">Y1166+V1167</f>
        <v>113000.408372882</v>
      </c>
    </row>
    <row r="1168" customFormat="false" ht="15" hidden="false" customHeight="false" outlineLevel="0" collapsed="false">
      <c r="K1168" s="56" t="n">
        <f aca="false">K1167+1</f>
        <v>1161</v>
      </c>
      <c r="L1168" s="57" t="n">
        <f aca="false">IF(AND(K1168&lt;=Assumptions!$C$42,L1167=1,P1167=0,O1167&gt;Assumptions!$C$43),1,0)</f>
        <v>0</v>
      </c>
      <c r="M1168" s="58" t="n">
        <f aca="false">O1167</f>
        <v>8.10541678220034E-009</v>
      </c>
      <c r="N1168" s="58" t="n">
        <f aca="false">IF(L1168=1,M1168*$B$22,0)</f>
        <v>0</v>
      </c>
      <c r="O1168" s="58" t="n">
        <f aca="false">IF(L1168=1,M1168+N1168-$B$26,M1168)</f>
        <v>8.10541678220034E-009</v>
      </c>
      <c r="P1168" s="56" t="n">
        <f aca="false">IF(L1168=1,IF($B$26&lt;=N1168,1,0),0)</f>
        <v>0</v>
      </c>
      <c r="Q1168" s="58" t="n">
        <f aca="false">Q1167+N1168</f>
        <v>145877.630223336</v>
      </c>
      <c r="S1168" s="56" t="n">
        <f aca="false">S1167+1</f>
        <v>1161</v>
      </c>
      <c r="T1168" s="57" t="n">
        <f aca="false">IF(AND(S1168&lt;=Assumptions!$C$42,T1167=1,X1167=0,W1167&gt;Assumptions!$C$43),1,0)</f>
        <v>0</v>
      </c>
      <c r="U1168" s="58" t="n">
        <f aca="false">W1167</f>
        <v>-182.103705036234</v>
      </c>
      <c r="V1168" s="58" t="n">
        <f aca="false">IF(T1168=1,U1168*$B$22,0)</f>
        <v>0</v>
      </c>
      <c r="W1168" s="58" t="n">
        <f aca="false">IF(T1168=1,U1168+V1168-$B$27,U1168)</f>
        <v>-182.103705036234</v>
      </c>
      <c r="X1168" s="56" t="n">
        <f aca="false">IF(T1168=1,IF($B$27&lt;=V1168,1,0),0)</f>
        <v>0</v>
      </c>
      <c r="Y1168" s="58" t="n">
        <f aca="false">Y1167+V1168</f>
        <v>113000.408372882</v>
      </c>
    </row>
    <row r="1169" customFormat="false" ht="15" hidden="false" customHeight="false" outlineLevel="0" collapsed="false">
      <c r="K1169" s="56" t="n">
        <f aca="false">K1168+1</f>
        <v>1162</v>
      </c>
      <c r="L1169" s="57" t="n">
        <f aca="false">IF(AND(K1169&lt;=Assumptions!$C$42,L1168=1,P1168=0,O1168&gt;Assumptions!$C$43),1,0)</f>
        <v>0</v>
      </c>
      <c r="M1169" s="58" t="n">
        <f aca="false">O1168</f>
        <v>8.10541678220034E-009</v>
      </c>
      <c r="N1169" s="58" t="n">
        <f aca="false">IF(L1169=1,M1169*$B$22,0)</f>
        <v>0</v>
      </c>
      <c r="O1169" s="58" t="n">
        <f aca="false">IF(L1169=1,M1169+N1169-$B$26,M1169)</f>
        <v>8.10541678220034E-009</v>
      </c>
      <c r="P1169" s="56" t="n">
        <f aca="false">IF(L1169=1,IF($B$26&lt;=N1169,1,0),0)</f>
        <v>0</v>
      </c>
      <c r="Q1169" s="58" t="n">
        <f aca="false">Q1168+N1169</f>
        <v>145877.630223336</v>
      </c>
      <c r="S1169" s="56" t="n">
        <f aca="false">S1168+1</f>
        <v>1162</v>
      </c>
      <c r="T1169" s="57" t="n">
        <f aca="false">IF(AND(S1169&lt;=Assumptions!$C$42,T1168=1,X1168=0,W1168&gt;Assumptions!$C$43),1,0)</f>
        <v>0</v>
      </c>
      <c r="U1169" s="58" t="n">
        <f aca="false">W1168</f>
        <v>-182.103705036234</v>
      </c>
      <c r="V1169" s="58" t="n">
        <f aca="false">IF(T1169=1,U1169*$B$22,0)</f>
        <v>0</v>
      </c>
      <c r="W1169" s="58" t="n">
        <f aca="false">IF(T1169=1,U1169+V1169-$B$27,U1169)</f>
        <v>-182.103705036234</v>
      </c>
      <c r="X1169" s="56" t="n">
        <f aca="false">IF(T1169=1,IF($B$27&lt;=V1169,1,0),0)</f>
        <v>0</v>
      </c>
      <c r="Y1169" s="58" t="n">
        <f aca="false">Y1168+V1169</f>
        <v>113000.408372882</v>
      </c>
    </row>
    <row r="1170" customFormat="false" ht="15" hidden="false" customHeight="false" outlineLevel="0" collapsed="false">
      <c r="K1170" s="56" t="n">
        <f aca="false">K1169+1</f>
        <v>1163</v>
      </c>
      <c r="L1170" s="57" t="n">
        <f aca="false">IF(AND(K1170&lt;=Assumptions!$C$42,L1169=1,P1169=0,O1169&gt;Assumptions!$C$43),1,0)</f>
        <v>0</v>
      </c>
      <c r="M1170" s="58" t="n">
        <f aca="false">O1169</f>
        <v>8.10541678220034E-009</v>
      </c>
      <c r="N1170" s="58" t="n">
        <f aca="false">IF(L1170=1,M1170*$B$22,0)</f>
        <v>0</v>
      </c>
      <c r="O1170" s="58" t="n">
        <f aca="false">IF(L1170=1,M1170+N1170-$B$26,M1170)</f>
        <v>8.10541678220034E-009</v>
      </c>
      <c r="P1170" s="56" t="n">
        <f aca="false">IF(L1170=1,IF($B$26&lt;=N1170,1,0),0)</f>
        <v>0</v>
      </c>
      <c r="Q1170" s="58" t="n">
        <f aca="false">Q1169+N1170</f>
        <v>145877.630223336</v>
      </c>
      <c r="S1170" s="56" t="n">
        <f aca="false">S1169+1</f>
        <v>1163</v>
      </c>
      <c r="T1170" s="57" t="n">
        <f aca="false">IF(AND(S1170&lt;=Assumptions!$C$42,T1169=1,X1169=0,W1169&gt;Assumptions!$C$43),1,0)</f>
        <v>0</v>
      </c>
      <c r="U1170" s="58" t="n">
        <f aca="false">W1169</f>
        <v>-182.103705036234</v>
      </c>
      <c r="V1170" s="58" t="n">
        <f aca="false">IF(T1170=1,U1170*$B$22,0)</f>
        <v>0</v>
      </c>
      <c r="W1170" s="58" t="n">
        <f aca="false">IF(T1170=1,U1170+V1170-$B$27,U1170)</f>
        <v>-182.103705036234</v>
      </c>
      <c r="X1170" s="56" t="n">
        <f aca="false">IF(T1170=1,IF($B$27&lt;=V1170,1,0),0)</f>
        <v>0</v>
      </c>
      <c r="Y1170" s="58" t="n">
        <f aca="false">Y1169+V1170</f>
        <v>113000.408372882</v>
      </c>
    </row>
    <row r="1171" customFormat="false" ht="15" hidden="false" customHeight="false" outlineLevel="0" collapsed="false">
      <c r="K1171" s="56" t="n">
        <f aca="false">K1170+1</f>
        <v>1164</v>
      </c>
      <c r="L1171" s="57" t="n">
        <f aca="false">IF(AND(K1171&lt;=Assumptions!$C$42,L1170=1,P1170=0,O1170&gt;Assumptions!$C$43),1,0)</f>
        <v>0</v>
      </c>
      <c r="M1171" s="58" t="n">
        <f aca="false">O1170</f>
        <v>8.10541678220034E-009</v>
      </c>
      <c r="N1171" s="58" t="n">
        <f aca="false">IF(L1171=1,M1171*$B$22,0)</f>
        <v>0</v>
      </c>
      <c r="O1171" s="58" t="n">
        <f aca="false">IF(L1171=1,M1171+N1171-$B$26,M1171)</f>
        <v>8.10541678220034E-009</v>
      </c>
      <c r="P1171" s="56" t="n">
        <f aca="false">IF(L1171=1,IF($B$26&lt;=N1171,1,0),0)</f>
        <v>0</v>
      </c>
      <c r="Q1171" s="58" t="n">
        <f aca="false">Q1170+N1171</f>
        <v>145877.630223336</v>
      </c>
      <c r="S1171" s="56" t="n">
        <f aca="false">S1170+1</f>
        <v>1164</v>
      </c>
      <c r="T1171" s="57" t="n">
        <f aca="false">IF(AND(S1171&lt;=Assumptions!$C$42,T1170=1,X1170=0,W1170&gt;Assumptions!$C$43),1,0)</f>
        <v>0</v>
      </c>
      <c r="U1171" s="58" t="n">
        <f aca="false">W1170</f>
        <v>-182.103705036234</v>
      </c>
      <c r="V1171" s="58" t="n">
        <f aca="false">IF(T1171=1,U1171*$B$22,0)</f>
        <v>0</v>
      </c>
      <c r="W1171" s="58" t="n">
        <f aca="false">IF(T1171=1,U1171+V1171-$B$27,U1171)</f>
        <v>-182.103705036234</v>
      </c>
      <c r="X1171" s="56" t="n">
        <f aca="false">IF(T1171=1,IF($B$27&lt;=V1171,1,0),0)</f>
        <v>0</v>
      </c>
      <c r="Y1171" s="58" t="n">
        <f aca="false">Y1170+V1171</f>
        <v>113000.408372882</v>
      </c>
    </row>
    <row r="1172" customFormat="false" ht="15" hidden="false" customHeight="false" outlineLevel="0" collapsed="false">
      <c r="K1172" s="56" t="n">
        <f aca="false">K1171+1</f>
        <v>1165</v>
      </c>
      <c r="L1172" s="57" t="n">
        <f aca="false">IF(AND(K1172&lt;=Assumptions!$C$42,L1171=1,P1171=0,O1171&gt;Assumptions!$C$43),1,0)</f>
        <v>0</v>
      </c>
      <c r="M1172" s="58" t="n">
        <f aca="false">O1171</f>
        <v>8.10541678220034E-009</v>
      </c>
      <c r="N1172" s="58" t="n">
        <f aca="false">IF(L1172=1,M1172*$B$22,0)</f>
        <v>0</v>
      </c>
      <c r="O1172" s="58" t="n">
        <f aca="false">IF(L1172=1,M1172+N1172-$B$26,M1172)</f>
        <v>8.10541678220034E-009</v>
      </c>
      <c r="P1172" s="56" t="n">
        <f aca="false">IF(L1172=1,IF($B$26&lt;=N1172,1,0),0)</f>
        <v>0</v>
      </c>
      <c r="Q1172" s="58" t="n">
        <f aca="false">Q1171+N1172</f>
        <v>145877.630223336</v>
      </c>
      <c r="S1172" s="56" t="n">
        <f aca="false">S1171+1</f>
        <v>1165</v>
      </c>
      <c r="T1172" s="57" t="n">
        <f aca="false">IF(AND(S1172&lt;=Assumptions!$C$42,T1171=1,X1171=0,W1171&gt;Assumptions!$C$43),1,0)</f>
        <v>0</v>
      </c>
      <c r="U1172" s="58" t="n">
        <f aca="false">W1171</f>
        <v>-182.103705036234</v>
      </c>
      <c r="V1172" s="58" t="n">
        <f aca="false">IF(T1172=1,U1172*$B$22,0)</f>
        <v>0</v>
      </c>
      <c r="W1172" s="58" t="n">
        <f aca="false">IF(T1172=1,U1172+V1172-$B$27,U1172)</f>
        <v>-182.103705036234</v>
      </c>
      <c r="X1172" s="56" t="n">
        <f aca="false">IF(T1172=1,IF($B$27&lt;=V1172,1,0),0)</f>
        <v>0</v>
      </c>
      <c r="Y1172" s="58" t="n">
        <f aca="false">Y1171+V1172</f>
        <v>113000.408372882</v>
      </c>
    </row>
    <row r="1173" customFormat="false" ht="15" hidden="false" customHeight="false" outlineLevel="0" collapsed="false">
      <c r="K1173" s="56" t="n">
        <f aca="false">K1172+1</f>
        <v>1166</v>
      </c>
      <c r="L1173" s="57" t="n">
        <f aca="false">IF(AND(K1173&lt;=Assumptions!$C$42,L1172=1,P1172=0,O1172&gt;Assumptions!$C$43),1,0)</f>
        <v>0</v>
      </c>
      <c r="M1173" s="58" t="n">
        <f aca="false">O1172</f>
        <v>8.10541678220034E-009</v>
      </c>
      <c r="N1173" s="58" t="n">
        <f aca="false">IF(L1173=1,M1173*$B$22,0)</f>
        <v>0</v>
      </c>
      <c r="O1173" s="58" t="n">
        <f aca="false">IF(L1173=1,M1173+N1173-$B$26,M1173)</f>
        <v>8.10541678220034E-009</v>
      </c>
      <c r="P1173" s="56" t="n">
        <f aca="false">IF(L1173=1,IF($B$26&lt;=N1173,1,0),0)</f>
        <v>0</v>
      </c>
      <c r="Q1173" s="58" t="n">
        <f aca="false">Q1172+N1173</f>
        <v>145877.630223336</v>
      </c>
      <c r="S1173" s="56" t="n">
        <f aca="false">S1172+1</f>
        <v>1166</v>
      </c>
      <c r="T1173" s="57" t="n">
        <f aca="false">IF(AND(S1173&lt;=Assumptions!$C$42,T1172=1,X1172=0,W1172&gt;Assumptions!$C$43),1,0)</f>
        <v>0</v>
      </c>
      <c r="U1173" s="58" t="n">
        <f aca="false">W1172</f>
        <v>-182.103705036234</v>
      </c>
      <c r="V1173" s="58" t="n">
        <f aca="false">IF(T1173=1,U1173*$B$22,0)</f>
        <v>0</v>
      </c>
      <c r="W1173" s="58" t="n">
        <f aca="false">IF(T1173=1,U1173+V1173-$B$27,U1173)</f>
        <v>-182.103705036234</v>
      </c>
      <c r="X1173" s="56" t="n">
        <f aca="false">IF(T1173=1,IF($B$27&lt;=V1173,1,0),0)</f>
        <v>0</v>
      </c>
      <c r="Y1173" s="58" t="n">
        <f aca="false">Y1172+V1173</f>
        <v>113000.408372882</v>
      </c>
    </row>
    <row r="1174" customFormat="false" ht="15" hidden="false" customHeight="false" outlineLevel="0" collapsed="false">
      <c r="K1174" s="56" t="n">
        <f aca="false">K1173+1</f>
        <v>1167</v>
      </c>
      <c r="L1174" s="57" t="n">
        <f aca="false">IF(AND(K1174&lt;=Assumptions!$C$42,L1173=1,P1173=0,O1173&gt;Assumptions!$C$43),1,0)</f>
        <v>0</v>
      </c>
      <c r="M1174" s="58" t="n">
        <f aca="false">O1173</f>
        <v>8.10541678220034E-009</v>
      </c>
      <c r="N1174" s="58" t="n">
        <f aca="false">IF(L1174=1,M1174*$B$22,0)</f>
        <v>0</v>
      </c>
      <c r="O1174" s="58" t="n">
        <f aca="false">IF(L1174=1,M1174+N1174-$B$26,M1174)</f>
        <v>8.10541678220034E-009</v>
      </c>
      <c r="P1174" s="56" t="n">
        <f aca="false">IF(L1174=1,IF($B$26&lt;=N1174,1,0),0)</f>
        <v>0</v>
      </c>
      <c r="Q1174" s="58" t="n">
        <f aca="false">Q1173+N1174</f>
        <v>145877.630223336</v>
      </c>
      <c r="S1174" s="56" t="n">
        <f aca="false">S1173+1</f>
        <v>1167</v>
      </c>
      <c r="T1174" s="57" t="n">
        <f aca="false">IF(AND(S1174&lt;=Assumptions!$C$42,T1173=1,X1173=0,W1173&gt;Assumptions!$C$43),1,0)</f>
        <v>0</v>
      </c>
      <c r="U1174" s="58" t="n">
        <f aca="false">W1173</f>
        <v>-182.103705036234</v>
      </c>
      <c r="V1174" s="58" t="n">
        <f aca="false">IF(T1174=1,U1174*$B$22,0)</f>
        <v>0</v>
      </c>
      <c r="W1174" s="58" t="n">
        <f aca="false">IF(T1174=1,U1174+V1174-$B$27,U1174)</f>
        <v>-182.103705036234</v>
      </c>
      <c r="X1174" s="56" t="n">
        <f aca="false">IF(T1174=1,IF($B$27&lt;=V1174,1,0),0)</f>
        <v>0</v>
      </c>
      <c r="Y1174" s="58" t="n">
        <f aca="false">Y1173+V1174</f>
        <v>113000.408372882</v>
      </c>
    </row>
    <row r="1175" customFormat="false" ht="15" hidden="false" customHeight="false" outlineLevel="0" collapsed="false">
      <c r="K1175" s="56" t="n">
        <f aca="false">K1174+1</f>
        <v>1168</v>
      </c>
      <c r="L1175" s="57" t="n">
        <f aca="false">IF(AND(K1175&lt;=Assumptions!$C$42,L1174=1,P1174=0,O1174&gt;Assumptions!$C$43),1,0)</f>
        <v>0</v>
      </c>
      <c r="M1175" s="58" t="n">
        <f aca="false">O1174</f>
        <v>8.10541678220034E-009</v>
      </c>
      <c r="N1175" s="58" t="n">
        <f aca="false">IF(L1175=1,M1175*$B$22,0)</f>
        <v>0</v>
      </c>
      <c r="O1175" s="58" t="n">
        <f aca="false">IF(L1175=1,M1175+N1175-$B$26,M1175)</f>
        <v>8.10541678220034E-009</v>
      </c>
      <c r="P1175" s="56" t="n">
        <f aca="false">IF(L1175=1,IF($B$26&lt;=N1175,1,0),0)</f>
        <v>0</v>
      </c>
      <c r="Q1175" s="58" t="n">
        <f aca="false">Q1174+N1175</f>
        <v>145877.630223336</v>
      </c>
      <c r="S1175" s="56" t="n">
        <f aca="false">S1174+1</f>
        <v>1168</v>
      </c>
      <c r="T1175" s="57" t="n">
        <f aca="false">IF(AND(S1175&lt;=Assumptions!$C$42,T1174=1,X1174=0,W1174&gt;Assumptions!$C$43),1,0)</f>
        <v>0</v>
      </c>
      <c r="U1175" s="58" t="n">
        <f aca="false">W1174</f>
        <v>-182.103705036234</v>
      </c>
      <c r="V1175" s="58" t="n">
        <f aca="false">IF(T1175=1,U1175*$B$22,0)</f>
        <v>0</v>
      </c>
      <c r="W1175" s="58" t="n">
        <f aca="false">IF(T1175=1,U1175+V1175-$B$27,U1175)</f>
        <v>-182.103705036234</v>
      </c>
      <c r="X1175" s="56" t="n">
        <f aca="false">IF(T1175=1,IF($B$27&lt;=V1175,1,0),0)</f>
        <v>0</v>
      </c>
      <c r="Y1175" s="58" t="n">
        <f aca="false">Y1174+V1175</f>
        <v>113000.408372882</v>
      </c>
    </row>
    <row r="1176" customFormat="false" ht="15" hidden="false" customHeight="false" outlineLevel="0" collapsed="false">
      <c r="K1176" s="56" t="n">
        <f aca="false">K1175+1</f>
        <v>1169</v>
      </c>
      <c r="L1176" s="57" t="n">
        <f aca="false">IF(AND(K1176&lt;=Assumptions!$C$42,L1175=1,P1175=0,O1175&gt;Assumptions!$C$43),1,0)</f>
        <v>0</v>
      </c>
      <c r="M1176" s="58" t="n">
        <f aca="false">O1175</f>
        <v>8.10541678220034E-009</v>
      </c>
      <c r="N1176" s="58" t="n">
        <f aca="false">IF(L1176=1,M1176*$B$22,0)</f>
        <v>0</v>
      </c>
      <c r="O1176" s="58" t="n">
        <f aca="false">IF(L1176=1,M1176+N1176-$B$26,M1176)</f>
        <v>8.10541678220034E-009</v>
      </c>
      <c r="P1176" s="56" t="n">
        <f aca="false">IF(L1176=1,IF($B$26&lt;=N1176,1,0),0)</f>
        <v>0</v>
      </c>
      <c r="Q1176" s="58" t="n">
        <f aca="false">Q1175+N1176</f>
        <v>145877.630223336</v>
      </c>
      <c r="S1176" s="56" t="n">
        <f aca="false">S1175+1</f>
        <v>1169</v>
      </c>
      <c r="T1176" s="57" t="n">
        <f aca="false">IF(AND(S1176&lt;=Assumptions!$C$42,T1175=1,X1175=0,W1175&gt;Assumptions!$C$43),1,0)</f>
        <v>0</v>
      </c>
      <c r="U1176" s="58" t="n">
        <f aca="false">W1175</f>
        <v>-182.103705036234</v>
      </c>
      <c r="V1176" s="58" t="n">
        <f aca="false">IF(T1176=1,U1176*$B$22,0)</f>
        <v>0</v>
      </c>
      <c r="W1176" s="58" t="n">
        <f aca="false">IF(T1176=1,U1176+V1176-$B$27,U1176)</f>
        <v>-182.103705036234</v>
      </c>
      <c r="X1176" s="56" t="n">
        <f aca="false">IF(T1176=1,IF($B$27&lt;=V1176,1,0),0)</f>
        <v>0</v>
      </c>
      <c r="Y1176" s="58" t="n">
        <f aca="false">Y1175+V1176</f>
        <v>113000.408372882</v>
      </c>
    </row>
    <row r="1177" customFormat="false" ht="15" hidden="false" customHeight="false" outlineLevel="0" collapsed="false">
      <c r="K1177" s="56" t="n">
        <f aca="false">K1176+1</f>
        <v>1170</v>
      </c>
      <c r="L1177" s="57" t="n">
        <f aca="false">IF(AND(K1177&lt;=Assumptions!$C$42,L1176=1,P1176=0,O1176&gt;Assumptions!$C$43),1,0)</f>
        <v>0</v>
      </c>
      <c r="M1177" s="58" t="n">
        <f aca="false">O1176</f>
        <v>8.10541678220034E-009</v>
      </c>
      <c r="N1177" s="58" t="n">
        <f aca="false">IF(L1177=1,M1177*$B$22,0)</f>
        <v>0</v>
      </c>
      <c r="O1177" s="58" t="n">
        <f aca="false">IF(L1177=1,M1177+N1177-$B$26,M1177)</f>
        <v>8.10541678220034E-009</v>
      </c>
      <c r="P1177" s="56" t="n">
        <f aca="false">IF(L1177=1,IF($B$26&lt;=N1177,1,0),0)</f>
        <v>0</v>
      </c>
      <c r="Q1177" s="58" t="n">
        <f aca="false">Q1176+N1177</f>
        <v>145877.630223336</v>
      </c>
      <c r="S1177" s="56" t="n">
        <f aca="false">S1176+1</f>
        <v>1170</v>
      </c>
      <c r="T1177" s="57" t="n">
        <f aca="false">IF(AND(S1177&lt;=Assumptions!$C$42,T1176=1,X1176=0,W1176&gt;Assumptions!$C$43),1,0)</f>
        <v>0</v>
      </c>
      <c r="U1177" s="58" t="n">
        <f aca="false">W1176</f>
        <v>-182.103705036234</v>
      </c>
      <c r="V1177" s="58" t="n">
        <f aca="false">IF(T1177=1,U1177*$B$22,0)</f>
        <v>0</v>
      </c>
      <c r="W1177" s="58" t="n">
        <f aca="false">IF(T1177=1,U1177+V1177-$B$27,U1177)</f>
        <v>-182.103705036234</v>
      </c>
      <c r="X1177" s="56" t="n">
        <f aca="false">IF(T1177=1,IF($B$27&lt;=V1177,1,0),0)</f>
        <v>0</v>
      </c>
      <c r="Y1177" s="58" t="n">
        <f aca="false">Y1176+V1177</f>
        <v>113000.408372882</v>
      </c>
    </row>
    <row r="1178" customFormat="false" ht="15" hidden="false" customHeight="false" outlineLevel="0" collapsed="false">
      <c r="K1178" s="56" t="n">
        <f aca="false">K1177+1</f>
        <v>1171</v>
      </c>
      <c r="L1178" s="57" t="n">
        <f aca="false">IF(AND(K1178&lt;=Assumptions!$C$42,L1177=1,P1177=0,O1177&gt;Assumptions!$C$43),1,0)</f>
        <v>0</v>
      </c>
      <c r="M1178" s="58" t="n">
        <f aca="false">O1177</f>
        <v>8.10541678220034E-009</v>
      </c>
      <c r="N1178" s="58" t="n">
        <f aca="false">IF(L1178=1,M1178*$B$22,0)</f>
        <v>0</v>
      </c>
      <c r="O1178" s="58" t="n">
        <f aca="false">IF(L1178=1,M1178+N1178-$B$26,M1178)</f>
        <v>8.10541678220034E-009</v>
      </c>
      <c r="P1178" s="56" t="n">
        <f aca="false">IF(L1178=1,IF($B$26&lt;=N1178,1,0),0)</f>
        <v>0</v>
      </c>
      <c r="Q1178" s="58" t="n">
        <f aca="false">Q1177+N1178</f>
        <v>145877.630223336</v>
      </c>
      <c r="S1178" s="56" t="n">
        <f aca="false">S1177+1</f>
        <v>1171</v>
      </c>
      <c r="T1178" s="57" t="n">
        <f aca="false">IF(AND(S1178&lt;=Assumptions!$C$42,T1177=1,X1177=0,W1177&gt;Assumptions!$C$43),1,0)</f>
        <v>0</v>
      </c>
      <c r="U1178" s="58" t="n">
        <f aca="false">W1177</f>
        <v>-182.103705036234</v>
      </c>
      <c r="V1178" s="58" t="n">
        <f aca="false">IF(T1178=1,U1178*$B$22,0)</f>
        <v>0</v>
      </c>
      <c r="W1178" s="58" t="n">
        <f aca="false">IF(T1178=1,U1178+V1178-$B$27,U1178)</f>
        <v>-182.103705036234</v>
      </c>
      <c r="X1178" s="56" t="n">
        <f aca="false">IF(T1178=1,IF($B$27&lt;=V1178,1,0),0)</f>
        <v>0</v>
      </c>
      <c r="Y1178" s="58" t="n">
        <f aca="false">Y1177+V1178</f>
        <v>113000.408372882</v>
      </c>
    </row>
    <row r="1179" customFormat="false" ht="15" hidden="false" customHeight="false" outlineLevel="0" collapsed="false">
      <c r="K1179" s="56" t="n">
        <f aca="false">K1178+1</f>
        <v>1172</v>
      </c>
      <c r="L1179" s="57" t="n">
        <f aca="false">IF(AND(K1179&lt;=Assumptions!$C$42,L1178=1,P1178=0,O1178&gt;Assumptions!$C$43),1,0)</f>
        <v>0</v>
      </c>
      <c r="M1179" s="58" t="n">
        <f aca="false">O1178</f>
        <v>8.10541678220034E-009</v>
      </c>
      <c r="N1179" s="58" t="n">
        <f aca="false">IF(L1179=1,M1179*$B$22,0)</f>
        <v>0</v>
      </c>
      <c r="O1179" s="58" t="n">
        <f aca="false">IF(L1179=1,M1179+N1179-$B$26,M1179)</f>
        <v>8.10541678220034E-009</v>
      </c>
      <c r="P1179" s="56" t="n">
        <f aca="false">IF(L1179=1,IF($B$26&lt;=N1179,1,0),0)</f>
        <v>0</v>
      </c>
      <c r="Q1179" s="58" t="n">
        <f aca="false">Q1178+N1179</f>
        <v>145877.630223336</v>
      </c>
      <c r="S1179" s="56" t="n">
        <f aca="false">S1178+1</f>
        <v>1172</v>
      </c>
      <c r="T1179" s="57" t="n">
        <f aca="false">IF(AND(S1179&lt;=Assumptions!$C$42,T1178=1,X1178=0,W1178&gt;Assumptions!$C$43),1,0)</f>
        <v>0</v>
      </c>
      <c r="U1179" s="58" t="n">
        <f aca="false">W1178</f>
        <v>-182.103705036234</v>
      </c>
      <c r="V1179" s="58" t="n">
        <f aca="false">IF(T1179=1,U1179*$B$22,0)</f>
        <v>0</v>
      </c>
      <c r="W1179" s="58" t="n">
        <f aca="false">IF(T1179=1,U1179+V1179-$B$27,U1179)</f>
        <v>-182.103705036234</v>
      </c>
      <c r="X1179" s="56" t="n">
        <f aca="false">IF(T1179=1,IF($B$27&lt;=V1179,1,0),0)</f>
        <v>0</v>
      </c>
      <c r="Y1179" s="58" t="n">
        <f aca="false">Y1178+V1179</f>
        <v>113000.408372882</v>
      </c>
    </row>
    <row r="1180" customFormat="false" ht="15" hidden="false" customHeight="false" outlineLevel="0" collapsed="false">
      <c r="K1180" s="56" t="n">
        <f aca="false">K1179+1</f>
        <v>1173</v>
      </c>
      <c r="L1180" s="57" t="n">
        <f aca="false">IF(AND(K1180&lt;=Assumptions!$C$42,L1179=1,P1179=0,O1179&gt;Assumptions!$C$43),1,0)</f>
        <v>0</v>
      </c>
      <c r="M1180" s="58" t="n">
        <f aca="false">O1179</f>
        <v>8.10541678220034E-009</v>
      </c>
      <c r="N1180" s="58" t="n">
        <f aca="false">IF(L1180=1,M1180*$B$22,0)</f>
        <v>0</v>
      </c>
      <c r="O1180" s="58" t="n">
        <f aca="false">IF(L1180=1,M1180+N1180-$B$26,M1180)</f>
        <v>8.10541678220034E-009</v>
      </c>
      <c r="P1180" s="56" t="n">
        <f aca="false">IF(L1180=1,IF($B$26&lt;=N1180,1,0),0)</f>
        <v>0</v>
      </c>
      <c r="Q1180" s="58" t="n">
        <f aca="false">Q1179+N1180</f>
        <v>145877.630223336</v>
      </c>
      <c r="S1180" s="56" t="n">
        <f aca="false">S1179+1</f>
        <v>1173</v>
      </c>
      <c r="T1180" s="57" t="n">
        <f aca="false">IF(AND(S1180&lt;=Assumptions!$C$42,T1179=1,X1179=0,W1179&gt;Assumptions!$C$43),1,0)</f>
        <v>0</v>
      </c>
      <c r="U1180" s="58" t="n">
        <f aca="false">W1179</f>
        <v>-182.103705036234</v>
      </c>
      <c r="V1180" s="58" t="n">
        <f aca="false">IF(T1180=1,U1180*$B$22,0)</f>
        <v>0</v>
      </c>
      <c r="W1180" s="58" t="n">
        <f aca="false">IF(T1180=1,U1180+V1180-$B$27,U1180)</f>
        <v>-182.103705036234</v>
      </c>
      <c r="X1180" s="56" t="n">
        <f aca="false">IF(T1180=1,IF($B$27&lt;=V1180,1,0),0)</f>
        <v>0</v>
      </c>
      <c r="Y1180" s="58" t="n">
        <f aca="false">Y1179+V1180</f>
        <v>113000.408372882</v>
      </c>
    </row>
    <row r="1181" customFormat="false" ht="15" hidden="false" customHeight="false" outlineLevel="0" collapsed="false">
      <c r="K1181" s="56" t="n">
        <f aca="false">K1180+1</f>
        <v>1174</v>
      </c>
      <c r="L1181" s="57" t="n">
        <f aca="false">IF(AND(K1181&lt;=Assumptions!$C$42,L1180=1,P1180=0,O1180&gt;Assumptions!$C$43),1,0)</f>
        <v>0</v>
      </c>
      <c r="M1181" s="58" t="n">
        <f aca="false">O1180</f>
        <v>8.10541678220034E-009</v>
      </c>
      <c r="N1181" s="58" t="n">
        <f aca="false">IF(L1181=1,M1181*$B$22,0)</f>
        <v>0</v>
      </c>
      <c r="O1181" s="58" t="n">
        <f aca="false">IF(L1181=1,M1181+N1181-$B$26,M1181)</f>
        <v>8.10541678220034E-009</v>
      </c>
      <c r="P1181" s="56" t="n">
        <f aca="false">IF(L1181=1,IF($B$26&lt;=N1181,1,0),0)</f>
        <v>0</v>
      </c>
      <c r="Q1181" s="58" t="n">
        <f aca="false">Q1180+N1181</f>
        <v>145877.630223336</v>
      </c>
      <c r="S1181" s="56" t="n">
        <f aca="false">S1180+1</f>
        <v>1174</v>
      </c>
      <c r="T1181" s="57" t="n">
        <f aca="false">IF(AND(S1181&lt;=Assumptions!$C$42,T1180=1,X1180=0,W1180&gt;Assumptions!$C$43),1,0)</f>
        <v>0</v>
      </c>
      <c r="U1181" s="58" t="n">
        <f aca="false">W1180</f>
        <v>-182.103705036234</v>
      </c>
      <c r="V1181" s="58" t="n">
        <f aca="false">IF(T1181=1,U1181*$B$22,0)</f>
        <v>0</v>
      </c>
      <c r="W1181" s="58" t="n">
        <f aca="false">IF(T1181=1,U1181+V1181-$B$27,U1181)</f>
        <v>-182.103705036234</v>
      </c>
      <c r="X1181" s="56" t="n">
        <f aca="false">IF(T1181=1,IF($B$27&lt;=V1181,1,0),0)</f>
        <v>0</v>
      </c>
      <c r="Y1181" s="58" t="n">
        <f aca="false">Y1180+V1181</f>
        <v>113000.408372882</v>
      </c>
    </row>
    <row r="1182" customFormat="false" ht="15" hidden="false" customHeight="false" outlineLevel="0" collapsed="false">
      <c r="K1182" s="56" t="n">
        <f aca="false">K1181+1</f>
        <v>1175</v>
      </c>
      <c r="L1182" s="57" t="n">
        <f aca="false">IF(AND(K1182&lt;=Assumptions!$C$42,L1181=1,P1181=0,O1181&gt;Assumptions!$C$43),1,0)</f>
        <v>0</v>
      </c>
      <c r="M1182" s="58" t="n">
        <f aca="false">O1181</f>
        <v>8.10541678220034E-009</v>
      </c>
      <c r="N1182" s="58" t="n">
        <f aca="false">IF(L1182=1,M1182*$B$22,0)</f>
        <v>0</v>
      </c>
      <c r="O1182" s="58" t="n">
        <f aca="false">IF(L1182=1,M1182+N1182-$B$26,M1182)</f>
        <v>8.10541678220034E-009</v>
      </c>
      <c r="P1182" s="56" t="n">
        <f aca="false">IF(L1182=1,IF($B$26&lt;=N1182,1,0),0)</f>
        <v>0</v>
      </c>
      <c r="Q1182" s="58" t="n">
        <f aca="false">Q1181+N1182</f>
        <v>145877.630223336</v>
      </c>
      <c r="S1182" s="56" t="n">
        <f aca="false">S1181+1</f>
        <v>1175</v>
      </c>
      <c r="T1182" s="57" t="n">
        <f aca="false">IF(AND(S1182&lt;=Assumptions!$C$42,T1181=1,X1181=0,W1181&gt;Assumptions!$C$43),1,0)</f>
        <v>0</v>
      </c>
      <c r="U1182" s="58" t="n">
        <f aca="false">W1181</f>
        <v>-182.103705036234</v>
      </c>
      <c r="V1182" s="58" t="n">
        <f aca="false">IF(T1182=1,U1182*$B$22,0)</f>
        <v>0</v>
      </c>
      <c r="W1182" s="58" t="n">
        <f aca="false">IF(T1182=1,U1182+V1182-$B$27,U1182)</f>
        <v>-182.103705036234</v>
      </c>
      <c r="X1182" s="56" t="n">
        <f aca="false">IF(T1182=1,IF($B$27&lt;=V1182,1,0),0)</f>
        <v>0</v>
      </c>
      <c r="Y1182" s="58" t="n">
        <f aca="false">Y1181+V1182</f>
        <v>113000.408372882</v>
      </c>
    </row>
    <row r="1183" customFormat="false" ht="15" hidden="false" customHeight="false" outlineLevel="0" collapsed="false">
      <c r="K1183" s="56" t="n">
        <f aca="false">K1182+1</f>
        <v>1176</v>
      </c>
      <c r="L1183" s="57" t="n">
        <f aca="false">IF(AND(K1183&lt;=Assumptions!$C$42,L1182=1,P1182=0,O1182&gt;Assumptions!$C$43),1,0)</f>
        <v>0</v>
      </c>
      <c r="M1183" s="58" t="n">
        <f aca="false">O1182</f>
        <v>8.10541678220034E-009</v>
      </c>
      <c r="N1183" s="58" t="n">
        <f aca="false">IF(L1183=1,M1183*$B$22,0)</f>
        <v>0</v>
      </c>
      <c r="O1183" s="58" t="n">
        <f aca="false">IF(L1183=1,M1183+N1183-$B$26,M1183)</f>
        <v>8.10541678220034E-009</v>
      </c>
      <c r="P1183" s="56" t="n">
        <f aca="false">IF(L1183=1,IF($B$26&lt;=N1183,1,0),0)</f>
        <v>0</v>
      </c>
      <c r="Q1183" s="58" t="n">
        <f aca="false">Q1182+N1183</f>
        <v>145877.630223336</v>
      </c>
      <c r="S1183" s="56" t="n">
        <f aca="false">S1182+1</f>
        <v>1176</v>
      </c>
      <c r="T1183" s="57" t="n">
        <f aca="false">IF(AND(S1183&lt;=Assumptions!$C$42,T1182=1,X1182=0,W1182&gt;Assumptions!$C$43),1,0)</f>
        <v>0</v>
      </c>
      <c r="U1183" s="58" t="n">
        <f aca="false">W1182</f>
        <v>-182.103705036234</v>
      </c>
      <c r="V1183" s="58" t="n">
        <f aca="false">IF(T1183=1,U1183*$B$22,0)</f>
        <v>0</v>
      </c>
      <c r="W1183" s="58" t="n">
        <f aca="false">IF(T1183=1,U1183+V1183-$B$27,U1183)</f>
        <v>-182.103705036234</v>
      </c>
      <c r="X1183" s="56" t="n">
        <f aca="false">IF(T1183=1,IF($B$27&lt;=V1183,1,0),0)</f>
        <v>0</v>
      </c>
      <c r="Y1183" s="58" t="n">
        <f aca="false">Y1182+V1183</f>
        <v>113000.408372882</v>
      </c>
    </row>
    <row r="1184" customFormat="false" ht="15" hidden="false" customHeight="false" outlineLevel="0" collapsed="false">
      <c r="K1184" s="56" t="n">
        <f aca="false">K1183+1</f>
        <v>1177</v>
      </c>
      <c r="L1184" s="57" t="n">
        <f aca="false">IF(AND(K1184&lt;=Assumptions!$C$42,L1183=1,P1183=0,O1183&gt;Assumptions!$C$43),1,0)</f>
        <v>0</v>
      </c>
      <c r="M1184" s="58" t="n">
        <f aca="false">O1183</f>
        <v>8.10541678220034E-009</v>
      </c>
      <c r="N1184" s="58" t="n">
        <f aca="false">IF(L1184=1,M1184*$B$22,0)</f>
        <v>0</v>
      </c>
      <c r="O1184" s="58" t="n">
        <f aca="false">IF(L1184=1,M1184+N1184-$B$26,M1184)</f>
        <v>8.10541678220034E-009</v>
      </c>
      <c r="P1184" s="56" t="n">
        <f aca="false">IF(L1184=1,IF($B$26&lt;=N1184,1,0),0)</f>
        <v>0</v>
      </c>
      <c r="Q1184" s="58" t="n">
        <f aca="false">Q1183+N1184</f>
        <v>145877.630223336</v>
      </c>
      <c r="S1184" s="56" t="n">
        <f aca="false">S1183+1</f>
        <v>1177</v>
      </c>
      <c r="T1184" s="57" t="n">
        <f aca="false">IF(AND(S1184&lt;=Assumptions!$C$42,T1183=1,X1183=0,W1183&gt;Assumptions!$C$43),1,0)</f>
        <v>0</v>
      </c>
      <c r="U1184" s="58" t="n">
        <f aca="false">W1183</f>
        <v>-182.103705036234</v>
      </c>
      <c r="V1184" s="58" t="n">
        <f aca="false">IF(T1184=1,U1184*$B$22,0)</f>
        <v>0</v>
      </c>
      <c r="W1184" s="58" t="n">
        <f aca="false">IF(T1184=1,U1184+V1184-$B$27,U1184)</f>
        <v>-182.103705036234</v>
      </c>
      <c r="X1184" s="56" t="n">
        <f aca="false">IF(T1184=1,IF($B$27&lt;=V1184,1,0),0)</f>
        <v>0</v>
      </c>
      <c r="Y1184" s="58" t="n">
        <f aca="false">Y1183+V1184</f>
        <v>113000.408372882</v>
      </c>
    </row>
    <row r="1185" customFormat="false" ht="15" hidden="false" customHeight="false" outlineLevel="0" collapsed="false">
      <c r="K1185" s="56" t="n">
        <f aca="false">K1184+1</f>
        <v>1178</v>
      </c>
      <c r="L1185" s="57" t="n">
        <f aca="false">IF(AND(K1185&lt;=Assumptions!$C$42,L1184=1,P1184=0,O1184&gt;Assumptions!$C$43),1,0)</f>
        <v>0</v>
      </c>
      <c r="M1185" s="58" t="n">
        <f aca="false">O1184</f>
        <v>8.10541678220034E-009</v>
      </c>
      <c r="N1185" s="58" t="n">
        <f aca="false">IF(L1185=1,M1185*$B$22,0)</f>
        <v>0</v>
      </c>
      <c r="O1185" s="58" t="n">
        <f aca="false">IF(L1185=1,M1185+N1185-$B$26,M1185)</f>
        <v>8.10541678220034E-009</v>
      </c>
      <c r="P1185" s="56" t="n">
        <f aca="false">IF(L1185=1,IF($B$26&lt;=N1185,1,0),0)</f>
        <v>0</v>
      </c>
      <c r="Q1185" s="58" t="n">
        <f aca="false">Q1184+N1185</f>
        <v>145877.630223336</v>
      </c>
      <c r="S1185" s="56" t="n">
        <f aca="false">S1184+1</f>
        <v>1178</v>
      </c>
      <c r="T1185" s="57" t="n">
        <f aca="false">IF(AND(S1185&lt;=Assumptions!$C$42,T1184=1,X1184=0,W1184&gt;Assumptions!$C$43),1,0)</f>
        <v>0</v>
      </c>
      <c r="U1185" s="58" t="n">
        <f aca="false">W1184</f>
        <v>-182.103705036234</v>
      </c>
      <c r="V1185" s="58" t="n">
        <f aca="false">IF(T1185=1,U1185*$B$22,0)</f>
        <v>0</v>
      </c>
      <c r="W1185" s="58" t="n">
        <f aca="false">IF(T1185=1,U1185+V1185-$B$27,U1185)</f>
        <v>-182.103705036234</v>
      </c>
      <c r="X1185" s="56" t="n">
        <f aca="false">IF(T1185=1,IF($B$27&lt;=V1185,1,0),0)</f>
        <v>0</v>
      </c>
      <c r="Y1185" s="58" t="n">
        <f aca="false">Y1184+V1185</f>
        <v>113000.408372882</v>
      </c>
    </row>
    <row r="1186" customFormat="false" ht="15" hidden="false" customHeight="false" outlineLevel="0" collapsed="false">
      <c r="K1186" s="56" t="n">
        <f aca="false">K1185+1</f>
        <v>1179</v>
      </c>
      <c r="L1186" s="57" t="n">
        <f aca="false">IF(AND(K1186&lt;=Assumptions!$C$42,L1185=1,P1185=0,O1185&gt;Assumptions!$C$43),1,0)</f>
        <v>0</v>
      </c>
      <c r="M1186" s="58" t="n">
        <f aca="false">O1185</f>
        <v>8.10541678220034E-009</v>
      </c>
      <c r="N1186" s="58" t="n">
        <f aca="false">IF(L1186=1,M1186*$B$22,0)</f>
        <v>0</v>
      </c>
      <c r="O1186" s="58" t="n">
        <f aca="false">IF(L1186=1,M1186+N1186-$B$26,M1186)</f>
        <v>8.10541678220034E-009</v>
      </c>
      <c r="P1186" s="56" t="n">
        <f aca="false">IF(L1186=1,IF($B$26&lt;=N1186,1,0),0)</f>
        <v>0</v>
      </c>
      <c r="Q1186" s="58" t="n">
        <f aca="false">Q1185+N1186</f>
        <v>145877.630223336</v>
      </c>
      <c r="S1186" s="56" t="n">
        <f aca="false">S1185+1</f>
        <v>1179</v>
      </c>
      <c r="T1186" s="57" t="n">
        <f aca="false">IF(AND(S1186&lt;=Assumptions!$C$42,T1185=1,X1185=0,W1185&gt;Assumptions!$C$43),1,0)</f>
        <v>0</v>
      </c>
      <c r="U1186" s="58" t="n">
        <f aca="false">W1185</f>
        <v>-182.103705036234</v>
      </c>
      <c r="V1186" s="58" t="n">
        <f aca="false">IF(T1186=1,U1186*$B$22,0)</f>
        <v>0</v>
      </c>
      <c r="W1186" s="58" t="n">
        <f aca="false">IF(T1186=1,U1186+V1186-$B$27,U1186)</f>
        <v>-182.103705036234</v>
      </c>
      <c r="X1186" s="56" t="n">
        <f aca="false">IF(T1186=1,IF($B$27&lt;=V1186,1,0),0)</f>
        <v>0</v>
      </c>
      <c r="Y1186" s="58" t="n">
        <f aca="false">Y1185+V1186</f>
        <v>113000.408372882</v>
      </c>
    </row>
    <row r="1187" customFormat="false" ht="15" hidden="false" customHeight="false" outlineLevel="0" collapsed="false">
      <c r="K1187" s="56" t="n">
        <f aca="false">K1186+1</f>
        <v>1180</v>
      </c>
      <c r="L1187" s="57" t="n">
        <f aca="false">IF(AND(K1187&lt;=Assumptions!$C$42,L1186=1,P1186=0,O1186&gt;Assumptions!$C$43),1,0)</f>
        <v>0</v>
      </c>
      <c r="M1187" s="58" t="n">
        <f aca="false">O1186</f>
        <v>8.10541678220034E-009</v>
      </c>
      <c r="N1187" s="58" t="n">
        <f aca="false">IF(L1187=1,M1187*$B$22,0)</f>
        <v>0</v>
      </c>
      <c r="O1187" s="58" t="n">
        <f aca="false">IF(L1187=1,M1187+N1187-$B$26,M1187)</f>
        <v>8.10541678220034E-009</v>
      </c>
      <c r="P1187" s="56" t="n">
        <f aca="false">IF(L1187=1,IF($B$26&lt;=N1187,1,0),0)</f>
        <v>0</v>
      </c>
      <c r="Q1187" s="58" t="n">
        <f aca="false">Q1186+N1187</f>
        <v>145877.630223336</v>
      </c>
      <c r="S1187" s="56" t="n">
        <f aca="false">S1186+1</f>
        <v>1180</v>
      </c>
      <c r="T1187" s="57" t="n">
        <f aca="false">IF(AND(S1187&lt;=Assumptions!$C$42,T1186=1,X1186=0,W1186&gt;Assumptions!$C$43),1,0)</f>
        <v>0</v>
      </c>
      <c r="U1187" s="58" t="n">
        <f aca="false">W1186</f>
        <v>-182.103705036234</v>
      </c>
      <c r="V1187" s="58" t="n">
        <f aca="false">IF(T1187=1,U1187*$B$22,0)</f>
        <v>0</v>
      </c>
      <c r="W1187" s="58" t="n">
        <f aca="false">IF(T1187=1,U1187+V1187-$B$27,U1187)</f>
        <v>-182.103705036234</v>
      </c>
      <c r="X1187" s="56" t="n">
        <f aca="false">IF(T1187=1,IF($B$27&lt;=V1187,1,0),0)</f>
        <v>0</v>
      </c>
      <c r="Y1187" s="58" t="n">
        <f aca="false">Y1186+V1187</f>
        <v>113000.408372882</v>
      </c>
    </row>
    <row r="1188" customFormat="false" ht="15" hidden="false" customHeight="false" outlineLevel="0" collapsed="false">
      <c r="K1188" s="56" t="n">
        <f aca="false">K1187+1</f>
        <v>1181</v>
      </c>
      <c r="L1188" s="57" t="n">
        <f aca="false">IF(AND(K1188&lt;=Assumptions!$C$42,L1187=1,P1187=0,O1187&gt;Assumptions!$C$43),1,0)</f>
        <v>0</v>
      </c>
      <c r="M1188" s="58" t="n">
        <f aca="false">O1187</f>
        <v>8.10541678220034E-009</v>
      </c>
      <c r="N1188" s="58" t="n">
        <f aca="false">IF(L1188=1,M1188*$B$22,0)</f>
        <v>0</v>
      </c>
      <c r="O1188" s="58" t="n">
        <f aca="false">IF(L1188=1,M1188+N1188-$B$26,M1188)</f>
        <v>8.10541678220034E-009</v>
      </c>
      <c r="P1188" s="56" t="n">
        <f aca="false">IF(L1188=1,IF($B$26&lt;=N1188,1,0),0)</f>
        <v>0</v>
      </c>
      <c r="Q1188" s="58" t="n">
        <f aca="false">Q1187+N1188</f>
        <v>145877.630223336</v>
      </c>
      <c r="S1188" s="56" t="n">
        <f aca="false">S1187+1</f>
        <v>1181</v>
      </c>
      <c r="T1188" s="57" t="n">
        <f aca="false">IF(AND(S1188&lt;=Assumptions!$C$42,T1187=1,X1187=0,W1187&gt;Assumptions!$C$43),1,0)</f>
        <v>0</v>
      </c>
      <c r="U1188" s="58" t="n">
        <f aca="false">W1187</f>
        <v>-182.103705036234</v>
      </c>
      <c r="V1188" s="58" t="n">
        <f aca="false">IF(T1188=1,U1188*$B$22,0)</f>
        <v>0</v>
      </c>
      <c r="W1188" s="58" t="n">
        <f aca="false">IF(T1188=1,U1188+V1188-$B$27,U1188)</f>
        <v>-182.103705036234</v>
      </c>
      <c r="X1188" s="56" t="n">
        <f aca="false">IF(T1188=1,IF($B$27&lt;=V1188,1,0),0)</f>
        <v>0</v>
      </c>
      <c r="Y1188" s="58" t="n">
        <f aca="false">Y1187+V1188</f>
        <v>113000.408372882</v>
      </c>
    </row>
    <row r="1189" customFormat="false" ht="15" hidden="false" customHeight="false" outlineLevel="0" collapsed="false">
      <c r="K1189" s="56" t="n">
        <f aca="false">K1188+1</f>
        <v>1182</v>
      </c>
      <c r="L1189" s="57" t="n">
        <f aca="false">IF(AND(K1189&lt;=Assumptions!$C$42,L1188=1,P1188=0,O1188&gt;Assumptions!$C$43),1,0)</f>
        <v>0</v>
      </c>
      <c r="M1189" s="58" t="n">
        <f aca="false">O1188</f>
        <v>8.10541678220034E-009</v>
      </c>
      <c r="N1189" s="58" t="n">
        <f aca="false">IF(L1189=1,M1189*$B$22,0)</f>
        <v>0</v>
      </c>
      <c r="O1189" s="58" t="n">
        <f aca="false">IF(L1189=1,M1189+N1189-$B$26,M1189)</f>
        <v>8.10541678220034E-009</v>
      </c>
      <c r="P1189" s="56" t="n">
        <f aca="false">IF(L1189=1,IF($B$26&lt;=N1189,1,0),0)</f>
        <v>0</v>
      </c>
      <c r="Q1189" s="58" t="n">
        <f aca="false">Q1188+N1189</f>
        <v>145877.630223336</v>
      </c>
      <c r="S1189" s="56" t="n">
        <f aca="false">S1188+1</f>
        <v>1182</v>
      </c>
      <c r="T1189" s="57" t="n">
        <f aca="false">IF(AND(S1189&lt;=Assumptions!$C$42,T1188=1,X1188=0,W1188&gt;Assumptions!$C$43),1,0)</f>
        <v>0</v>
      </c>
      <c r="U1189" s="58" t="n">
        <f aca="false">W1188</f>
        <v>-182.103705036234</v>
      </c>
      <c r="V1189" s="58" t="n">
        <f aca="false">IF(T1189=1,U1189*$B$22,0)</f>
        <v>0</v>
      </c>
      <c r="W1189" s="58" t="n">
        <f aca="false">IF(T1189=1,U1189+V1189-$B$27,U1189)</f>
        <v>-182.103705036234</v>
      </c>
      <c r="X1189" s="56" t="n">
        <f aca="false">IF(T1189=1,IF($B$27&lt;=V1189,1,0),0)</f>
        <v>0</v>
      </c>
      <c r="Y1189" s="58" t="n">
        <f aca="false">Y1188+V1189</f>
        <v>113000.408372882</v>
      </c>
    </row>
    <row r="1190" customFormat="false" ht="15" hidden="false" customHeight="false" outlineLevel="0" collapsed="false">
      <c r="K1190" s="56" t="n">
        <f aca="false">K1189+1</f>
        <v>1183</v>
      </c>
      <c r="L1190" s="57" t="n">
        <f aca="false">IF(AND(K1190&lt;=Assumptions!$C$42,L1189=1,P1189=0,O1189&gt;Assumptions!$C$43),1,0)</f>
        <v>0</v>
      </c>
      <c r="M1190" s="58" t="n">
        <f aca="false">O1189</f>
        <v>8.10541678220034E-009</v>
      </c>
      <c r="N1190" s="58" t="n">
        <f aca="false">IF(L1190=1,M1190*$B$22,0)</f>
        <v>0</v>
      </c>
      <c r="O1190" s="58" t="n">
        <f aca="false">IF(L1190=1,M1190+N1190-$B$26,M1190)</f>
        <v>8.10541678220034E-009</v>
      </c>
      <c r="P1190" s="56" t="n">
        <f aca="false">IF(L1190=1,IF($B$26&lt;=N1190,1,0),0)</f>
        <v>0</v>
      </c>
      <c r="Q1190" s="58" t="n">
        <f aca="false">Q1189+N1190</f>
        <v>145877.630223336</v>
      </c>
      <c r="S1190" s="56" t="n">
        <f aca="false">S1189+1</f>
        <v>1183</v>
      </c>
      <c r="T1190" s="57" t="n">
        <f aca="false">IF(AND(S1190&lt;=Assumptions!$C$42,T1189=1,X1189=0,W1189&gt;Assumptions!$C$43),1,0)</f>
        <v>0</v>
      </c>
      <c r="U1190" s="58" t="n">
        <f aca="false">W1189</f>
        <v>-182.103705036234</v>
      </c>
      <c r="V1190" s="58" t="n">
        <f aca="false">IF(T1190=1,U1190*$B$22,0)</f>
        <v>0</v>
      </c>
      <c r="W1190" s="58" t="n">
        <f aca="false">IF(T1190=1,U1190+V1190-$B$27,U1190)</f>
        <v>-182.103705036234</v>
      </c>
      <c r="X1190" s="56" t="n">
        <f aca="false">IF(T1190=1,IF($B$27&lt;=V1190,1,0),0)</f>
        <v>0</v>
      </c>
      <c r="Y1190" s="58" t="n">
        <f aca="false">Y1189+V1190</f>
        <v>113000.408372882</v>
      </c>
    </row>
    <row r="1191" customFormat="false" ht="15" hidden="false" customHeight="false" outlineLevel="0" collapsed="false">
      <c r="K1191" s="56" t="n">
        <f aca="false">K1190+1</f>
        <v>1184</v>
      </c>
      <c r="L1191" s="57" t="n">
        <f aca="false">IF(AND(K1191&lt;=Assumptions!$C$42,L1190=1,P1190=0,O1190&gt;Assumptions!$C$43),1,0)</f>
        <v>0</v>
      </c>
      <c r="M1191" s="58" t="n">
        <f aca="false">O1190</f>
        <v>8.10541678220034E-009</v>
      </c>
      <c r="N1191" s="58" t="n">
        <f aca="false">IF(L1191=1,M1191*$B$22,0)</f>
        <v>0</v>
      </c>
      <c r="O1191" s="58" t="n">
        <f aca="false">IF(L1191=1,M1191+N1191-$B$26,M1191)</f>
        <v>8.10541678220034E-009</v>
      </c>
      <c r="P1191" s="56" t="n">
        <f aca="false">IF(L1191=1,IF($B$26&lt;=N1191,1,0),0)</f>
        <v>0</v>
      </c>
      <c r="Q1191" s="58" t="n">
        <f aca="false">Q1190+N1191</f>
        <v>145877.630223336</v>
      </c>
      <c r="S1191" s="56" t="n">
        <f aca="false">S1190+1</f>
        <v>1184</v>
      </c>
      <c r="T1191" s="57" t="n">
        <f aca="false">IF(AND(S1191&lt;=Assumptions!$C$42,T1190=1,X1190=0,W1190&gt;Assumptions!$C$43),1,0)</f>
        <v>0</v>
      </c>
      <c r="U1191" s="58" t="n">
        <f aca="false">W1190</f>
        <v>-182.103705036234</v>
      </c>
      <c r="V1191" s="58" t="n">
        <f aca="false">IF(T1191=1,U1191*$B$22,0)</f>
        <v>0</v>
      </c>
      <c r="W1191" s="58" t="n">
        <f aca="false">IF(T1191=1,U1191+V1191-$B$27,U1191)</f>
        <v>-182.103705036234</v>
      </c>
      <c r="X1191" s="56" t="n">
        <f aca="false">IF(T1191=1,IF($B$27&lt;=V1191,1,0),0)</f>
        <v>0</v>
      </c>
      <c r="Y1191" s="58" t="n">
        <f aca="false">Y1190+V1191</f>
        <v>113000.408372882</v>
      </c>
    </row>
    <row r="1192" customFormat="false" ht="15" hidden="false" customHeight="false" outlineLevel="0" collapsed="false">
      <c r="K1192" s="56" t="n">
        <f aca="false">K1191+1</f>
        <v>1185</v>
      </c>
      <c r="L1192" s="57" t="n">
        <f aca="false">IF(AND(K1192&lt;=Assumptions!$C$42,L1191=1,P1191=0,O1191&gt;Assumptions!$C$43),1,0)</f>
        <v>0</v>
      </c>
      <c r="M1192" s="58" t="n">
        <f aca="false">O1191</f>
        <v>8.10541678220034E-009</v>
      </c>
      <c r="N1192" s="58" t="n">
        <f aca="false">IF(L1192=1,M1192*$B$22,0)</f>
        <v>0</v>
      </c>
      <c r="O1192" s="58" t="n">
        <f aca="false">IF(L1192=1,M1192+N1192-$B$26,M1192)</f>
        <v>8.10541678220034E-009</v>
      </c>
      <c r="P1192" s="56" t="n">
        <f aca="false">IF(L1192=1,IF($B$26&lt;=N1192,1,0),0)</f>
        <v>0</v>
      </c>
      <c r="Q1192" s="58" t="n">
        <f aca="false">Q1191+N1192</f>
        <v>145877.630223336</v>
      </c>
      <c r="S1192" s="56" t="n">
        <f aca="false">S1191+1</f>
        <v>1185</v>
      </c>
      <c r="T1192" s="57" t="n">
        <f aca="false">IF(AND(S1192&lt;=Assumptions!$C$42,T1191=1,X1191=0,W1191&gt;Assumptions!$C$43),1,0)</f>
        <v>0</v>
      </c>
      <c r="U1192" s="58" t="n">
        <f aca="false">W1191</f>
        <v>-182.103705036234</v>
      </c>
      <c r="V1192" s="58" t="n">
        <f aca="false">IF(T1192=1,U1192*$B$22,0)</f>
        <v>0</v>
      </c>
      <c r="W1192" s="58" t="n">
        <f aca="false">IF(T1192=1,U1192+V1192-$B$27,U1192)</f>
        <v>-182.103705036234</v>
      </c>
      <c r="X1192" s="56" t="n">
        <f aca="false">IF(T1192=1,IF($B$27&lt;=V1192,1,0),0)</f>
        <v>0</v>
      </c>
      <c r="Y1192" s="58" t="n">
        <f aca="false">Y1191+V1192</f>
        <v>113000.408372882</v>
      </c>
    </row>
    <row r="1193" customFormat="false" ht="15" hidden="false" customHeight="false" outlineLevel="0" collapsed="false">
      <c r="K1193" s="56" t="n">
        <f aca="false">K1192+1</f>
        <v>1186</v>
      </c>
      <c r="L1193" s="57" t="n">
        <f aca="false">IF(AND(K1193&lt;=Assumptions!$C$42,L1192=1,P1192=0,O1192&gt;Assumptions!$C$43),1,0)</f>
        <v>0</v>
      </c>
      <c r="M1193" s="58" t="n">
        <f aca="false">O1192</f>
        <v>8.10541678220034E-009</v>
      </c>
      <c r="N1193" s="58" t="n">
        <f aca="false">IF(L1193=1,M1193*$B$22,0)</f>
        <v>0</v>
      </c>
      <c r="O1193" s="58" t="n">
        <f aca="false">IF(L1193=1,M1193+N1193-$B$26,M1193)</f>
        <v>8.10541678220034E-009</v>
      </c>
      <c r="P1193" s="56" t="n">
        <f aca="false">IF(L1193=1,IF($B$26&lt;=N1193,1,0),0)</f>
        <v>0</v>
      </c>
      <c r="Q1193" s="58" t="n">
        <f aca="false">Q1192+N1193</f>
        <v>145877.630223336</v>
      </c>
      <c r="S1193" s="56" t="n">
        <f aca="false">S1192+1</f>
        <v>1186</v>
      </c>
      <c r="T1193" s="57" t="n">
        <f aca="false">IF(AND(S1193&lt;=Assumptions!$C$42,T1192=1,X1192=0,W1192&gt;Assumptions!$C$43),1,0)</f>
        <v>0</v>
      </c>
      <c r="U1193" s="58" t="n">
        <f aca="false">W1192</f>
        <v>-182.103705036234</v>
      </c>
      <c r="V1193" s="58" t="n">
        <f aca="false">IF(T1193=1,U1193*$B$22,0)</f>
        <v>0</v>
      </c>
      <c r="W1193" s="58" t="n">
        <f aca="false">IF(T1193=1,U1193+V1193-$B$27,U1193)</f>
        <v>-182.103705036234</v>
      </c>
      <c r="X1193" s="56" t="n">
        <f aca="false">IF(T1193=1,IF($B$27&lt;=V1193,1,0),0)</f>
        <v>0</v>
      </c>
      <c r="Y1193" s="58" t="n">
        <f aca="false">Y1192+V1193</f>
        <v>113000.408372882</v>
      </c>
    </row>
    <row r="1194" customFormat="false" ht="15" hidden="false" customHeight="false" outlineLevel="0" collapsed="false">
      <c r="K1194" s="56" t="n">
        <f aca="false">K1193+1</f>
        <v>1187</v>
      </c>
      <c r="L1194" s="57" t="n">
        <f aca="false">IF(AND(K1194&lt;=Assumptions!$C$42,L1193=1,P1193=0,O1193&gt;Assumptions!$C$43),1,0)</f>
        <v>0</v>
      </c>
      <c r="M1194" s="58" t="n">
        <f aca="false">O1193</f>
        <v>8.10541678220034E-009</v>
      </c>
      <c r="N1194" s="58" t="n">
        <f aca="false">IF(L1194=1,M1194*$B$22,0)</f>
        <v>0</v>
      </c>
      <c r="O1194" s="58" t="n">
        <f aca="false">IF(L1194=1,M1194+N1194-$B$26,M1194)</f>
        <v>8.10541678220034E-009</v>
      </c>
      <c r="P1194" s="56" t="n">
        <f aca="false">IF(L1194=1,IF($B$26&lt;=N1194,1,0),0)</f>
        <v>0</v>
      </c>
      <c r="Q1194" s="58" t="n">
        <f aca="false">Q1193+N1194</f>
        <v>145877.630223336</v>
      </c>
      <c r="S1194" s="56" t="n">
        <f aca="false">S1193+1</f>
        <v>1187</v>
      </c>
      <c r="T1194" s="57" t="n">
        <f aca="false">IF(AND(S1194&lt;=Assumptions!$C$42,T1193=1,X1193=0,W1193&gt;Assumptions!$C$43),1,0)</f>
        <v>0</v>
      </c>
      <c r="U1194" s="58" t="n">
        <f aca="false">W1193</f>
        <v>-182.103705036234</v>
      </c>
      <c r="V1194" s="58" t="n">
        <f aca="false">IF(T1194=1,U1194*$B$22,0)</f>
        <v>0</v>
      </c>
      <c r="W1194" s="58" t="n">
        <f aca="false">IF(T1194=1,U1194+V1194-$B$27,U1194)</f>
        <v>-182.103705036234</v>
      </c>
      <c r="X1194" s="56" t="n">
        <f aca="false">IF(T1194=1,IF($B$27&lt;=V1194,1,0),0)</f>
        <v>0</v>
      </c>
      <c r="Y1194" s="58" t="n">
        <f aca="false">Y1193+V1194</f>
        <v>113000.408372882</v>
      </c>
    </row>
    <row r="1195" customFormat="false" ht="15" hidden="false" customHeight="false" outlineLevel="0" collapsed="false">
      <c r="K1195" s="56" t="n">
        <f aca="false">K1194+1</f>
        <v>1188</v>
      </c>
      <c r="L1195" s="57" t="n">
        <f aca="false">IF(AND(K1195&lt;=Assumptions!$C$42,L1194=1,P1194=0,O1194&gt;Assumptions!$C$43),1,0)</f>
        <v>0</v>
      </c>
      <c r="M1195" s="58" t="n">
        <f aca="false">O1194</f>
        <v>8.10541678220034E-009</v>
      </c>
      <c r="N1195" s="58" t="n">
        <f aca="false">IF(L1195=1,M1195*$B$22,0)</f>
        <v>0</v>
      </c>
      <c r="O1195" s="58" t="n">
        <f aca="false">IF(L1195=1,M1195+N1195-$B$26,M1195)</f>
        <v>8.10541678220034E-009</v>
      </c>
      <c r="P1195" s="56" t="n">
        <f aca="false">IF(L1195=1,IF($B$26&lt;=N1195,1,0),0)</f>
        <v>0</v>
      </c>
      <c r="Q1195" s="58" t="n">
        <f aca="false">Q1194+N1195</f>
        <v>145877.630223336</v>
      </c>
      <c r="S1195" s="56" t="n">
        <f aca="false">S1194+1</f>
        <v>1188</v>
      </c>
      <c r="T1195" s="57" t="n">
        <f aca="false">IF(AND(S1195&lt;=Assumptions!$C$42,T1194=1,X1194=0,W1194&gt;Assumptions!$C$43),1,0)</f>
        <v>0</v>
      </c>
      <c r="U1195" s="58" t="n">
        <f aca="false">W1194</f>
        <v>-182.103705036234</v>
      </c>
      <c r="V1195" s="58" t="n">
        <f aca="false">IF(T1195=1,U1195*$B$22,0)</f>
        <v>0</v>
      </c>
      <c r="W1195" s="58" t="n">
        <f aca="false">IF(T1195=1,U1195+V1195-$B$27,U1195)</f>
        <v>-182.103705036234</v>
      </c>
      <c r="X1195" s="56" t="n">
        <f aca="false">IF(T1195=1,IF($B$27&lt;=V1195,1,0),0)</f>
        <v>0</v>
      </c>
      <c r="Y1195" s="58" t="n">
        <f aca="false">Y1194+V1195</f>
        <v>113000.408372882</v>
      </c>
    </row>
    <row r="1196" customFormat="false" ht="15" hidden="false" customHeight="false" outlineLevel="0" collapsed="false">
      <c r="K1196" s="56" t="n">
        <f aca="false">K1195+1</f>
        <v>1189</v>
      </c>
      <c r="L1196" s="57" t="n">
        <f aca="false">IF(AND(K1196&lt;=Assumptions!$C$42,L1195=1,P1195=0,O1195&gt;Assumptions!$C$43),1,0)</f>
        <v>0</v>
      </c>
      <c r="M1196" s="58" t="n">
        <f aca="false">O1195</f>
        <v>8.10541678220034E-009</v>
      </c>
      <c r="N1196" s="58" t="n">
        <f aca="false">IF(L1196=1,M1196*$B$22,0)</f>
        <v>0</v>
      </c>
      <c r="O1196" s="58" t="n">
        <f aca="false">IF(L1196=1,M1196+N1196-$B$26,M1196)</f>
        <v>8.10541678220034E-009</v>
      </c>
      <c r="P1196" s="56" t="n">
        <f aca="false">IF(L1196=1,IF($B$26&lt;=N1196,1,0),0)</f>
        <v>0</v>
      </c>
      <c r="Q1196" s="58" t="n">
        <f aca="false">Q1195+N1196</f>
        <v>145877.630223336</v>
      </c>
      <c r="S1196" s="56" t="n">
        <f aca="false">S1195+1</f>
        <v>1189</v>
      </c>
      <c r="T1196" s="57" t="n">
        <f aca="false">IF(AND(S1196&lt;=Assumptions!$C$42,T1195=1,X1195=0,W1195&gt;Assumptions!$C$43),1,0)</f>
        <v>0</v>
      </c>
      <c r="U1196" s="58" t="n">
        <f aca="false">W1195</f>
        <v>-182.103705036234</v>
      </c>
      <c r="V1196" s="58" t="n">
        <f aca="false">IF(T1196=1,U1196*$B$22,0)</f>
        <v>0</v>
      </c>
      <c r="W1196" s="58" t="n">
        <f aca="false">IF(T1196=1,U1196+V1196-$B$27,U1196)</f>
        <v>-182.103705036234</v>
      </c>
      <c r="X1196" s="56" t="n">
        <f aca="false">IF(T1196=1,IF($B$27&lt;=V1196,1,0),0)</f>
        <v>0</v>
      </c>
      <c r="Y1196" s="58" t="n">
        <f aca="false">Y1195+V1196</f>
        <v>113000.408372882</v>
      </c>
    </row>
    <row r="1197" customFormat="false" ht="15" hidden="false" customHeight="false" outlineLevel="0" collapsed="false">
      <c r="K1197" s="56" t="n">
        <f aca="false">K1196+1</f>
        <v>1190</v>
      </c>
      <c r="L1197" s="57" t="n">
        <f aca="false">IF(AND(K1197&lt;=Assumptions!$C$42,L1196=1,P1196=0,O1196&gt;Assumptions!$C$43),1,0)</f>
        <v>0</v>
      </c>
      <c r="M1197" s="58" t="n">
        <f aca="false">O1196</f>
        <v>8.10541678220034E-009</v>
      </c>
      <c r="N1197" s="58" t="n">
        <f aca="false">IF(L1197=1,M1197*$B$22,0)</f>
        <v>0</v>
      </c>
      <c r="O1197" s="58" t="n">
        <f aca="false">IF(L1197=1,M1197+N1197-$B$26,M1197)</f>
        <v>8.10541678220034E-009</v>
      </c>
      <c r="P1197" s="56" t="n">
        <f aca="false">IF(L1197=1,IF($B$26&lt;=N1197,1,0),0)</f>
        <v>0</v>
      </c>
      <c r="Q1197" s="58" t="n">
        <f aca="false">Q1196+N1197</f>
        <v>145877.630223336</v>
      </c>
      <c r="S1197" s="56" t="n">
        <f aca="false">S1196+1</f>
        <v>1190</v>
      </c>
      <c r="T1197" s="57" t="n">
        <f aca="false">IF(AND(S1197&lt;=Assumptions!$C$42,T1196=1,X1196=0,W1196&gt;Assumptions!$C$43),1,0)</f>
        <v>0</v>
      </c>
      <c r="U1197" s="58" t="n">
        <f aca="false">W1196</f>
        <v>-182.103705036234</v>
      </c>
      <c r="V1197" s="58" t="n">
        <f aca="false">IF(T1197=1,U1197*$B$22,0)</f>
        <v>0</v>
      </c>
      <c r="W1197" s="58" t="n">
        <f aca="false">IF(T1197=1,U1197+V1197-$B$27,U1197)</f>
        <v>-182.103705036234</v>
      </c>
      <c r="X1197" s="56" t="n">
        <f aca="false">IF(T1197=1,IF($B$27&lt;=V1197,1,0),0)</f>
        <v>0</v>
      </c>
      <c r="Y1197" s="58" t="n">
        <f aca="false">Y1196+V1197</f>
        <v>113000.408372882</v>
      </c>
    </row>
    <row r="1198" customFormat="false" ht="15" hidden="false" customHeight="false" outlineLevel="0" collapsed="false">
      <c r="K1198" s="56" t="n">
        <f aca="false">K1197+1</f>
        <v>1191</v>
      </c>
      <c r="L1198" s="57" t="n">
        <f aca="false">IF(AND(K1198&lt;=Assumptions!$C$42,L1197=1,P1197=0,O1197&gt;Assumptions!$C$43),1,0)</f>
        <v>0</v>
      </c>
      <c r="M1198" s="58" t="n">
        <f aca="false">O1197</f>
        <v>8.10541678220034E-009</v>
      </c>
      <c r="N1198" s="58" t="n">
        <f aca="false">IF(L1198=1,M1198*$B$22,0)</f>
        <v>0</v>
      </c>
      <c r="O1198" s="58" t="n">
        <f aca="false">IF(L1198=1,M1198+N1198-$B$26,M1198)</f>
        <v>8.10541678220034E-009</v>
      </c>
      <c r="P1198" s="56" t="n">
        <f aca="false">IF(L1198=1,IF($B$26&lt;=N1198,1,0),0)</f>
        <v>0</v>
      </c>
      <c r="Q1198" s="58" t="n">
        <f aca="false">Q1197+N1198</f>
        <v>145877.630223336</v>
      </c>
      <c r="S1198" s="56" t="n">
        <f aca="false">S1197+1</f>
        <v>1191</v>
      </c>
      <c r="T1198" s="57" t="n">
        <f aca="false">IF(AND(S1198&lt;=Assumptions!$C$42,T1197=1,X1197=0,W1197&gt;Assumptions!$C$43),1,0)</f>
        <v>0</v>
      </c>
      <c r="U1198" s="58" t="n">
        <f aca="false">W1197</f>
        <v>-182.103705036234</v>
      </c>
      <c r="V1198" s="58" t="n">
        <f aca="false">IF(T1198=1,U1198*$B$22,0)</f>
        <v>0</v>
      </c>
      <c r="W1198" s="58" t="n">
        <f aca="false">IF(T1198=1,U1198+V1198-$B$27,U1198)</f>
        <v>-182.103705036234</v>
      </c>
      <c r="X1198" s="56" t="n">
        <f aca="false">IF(T1198=1,IF($B$27&lt;=V1198,1,0),0)</f>
        <v>0</v>
      </c>
      <c r="Y1198" s="58" t="n">
        <f aca="false">Y1197+V1198</f>
        <v>113000.408372882</v>
      </c>
    </row>
    <row r="1199" customFormat="false" ht="15" hidden="false" customHeight="false" outlineLevel="0" collapsed="false">
      <c r="K1199" s="56" t="n">
        <f aca="false">K1198+1</f>
        <v>1192</v>
      </c>
      <c r="L1199" s="57" t="n">
        <f aca="false">IF(AND(K1199&lt;=Assumptions!$C$42,L1198=1,P1198=0,O1198&gt;Assumptions!$C$43),1,0)</f>
        <v>0</v>
      </c>
      <c r="M1199" s="58" t="n">
        <f aca="false">O1198</f>
        <v>8.10541678220034E-009</v>
      </c>
      <c r="N1199" s="58" t="n">
        <f aca="false">IF(L1199=1,M1199*$B$22,0)</f>
        <v>0</v>
      </c>
      <c r="O1199" s="58" t="n">
        <f aca="false">IF(L1199=1,M1199+N1199-$B$26,M1199)</f>
        <v>8.10541678220034E-009</v>
      </c>
      <c r="P1199" s="56" t="n">
        <f aca="false">IF(L1199=1,IF($B$26&lt;=N1199,1,0),0)</f>
        <v>0</v>
      </c>
      <c r="Q1199" s="58" t="n">
        <f aca="false">Q1198+N1199</f>
        <v>145877.630223336</v>
      </c>
      <c r="S1199" s="56" t="n">
        <f aca="false">S1198+1</f>
        <v>1192</v>
      </c>
      <c r="T1199" s="57" t="n">
        <f aca="false">IF(AND(S1199&lt;=Assumptions!$C$42,T1198=1,X1198=0,W1198&gt;Assumptions!$C$43),1,0)</f>
        <v>0</v>
      </c>
      <c r="U1199" s="58" t="n">
        <f aca="false">W1198</f>
        <v>-182.103705036234</v>
      </c>
      <c r="V1199" s="58" t="n">
        <f aca="false">IF(T1199=1,U1199*$B$22,0)</f>
        <v>0</v>
      </c>
      <c r="W1199" s="58" t="n">
        <f aca="false">IF(T1199=1,U1199+V1199-$B$27,U1199)</f>
        <v>-182.103705036234</v>
      </c>
      <c r="X1199" s="56" t="n">
        <f aca="false">IF(T1199=1,IF($B$27&lt;=V1199,1,0),0)</f>
        <v>0</v>
      </c>
      <c r="Y1199" s="58" t="n">
        <f aca="false">Y1198+V1199</f>
        <v>113000.408372882</v>
      </c>
    </row>
    <row r="1200" customFormat="false" ht="15" hidden="false" customHeight="false" outlineLevel="0" collapsed="false">
      <c r="K1200" s="56" t="n">
        <f aca="false">K1199+1</f>
        <v>1193</v>
      </c>
      <c r="L1200" s="57" t="n">
        <f aca="false">IF(AND(K1200&lt;=Assumptions!$C$42,L1199=1,P1199=0,O1199&gt;Assumptions!$C$43),1,0)</f>
        <v>0</v>
      </c>
      <c r="M1200" s="58" t="n">
        <f aca="false">O1199</f>
        <v>8.10541678220034E-009</v>
      </c>
      <c r="N1200" s="58" t="n">
        <f aca="false">IF(L1200=1,M1200*$B$22,0)</f>
        <v>0</v>
      </c>
      <c r="O1200" s="58" t="n">
        <f aca="false">IF(L1200=1,M1200+N1200-$B$26,M1200)</f>
        <v>8.10541678220034E-009</v>
      </c>
      <c r="P1200" s="56" t="n">
        <f aca="false">IF(L1200=1,IF($B$26&lt;=N1200,1,0),0)</f>
        <v>0</v>
      </c>
      <c r="Q1200" s="58" t="n">
        <f aca="false">Q1199+N1200</f>
        <v>145877.630223336</v>
      </c>
      <c r="S1200" s="56" t="n">
        <f aca="false">S1199+1</f>
        <v>1193</v>
      </c>
      <c r="T1200" s="57" t="n">
        <f aca="false">IF(AND(S1200&lt;=Assumptions!$C$42,T1199=1,X1199=0,W1199&gt;Assumptions!$C$43),1,0)</f>
        <v>0</v>
      </c>
      <c r="U1200" s="58" t="n">
        <f aca="false">W1199</f>
        <v>-182.103705036234</v>
      </c>
      <c r="V1200" s="58" t="n">
        <f aca="false">IF(T1200=1,U1200*$B$22,0)</f>
        <v>0</v>
      </c>
      <c r="W1200" s="58" t="n">
        <f aca="false">IF(T1200=1,U1200+V1200-$B$27,U1200)</f>
        <v>-182.103705036234</v>
      </c>
      <c r="X1200" s="56" t="n">
        <f aca="false">IF(T1200=1,IF($B$27&lt;=V1200,1,0),0)</f>
        <v>0</v>
      </c>
      <c r="Y1200" s="58" t="n">
        <f aca="false">Y1199+V1200</f>
        <v>113000.408372882</v>
      </c>
    </row>
    <row r="1201" customFormat="false" ht="15" hidden="false" customHeight="false" outlineLevel="0" collapsed="false">
      <c r="K1201" s="56" t="n">
        <f aca="false">K1200+1</f>
        <v>1194</v>
      </c>
      <c r="L1201" s="57" t="n">
        <f aca="false">IF(AND(K1201&lt;=Assumptions!$C$42,L1200=1,P1200=0,O1200&gt;Assumptions!$C$43),1,0)</f>
        <v>0</v>
      </c>
      <c r="M1201" s="58" t="n">
        <f aca="false">O1200</f>
        <v>8.10541678220034E-009</v>
      </c>
      <c r="N1201" s="58" t="n">
        <f aca="false">IF(L1201=1,M1201*$B$22,0)</f>
        <v>0</v>
      </c>
      <c r="O1201" s="58" t="n">
        <f aca="false">IF(L1201=1,M1201+N1201-$B$26,M1201)</f>
        <v>8.10541678220034E-009</v>
      </c>
      <c r="P1201" s="56" t="n">
        <f aca="false">IF(L1201=1,IF($B$26&lt;=N1201,1,0),0)</f>
        <v>0</v>
      </c>
      <c r="Q1201" s="58" t="n">
        <f aca="false">Q1200+N1201</f>
        <v>145877.630223336</v>
      </c>
      <c r="S1201" s="56" t="n">
        <f aca="false">S1200+1</f>
        <v>1194</v>
      </c>
      <c r="T1201" s="57" t="n">
        <f aca="false">IF(AND(S1201&lt;=Assumptions!$C$42,T1200=1,X1200=0,W1200&gt;Assumptions!$C$43),1,0)</f>
        <v>0</v>
      </c>
      <c r="U1201" s="58" t="n">
        <f aca="false">W1200</f>
        <v>-182.103705036234</v>
      </c>
      <c r="V1201" s="58" t="n">
        <f aca="false">IF(T1201=1,U1201*$B$22,0)</f>
        <v>0</v>
      </c>
      <c r="W1201" s="58" t="n">
        <f aca="false">IF(T1201=1,U1201+V1201-$B$27,U1201)</f>
        <v>-182.103705036234</v>
      </c>
      <c r="X1201" s="56" t="n">
        <f aca="false">IF(T1201=1,IF($B$27&lt;=V1201,1,0),0)</f>
        <v>0</v>
      </c>
      <c r="Y1201" s="58" t="n">
        <f aca="false">Y1200+V1201</f>
        <v>113000.408372882</v>
      </c>
    </row>
    <row r="1202" customFormat="false" ht="15" hidden="false" customHeight="false" outlineLevel="0" collapsed="false">
      <c r="K1202" s="56" t="n">
        <f aca="false">K1201+1</f>
        <v>1195</v>
      </c>
      <c r="L1202" s="57" t="n">
        <f aca="false">IF(AND(K1202&lt;=Assumptions!$C$42,L1201=1,P1201=0,O1201&gt;Assumptions!$C$43),1,0)</f>
        <v>0</v>
      </c>
      <c r="M1202" s="58" t="n">
        <f aca="false">O1201</f>
        <v>8.10541678220034E-009</v>
      </c>
      <c r="N1202" s="58" t="n">
        <f aca="false">IF(L1202=1,M1202*$B$22,0)</f>
        <v>0</v>
      </c>
      <c r="O1202" s="58" t="n">
        <f aca="false">IF(L1202=1,M1202+N1202-$B$26,M1202)</f>
        <v>8.10541678220034E-009</v>
      </c>
      <c r="P1202" s="56" t="n">
        <f aca="false">IF(L1202=1,IF($B$26&lt;=N1202,1,0),0)</f>
        <v>0</v>
      </c>
      <c r="Q1202" s="58" t="n">
        <f aca="false">Q1201+N1202</f>
        <v>145877.630223336</v>
      </c>
      <c r="S1202" s="56" t="n">
        <f aca="false">S1201+1</f>
        <v>1195</v>
      </c>
      <c r="T1202" s="57" t="n">
        <f aca="false">IF(AND(S1202&lt;=Assumptions!$C$42,T1201=1,X1201=0,W1201&gt;Assumptions!$C$43),1,0)</f>
        <v>0</v>
      </c>
      <c r="U1202" s="58" t="n">
        <f aca="false">W1201</f>
        <v>-182.103705036234</v>
      </c>
      <c r="V1202" s="58" t="n">
        <f aca="false">IF(T1202=1,U1202*$B$22,0)</f>
        <v>0</v>
      </c>
      <c r="W1202" s="58" t="n">
        <f aca="false">IF(T1202=1,U1202+V1202-$B$27,U1202)</f>
        <v>-182.103705036234</v>
      </c>
      <c r="X1202" s="56" t="n">
        <f aca="false">IF(T1202=1,IF($B$27&lt;=V1202,1,0),0)</f>
        <v>0</v>
      </c>
      <c r="Y1202" s="58" t="n">
        <f aca="false">Y1201+V1202</f>
        <v>113000.408372882</v>
      </c>
    </row>
    <row r="1203" customFormat="false" ht="15" hidden="false" customHeight="false" outlineLevel="0" collapsed="false">
      <c r="K1203" s="56" t="n">
        <f aca="false">K1202+1</f>
        <v>1196</v>
      </c>
      <c r="L1203" s="57" t="n">
        <f aca="false">IF(AND(K1203&lt;=Assumptions!$C$42,L1202=1,P1202=0,O1202&gt;Assumptions!$C$43),1,0)</f>
        <v>0</v>
      </c>
      <c r="M1203" s="58" t="n">
        <f aca="false">O1202</f>
        <v>8.10541678220034E-009</v>
      </c>
      <c r="N1203" s="58" t="n">
        <f aca="false">IF(L1203=1,M1203*$B$22,0)</f>
        <v>0</v>
      </c>
      <c r="O1203" s="58" t="n">
        <f aca="false">IF(L1203=1,M1203+N1203-$B$26,M1203)</f>
        <v>8.10541678220034E-009</v>
      </c>
      <c r="P1203" s="56" t="n">
        <f aca="false">IF(L1203=1,IF($B$26&lt;=N1203,1,0),0)</f>
        <v>0</v>
      </c>
      <c r="Q1203" s="58" t="n">
        <f aca="false">Q1202+N1203</f>
        <v>145877.630223336</v>
      </c>
      <c r="S1203" s="56" t="n">
        <f aca="false">S1202+1</f>
        <v>1196</v>
      </c>
      <c r="T1203" s="57" t="n">
        <f aca="false">IF(AND(S1203&lt;=Assumptions!$C$42,T1202=1,X1202=0,W1202&gt;Assumptions!$C$43),1,0)</f>
        <v>0</v>
      </c>
      <c r="U1203" s="58" t="n">
        <f aca="false">W1202</f>
        <v>-182.103705036234</v>
      </c>
      <c r="V1203" s="58" t="n">
        <f aca="false">IF(T1203=1,U1203*$B$22,0)</f>
        <v>0</v>
      </c>
      <c r="W1203" s="58" t="n">
        <f aca="false">IF(T1203=1,U1203+V1203-$B$27,U1203)</f>
        <v>-182.103705036234</v>
      </c>
      <c r="X1203" s="56" t="n">
        <f aca="false">IF(T1203=1,IF($B$27&lt;=V1203,1,0),0)</f>
        <v>0</v>
      </c>
      <c r="Y1203" s="58" t="n">
        <f aca="false">Y1202+V1203</f>
        <v>113000.408372882</v>
      </c>
    </row>
    <row r="1204" customFormat="false" ht="15" hidden="false" customHeight="false" outlineLevel="0" collapsed="false">
      <c r="K1204" s="56" t="n">
        <f aca="false">K1203+1</f>
        <v>1197</v>
      </c>
      <c r="L1204" s="57" t="n">
        <f aca="false">IF(AND(K1204&lt;=Assumptions!$C$42,L1203=1,P1203=0,O1203&gt;Assumptions!$C$43),1,0)</f>
        <v>0</v>
      </c>
      <c r="M1204" s="58" t="n">
        <f aca="false">O1203</f>
        <v>8.10541678220034E-009</v>
      </c>
      <c r="N1204" s="58" t="n">
        <f aca="false">IF(L1204=1,M1204*$B$22,0)</f>
        <v>0</v>
      </c>
      <c r="O1204" s="58" t="n">
        <f aca="false">IF(L1204=1,M1204+N1204-$B$26,M1204)</f>
        <v>8.10541678220034E-009</v>
      </c>
      <c r="P1204" s="56" t="n">
        <f aca="false">IF(L1204=1,IF($B$26&lt;=N1204,1,0),0)</f>
        <v>0</v>
      </c>
      <c r="Q1204" s="58" t="n">
        <f aca="false">Q1203+N1204</f>
        <v>145877.630223336</v>
      </c>
      <c r="S1204" s="56" t="n">
        <f aca="false">S1203+1</f>
        <v>1197</v>
      </c>
      <c r="T1204" s="57" t="n">
        <f aca="false">IF(AND(S1204&lt;=Assumptions!$C$42,T1203=1,X1203=0,W1203&gt;Assumptions!$C$43),1,0)</f>
        <v>0</v>
      </c>
      <c r="U1204" s="58" t="n">
        <f aca="false">W1203</f>
        <v>-182.103705036234</v>
      </c>
      <c r="V1204" s="58" t="n">
        <f aca="false">IF(T1204=1,U1204*$B$22,0)</f>
        <v>0</v>
      </c>
      <c r="W1204" s="58" t="n">
        <f aca="false">IF(T1204=1,U1204+V1204-$B$27,U1204)</f>
        <v>-182.103705036234</v>
      </c>
      <c r="X1204" s="56" t="n">
        <f aca="false">IF(T1204=1,IF($B$27&lt;=V1204,1,0),0)</f>
        <v>0</v>
      </c>
      <c r="Y1204" s="58" t="n">
        <f aca="false">Y1203+V1204</f>
        <v>113000.408372882</v>
      </c>
    </row>
    <row r="1205" customFormat="false" ht="15" hidden="false" customHeight="false" outlineLevel="0" collapsed="false">
      <c r="K1205" s="56" t="n">
        <f aca="false">K1204+1</f>
        <v>1198</v>
      </c>
      <c r="L1205" s="57" t="n">
        <f aca="false">IF(AND(K1205&lt;=Assumptions!$C$42,L1204=1,P1204=0,O1204&gt;Assumptions!$C$43),1,0)</f>
        <v>0</v>
      </c>
      <c r="M1205" s="58" t="n">
        <f aca="false">O1204</f>
        <v>8.10541678220034E-009</v>
      </c>
      <c r="N1205" s="58" t="n">
        <f aca="false">IF(L1205=1,M1205*$B$22,0)</f>
        <v>0</v>
      </c>
      <c r="O1205" s="58" t="n">
        <f aca="false">IF(L1205=1,M1205+N1205-$B$26,M1205)</f>
        <v>8.10541678220034E-009</v>
      </c>
      <c r="P1205" s="56" t="n">
        <f aca="false">IF(L1205=1,IF($B$26&lt;=N1205,1,0),0)</f>
        <v>0</v>
      </c>
      <c r="Q1205" s="58" t="n">
        <f aca="false">Q1204+N1205</f>
        <v>145877.630223336</v>
      </c>
      <c r="S1205" s="56" t="n">
        <f aca="false">S1204+1</f>
        <v>1198</v>
      </c>
      <c r="T1205" s="57" t="n">
        <f aca="false">IF(AND(S1205&lt;=Assumptions!$C$42,T1204=1,X1204=0,W1204&gt;Assumptions!$C$43),1,0)</f>
        <v>0</v>
      </c>
      <c r="U1205" s="58" t="n">
        <f aca="false">W1204</f>
        <v>-182.103705036234</v>
      </c>
      <c r="V1205" s="58" t="n">
        <f aca="false">IF(T1205=1,U1205*$B$22,0)</f>
        <v>0</v>
      </c>
      <c r="W1205" s="58" t="n">
        <f aca="false">IF(T1205=1,U1205+V1205-$B$27,U1205)</f>
        <v>-182.103705036234</v>
      </c>
      <c r="X1205" s="56" t="n">
        <f aca="false">IF(T1205=1,IF($B$27&lt;=V1205,1,0),0)</f>
        <v>0</v>
      </c>
      <c r="Y1205" s="58" t="n">
        <f aca="false">Y1204+V1205</f>
        <v>113000.408372882</v>
      </c>
    </row>
    <row r="1206" customFormat="false" ht="15" hidden="false" customHeight="false" outlineLevel="0" collapsed="false">
      <c r="K1206" s="56" t="n">
        <f aca="false">K1205+1</f>
        <v>1199</v>
      </c>
      <c r="L1206" s="57" t="n">
        <f aca="false">IF(AND(K1206&lt;=Assumptions!$C$42,L1205=1,P1205=0,O1205&gt;Assumptions!$C$43),1,0)</f>
        <v>0</v>
      </c>
      <c r="M1206" s="58" t="n">
        <f aca="false">O1205</f>
        <v>8.10541678220034E-009</v>
      </c>
      <c r="N1206" s="58" t="n">
        <f aca="false">IF(L1206=1,M1206*$B$22,0)</f>
        <v>0</v>
      </c>
      <c r="O1206" s="58" t="n">
        <f aca="false">IF(L1206=1,M1206+N1206-$B$26,M1206)</f>
        <v>8.10541678220034E-009</v>
      </c>
      <c r="P1206" s="56" t="n">
        <f aca="false">IF(L1206=1,IF($B$26&lt;=N1206,1,0),0)</f>
        <v>0</v>
      </c>
      <c r="Q1206" s="58" t="n">
        <f aca="false">Q1205+N1206</f>
        <v>145877.630223336</v>
      </c>
      <c r="S1206" s="56" t="n">
        <f aca="false">S1205+1</f>
        <v>1199</v>
      </c>
      <c r="T1206" s="57" t="n">
        <f aca="false">IF(AND(S1206&lt;=Assumptions!$C$42,T1205=1,X1205=0,W1205&gt;Assumptions!$C$43),1,0)</f>
        <v>0</v>
      </c>
      <c r="U1206" s="58" t="n">
        <f aca="false">W1205</f>
        <v>-182.103705036234</v>
      </c>
      <c r="V1206" s="58" t="n">
        <f aca="false">IF(T1206=1,U1206*$B$22,0)</f>
        <v>0</v>
      </c>
      <c r="W1206" s="58" t="n">
        <f aca="false">IF(T1206=1,U1206+V1206-$B$27,U1206)</f>
        <v>-182.103705036234</v>
      </c>
      <c r="X1206" s="56" t="n">
        <f aca="false">IF(T1206=1,IF($B$27&lt;=V1206,1,0),0)</f>
        <v>0</v>
      </c>
      <c r="Y1206" s="58" t="n">
        <f aca="false">Y1205+V1206</f>
        <v>113000.408372882</v>
      </c>
    </row>
    <row r="1207" customFormat="false" ht="15" hidden="false" customHeight="false" outlineLevel="0" collapsed="false">
      <c r="K1207" s="56" t="n">
        <f aca="false">K1206+1</f>
        <v>1200</v>
      </c>
      <c r="L1207" s="57" t="n">
        <f aca="false">IF(AND(K1207&lt;=Assumptions!$C$42,L1206=1,P1206=0,O1206&gt;Assumptions!$C$43),1,0)</f>
        <v>0</v>
      </c>
      <c r="M1207" s="58" t="n">
        <f aca="false">O1206</f>
        <v>8.10541678220034E-009</v>
      </c>
      <c r="N1207" s="58" t="n">
        <f aca="false">IF(L1207=1,M1207*$B$22,0)</f>
        <v>0</v>
      </c>
      <c r="O1207" s="58" t="n">
        <f aca="false">IF(L1207=1,M1207+N1207-$B$26,M1207)</f>
        <v>8.10541678220034E-009</v>
      </c>
      <c r="P1207" s="56" t="n">
        <f aca="false">IF(L1207=1,IF($B$26&lt;=N1207,1,0),0)</f>
        <v>0</v>
      </c>
      <c r="Q1207" s="58" t="n">
        <f aca="false">Q1206+N1207</f>
        <v>145877.630223336</v>
      </c>
      <c r="S1207" s="56" t="n">
        <f aca="false">S1206+1</f>
        <v>1200</v>
      </c>
      <c r="T1207" s="57" t="n">
        <f aca="false">IF(AND(S1207&lt;=Assumptions!$C$42,T1206=1,X1206=0,W1206&gt;Assumptions!$C$43),1,0)</f>
        <v>0</v>
      </c>
      <c r="U1207" s="58" t="n">
        <f aca="false">W1206</f>
        <v>-182.103705036234</v>
      </c>
      <c r="V1207" s="58" t="n">
        <f aca="false">IF(T1207=1,U1207*$B$22,0)</f>
        <v>0</v>
      </c>
      <c r="W1207" s="58" t="n">
        <f aca="false">IF(T1207=1,U1207+V1207-$B$27,U1207)</f>
        <v>-182.103705036234</v>
      </c>
      <c r="X1207" s="56" t="n">
        <f aca="false">IF(T1207=1,IF($B$27&lt;=V1207,1,0),0)</f>
        <v>0</v>
      </c>
      <c r="Y1207" s="58" t="n">
        <f aca="false">Y1206+V1207</f>
        <v>113000.408372882</v>
      </c>
    </row>
  </sheetData>
  <mergeCells count="26">
    <mergeCell ref="A3:I3"/>
    <mergeCell ref="A4:I4"/>
    <mergeCell ref="A5:I5"/>
    <mergeCell ref="D22:I22"/>
    <mergeCell ref="D23:I23"/>
    <mergeCell ref="D24:I24"/>
    <mergeCell ref="D25:I25"/>
    <mergeCell ref="D26:I26"/>
    <mergeCell ref="D27:I27"/>
    <mergeCell ref="D28:I28"/>
    <mergeCell ref="D29:I29"/>
    <mergeCell ref="D30:I30"/>
    <mergeCell ref="D31:I31"/>
    <mergeCell ref="D32:I32"/>
    <mergeCell ref="D33:I33"/>
    <mergeCell ref="D34:I34"/>
    <mergeCell ref="D35:I35"/>
    <mergeCell ref="D39:I39"/>
    <mergeCell ref="D40:I40"/>
    <mergeCell ref="D41:I41"/>
    <mergeCell ref="D42:I42"/>
    <mergeCell ref="D43:I43"/>
    <mergeCell ref="D44:I44"/>
    <mergeCell ref="D45:I45"/>
    <mergeCell ref="D46:I46"/>
    <mergeCell ref="D47:I47"/>
  </mergeCells>
  <dataValidations count="6">
    <dataValidation allowBlank="false" error="The prototype accepts 0 to 1 here." errorStyle="stop" errorTitle="Outside the prototype range" operator="between" showDropDown="false" showErrorMessage="true" showInputMessage="false" sqref="B18" type="whole">
      <formula1>0</formula1>
      <formula2>1</formula2>
    </dataValidation>
    <dataValidation allowBlank="false" error="The prototype accepts 0.01 to 0.08 here." errorStyle="stop" errorTitle="Outside the prototype range" operator="between" showDropDown="false" showErrorMessage="true" showInputMessage="false" sqref="B11" type="decimal">
      <formula1>0.01</formula1>
      <formula2>0.08</formula2>
    </dataValidation>
    <dataValidation allowBlank="false" error="The prototype accepts 0 to 100000 here." errorStyle="stop" errorTitle="Outside the prototype range" operator="between" showDropDown="false" showErrorMessage="true" showInputMessage="false" sqref="B17" type="decimal">
      <formula1>0</formula1>
      <formula2>100000</formula2>
    </dataValidation>
    <dataValidation allowBlank="false" error="The prototype accepts 20000 to 10000000 here." errorStyle="stop" errorTitle="Outside the prototype range" operator="between" showDropDown="false" showErrorMessage="true" showInputMessage="false" sqref="B10" type="decimal">
      <formula1>20000</formula1>
      <formula2>10000000</formula2>
    </dataValidation>
    <dataValidation allowBlank="false" error="The prototype accepts 3 to 35 here." errorStyle="stop" errorTitle="Outside the prototype range" operator="between" showDropDown="false" showErrorMessage="true" showInputMessage="false" sqref="B12" type="decimal">
      <formula1>3</formula1>
      <formula2>35</formula2>
    </dataValidation>
    <dataValidation allowBlank="false" error="The prototype accepts 0 to 20000 here." errorStyle="stop" errorTitle="Outside the prototype range" operator="between" showDropDown="false" showErrorMessage="true" showInputMessage="false" sqref="B13" type="decimal">
      <formula1>0</formula1>
      <formula2>20000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555</v>
      </c>
    </row>
    <row r="2" customFormat="false" ht="15" hidden="false" customHeight="false" outlineLevel="0" collapsed="false">
      <c r="A2" s="30" t="s">
        <v>556</v>
      </c>
    </row>
    <row r="3" customFormat="false" ht="37.5" hidden="false" customHeight="true" outlineLevel="0" collapsed="false">
      <c r="A3" s="31" t="s">
        <v>557</v>
      </c>
      <c r="B3" s="31"/>
      <c r="C3" s="31"/>
      <c r="D3" s="31"/>
      <c r="E3" s="31"/>
      <c r="F3" s="31"/>
      <c r="G3" s="31"/>
      <c r="H3" s="31"/>
      <c r="I3" s="31"/>
    </row>
    <row r="4" customFormat="false" ht="63.75" hidden="false" customHeight="true" outlineLevel="0" collapsed="false">
      <c r="A4" s="31" t="s">
        <v>558</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522</v>
      </c>
      <c r="B10" s="33" t="n">
        <v>300000</v>
      </c>
      <c r="C10" s="7" t="s">
        <v>257</v>
      </c>
      <c r="D10" s="34" t="n">
        <v>300000</v>
      </c>
      <c r="E10" s="34" t="n">
        <v>50000</v>
      </c>
      <c r="F10" s="34" t="n">
        <v>1000000</v>
      </c>
      <c r="G10" s="34" t="n">
        <v>10000000</v>
      </c>
      <c r="H10" s="34" t="n">
        <v>1000</v>
      </c>
      <c r="I10" s="35" t="s">
        <v>523</v>
      </c>
    </row>
    <row r="11" customFormat="false" ht="15" hidden="false" customHeight="false" outlineLevel="0" collapsed="false">
      <c r="A11" s="7" t="s">
        <v>559</v>
      </c>
      <c r="B11" s="38" t="n">
        <v>0.04</v>
      </c>
      <c r="C11" s="7" t="s">
        <v>386</v>
      </c>
      <c r="D11" s="39" t="n">
        <v>0.04</v>
      </c>
      <c r="E11" s="39" t="n">
        <v>0.01</v>
      </c>
      <c r="F11" s="39" t="n">
        <v>0.08</v>
      </c>
      <c r="G11" s="39" t="n">
        <v>0.08</v>
      </c>
      <c r="H11" s="39" t="n">
        <v>0.0005</v>
      </c>
      <c r="I11" s="35" t="s">
        <v>451</v>
      </c>
    </row>
    <row r="12" customFormat="false" ht="15" hidden="false" customHeight="false" outlineLevel="0" collapsed="false">
      <c r="A12" s="7" t="s">
        <v>524</v>
      </c>
      <c r="B12" s="36" t="n">
        <v>25</v>
      </c>
      <c r="C12" s="7" t="s">
        <v>388</v>
      </c>
      <c r="D12" s="37" t="n">
        <v>25</v>
      </c>
      <c r="E12" s="37" t="n">
        <v>5</v>
      </c>
      <c r="F12" s="37" t="n">
        <v>35</v>
      </c>
      <c r="G12" s="37" t="n">
        <v>35</v>
      </c>
      <c r="H12" s="37" t="n">
        <v>1</v>
      </c>
      <c r="I12" s="35" t="s">
        <v>452</v>
      </c>
    </row>
    <row r="13" customFormat="false" ht="15" hidden="false" customHeight="false" outlineLevel="0" collapsed="false">
      <c r="A13" s="7" t="s">
        <v>560</v>
      </c>
      <c r="B13" s="38" t="n">
        <v>0.01</v>
      </c>
      <c r="C13" s="7" t="s">
        <v>386</v>
      </c>
      <c r="D13" s="39" t="n">
        <v>0.01</v>
      </c>
      <c r="E13" s="39" t="n">
        <v>-0.02</v>
      </c>
      <c r="F13" s="39" t="n">
        <v>0.03</v>
      </c>
      <c r="G13" s="39" t="n">
        <v>0.03</v>
      </c>
      <c r="H13" s="39" t="n">
        <v>0.0025</v>
      </c>
      <c r="I13" s="35"/>
    </row>
    <row r="15" customFormat="false" ht="15" hidden="false" customHeight="false" outlineLevel="0" collapsed="false">
      <c r="A15" s="15" t="s">
        <v>454</v>
      </c>
      <c r="B15" s="16"/>
      <c r="C15" s="16"/>
      <c r="D15" s="16"/>
      <c r="E15" s="16"/>
      <c r="F15" s="16"/>
      <c r="G15" s="16"/>
      <c r="H15" s="16"/>
      <c r="I15" s="16"/>
    </row>
    <row r="16" customFormat="false" ht="15" hidden="false" customHeight="false" outlineLevel="0" collapsed="false">
      <c r="A16" s="17" t="s">
        <v>30</v>
      </c>
      <c r="B16" s="17" t="s">
        <v>192</v>
      </c>
      <c r="C16" s="17" t="s">
        <v>193</v>
      </c>
      <c r="D16" s="17" t="s">
        <v>371</v>
      </c>
      <c r="E16" s="17" t="s">
        <v>372</v>
      </c>
      <c r="F16" s="17" t="s">
        <v>373</v>
      </c>
      <c r="G16" s="17" t="s">
        <v>374</v>
      </c>
      <c r="H16" s="17" t="s">
        <v>375</v>
      </c>
      <c r="I16" s="17" t="s">
        <v>376</v>
      </c>
    </row>
    <row r="17" customFormat="false" ht="22.35" hidden="false" customHeight="false" outlineLevel="0" collapsed="false">
      <c r="A17" s="7" t="s">
        <v>455</v>
      </c>
      <c r="B17" s="33" t="n">
        <v>0</v>
      </c>
      <c r="C17" s="7" t="s">
        <v>257</v>
      </c>
      <c r="D17" s="34" t="n">
        <v>0</v>
      </c>
      <c r="E17" s="34" t="n">
        <v>0</v>
      </c>
      <c r="F17" s="34" t="n">
        <v>100000</v>
      </c>
      <c r="G17" s="34" t="n">
        <v>100000</v>
      </c>
      <c r="H17" s="34"/>
      <c r="I17" s="35" t="s">
        <v>456</v>
      </c>
    </row>
    <row r="18" customFormat="false" ht="22.35" hidden="false" customHeight="false" outlineLevel="0" collapsed="false">
      <c r="A18" s="7" t="s">
        <v>526</v>
      </c>
      <c r="B18" s="36" t="n">
        <v>1</v>
      </c>
      <c r="C18" s="7" t="s">
        <v>197</v>
      </c>
      <c r="D18" s="37" t="n">
        <v>1</v>
      </c>
      <c r="E18" s="37" t="n">
        <v>0</v>
      </c>
      <c r="F18" s="37" t="n">
        <v>1</v>
      </c>
      <c r="G18" s="37" t="n">
        <v>1</v>
      </c>
      <c r="H18" s="37" t="n">
        <v>1</v>
      </c>
      <c r="I18" s="35" t="s">
        <v>458</v>
      </c>
    </row>
    <row r="20" customFormat="false" ht="15" hidden="false" customHeight="false" outlineLevel="0" collapsed="false">
      <c r="A20" s="15" t="s">
        <v>391</v>
      </c>
      <c r="B20" s="16"/>
      <c r="C20" s="16"/>
      <c r="D20" s="16"/>
      <c r="E20" s="16"/>
      <c r="F20" s="16"/>
      <c r="G20" s="16"/>
      <c r="H20" s="16"/>
      <c r="I20" s="16"/>
    </row>
    <row r="21" customFormat="false" ht="15" hidden="false" customHeight="false" outlineLevel="0" collapsed="false">
      <c r="A21" s="17" t="s">
        <v>392</v>
      </c>
      <c r="B21" s="17" t="s">
        <v>192</v>
      </c>
      <c r="C21" s="17" t="s">
        <v>193</v>
      </c>
      <c r="D21" s="17" t="s">
        <v>393</v>
      </c>
    </row>
    <row r="22" customFormat="false" ht="15" hidden="false" customHeight="false" outlineLevel="0" collapsed="false">
      <c r="A22" s="7" t="s">
        <v>406</v>
      </c>
      <c r="B22" s="45" t="n">
        <f aca="false">$B$11/12</f>
        <v>0.00333333333333333</v>
      </c>
      <c r="C22" s="41" t="s">
        <v>407</v>
      </c>
      <c r="D22" s="42" t="s">
        <v>408</v>
      </c>
      <c r="E22" s="42"/>
      <c r="F22" s="42"/>
      <c r="G22" s="42"/>
      <c r="H22" s="42"/>
      <c r="I22" s="42"/>
    </row>
    <row r="23" customFormat="false" ht="15" hidden="false" customHeight="false" outlineLevel="0" collapsed="false">
      <c r="A23" s="7" t="s">
        <v>409</v>
      </c>
      <c r="B23" s="46" t="n">
        <f aca="false">$B$12*12</f>
        <v>300</v>
      </c>
      <c r="C23" s="41" t="s">
        <v>240</v>
      </c>
      <c r="D23" s="42" t="s">
        <v>410</v>
      </c>
      <c r="E23" s="42"/>
      <c r="F23" s="42"/>
      <c r="G23" s="42"/>
      <c r="H23" s="42"/>
      <c r="I23" s="42"/>
    </row>
    <row r="24" customFormat="false" ht="15" hidden="false" customHeight="false" outlineLevel="0" collapsed="false">
      <c r="A24" s="7" t="s">
        <v>459</v>
      </c>
      <c r="B24" s="43" t="n">
        <f aca="false">IF(($B$23)=0,0,IF($B$22&lt;&gt;0,$B$10*$B$22/(1-POWER(1+$B$22,-($B$23))),$B$10/($B$23)))</f>
        <v>1583.51052089331</v>
      </c>
      <c r="C24" s="41" t="s">
        <v>257</v>
      </c>
      <c r="D24" s="42" t="s">
        <v>460</v>
      </c>
      <c r="E24" s="42"/>
      <c r="F24" s="42"/>
      <c r="G24" s="42"/>
      <c r="H24" s="42"/>
      <c r="I24" s="42"/>
    </row>
    <row r="25" customFormat="false" ht="15" hidden="false" customHeight="false" outlineLevel="0" collapsed="false">
      <c r="A25" s="7" t="s">
        <v>461</v>
      </c>
      <c r="B25" s="43" t="n">
        <f aca="false">IF(AND($B$18=1,$B$17&gt;0),$B$17,0)</f>
        <v>0</v>
      </c>
      <c r="C25" s="41" t="s">
        <v>257</v>
      </c>
      <c r="D25" s="42" t="s">
        <v>561</v>
      </c>
      <c r="E25" s="42"/>
      <c r="F25" s="42"/>
      <c r="G25" s="42"/>
      <c r="H25" s="42"/>
      <c r="I25" s="42"/>
    </row>
    <row r="26" customFormat="false" ht="15" hidden="false" customHeight="false" outlineLevel="0" collapsed="false">
      <c r="A26" s="7" t="s">
        <v>463</v>
      </c>
      <c r="B26" s="43" t="n">
        <f aca="false">IF($B$25&gt;0,$B$25,$B$24)</f>
        <v>1583.51052089331</v>
      </c>
      <c r="C26" s="41" t="s">
        <v>257</v>
      </c>
      <c r="D26" s="42" t="s">
        <v>562</v>
      </c>
      <c r="E26" s="42"/>
      <c r="F26" s="42"/>
      <c r="G26" s="42"/>
      <c r="H26" s="42"/>
      <c r="I26" s="42"/>
    </row>
    <row r="27" customFormat="false" ht="15" hidden="false" customHeight="false" outlineLevel="0" collapsed="false">
      <c r="A27" s="7" t="s">
        <v>563</v>
      </c>
      <c r="B27" s="59" t="n">
        <f aca="false">$B$11+$B$13</f>
        <v>0.05</v>
      </c>
      <c r="C27" s="41" t="s">
        <v>466</v>
      </c>
      <c r="D27" s="42" t="s">
        <v>564</v>
      </c>
      <c r="E27" s="42"/>
      <c r="F27" s="42"/>
      <c r="G27" s="42"/>
      <c r="H27" s="42"/>
      <c r="I27" s="42"/>
    </row>
    <row r="28" customFormat="false" ht="15" hidden="false" customHeight="false" outlineLevel="0" collapsed="false">
      <c r="A28" s="7" t="s">
        <v>565</v>
      </c>
      <c r="B28" s="45" t="n">
        <f aca="false">$B$27/12</f>
        <v>0.00416666666666667</v>
      </c>
      <c r="C28" s="41" t="s">
        <v>407</v>
      </c>
      <c r="D28" s="42"/>
      <c r="E28" s="42"/>
      <c r="F28" s="42"/>
      <c r="G28" s="42"/>
      <c r="H28" s="42"/>
      <c r="I28" s="42"/>
    </row>
    <row r="29" customFormat="false" ht="15" hidden="false" customHeight="false" outlineLevel="0" collapsed="false">
      <c r="A29" s="7" t="s">
        <v>566</v>
      </c>
      <c r="B29" s="43" t="n">
        <f aca="false">IF(($B$23)=0,0,IF($B$28&lt;&gt;0,$B$10*$B$28/(1-POWER(1+$B$28,-($B$23))),$B$10/($B$23)))</f>
        <v>1753.77012452394</v>
      </c>
      <c r="C29" s="41" t="s">
        <v>257</v>
      </c>
      <c r="D29" s="42" t="s">
        <v>567</v>
      </c>
      <c r="E29" s="42"/>
      <c r="F29" s="42"/>
      <c r="G29" s="42"/>
      <c r="H29" s="42"/>
      <c r="I29" s="42"/>
    </row>
    <row r="30" customFormat="false" ht="15" hidden="false" customHeight="false" outlineLevel="0" collapsed="false">
      <c r="A30" s="7" t="s">
        <v>568</v>
      </c>
      <c r="B30" s="43" t="n">
        <f aca="false">$B$26+$B$29-$B$24</f>
        <v>1753.77012452394</v>
      </c>
      <c r="C30" s="41" t="s">
        <v>257</v>
      </c>
      <c r="D30" s="42" t="s">
        <v>569</v>
      </c>
      <c r="E30" s="42"/>
      <c r="F30" s="42"/>
      <c r="G30" s="42"/>
      <c r="H30" s="42"/>
      <c r="I30" s="42"/>
    </row>
    <row r="31" customFormat="false" ht="15" hidden="false" customHeight="false" outlineLevel="0" collapsed="false">
      <c r="A31" s="7" t="s">
        <v>570</v>
      </c>
      <c r="B31" s="43" t="n">
        <f aca="false">$B$30-$B$26</f>
        <v>170.25960363063</v>
      </c>
      <c r="C31" s="41" t="s">
        <v>257</v>
      </c>
      <c r="D31" s="42" t="s">
        <v>571</v>
      </c>
      <c r="E31" s="42"/>
      <c r="F31" s="42"/>
      <c r="G31" s="42"/>
      <c r="H31" s="42"/>
      <c r="I31" s="42"/>
    </row>
    <row r="33" customFormat="false" ht="15" hidden="false" customHeight="false" outlineLevel="0" collapsed="false">
      <c r="A33" s="15" t="s">
        <v>415</v>
      </c>
      <c r="B33" s="16"/>
      <c r="C33" s="16"/>
      <c r="D33" s="16"/>
      <c r="E33" s="16"/>
      <c r="F33" s="16"/>
      <c r="G33" s="16"/>
      <c r="H33" s="16"/>
      <c r="I33" s="16"/>
    </row>
    <row r="34" customFormat="false" ht="15" hidden="false" customHeight="false" outlineLevel="0" collapsed="false">
      <c r="A34" s="17" t="s">
        <v>416</v>
      </c>
      <c r="B34" s="17" t="s">
        <v>192</v>
      </c>
      <c r="C34" s="17" t="s">
        <v>417</v>
      </c>
      <c r="D34" s="17" t="s">
        <v>418</v>
      </c>
    </row>
    <row r="35" customFormat="false" ht="15" hidden="false" customHeight="false" outlineLevel="0" collapsed="false">
      <c r="A35" s="4" t="s">
        <v>419</v>
      </c>
      <c r="B35" s="48"/>
      <c r="C35" s="49" t="str">
        <f aca="false">"Monthly change"</f>
        <v>Monthly change</v>
      </c>
      <c r="D35" s="42" t="s">
        <v>420</v>
      </c>
      <c r="E35" s="42"/>
      <c r="F35" s="42"/>
      <c r="G35" s="42"/>
      <c r="H35" s="42"/>
      <c r="I35" s="42"/>
    </row>
    <row r="36" customFormat="false" ht="15" hidden="false" customHeight="false" outlineLevel="0" collapsed="false">
      <c r="A36" s="4" t="s">
        <v>570</v>
      </c>
      <c r="B36" s="50" t="n">
        <f aca="false">$B$31</f>
        <v>170.25960363063</v>
      </c>
      <c r="C36" s="49" t="str">
        <f aca="false">IF($B$30&gt;=$B$26,"+","")&amp;IF(($B$31)&lt;0,"−€","€")&amp;FIXED(ROUND(ABS($B$31),0),0)</f>
        <v>+€170</v>
      </c>
      <c r="D36" s="42" t="s">
        <v>512</v>
      </c>
      <c r="E36" s="42"/>
      <c r="F36" s="42"/>
      <c r="G36" s="42"/>
      <c r="H36" s="42"/>
      <c r="I36" s="42"/>
    </row>
    <row r="37" customFormat="false" ht="15" hidden="false" customHeight="false" outlineLevel="0" collapsed="false">
      <c r="A37" s="4" t="s">
        <v>572</v>
      </c>
      <c r="B37" s="62" t="n">
        <f aca="false">$B$27</f>
        <v>0.05</v>
      </c>
      <c r="C37" s="49" t="str">
        <f aca="false">FIXED($B$27*100,2,TRUE())&amp;"%"</f>
        <v>5.00%</v>
      </c>
      <c r="D37" s="42" t="s">
        <v>424</v>
      </c>
      <c r="E37" s="42"/>
      <c r="F37" s="42"/>
      <c r="G37" s="42"/>
      <c r="H37" s="42"/>
      <c r="I37" s="42"/>
    </row>
    <row r="38" customFormat="false" ht="15" hidden="false" customHeight="false" outlineLevel="0" collapsed="false">
      <c r="A38" s="4" t="s">
        <v>573</v>
      </c>
      <c r="B38" s="50" t="n">
        <f aca="false">$B$26</f>
        <v>1583.51052089331</v>
      </c>
      <c r="C38" s="49" t="str">
        <f aca="false">IF(($B$26)&lt;0,"−€","€")&amp;FIXED(ROUND(ABS($B$26),0),0)</f>
        <v>€1,584</v>
      </c>
      <c r="D38" s="42" t="s">
        <v>427</v>
      </c>
      <c r="E38" s="42"/>
      <c r="F38" s="42"/>
      <c r="G38" s="42"/>
      <c r="H38" s="42"/>
      <c r="I38" s="42"/>
    </row>
    <row r="39" customFormat="false" ht="15" hidden="false" customHeight="false" outlineLevel="0" collapsed="false">
      <c r="A39" s="4" t="s">
        <v>574</v>
      </c>
      <c r="B39" s="50" t="n">
        <f aca="false">$B$30</f>
        <v>1753.77012452394</v>
      </c>
      <c r="C39" s="49" t="str">
        <f aca="false">IF(($B$30)&lt;0,"−€","€")&amp;FIXED(ROUND(ABS($B$30),0),0)</f>
        <v>€1,754</v>
      </c>
      <c r="D39" s="42" t="s">
        <v>428</v>
      </c>
      <c r="E39" s="42"/>
      <c r="F39" s="42"/>
      <c r="G39" s="42"/>
      <c r="H39" s="42"/>
      <c r="I39" s="42"/>
    </row>
    <row r="40" customFormat="false" ht="15" hidden="false" customHeight="false" outlineLevel="0" collapsed="false">
      <c r="A40" s="4" t="s">
        <v>487</v>
      </c>
      <c r="B40" s="50" t="n">
        <f aca="false">($B$30-$B$26)*12</f>
        <v>2043.11524356755</v>
      </c>
      <c r="C40" s="49" t="str">
        <f aca="false">IF((($B$30-$B$26)*12)&lt;0,"−€","€")&amp;FIXED(ROUND(ABS(($B$30-$B$26)*12),0),0)</f>
        <v>€2,043</v>
      </c>
      <c r="D40" s="42" t="s">
        <v>430</v>
      </c>
      <c r="E40" s="42"/>
      <c r="F40" s="42"/>
      <c r="G40" s="42"/>
      <c r="H40" s="42"/>
      <c r="I40" s="42"/>
    </row>
  </sheetData>
  <mergeCells count="19">
    <mergeCell ref="A3:I3"/>
    <mergeCell ref="A4:I4"/>
    <mergeCell ref="A5:I5"/>
    <mergeCell ref="D22:I22"/>
    <mergeCell ref="D23:I23"/>
    <mergeCell ref="D24:I24"/>
    <mergeCell ref="D25:I25"/>
    <mergeCell ref="D26:I26"/>
    <mergeCell ref="D27:I27"/>
    <mergeCell ref="D28:I28"/>
    <mergeCell ref="D29:I29"/>
    <mergeCell ref="D30:I30"/>
    <mergeCell ref="D31:I31"/>
    <mergeCell ref="D35:I35"/>
    <mergeCell ref="D36:I36"/>
    <mergeCell ref="D37:I37"/>
    <mergeCell ref="D38:I38"/>
    <mergeCell ref="D39:I39"/>
    <mergeCell ref="D40:I40"/>
  </mergeCells>
  <dataValidations count="6">
    <dataValidation allowBlank="false" error="The prototype accepts 0 to 1 here." errorStyle="stop" errorTitle="Outside the prototype range" operator="between" showDropDown="false" showErrorMessage="true" showInputMessage="false" sqref="B18" type="whole">
      <formula1>0</formula1>
      <formula2>1</formula2>
    </dataValidation>
    <dataValidation allowBlank="false" error="The prototype accepts 0.01 to 0.08 here." errorStyle="stop" errorTitle="Outside the prototype range" operator="between" showDropDown="false" showErrorMessage="true" showInputMessage="false" sqref="B11" type="decimal">
      <formula1>0.01</formula1>
      <formula2>0.08</formula2>
    </dataValidation>
    <dataValidation allowBlank="false" error="The prototype accepts 50000 to 10000000 here." errorStyle="stop" errorTitle="Outside the prototype range" operator="between" showDropDown="false" showErrorMessage="true" showInputMessage="false" sqref="B10" type="decimal">
      <formula1>50000</formula1>
      <formula2>10000000</formula2>
    </dataValidation>
    <dataValidation allowBlank="false" error="The prototype accepts 5 to 35 here." errorStyle="stop" errorTitle="Outside the prototype range" operator="between" showDropDown="false" showErrorMessage="true" showInputMessage="false" sqref="B12" type="decimal">
      <formula1>5</formula1>
      <formula2>35</formula2>
    </dataValidation>
    <dataValidation allowBlank="false" error="The prototype accepts -0.02 to 0.03 here." errorStyle="stop" errorTitle="Outside the prototype range" operator="between" showDropDown="false" showErrorMessage="true" showInputMessage="false" sqref="B13" type="decimal">
      <formula1>-0.02</formula1>
      <formula2>0.03</formula2>
    </dataValidation>
    <dataValidation allowBlank="false" error="The prototype accepts 0 to 100000 here." errorStyle="stop" errorTitle="Outside the prototype range" operator="between" showDropDown="false" showErrorMessage="true" showInputMessage="false" sqref="B17" type="decimal">
      <formula1>0</formula1>
      <formula2>100000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575</v>
      </c>
    </row>
    <row r="2" customFormat="false" ht="15" hidden="false" customHeight="false" outlineLevel="0" collapsed="false">
      <c r="A2" s="30" t="s">
        <v>576</v>
      </c>
    </row>
    <row r="3" customFormat="false" ht="37.5" hidden="false" customHeight="true" outlineLevel="0" collapsed="false">
      <c r="A3" s="31" t="s">
        <v>577</v>
      </c>
      <c r="B3" s="31"/>
      <c r="C3" s="31"/>
      <c r="D3" s="31"/>
      <c r="E3" s="31"/>
      <c r="F3" s="31"/>
      <c r="G3" s="31"/>
      <c r="H3" s="31"/>
      <c r="I3" s="31"/>
    </row>
    <row r="4" customFormat="false" ht="63.75" hidden="false" customHeight="true" outlineLevel="0" collapsed="false">
      <c r="A4" s="31" t="s">
        <v>578</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449</v>
      </c>
      <c r="B10" s="33" t="n">
        <v>300000</v>
      </c>
      <c r="C10" s="7" t="s">
        <v>257</v>
      </c>
      <c r="D10" s="34" t="n">
        <v>300000</v>
      </c>
      <c r="E10" s="34" t="n">
        <v>50000</v>
      </c>
      <c r="F10" s="34" t="n">
        <v>1000000</v>
      </c>
      <c r="G10" s="34" t="n">
        <v>10000000</v>
      </c>
      <c r="H10" s="34" t="n">
        <v>1000</v>
      </c>
      <c r="I10" s="35" t="s">
        <v>523</v>
      </c>
    </row>
    <row r="11" customFormat="false" ht="15" hidden="false" customHeight="false" outlineLevel="0" collapsed="false">
      <c r="A11" s="7" t="s">
        <v>385</v>
      </c>
      <c r="B11" s="38" t="n">
        <v>0.04</v>
      </c>
      <c r="C11" s="7" t="s">
        <v>386</v>
      </c>
      <c r="D11" s="39" t="n">
        <v>0.04</v>
      </c>
      <c r="E11" s="39" t="n">
        <v>0.01</v>
      </c>
      <c r="F11" s="39" t="n">
        <v>0.08</v>
      </c>
      <c r="G11" s="39" t="n">
        <v>0.08</v>
      </c>
      <c r="H11" s="39" t="n">
        <v>0.0005</v>
      </c>
      <c r="I11" s="35" t="s">
        <v>451</v>
      </c>
    </row>
    <row r="12" customFormat="false" ht="15" hidden="false" customHeight="false" outlineLevel="0" collapsed="false">
      <c r="A12" s="7" t="s">
        <v>579</v>
      </c>
      <c r="B12" s="36" t="n">
        <v>25</v>
      </c>
      <c r="C12" s="7" t="s">
        <v>388</v>
      </c>
      <c r="D12" s="37" t="n">
        <v>25</v>
      </c>
      <c r="E12" s="37" t="n">
        <v>5</v>
      </c>
      <c r="F12" s="37" t="n">
        <v>35</v>
      </c>
      <c r="G12" s="37" t="n">
        <v>35</v>
      </c>
      <c r="H12" s="37" t="n">
        <v>1</v>
      </c>
      <c r="I12" s="35" t="s">
        <v>452</v>
      </c>
    </row>
    <row r="13" customFormat="false" ht="15" hidden="false" customHeight="false" outlineLevel="0" collapsed="false">
      <c r="A13" s="7" t="s">
        <v>580</v>
      </c>
      <c r="B13" s="36" t="n">
        <v>35</v>
      </c>
      <c r="C13" s="7" t="s">
        <v>388</v>
      </c>
      <c r="D13" s="37" t="n">
        <v>35</v>
      </c>
      <c r="E13" s="37" t="n">
        <v>5</v>
      </c>
      <c r="F13" s="37" t="n">
        <v>35</v>
      </c>
      <c r="G13" s="37" t="n">
        <v>35</v>
      </c>
      <c r="H13" s="37" t="n">
        <v>1</v>
      </c>
      <c r="I13" s="35"/>
    </row>
    <row r="15" customFormat="false" ht="15" hidden="false" customHeight="false" outlineLevel="0" collapsed="false">
      <c r="A15" s="15" t="s">
        <v>391</v>
      </c>
      <c r="B15" s="16"/>
      <c r="C15" s="16"/>
      <c r="D15" s="16"/>
      <c r="E15" s="16"/>
      <c r="F15" s="16"/>
      <c r="G15" s="16"/>
      <c r="H15" s="16"/>
      <c r="I15" s="16"/>
    </row>
    <row r="16" customFormat="false" ht="15" hidden="false" customHeight="false" outlineLevel="0" collapsed="false">
      <c r="A16" s="17" t="s">
        <v>392</v>
      </c>
      <c r="B16" s="17" t="s">
        <v>192</v>
      </c>
      <c r="C16" s="17" t="s">
        <v>193</v>
      </c>
      <c r="D16" s="17" t="s">
        <v>393</v>
      </c>
    </row>
    <row r="17" customFormat="false" ht="15" hidden="false" customHeight="false" outlineLevel="0" collapsed="false">
      <c r="A17" s="7" t="s">
        <v>406</v>
      </c>
      <c r="B17" s="45" t="n">
        <f aca="false">$B$11/12</f>
        <v>0.00333333333333333</v>
      </c>
      <c r="C17" s="41" t="s">
        <v>407</v>
      </c>
      <c r="D17" s="42" t="s">
        <v>408</v>
      </c>
      <c r="E17" s="42"/>
      <c r="F17" s="42"/>
      <c r="G17" s="42"/>
      <c r="H17" s="42"/>
      <c r="I17" s="42"/>
    </row>
    <row r="18" customFormat="false" ht="15" hidden="false" customHeight="false" outlineLevel="0" collapsed="false">
      <c r="A18" s="7" t="s">
        <v>581</v>
      </c>
      <c r="B18" s="43" t="n">
        <f aca="false">IF(($B$12*12)=0,0,IF($B$17&lt;&gt;0,$B$10*$B$17/(1-POWER(1+$B$17,-($B$12*12))),$B$10/($B$12*12)))</f>
        <v>1583.51052089331</v>
      </c>
      <c r="C18" s="41" t="s">
        <v>257</v>
      </c>
      <c r="D18" s="42" t="s">
        <v>582</v>
      </c>
      <c r="E18" s="42"/>
      <c r="F18" s="42"/>
      <c r="G18" s="42"/>
      <c r="H18" s="42"/>
      <c r="I18" s="42"/>
    </row>
    <row r="19" customFormat="false" ht="15" hidden="false" customHeight="false" outlineLevel="0" collapsed="false">
      <c r="A19" s="7" t="s">
        <v>583</v>
      </c>
      <c r="B19" s="43" t="n">
        <f aca="false">IF(($B$13*12)=0,0,IF($B$17&lt;&gt;0,$B$10*$B$17/(1-POWER(1+$B$17,-($B$13*12))),$B$10/($B$13*12)))</f>
        <v>1328.32422309993</v>
      </c>
      <c r="C19" s="41" t="s">
        <v>257</v>
      </c>
      <c r="D19" s="42" t="s">
        <v>584</v>
      </c>
      <c r="E19" s="42"/>
      <c r="F19" s="42"/>
      <c r="G19" s="42"/>
      <c r="H19" s="42"/>
      <c r="I19" s="42"/>
    </row>
    <row r="20" customFormat="false" ht="15" hidden="false" customHeight="false" outlineLevel="0" collapsed="false">
      <c r="A20" s="7" t="s">
        <v>585</v>
      </c>
      <c r="B20" s="43" t="n">
        <f aca="false">$B$18*$B$12*12-$B$10</f>
        <v>175053.156267993</v>
      </c>
      <c r="C20" s="41" t="s">
        <v>257</v>
      </c>
      <c r="D20" s="42" t="s">
        <v>586</v>
      </c>
      <c r="E20" s="42"/>
      <c r="F20" s="42"/>
      <c r="G20" s="42"/>
      <c r="H20" s="42"/>
      <c r="I20" s="42"/>
    </row>
    <row r="21" customFormat="false" ht="15" hidden="false" customHeight="false" outlineLevel="0" collapsed="false">
      <c r="A21" s="7" t="s">
        <v>587</v>
      </c>
      <c r="B21" s="43" t="n">
        <f aca="false">$B$19*$B$13*12-$B$10</f>
        <v>257896.173701971</v>
      </c>
      <c r="C21" s="41" t="s">
        <v>257</v>
      </c>
      <c r="D21" s="42" t="s">
        <v>588</v>
      </c>
      <c r="E21" s="42"/>
      <c r="F21" s="42"/>
      <c r="G21" s="42"/>
      <c r="H21" s="42"/>
      <c r="I21" s="42"/>
    </row>
    <row r="23" customFormat="false" ht="15" hidden="false" customHeight="false" outlineLevel="0" collapsed="false">
      <c r="A23" s="15" t="s">
        <v>415</v>
      </c>
      <c r="B23" s="16"/>
      <c r="C23" s="16"/>
      <c r="D23" s="16"/>
      <c r="E23" s="16"/>
      <c r="F23" s="16"/>
      <c r="G23" s="16"/>
      <c r="H23" s="16"/>
      <c r="I23" s="16"/>
    </row>
    <row r="24" customFormat="false" ht="15" hidden="false" customHeight="false" outlineLevel="0" collapsed="false">
      <c r="A24" s="17" t="s">
        <v>416</v>
      </c>
      <c r="B24" s="17" t="s">
        <v>192</v>
      </c>
      <c r="C24" s="17" t="s">
        <v>417</v>
      </c>
      <c r="D24" s="17" t="s">
        <v>418</v>
      </c>
    </row>
    <row r="25" customFormat="false" ht="15" hidden="false" customHeight="false" outlineLevel="0" collapsed="false">
      <c r="A25" s="4" t="s">
        <v>419</v>
      </c>
      <c r="B25" s="48"/>
      <c r="C25" s="49" t="str">
        <f aca="false">"Interest difference"</f>
        <v>Interest difference</v>
      </c>
      <c r="D25" s="42" t="s">
        <v>420</v>
      </c>
      <c r="E25" s="42"/>
      <c r="F25" s="42"/>
      <c r="G25" s="42"/>
      <c r="H25" s="42"/>
      <c r="I25" s="42"/>
    </row>
    <row r="26" customFormat="false" ht="15" hidden="false" customHeight="false" outlineLevel="0" collapsed="false">
      <c r="A26" s="4" t="s">
        <v>589</v>
      </c>
      <c r="B26" s="50" t="n">
        <f aca="false">ABS($B$21-$B$20)</f>
        <v>82843.017433978</v>
      </c>
      <c r="C26" s="49" t="str">
        <f aca="false">IF((ABS($B$21-$B$20))&lt;0,"−€","€")&amp;FIXED(ROUND(ABS(ABS($B$21-$B$20)),0),0)</f>
        <v>€82,843</v>
      </c>
      <c r="D26" s="42" t="s">
        <v>512</v>
      </c>
      <c r="E26" s="42"/>
      <c r="F26" s="42"/>
      <c r="G26" s="42"/>
      <c r="H26" s="42"/>
      <c r="I26" s="42"/>
    </row>
    <row r="27" customFormat="false" ht="15" hidden="false" customHeight="false" outlineLevel="0" collapsed="false">
      <c r="A27" s="4" t="s">
        <v>590</v>
      </c>
      <c r="B27" s="48" t="n">
        <f aca="false">MIN($B$12,$B$13)</f>
        <v>25</v>
      </c>
      <c r="C27" s="49" t="str">
        <f aca="false">MIN($B$12,$B$13)&amp;""</f>
        <v>25</v>
      </c>
      <c r="D27" s="42" t="s">
        <v>424</v>
      </c>
      <c r="E27" s="42"/>
      <c r="F27" s="42"/>
      <c r="G27" s="42"/>
      <c r="H27" s="42"/>
      <c r="I27" s="42"/>
    </row>
    <row r="28" customFormat="false" ht="15" hidden="false" customHeight="false" outlineLevel="0" collapsed="false">
      <c r="A28" s="4" t="s">
        <v>581</v>
      </c>
      <c r="B28" s="50" t="n">
        <f aca="false">$B$18</f>
        <v>1583.51052089331</v>
      </c>
      <c r="C28" s="49" t="str">
        <f aca="false">IF(($B$18)&lt;0,"−€","€")&amp;FIXED(ROUND(ABS($B$18),0),0)</f>
        <v>€1,584</v>
      </c>
      <c r="D28" s="42" t="s">
        <v>427</v>
      </c>
      <c r="E28" s="42"/>
      <c r="F28" s="42"/>
      <c r="G28" s="42"/>
      <c r="H28" s="42"/>
      <c r="I28" s="42"/>
    </row>
    <row r="29" customFormat="false" ht="15" hidden="false" customHeight="false" outlineLevel="0" collapsed="false">
      <c r="A29" s="4" t="s">
        <v>583</v>
      </c>
      <c r="B29" s="50" t="n">
        <f aca="false">$B$19</f>
        <v>1328.32422309993</v>
      </c>
      <c r="C29" s="49" t="str">
        <f aca="false">IF(($B$19)&lt;0,"−€","€")&amp;FIXED(ROUND(ABS($B$19),0),0)</f>
        <v>€1,328</v>
      </c>
      <c r="D29" s="42" t="s">
        <v>428</v>
      </c>
      <c r="E29" s="42"/>
      <c r="F29" s="42"/>
      <c r="G29" s="42"/>
      <c r="H29" s="42"/>
      <c r="I29" s="42"/>
    </row>
    <row r="30" customFormat="false" ht="15" hidden="false" customHeight="false" outlineLevel="0" collapsed="false">
      <c r="A30" s="4" t="s">
        <v>585</v>
      </c>
      <c r="B30" s="50" t="n">
        <f aca="false">$B$20</f>
        <v>175053.156267993</v>
      </c>
      <c r="C30" s="49" t="str">
        <f aca="false">IF(($B$20)&lt;0,"−€","€")&amp;FIXED(ROUND(ABS($B$20),0),0)</f>
        <v>€175,053</v>
      </c>
      <c r="D30" s="42" t="s">
        <v>430</v>
      </c>
      <c r="E30" s="42"/>
      <c r="F30" s="42"/>
      <c r="G30" s="42"/>
      <c r="H30" s="42"/>
      <c r="I30" s="42"/>
    </row>
    <row r="31" customFormat="false" ht="15" hidden="false" customHeight="false" outlineLevel="0" collapsed="false">
      <c r="A31" s="4" t="s">
        <v>587</v>
      </c>
      <c r="B31" s="50" t="n">
        <f aca="false">$B$21</f>
        <v>257896.173701971</v>
      </c>
      <c r="C31" s="49" t="str">
        <f aca="false">IF(($B$21)&lt;0,"−€","€")&amp;FIXED(ROUND(ABS($B$21),0),0)</f>
        <v>€257,896</v>
      </c>
      <c r="D31" s="42" t="s">
        <v>431</v>
      </c>
      <c r="E31" s="42"/>
      <c r="F31" s="42"/>
      <c r="G31" s="42"/>
      <c r="H31" s="42"/>
      <c r="I31" s="42"/>
    </row>
  </sheetData>
  <mergeCells count="15">
    <mergeCell ref="A3:I3"/>
    <mergeCell ref="A4:I4"/>
    <mergeCell ref="A5:I5"/>
    <mergeCell ref="D17:I17"/>
    <mergeCell ref="D18:I18"/>
    <mergeCell ref="D19:I19"/>
    <mergeCell ref="D20:I20"/>
    <mergeCell ref="D21:I21"/>
    <mergeCell ref="D25:I25"/>
    <mergeCell ref="D26:I26"/>
    <mergeCell ref="D27:I27"/>
    <mergeCell ref="D28:I28"/>
    <mergeCell ref="D29:I29"/>
    <mergeCell ref="D30:I30"/>
    <mergeCell ref="D31:I31"/>
  </mergeCells>
  <dataValidations count="3">
    <dataValidation allowBlank="false" error="The prototype accepts 0.01 to 0.08 here." errorStyle="stop" errorTitle="Outside the prototype range" operator="between" showDropDown="false" showErrorMessage="true" showInputMessage="false" sqref="B11" type="decimal">
      <formula1>0.01</formula1>
      <formula2>0.08</formula2>
    </dataValidation>
    <dataValidation allowBlank="false" error="The prototype accepts 50000 to 10000000 here." errorStyle="stop" errorTitle="Outside the prototype range" operator="between" showDropDown="false" showErrorMessage="true" showInputMessage="false" sqref="B10" type="decimal">
      <formula1>50000</formula1>
      <formula2>10000000</formula2>
    </dataValidation>
    <dataValidation allowBlank="false" error="The prototype accepts 5 to 35 here." errorStyle="stop" errorTitle="Outside the prototype range" operator="between" showDropDown="false" showErrorMessage="true" showInputMessage="false" sqref="B12:B13" type="decimal">
      <formula1>5</formula1>
      <formula2>35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6" min="11" style="0" width="14"/>
  </cols>
  <sheetData>
    <row r="1" customFormat="false" ht="17.35" hidden="false" customHeight="false" outlineLevel="0" collapsed="false">
      <c r="A1" s="1" t="s">
        <v>591</v>
      </c>
    </row>
    <row r="2" customFormat="false" ht="15" hidden="false" customHeight="false" outlineLevel="0" collapsed="false">
      <c r="A2" s="30" t="s">
        <v>592</v>
      </c>
    </row>
    <row r="3" customFormat="false" ht="37.5" hidden="false" customHeight="true" outlineLevel="0" collapsed="false">
      <c r="A3" s="31" t="s">
        <v>593</v>
      </c>
      <c r="B3" s="31"/>
      <c r="C3" s="31"/>
      <c r="D3" s="31"/>
      <c r="E3" s="31"/>
      <c r="F3" s="31"/>
      <c r="G3" s="31"/>
      <c r="H3" s="31"/>
      <c r="I3" s="31"/>
    </row>
    <row r="4" customFormat="false" ht="63.75" hidden="false" customHeight="true" outlineLevel="0" collapsed="false">
      <c r="A4" s="31" t="s">
        <v>594</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595</v>
      </c>
    </row>
    <row r="6" customFormat="false" ht="15" hidden="false" customHeight="false" outlineLevel="0" collapsed="false">
      <c r="K6" s="9" t="s">
        <v>596</v>
      </c>
      <c r="L6" s="16"/>
      <c r="M6" s="16"/>
      <c r="N6" s="16"/>
      <c r="O6" s="16"/>
      <c r="P6" s="16"/>
    </row>
    <row r="7" customFormat="false" ht="39.75" hidden="false" customHeight="true" outlineLevel="0" collapsed="false">
      <c r="K7" s="55" t="s">
        <v>442</v>
      </c>
      <c r="L7" s="55" t="s">
        <v>597</v>
      </c>
      <c r="M7" s="55" t="s">
        <v>444</v>
      </c>
      <c r="N7" s="55" t="s">
        <v>598</v>
      </c>
      <c r="O7" s="55" t="s">
        <v>599</v>
      </c>
      <c r="P7" s="55" t="s">
        <v>448</v>
      </c>
    </row>
    <row r="8" customFormat="false" ht="15" hidden="false" customHeight="false" outlineLevel="0" collapsed="false">
      <c r="A8" s="15" t="s">
        <v>370</v>
      </c>
      <c r="B8" s="16"/>
      <c r="C8" s="16"/>
      <c r="D8" s="16"/>
      <c r="E8" s="16"/>
      <c r="F8" s="16"/>
      <c r="G8" s="16"/>
      <c r="H8" s="16"/>
      <c r="I8" s="16"/>
      <c r="K8" s="56" t="n">
        <v>1</v>
      </c>
      <c r="L8" s="56" t="n">
        <f aca="false">IF(K8&lt;=$B$14*12,1,0)</f>
        <v>1</v>
      </c>
      <c r="M8" s="58" t="n">
        <f aca="false">$B$19</f>
        <v>315000</v>
      </c>
      <c r="N8" s="58" t="n">
        <f aca="false">IF(L8=1,M8*$B$23,0)</f>
        <v>1050</v>
      </c>
      <c r="O8" s="58" t="n">
        <f aca="false">IF(L8=1,M8-($B$22-N8),M8)</f>
        <v>314546.141819284</v>
      </c>
      <c r="P8" s="58" t="n">
        <f aca="false">N8</f>
        <v>1050</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2</v>
      </c>
      <c r="L9" s="56" t="n">
        <f aca="false">IF(K9&lt;=$B$14*12,1,0)</f>
        <v>1</v>
      </c>
      <c r="M9" s="58" t="n">
        <f aca="false">O8</f>
        <v>314546.141819284</v>
      </c>
      <c r="N9" s="58" t="n">
        <f aca="false">IF(L9=1,M9*$B$23,0)</f>
        <v>1048.48713939761</v>
      </c>
      <c r="O9" s="58" t="n">
        <f aca="false">IF(L9=1,M9-($B$22-N9),M9)</f>
        <v>314090.770777965</v>
      </c>
      <c r="P9" s="58" t="n">
        <f aca="false">P8+N9</f>
        <v>2098.48713939761</v>
      </c>
    </row>
    <row r="10" customFormat="false" ht="15" hidden="false" customHeight="false" outlineLevel="0" collapsed="false">
      <c r="A10" s="7" t="s">
        <v>600</v>
      </c>
      <c r="B10" s="33" t="n">
        <v>1800</v>
      </c>
      <c r="C10" s="7" t="s">
        <v>257</v>
      </c>
      <c r="D10" s="34" t="n">
        <v>1800</v>
      </c>
      <c r="E10" s="34" t="n">
        <v>500</v>
      </c>
      <c r="F10" s="34" t="n">
        <v>5000</v>
      </c>
      <c r="G10" s="34" t="n">
        <v>50000</v>
      </c>
      <c r="H10" s="34" t="n">
        <v>50</v>
      </c>
      <c r="I10" s="35"/>
      <c r="K10" s="56" t="n">
        <f aca="false">K9+1</f>
        <v>3</v>
      </c>
      <c r="L10" s="56" t="n">
        <f aca="false">IF(K10&lt;=$B$14*12,1,0)</f>
        <v>1</v>
      </c>
      <c r="M10" s="58" t="n">
        <f aca="false">O9</f>
        <v>314090.770777965</v>
      </c>
      <c r="N10" s="58" t="n">
        <f aca="false">IF(L10=1,M10*$B$23,0)</f>
        <v>1046.96923592655</v>
      </c>
      <c r="O10" s="58" t="n">
        <f aca="false">IF(L10=1,M10-($B$22-N10),M10)</f>
        <v>313633.881833176</v>
      </c>
      <c r="P10" s="58" t="n">
        <f aca="false">P9+N10</f>
        <v>3145.45637532416</v>
      </c>
    </row>
    <row r="11" customFormat="false" ht="15" hidden="false" customHeight="false" outlineLevel="0" collapsed="false">
      <c r="A11" s="7" t="s">
        <v>496</v>
      </c>
      <c r="B11" s="33" t="n">
        <v>350000</v>
      </c>
      <c r="C11" s="7" t="s">
        <v>257</v>
      </c>
      <c r="D11" s="34" t="n">
        <v>350000</v>
      </c>
      <c r="E11" s="34" t="n">
        <v>100000</v>
      </c>
      <c r="F11" s="34" t="n">
        <v>1000000</v>
      </c>
      <c r="G11" s="34" t="n">
        <v>10000000</v>
      </c>
      <c r="H11" s="34" t="n">
        <v>5000</v>
      </c>
      <c r="I11" s="35"/>
      <c r="K11" s="56" t="n">
        <f aca="false">K10+1</f>
        <v>4</v>
      </c>
      <c r="L11" s="56" t="n">
        <f aca="false">IF(K11&lt;=$B$14*12,1,0)</f>
        <v>1</v>
      </c>
      <c r="M11" s="58" t="n">
        <f aca="false">O10</f>
        <v>313633.881833176</v>
      </c>
      <c r="N11" s="58" t="n">
        <f aca="false">IF(L11=1,M11*$B$23,0)</f>
        <v>1045.44627277725</v>
      </c>
      <c r="O11" s="58" t="n">
        <f aca="false">IF(L11=1,M11-($B$22-N11),M11)</f>
        <v>313175.469925237</v>
      </c>
      <c r="P11" s="58" t="n">
        <f aca="false">P10+N11</f>
        <v>4190.90264810142</v>
      </c>
    </row>
    <row r="12" customFormat="false" ht="15" hidden="false" customHeight="false" outlineLevel="0" collapsed="false">
      <c r="A12" s="7" t="s">
        <v>601</v>
      </c>
      <c r="B12" s="33" t="n">
        <v>35000</v>
      </c>
      <c r="C12" s="7" t="s">
        <v>257</v>
      </c>
      <c r="D12" s="34" t="n">
        <v>35000</v>
      </c>
      <c r="E12" s="34" t="n">
        <v>0</v>
      </c>
      <c r="F12" s="34" t="n">
        <v>300000</v>
      </c>
      <c r="G12" s="34" t="n">
        <v>3000000</v>
      </c>
      <c r="H12" s="34" t="n">
        <v>1000</v>
      </c>
      <c r="I12" s="35"/>
      <c r="K12" s="56" t="n">
        <f aca="false">K11+1</f>
        <v>5</v>
      </c>
      <c r="L12" s="56" t="n">
        <f aca="false">IF(K12&lt;=$B$14*12,1,0)</f>
        <v>1</v>
      </c>
      <c r="M12" s="58" t="n">
        <f aca="false">O11</f>
        <v>313175.469925237</v>
      </c>
      <c r="N12" s="58" t="n">
        <f aca="false">IF(L12=1,M12*$B$23,0)</f>
        <v>1043.91823308412</v>
      </c>
      <c r="O12" s="58" t="n">
        <f aca="false">IF(L12=1,M12-($B$22-N12),M12)</f>
        <v>312715.529977605</v>
      </c>
      <c r="P12" s="58" t="n">
        <f aca="false">P11+N12</f>
        <v>5234.82088118554</v>
      </c>
    </row>
    <row r="13" customFormat="false" ht="15" hidden="false" customHeight="false" outlineLevel="0" collapsed="false">
      <c r="A13" s="7" t="s">
        <v>602</v>
      </c>
      <c r="B13" s="38" t="n">
        <v>0.04</v>
      </c>
      <c r="C13" s="7" t="s">
        <v>386</v>
      </c>
      <c r="D13" s="39" t="n">
        <v>0.04</v>
      </c>
      <c r="E13" s="39" t="n">
        <v>0.01</v>
      </c>
      <c r="F13" s="39" t="n">
        <v>0.08</v>
      </c>
      <c r="G13" s="39" t="n">
        <v>0.08</v>
      </c>
      <c r="H13" s="39" t="n">
        <v>0.001</v>
      </c>
      <c r="I13" s="35"/>
      <c r="K13" s="56" t="n">
        <f aca="false">K12+1</f>
        <v>6</v>
      </c>
      <c r="L13" s="56" t="n">
        <f aca="false">IF(K13&lt;=$B$14*12,1,0)</f>
        <v>1</v>
      </c>
      <c r="M13" s="58" t="n">
        <f aca="false">O12</f>
        <v>312715.529977605</v>
      </c>
      <c r="N13" s="58" t="n">
        <f aca="false">IF(L13=1,M13*$B$23,0)</f>
        <v>1042.38509992535</v>
      </c>
      <c r="O13" s="58" t="n">
        <f aca="false">IF(L13=1,M13-($B$22-N13),M13)</f>
        <v>312254.056896814</v>
      </c>
      <c r="P13" s="58" t="n">
        <f aca="false">P12+N13</f>
        <v>6277.20598111089</v>
      </c>
    </row>
    <row r="14" customFormat="false" ht="15" hidden="false" customHeight="false" outlineLevel="0" collapsed="false">
      <c r="A14" s="7" t="s">
        <v>603</v>
      </c>
      <c r="B14" s="36" t="n">
        <v>10</v>
      </c>
      <c r="C14" s="7" t="s">
        <v>388</v>
      </c>
      <c r="D14" s="37" t="n">
        <v>10</v>
      </c>
      <c r="E14" s="37" t="n">
        <v>1</v>
      </c>
      <c r="F14" s="37" t="n">
        <v>30</v>
      </c>
      <c r="G14" s="37" t="n">
        <v>30</v>
      </c>
      <c r="H14" s="37" t="n">
        <v>1</v>
      </c>
      <c r="I14" s="35"/>
      <c r="K14" s="56" t="n">
        <f aca="false">K13+1</f>
        <v>7</v>
      </c>
      <c r="L14" s="56" t="n">
        <f aca="false">IF(K14&lt;=$B$14*12,1,0)</f>
        <v>1</v>
      </c>
      <c r="M14" s="58" t="n">
        <f aca="false">O13</f>
        <v>312254.056896814</v>
      </c>
      <c r="N14" s="58" t="n">
        <f aca="false">IF(L14=1,M14*$B$23,0)</f>
        <v>1040.84685632271</v>
      </c>
      <c r="O14" s="58" t="n">
        <f aca="false">IF(L14=1,M14-($B$22-N14),M14)</f>
        <v>311791.04557242</v>
      </c>
      <c r="P14" s="58" t="n">
        <f aca="false">P13+N14</f>
        <v>7318.0528374336</v>
      </c>
    </row>
    <row r="15" customFormat="false" ht="15" hidden="false" customHeight="false" outlineLevel="0" collapsed="false">
      <c r="A15" s="7" t="s">
        <v>604</v>
      </c>
      <c r="B15" s="38" t="n">
        <v>0.02</v>
      </c>
      <c r="C15" s="7" t="s">
        <v>386</v>
      </c>
      <c r="D15" s="39" t="n">
        <v>0.02</v>
      </c>
      <c r="E15" s="39" t="n">
        <v>0</v>
      </c>
      <c r="F15" s="39" t="n">
        <v>0.06</v>
      </c>
      <c r="G15" s="39" t="n">
        <v>0.06</v>
      </c>
      <c r="H15" s="39" t="n">
        <v>0.005</v>
      </c>
      <c r="I15" s="35"/>
      <c r="K15" s="56" t="n">
        <f aca="false">K14+1</f>
        <v>8</v>
      </c>
      <c r="L15" s="56" t="n">
        <f aca="false">IF(K15&lt;=$B$14*12,1,0)</f>
        <v>1</v>
      </c>
      <c r="M15" s="58" t="n">
        <f aca="false">O14</f>
        <v>311791.04557242</v>
      </c>
      <c r="N15" s="58" t="n">
        <f aca="false">IF(L15=1,M15*$B$23,0)</f>
        <v>1039.3034852414</v>
      </c>
      <c r="O15" s="58" t="n">
        <f aca="false">IF(L15=1,M15-($B$22-N15),M15)</f>
        <v>311326.490876946</v>
      </c>
      <c r="P15" s="58" t="n">
        <f aca="false">P14+N15</f>
        <v>8357.356322675</v>
      </c>
    </row>
    <row r="16" customFormat="false" ht="15" hidden="false" customHeight="false" outlineLevel="0" collapsed="false">
      <c r="K16" s="56" t="n">
        <f aca="false">K15+1</f>
        <v>9</v>
      </c>
      <c r="L16" s="56" t="n">
        <f aca="false">IF(K16&lt;=$B$14*12,1,0)</f>
        <v>1</v>
      </c>
      <c r="M16" s="58" t="n">
        <f aca="false">O15</f>
        <v>311326.490876946</v>
      </c>
      <c r="N16" s="58" t="n">
        <f aca="false">IF(L16=1,M16*$B$23,0)</f>
        <v>1037.75496958982</v>
      </c>
      <c r="O16" s="58" t="n">
        <f aca="false">IF(L16=1,M16-($B$22-N16),M16)</f>
        <v>310860.387665819</v>
      </c>
      <c r="P16" s="58" t="n">
        <f aca="false">P15+N16</f>
        <v>9395.11129226482</v>
      </c>
    </row>
    <row r="17" customFormat="false" ht="15" hidden="false" customHeight="false" outlineLevel="0" collapsed="false">
      <c r="A17" s="15" t="s">
        <v>391</v>
      </c>
      <c r="B17" s="16"/>
      <c r="C17" s="16"/>
      <c r="D17" s="16"/>
      <c r="E17" s="16"/>
      <c r="F17" s="16"/>
      <c r="G17" s="16"/>
      <c r="H17" s="16"/>
      <c r="I17" s="16"/>
      <c r="K17" s="56" t="n">
        <f aca="false">K16+1</f>
        <v>10</v>
      </c>
      <c r="L17" s="56" t="n">
        <f aca="false">IF(K17&lt;=$B$14*12,1,0)</f>
        <v>1</v>
      </c>
      <c r="M17" s="58" t="n">
        <f aca="false">O16</f>
        <v>310860.387665819</v>
      </c>
      <c r="N17" s="58" t="n">
        <f aca="false">IF(L17=1,M17*$B$23,0)</f>
        <v>1036.2012922194</v>
      </c>
      <c r="O17" s="58" t="n">
        <f aca="false">IF(L17=1,M17-($B$22-N17),M17)</f>
        <v>310392.730777322</v>
      </c>
      <c r="P17" s="58" t="n">
        <f aca="false">P16+N17</f>
        <v>10431.3125844842</v>
      </c>
    </row>
    <row r="18" customFormat="false" ht="15" hidden="false" customHeight="false" outlineLevel="0" collapsed="false">
      <c r="A18" s="17" t="s">
        <v>392</v>
      </c>
      <c r="B18" s="17" t="s">
        <v>192</v>
      </c>
      <c r="C18" s="17" t="s">
        <v>193</v>
      </c>
      <c r="D18" s="17" t="s">
        <v>393</v>
      </c>
      <c r="K18" s="56" t="n">
        <f aca="false">K17+1</f>
        <v>11</v>
      </c>
      <c r="L18" s="56" t="n">
        <f aca="false">IF(K18&lt;=$B$14*12,1,0)</f>
        <v>1</v>
      </c>
      <c r="M18" s="58" t="n">
        <f aca="false">O17</f>
        <v>310392.730777322</v>
      </c>
      <c r="N18" s="58" t="n">
        <f aca="false">IF(L18=1,M18*$B$23,0)</f>
        <v>1034.64243592441</v>
      </c>
      <c r="O18" s="58" t="n">
        <f aca="false">IF(L18=1,M18-($B$22-N18),M18)</f>
        <v>309923.515032531</v>
      </c>
      <c r="P18" s="58" t="n">
        <f aca="false">P17+N18</f>
        <v>11465.9550204086</v>
      </c>
    </row>
    <row r="19" customFormat="false" ht="15" hidden="false" customHeight="false" outlineLevel="0" collapsed="false">
      <c r="A19" s="7" t="s">
        <v>605</v>
      </c>
      <c r="B19" s="43" t="n">
        <f aca="false">$B$11-$B$12</f>
        <v>315000</v>
      </c>
      <c r="C19" s="41" t="s">
        <v>257</v>
      </c>
      <c r="D19" s="42" t="s">
        <v>606</v>
      </c>
      <c r="E19" s="42"/>
      <c r="F19" s="42"/>
      <c r="G19" s="42"/>
      <c r="H19" s="42"/>
      <c r="I19" s="42"/>
      <c r="K19" s="56" t="n">
        <f aca="false">K18+1</f>
        <v>12</v>
      </c>
      <c r="L19" s="56" t="n">
        <f aca="false">IF(K19&lt;=$B$14*12,1,0)</f>
        <v>1</v>
      </c>
      <c r="M19" s="58" t="n">
        <f aca="false">O18</f>
        <v>309923.515032531</v>
      </c>
      <c r="N19" s="58" t="n">
        <f aca="false">IF(L19=1,M19*$B$23,0)</f>
        <v>1033.07838344177</v>
      </c>
      <c r="O19" s="58" t="n">
        <f aca="false">IF(L19=1,M19-($B$22-N19),M19)</f>
        <v>309452.735235256</v>
      </c>
      <c r="P19" s="58" t="n">
        <f aca="false">P18+N19</f>
        <v>12499.0334038504</v>
      </c>
    </row>
    <row r="20" customFormat="false" ht="15" hidden="false" customHeight="false" outlineLevel="0" collapsed="false">
      <c r="A20" s="7" t="s">
        <v>607</v>
      </c>
      <c r="B20" s="45" t="n">
        <f aca="false">$B$13/12</f>
        <v>0.00333333333333333</v>
      </c>
      <c r="C20" s="41" t="s">
        <v>407</v>
      </c>
      <c r="D20" s="42" t="s">
        <v>608</v>
      </c>
      <c r="E20" s="42"/>
      <c r="F20" s="42"/>
      <c r="G20" s="42"/>
      <c r="H20" s="42"/>
      <c r="I20" s="42"/>
      <c r="K20" s="56" t="n">
        <f aca="false">K19+1</f>
        <v>13</v>
      </c>
      <c r="L20" s="56" t="n">
        <f aca="false">IF(K20&lt;=$B$14*12,1,0)</f>
        <v>1</v>
      </c>
      <c r="M20" s="58" t="n">
        <f aca="false">O19</f>
        <v>309452.735235256</v>
      </c>
      <c r="N20" s="58" t="n">
        <f aca="false">IF(L20=1,M20*$B$23,0)</f>
        <v>1031.50911745085</v>
      </c>
      <c r="O20" s="58" t="n">
        <f aca="false">IF(L20=1,M20-($B$22-N20),M20)</f>
        <v>308980.386171991</v>
      </c>
      <c r="P20" s="58" t="n">
        <f aca="false">P19+N20</f>
        <v>13530.5425213012</v>
      </c>
    </row>
    <row r="21" customFormat="false" ht="15" hidden="false" customHeight="false" outlineLevel="0" collapsed="false">
      <c r="A21" s="7" t="s">
        <v>609</v>
      </c>
      <c r="B21" s="60" t="n">
        <f aca="false">Assumptions!$C$46*12</f>
        <v>360</v>
      </c>
      <c r="C21" s="41" t="s">
        <v>240</v>
      </c>
      <c r="D21" s="42" t="s">
        <v>610</v>
      </c>
      <c r="E21" s="42"/>
      <c r="F21" s="42"/>
      <c r="G21" s="42"/>
      <c r="H21" s="42"/>
      <c r="I21" s="42"/>
      <c r="K21" s="56" t="n">
        <f aca="false">K20+1</f>
        <v>14</v>
      </c>
      <c r="L21" s="56" t="n">
        <f aca="false">IF(K21&lt;=$B$14*12,1,0)</f>
        <v>1</v>
      </c>
      <c r="M21" s="58" t="n">
        <f aca="false">O20</f>
        <v>308980.386171991</v>
      </c>
      <c r="N21" s="58" t="n">
        <f aca="false">IF(L21=1,M21*$B$23,0)</f>
        <v>1029.9346205733</v>
      </c>
      <c r="O21" s="58" t="n">
        <f aca="false">IF(L21=1,M21-($B$22-N21),M21)</f>
        <v>308506.462611848</v>
      </c>
      <c r="P21" s="58" t="n">
        <f aca="false">P20+N21</f>
        <v>14560.4771418746</v>
      </c>
    </row>
    <row r="22" customFormat="false" ht="15" hidden="false" customHeight="false" outlineLevel="0" collapsed="false">
      <c r="A22" s="7" t="s">
        <v>611</v>
      </c>
      <c r="B22" s="43" t="n">
        <f aca="false">IF(($B$21)=0,0,IF($B$20&lt;&gt;0,$B$19*$B$20/(1-POWER(1+$B$20,-($B$21))),$B$19/($B$21)))</f>
        <v>1503.85818071618</v>
      </c>
      <c r="C22" s="41" t="s">
        <v>257</v>
      </c>
      <c r="D22" s="42" t="s">
        <v>612</v>
      </c>
      <c r="E22" s="42"/>
      <c r="F22" s="42"/>
      <c r="G22" s="42"/>
      <c r="H22" s="42"/>
      <c r="I22" s="42"/>
      <c r="K22" s="56" t="n">
        <f aca="false">K21+1</f>
        <v>15</v>
      </c>
      <c r="L22" s="56" t="n">
        <f aca="false">IF(K22&lt;=$B$14*12,1,0)</f>
        <v>1</v>
      </c>
      <c r="M22" s="58" t="n">
        <f aca="false">O21</f>
        <v>308506.462611848</v>
      </c>
      <c r="N22" s="58" t="n">
        <f aca="false">IF(L22=1,M22*$B$23,0)</f>
        <v>1028.35487537283</v>
      </c>
      <c r="O22" s="58" t="n">
        <f aca="false">IF(L22=1,M22-($B$22-N22),M22)</f>
        <v>308030.959306505</v>
      </c>
      <c r="P22" s="58" t="n">
        <f aca="false">P21+N22</f>
        <v>15588.8320172474</v>
      </c>
    </row>
    <row r="23" customFormat="false" ht="15" hidden="false" customHeight="false" outlineLevel="0" collapsed="false">
      <c r="A23" s="7" t="s">
        <v>613</v>
      </c>
      <c r="B23" s="45" t="n">
        <f aca="false">$B$13/12</f>
        <v>0.00333333333333333</v>
      </c>
      <c r="C23" s="41" t="s">
        <v>407</v>
      </c>
      <c r="D23" s="42" t="s">
        <v>614</v>
      </c>
      <c r="E23" s="42"/>
      <c r="F23" s="42"/>
      <c r="G23" s="42"/>
      <c r="H23" s="42"/>
      <c r="I23" s="42"/>
      <c r="K23" s="56" t="n">
        <f aca="false">K22+1</f>
        <v>16</v>
      </c>
      <c r="L23" s="56" t="n">
        <f aca="false">IF(K23&lt;=$B$14*12,1,0)</f>
        <v>1</v>
      </c>
      <c r="M23" s="58" t="n">
        <f aca="false">O22</f>
        <v>308030.959306505</v>
      </c>
      <c r="N23" s="58" t="n">
        <f aca="false">IF(L23=1,M23*$B$23,0)</f>
        <v>1026.76986435502</v>
      </c>
      <c r="O23" s="58" t="n">
        <f aca="false">IF(L23=1,M23-($B$22-N23),M23)</f>
        <v>307553.870990144</v>
      </c>
      <c r="P23" s="58" t="n">
        <f aca="false">P22+N23</f>
        <v>16615.6018816024</v>
      </c>
    </row>
    <row r="24" customFormat="false" ht="15" hidden="false" customHeight="false" outlineLevel="0" collapsed="false">
      <c r="A24" s="7" t="s">
        <v>615</v>
      </c>
      <c r="B24" s="43" t="n">
        <f aca="false">INDEX($O$8:$O$367,MAX(1,$B$14*12))</f>
        <v>248169.471516484</v>
      </c>
      <c r="C24" s="41" t="s">
        <v>257</v>
      </c>
      <c r="D24" s="42" t="s">
        <v>616</v>
      </c>
      <c r="E24" s="42"/>
      <c r="F24" s="42"/>
      <c r="G24" s="42"/>
      <c r="H24" s="42"/>
      <c r="I24" s="42"/>
      <c r="K24" s="56" t="n">
        <f aca="false">K23+1</f>
        <v>17</v>
      </c>
      <c r="L24" s="56" t="n">
        <f aca="false">IF(K24&lt;=$B$14*12,1,0)</f>
        <v>1</v>
      </c>
      <c r="M24" s="58" t="n">
        <f aca="false">O23</f>
        <v>307553.870990144</v>
      </c>
      <c r="N24" s="58" t="n">
        <f aca="false">IF(L24=1,M24*$B$23,0)</f>
        <v>1025.17956996715</v>
      </c>
      <c r="O24" s="58" t="n">
        <f aca="false">IF(L24=1,M24-($B$22-N24),M24)</f>
        <v>307075.192379395</v>
      </c>
      <c r="P24" s="58" t="n">
        <f aca="false">P23+N24</f>
        <v>17640.7814515695</v>
      </c>
    </row>
    <row r="25" customFormat="false" ht="15" hidden="false" customHeight="false" outlineLevel="0" collapsed="false">
      <c r="A25" s="7" t="s">
        <v>617</v>
      </c>
      <c r="B25" s="43" t="n">
        <f aca="false">$P$367</f>
        <v>113632.453202425</v>
      </c>
      <c r="C25" s="41" t="s">
        <v>257</v>
      </c>
      <c r="D25" s="42" t="s">
        <v>618</v>
      </c>
      <c r="E25" s="42"/>
      <c r="F25" s="42"/>
      <c r="G25" s="42"/>
      <c r="H25" s="42"/>
      <c r="I25" s="42"/>
      <c r="K25" s="56" t="n">
        <f aca="false">K24+1</f>
        <v>18</v>
      </c>
      <c r="L25" s="56" t="n">
        <f aca="false">IF(K25&lt;=$B$14*12,1,0)</f>
        <v>1</v>
      </c>
      <c r="M25" s="58" t="n">
        <f aca="false">O24</f>
        <v>307075.192379395</v>
      </c>
      <c r="N25" s="58" t="n">
        <f aca="false">IF(L25=1,M25*$B$23,0)</f>
        <v>1023.58397459798</v>
      </c>
      <c r="O25" s="58" t="n">
        <f aca="false">IF(L25=1,M25-($B$22-N25),M25)</f>
        <v>306594.918173276</v>
      </c>
      <c r="P25" s="58" t="n">
        <f aca="false">P24+N25</f>
        <v>18664.3654261675</v>
      </c>
    </row>
    <row r="26" customFormat="false" ht="15" hidden="false" customHeight="false" outlineLevel="0" collapsed="false">
      <c r="A26" s="7" t="s">
        <v>619</v>
      </c>
      <c r="B26" s="43" t="n">
        <f aca="false">$B$10*12*$B$14</f>
        <v>216000</v>
      </c>
      <c r="C26" s="41" t="s">
        <v>257</v>
      </c>
      <c r="D26" s="42" t="s">
        <v>620</v>
      </c>
      <c r="E26" s="42"/>
      <c r="F26" s="42"/>
      <c r="G26" s="42"/>
      <c r="H26" s="42"/>
      <c r="I26" s="42"/>
      <c r="K26" s="56" t="n">
        <f aca="false">K25+1</f>
        <v>19</v>
      </c>
      <c r="L26" s="56" t="n">
        <f aca="false">IF(K26&lt;=$B$14*12,1,0)</f>
        <v>1</v>
      </c>
      <c r="M26" s="58" t="n">
        <f aca="false">O25</f>
        <v>306594.918173276</v>
      </c>
      <c r="N26" s="58" t="n">
        <f aca="false">IF(L26=1,M26*$B$23,0)</f>
        <v>1021.98306057759</v>
      </c>
      <c r="O26" s="58" t="n">
        <f aca="false">IF(L26=1,M26-($B$22-N26),M26)</f>
        <v>306113.043053138</v>
      </c>
      <c r="P26" s="58" t="n">
        <f aca="false">P25+N26</f>
        <v>19686.3484867451</v>
      </c>
    </row>
    <row r="27" customFormat="false" ht="15" hidden="false" customHeight="false" outlineLevel="0" collapsed="false">
      <c r="A27" s="7" t="s">
        <v>621</v>
      </c>
      <c r="B27" s="44" t="n">
        <f aca="false">$B$11*Assumptions!$C$47*$B$14</f>
        <v>35000</v>
      </c>
      <c r="C27" s="41" t="s">
        <v>257</v>
      </c>
      <c r="D27" s="42" t="s">
        <v>622</v>
      </c>
      <c r="E27" s="42"/>
      <c r="F27" s="42"/>
      <c r="G27" s="42"/>
      <c r="H27" s="42"/>
      <c r="I27" s="42"/>
      <c r="K27" s="56" t="n">
        <f aca="false">K26+1</f>
        <v>20</v>
      </c>
      <c r="L27" s="56" t="n">
        <f aca="false">IF(K27&lt;=$B$14*12,1,0)</f>
        <v>1</v>
      </c>
      <c r="M27" s="58" t="n">
        <f aca="false">O26</f>
        <v>306113.043053138</v>
      </c>
      <c r="N27" s="58" t="n">
        <f aca="false">IF(L27=1,M27*$B$23,0)</f>
        <v>1020.37681017713</v>
      </c>
      <c r="O27" s="58" t="n">
        <f aca="false">IF(L27=1,M27-($B$22-N27),M27)</f>
        <v>305629.561682599</v>
      </c>
      <c r="P27" s="58" t="n">
        <f aca="false">P26+N27</f>
        <v>20706.7252969222</v>
      </c>
    </row>
    <row r="28" customFormat="false" ht="15" hidden="false" customHeight="false" outlineLevel="0" collapsed="false">
      <c r="A28" s="7" t="s">
        <v>623</v>
      </c>
      <c r="B28" s="43" t="n">
        <f aca="false">$B$11*POWER(1+$B$15,$B$14)</f>
        <v>426648.046998165</v>
      </c>
      <c r="C28" s="41" t="s">
        <v>257</v>
      </c>
      <c r="D28" s="42" t="s">
        <v>624</v>
      </c>
      <c r="E28" s="42"/>
      <c r="F28" s="42"/>
      <c r="G28" s="42"/>
      <c r="H28" s="42"/>
      <c r="I28" s="42"/>
      <c r="K28" s="56" t="n">
        <f aca="false">K27+1</f>
        <v>21</v>
      </c>
      <c r="L28" s="56" t="n">
        <f aca="false">IF(K28&lt;=$B$14*12,1,0)</f>
        <v>1</v>
      </c>
      <c r="M28" s="58" t="n">
        <f aca="false">O27</f>
        <v>305629.561682599</v>
      </c>
      <c r="N28" s="58" t="n">
        <f aca="false">IF(L28=1,M28*$B$23,0)</f>
        <v>1018.76520560866</v>
      </c>
      <c r="O28" s="58" t="n">
        <f aca="false">IF(L28=1,M28-($B$22-N28),M28)</f>
        <v>305144.468707491</v>
      </c>
      <c r="P28" s="58" t="n">
        <f aca="false">P27+N28</f>
        <v>21725.4905025309</v>
      </c>
    </row>
    <row r="29" customFormat="false" ht="15" hidden="false" customHeight="false" outlineLevel="0" collapsed="false">
      <c r="A29" s="7" t="s">
        <v>625</v>
      </c>
      <c r="B29" s="43" t="n">
        <f aca="false">$B$28-$B$24</f>
        <v>178478.575481682</v>
      </c>
      <c r="C29" s="41" t="s">
        <v>257</v>
      </c>
      <c r="D29" s="42" t="s">
        <v>626</v>
      </c>
      <c r="E29" s="42"/>
      <c r="F29" s="42"/>
      <c r="G29" s="42"/>
      <c r="H29" s="42"/>
      <c r="I29" s="42"/>
      <c r="K29" s="56" t="n">
        <f aca="false">K28+1</f>
        <v>22</v>
      </c>
      <c r="L29" s="56" t="n">
        <f aca="false">IF(K29&lt;=$B$14*12,1,0)</f>
        <v>1</v>
      </c>
      <c r="M29" s="58" t="n">
        <f aca="false">O28</f>
        <v>305144.468707491</v>
      </c>
      <c r="N29" s="58" t="n">
        <f aca="false">IF(L29=1,M29*$B$23,0)</f>
        <v>1017.14822902497</v>
      </c>
      <c r="O29" s="58" t="n">
        <f aca="false">IF(L29=1,M29-($B$22-N29),M29)</f>
        <v>304657.7587558</v>
      </c>
      <c r="P29" s="58" t="n">
        <f aca="false">P28+N29</f>
        <v>22742.6387315559</v>
      </c>
    </row>
    <row r="30" customFormat="false" ht="15" hidden="false" customHeight="false" outlineLevel="0" collapsed="false">
      <c r="K30" s="56" t="n">
        <f aca="false">K29+1</f>
        <v>23</v>
      </c>
      <c r="L30" s="56" t="n">
        <f aca="false">IF(K30&lt;=$B$14*12,1,0)</f>
        <v>1</v>
      </c>
      <c r="M30" s="58" t="n">
        <f aca="false">O29</f>
        <v>304657.7587558</v>
      </c>
      <c r="N30" s="58" t="n">
        <f aca="false">IF(L30=1,M30*$B$23,0)</f>
        <v>1015.52586251933</v>
      </c>
      <c r="O30" s="58" t="n">
        <f aca="false">IF(L30=1,M30-($B$22-N30),M30)</f>
        <v>304169.426437603</v>
      </c>
      <c r="P30" s="58" t="n">
        <f aca="false">P29+N30</f>
        <v>23758.1645940752</v>
      </c>
    </row>
    <row r="31" customFormat="false" ht="15" hidden="false" customHeight="false" outlineLevel="0" collapsed="false">
      <c r="A31" s="15" t="s">
        <v>415</v>
      </c>
      <c r="B31" s="16"/>
      <c r="C31" s="16"/>
      <c r="D31" s="16"/>
      <c r="E31" s="16"/>
      <c r="F31" s="16"/>
      <c r="G31" s="16"/>
      <c r="H31" s="16"/>
      <c r="I31" s="16"/>
      <c r="K31" s="56" t="n">
        <f aca="false">K30+1</f>
        <v>24</v>
      </c>
      <c r="L31" s="56" t="n">
        <f aca="false">IF(K31&lt;=$B$14*12,1,0)</f>
        <v>1</v>
      </c>
      <c r="M31" s="58" t="n">
        <f aca="false">O30</f>
        <v>304169.426437603</v>
      </c>
      <c r="N31" s="58" t="n">
        <f aca="false">IF(L31=1,M31*$B$23,0)</f>
        <v>1013.89808812534</v>
      </c>
      <c r="O31" s="58" t="n">
        <f aca="false">IF(L31=1,M31-($B$22-N31),M31)</f>
        <v>303679.466345012</v>
      </c>
      <c r="P31" s="58" t="n">
        <f aca="false">P30+N31</f>
        <v>24772.0626822005</v>
      </c>
    </row>
    <row r="32" customFormat="false" ht="15" hidden="false" customHeight="false" outlineLevel="0" collapsed="false">
      <c r="A32" s="17" t="s">
        <v>416</v>
      </c>
      <c r="B32" s="17" t="s">
        <v>192</v>
      </c>
      <c r="C32" s="17" t="s">
        <v>417</v>
      </c>
      <c r="D32" s="17" t="s">
        <v>418</v>
      </c>
      <c r="K32" s="56" t="n">
        <f aca="false">K31+1</f>
        <v>25</v>
      </c>
      <c r="L32" s="56" t="n">
        <f aca="false">IF(K32&lt;=$B$14*12,1,0)</f>
        <v>1</v>
      </c>
      <c r="M32" s="58" t="n">
        <f aca="false">O31</f>
        <v>303679.466345012</v>
      </c>
      <c r="N32" s="58" t="n">
        <f aca="false">IF(L32=1,M32*$B$23,0)</f>
        <v>1012.26488781671</v>
      </c>
      <c r="O32" s="58" t="n">
        <f aca="false">IF(L32=1,M32-($B$22-N32),M32)</f>
        <v>303187.873052113</v>
      </c>
      <c r="P32" s="58" t="n">
        <f aca="false">P31+N32</f>
        <v>25784.3275700173</v>
      </c>
    </row>
    <row r="33" customFormat="false" ht="15" hidden="false" customHeight="false" outlineLevel="0" collapsed="false">
      <c r="A33" s="4" t="s">
        <v>419</v>
      </c>
      <c r="B33" s="48"/>
      <c r="C33" s="49" t="str">
        <f aca="false">"Home equity after "&amp;$B$14&amp;" yrs"</f>
        <v>Home equity after 10 yrs</v>
      </c>
      <c r="D33" s="42" t="s">
        <v>420</v>
      </c>
      <c r="E33" s="42"/>
      <c r="F33" s="42"/>
      <c r="G33" s="42"/>
      <c r="H33" s="42"/>
      <c r="I33" s="42"/>
      <c r="K33" s="56" t="n">
        <f aca="false">K32+1</f>
        <v>26</v>
      </c>
      <c r="L33" s="56" t="n">
        <f aca="false">IF(K33&lt;=$B$14*12,1,0)</f>
        <v>1</v>
      </c>
      <c r="M33" s="58" t="n">
        <f aca="false">O32</f>
        <v>303187.873052113</v>
      </c>
      <c r="N33" s="58" t="n">
        <f aca="false">IF(L33=1,M33*$B$23,0)</f>
        <v>1010.62624350704</v>
      </c>
      <c r="O33" s="58" t="n">
        <f aca="false">IF(L33=1,M33-($B$22-N33),M33)</f>
        <v>302694.641114904</v>
      </c>
      <c r="P33" s="58" t="n">
        <f aca="false">P32+N33</f>
        <v>26794.9538135243</v>
      </c>
    </row>
    <row r="34" customFormat="false" ht="15" hidden="false" customHeight="false" outlineLevel="0" collapsed="false">
      <c r="A34" s="4" t="s">
        <v>627</v>
      </c>
      <c r="B34" s="50" t="n">
        <f aca="false">$B$29</f>
        <v>178478.575481682</v>
      </c>
      <c r="C34" s="49" t="str">
        <f aca="false">IF(($B$29)&lt;0,"−€","€")&amp;FIXED(ROUND(ABS($B$29),0),0)</f>
        <v>€178,479</v>
      </c>
      <c r="D34" s="42" t="s">
        <v>512</v>
      </c>
      <c r="E34" s="42"/>
      <c r="F34" s="42"/>
      <c r="G34" s="42"/>
      <c r="H34" s="42"/>
      <c r="I34" s="42"/>
      <c r="K34" s="56" t="n">
        <f aca="false">K33+1</f>
        <v>27</v>
      </c>
      <c r="L34" s="56" t="n">
        <f aca="false">IF(K34&lt;=$B$14*12,1,0)</f>
        <v>1</v>
      </c>
      <c r="M34" s="58" t="n">
        <f aca="false">O33</f>
        <v>302694.641114904</v>
      </c>
      <c r="N34" s="58" t="n">
        <f aca="false">IF(L34=1,M34*$B$23,0)</f>
        <v>1008.98213704968</v>
      </c>
      <c r="O34" s="58" t="n">
        <f aca="false">IF(L34=1,M34-($B$22-N34),M34)</f>
        <v>302199.765071237</v>
      </c>
      <c r="P34" s="58" t="n">
        <f aca="false">P33+N34</f>
        <v>27803.935950574</v>
      </c>
    </row>
    <row r="35" customFormat="false" ht="15" hidden="false" customHeight="false" outlineLevel="0" collapsed="false">
      <c r="A35" s="4" t="s">
        <v>619</v>
      </c>
      <c r="B35" s="50" t="n">
        <f aca="false">$B$26</f>
        <v>216000</v>
      </c>
      <c r="C35" s="49" t="str">
        <f aca="false">IF(($B$26)&lt;0,"−€","€")&amp;FIXED(ROUND(ABS($B$26),0),0)</f>
        <v>€216,000</v>
      </c>
      <c r="D35" s="42" t="s">
        <v>628</v>
      </c>
      <c r="E35" s="42"/>
      <c r="F35" s="42"/>
      <c r="G35" s="42"/>
      <c r="H35" s="42"/>
      <c r="I35" s="42"/>
      <c r="K35" s="56" t="n">
        <f aca="false">K34+1</f>
        <v>28</v>
      </c>
      <c r="L35" s="56" t="n">
        <f aca="false">IF(K35&lt;=$B$14*12,1,0)</f>
        <v>1</v>
      </c>
      <c r="M35" s="58" t="n">
        <f aca="false">O34</f>
        <v>302199.765071237</v>
      </c>
      <c r="N35" s="58" t="n">
        <f aca="false">IF(L35=1,M35*$B$23,0)</f>
        <v>1007.33255023746</v>
      </c>
      <c r="O35" s="58" t="n">
        <f aca="false">IF(L35=1,M35-($B$22-N35),M35)</f>
        <v>301703.239440758</v>
      </c>
      <c r="P35" s="58" t="n">
        <f aca="false">P34+N35</f>
        <v>28811.2685008114</v>
      </c>
    </row>
    <row r="36" customFormat="false" ht="15" hidden="false" customHeight="false" outlineLevel="0" collapsed="false">
      <c r="A36" s="4" t="s">
        <v>629</v>
      </c>
      <c r="B36" s="50" t="n">
        <f aca="false">$B$25+$B$27</f>
        <v>148632.453202425</v>
      </c>
      <c r="C36" s="49" t="str">
        <f aca="false">IF(($B$25+$B$27)&lt;0,"−€","€")&amp;FIXED(ROUND(ABS($B$25+$B$27),0),0)</f>
        <v>€148,632</v>
      </c>
      <c r="D36" s="42" t="s">
        <v>630</v>
      </c>
      <c r="E36" s="42"/>
      <c r="F36" s="42"/>
      <c r="G36" s="42"/>
      <c r="H36" s="42"/>
      <c r="I36" s="42"/>
      <c r="K36" s="56" t="n">
        <f aca="false">K35+1</f>
        <v>29</v>
      </c>
      <c r="L36" s="56" t="n">
        <f aca="false">IF(K36&lt;=$B$14*12,1,0)</f>
        <v>1</v>
      </c>
      <c r="M36" s="58" t="n">
        <f aca="false">O35</f>
        <v>301703.239440758</v>
      </c>
      <c r="N36" s="58" t="n">
        <f aca="false">IF(L36=1,M36*$B$23,0)</f>
        <v>1005.67746480253</v>
      </c>
      <c r="O36" s="58" t="n">
        <f aca="false">IF(L36=1,M36-($B$22-N36),M36)</f>
        <v>301205.058724845</v>
      </c>
      <c r="P36" s="58" t="n">
        <f aca="false">P35+N36</f>
        <v>29816.945965614</v>
      </c>
    </row>
    <row r="37" customFormat="false" ht="15" hidden="false" customHeight="false" outlineLevel="0" collapsed="false">
      <c r="A37" s="4" t="s">
        <v>623</v>
      </c>
      <c r="B37" s="50" t="n">
        <f aca="false">$B$28</f>
        <v>426648.046998165</v>
      </c>
      <c r="C37" s="49" t="str">
        <f aca="false">IF(($B$28)&lt;0,"−€","€")&amp;FIXED(ROUND(ABS($B$28),0),0)</f>
        <v>€426,648</v>
      </c>
      <c r="D37" s="42" t="s">
        <v>430</v>
      </c>
      <c r="E37" s="42"/>
      <c r="F37" s="42"/>
      <c r="G37" s="42"/>
      <c r="H37" s="42"/>
      <c r="I37" s="42"/>
      <c r="K37" s="56" t="n">
        <f aca="false">K36+1</f>
        <v>30</v>
      </c>
      <c r="L37" s="56" t="n">
        <f aca="false">IF(K37&lt;=$B$14*12,1,0)</f>
        <v>1</v>
      </c>
      <c r="M37" s="58" t="n">
        <f aca="false">O36</f>
        <v>301205.058724845</v>
      </c>
      <c r="N37" s="58" t="n">
        <f aca="false">IF(L37=1,M37*$B$23,0)</f>
        <v>1004.01686241615</v>
      </c>
      <c r="O37" s="58" t="n">
        <f aca="false">IF(L37=1,M37-($B$22-N37),M37)</f>
        <v>300705.217406545</v>
      </c>
      <c r="P37" s="58" t="n">
        <f aca="false">P36+N37</f>
        <v>30820.9628280301</v>
      </c>
    </row>
    <row r="38" customFormat="false" ht="15" hidden="false" customHeight="false" outlineLevel="0" collapsed="false">
      <c r="A38" s="4" t="s">
        <v>432</v>
      </c>
      <c r="B38" s="50" t="n">
        <f aca="false">$B$12</f>
        <v>35000</v>
      </c>
      <c r="C38" s="49" t="str">
        <f aca="false">$B$38&amp;""</f>
        <v>35000</v>
      </c>
      <c r="D38" s="42" t="s">
        <v>435</v>
      </c>
      <c r="E38" s="42"/>
      <c r="F38" s="42"/>
      <c r="G38" s="42"/>
      <c r="H38" s="42"/>
      <c r="I38" s="42"/>
      <c r="K38" s="56" t="n">
        <f aca="false">K37+1</f>
        <v>31</v>
      </c>
      <c r="L38" s="56" t="n">
        <f aca="false">IF(K38&lt;=$B$14*12,1,0)</f>
        <v>1</v>
      </c>
      <c r="M38" s="58" t="n">
        <f aca="false">O37</f>
        <v>300705.217406545</v>
      </c>
      <c r="N38" s="58" t="n">
        <f aca="false">IF(L38=1,M38*$B$23,0)</f>
        <v>1002.35072468848</v>
      </c>
      <c r="O38" s="58" t="n">
        <f aca="false">IF(L38=1,M38-($B$22-N38),M38)</f>
        <v>300203.709950517</v>
      </c>
      <c r="P38" s="58" t="n">
        <f aca="false">P37+N38</f>
        <v>31823.3135527186</v>
      </c>
    </row>
    <row r="39" customFormat="false" ht="15" hidden="false" customHeight="false" outlineLevel="0" collapsed="false">
      <c r="A39" s="4" t="s">
        <v>434</v>
      </c>
      <c r="B39" s="53" t="n">
        <f aca="false">Assumptions!$C$71</f>
        <v>3</v>
      </c>
      <c r="C39" s="49" t="str">
        <f aca="false">$B$39&amp;""</f>
        <v>3</v>
      </c>
      <c r="D39" s="42" t="s">
        <v>435</v>
      </c>
      <c r="E39" s="42"/>
      <c r="F39" s="42"/>
      <c r="G39" s="42"/>
      <c r="H39" s="42"/>
      <c r="I39" s="42"/>
      <c r="K39" s="56" t="n">
        <f aca="false">K38+1</f>
        <v>32</v>
      </c>
      <c r="L39" s="56" t="n">
        <f aca="false">IF(K39&lt;=$B$14*12,1,0)</f>
        <v>1</v>
      </c>
      <c r="M39" s="58" t="n">
        <f aca="false">O38</f>
        <v>300203.709950517</v>
      </c>
      <c r="N39" s="58" t="n">
        <f aca="false">IF(L39=1,M39*$B$23,0)</f>
        <v>1000.67903316839</v>
      </c>
      <c r="O39" s="58" t="n">
        <f aca="false">IF(L39=1,M39-($B$22-N39),M39)</f>
        <v>299700.530802969</v>
      </c>
      <c r="P39" s="58" t="n">
        <f aca="false">P38+N39</f>
        <v>32823.992585887</v>
      </c>
    </row>
    <row r="40" customFormat="false" ht="15" hidden="false" customHeight="false" outlineLevel="0" collapsed="false">
      <c r="K40" s="56" t="n">
        <f aca="false">K39+1</f>
        <v>33</v>
      </c>
      <c r="L40" s="56" t="n">
        <f aca="false">IF(K40&lt;=$B$14*12,1,0)</f>
        <v>1</v>
      </c>
      <c r="M40" s="58" t="n">
        <f aca="false">O39</f>
        <v>299700.530802969</v>
      </c>
      <c r="N40" s="58" t="n">
        <f aca="false">IF(L40=1,M40*$B$23,0)</f>
        <v>999.001769343231</v>
      </c>
      <c r="O40" s="58" t="n">
        <f aca="false">IF(L40=1,M40-($B$22-N40),M40)</f>
        <v>299195.674391596</v>
      </c>
      <c r="P40" s="58" t="n">
        <f aca="false">P39+N40</f>
        <v>33822.9943552302</v>
      </c>
    </row>
    <row r="41" customFormat="false" ht="15" hidden="false" customHeight="false" outlineLevel="0" collapsed="false">
      <c r="K41" s="56" t="n">
        <f aca="false">K40+1</f>
        <v>34</v>
      </c>
      <c r="L41" s="56" t="n">
        <f aca="false">IF(K41&lt;=$B$14*12,1,0)</f>
        <v>1</v>
      </c>
      <c r="M41" s="58" t="n">
        <f aca="false">O40</f>
        <v>299195.674391596</v>
      </c>
      <c r="N41" s="58" t="n">
        <f aca="false">IF(L41=1,M41*$B$23,0)</f>
        <v>997.318914638654</v>
      </c>
      <c r="O41" s="58" t="n">
        <f aca="false">IF(L41=1,M41-($B$22-N41),M41)</f>
        <v>298689.135125519</v>
      </c>
      <c r="P41" s="58" t="n">
        <f aca="false">P40+N41</f>
        <v>34820.3132698689</v>
      </c>
    </row>
    <row r="42" customFormat="false" ht="15" hidden="false" customHeight="false" outlineLevel="0" collapsed="false">
      <c r="K42" s="56" t="n">
        <f aca="false">K41+1</f>
        <v>35</v>
      </c>
      <c r="L42" s="56" t="n">
        <f aca="false">IF(K42&lt;=$B$14*12,1,0)</f>
        <v>1</v>
      </c>
      <c r="M42" s="58" t="n">
        <f aca="false">O41</f>
        <v>298689.135125519</v>
      </c>
      <c r="N42" s="58" t="n">
        <f aca="false">IF(L42=1,M42*$B$23,0)</f>
        <v>995.630450418396</v>
      </c>
      <c r="O42" s="58" t="n">
        <f aca="false">IF(L42=1,M42-($B$22-N42),M42)</f>
        <v>298180.907395221</v>
      </c>
      <c r="P42" s="58" t="n">
        <f aca="false">P41+N42</f>
        <v>35815.9437202873</v>
      </c>
    </row>
    <row r="43" customFormat="false" ht="15" hidden="false" customHeight="false" outlineLevel="0" collapsed="false">
      <c r="K43" s="56" t="n">
        <f aca="false">K42+1</f>
        <v>36</v>
      </c>
      <c r="L43" s="56" t="n">
        <f aca="false">IF(K43&lt;=$B$14*12,1,0)</f>
        <v>1</v>
      </c>
      <c r="M43" s="58" t="n">
        <f aca="false">O42</f>
        <v>298180.907395221</v>
      </c>
      <c r="N43" s="58" t="n">
        <f aca="false">IF(L43=1,M43*$B$23,0)</f>
        <v>993.93635798407</v>
      </c>
      <c r="O43" s="58" t="n">
        <f aca="false">IF(L43=1,M43-($B$22-N43),M43)</f>
        <v>297670.985572489</v>
      </c>
      <c r="P43" s="58" t="n">
        <f aca="false">P42+N43</f>
        <v>36809.8800782713</v>
      </c>
    </row>
    <row r="44" customFormat="false" ht="15" hidden="false" customHeight="false" outlineLevel="0" collapsed="false">
      <c r="K44" s="56" t="n">
        <f aca="false">K43+1</f>
        <v>37</v>
      </c>
      <c r="L44" s="56" t="n">
        <f aca="false">IF(K44&lt;=$B$14*12,1,0)</f>
        <v>1</v>
      </c>
      <c r="M44" s="58" t="n">
        <f aca="false">O43</f>
        <v>297670.985572489</v>
      </c>
      <c r="N44" s="58" t="n">
        <f aca="false">IF(L44=1,M44*$B$23,0)</f>
        <v>992.236618574963</v>
      </c>
      <c r="O44" s="58" t="n">
        <f aca="false">IF(L44=1,M44-($B$22-N44),M44)</f>
        <v>297159.364010348</v>
      </c>
      <c r="P44" s="58" t="n">
        <f aca="false">P43+N44</f>
        <v>37802.1166968463</v>
      </c>
    </row>
    <row r="45" customFormat="false" ht="15" hidden="false" customHeight="false" outlineLevel="0" collapsed="false">
      <c r="K45" s="56" t="n">
        <f aca="false">K44+1</f>
        <v>38</v>
      </c>
      <c r="L45" s="56" t="n">
        <f aca="false">IF(K45&lt;=$B$14*12,1,0)</f>
        <v>1</v>
      </c>
      <c r="M45" s="58" t="n">
        <f aca="false">O44</f>
        <v>297159.364010348</v>
      </c>
      <c r="N45" s="58" t="n">
        <f aca="false">IF(L45=1,M45*$B$23,0)</f>
        <v>990.531213367826</v>
      </c>
      <c r="O45" s="58" t="n">
        <f aca="false">IF(L45=1,M45-($B$22-N45),M45)</f>
        <v>296646.037042999</v>
      </c>
      <c r="P45" s="58" t="n">
        <f aca="false">P44+N45</f>
        <v>38792.6479102141</v>
      </c>
    </row>
    <row r="46" customFormat="false" ht="15" hidden="false" customHeight="false" outlineLevel="0" collapsed="false">
      <c r="K46" s="56" t="n">
        <f aca="false">K45+1</f>
        <v>39</v>
      </c>
      <c r="L46" s="56" t="n">
        <f aca="false">IF(K46&lt;=$B$14*12,1,0)</f>
        <v>1</v>
      </c>
      <c r="M46" s="58" t="n">
        <f aca="false">O45</f>
        <v>296646.037042999</v>
      </c>
      <c r="N46" s="58" t="n">
        <f aca="false">IF(L46=1,M46*$B$23,0)</f>
        <v>988.820123476664</v>
      </c>
      <c r="O46" s="58" t="n">
        <f aca="false">IF(L46=1,M46-($B$22-N46),M46)</f>
        <v>296130.99898576</v>
      </c>
      <c r="P46" s="58" t="n">
        <f aca="false">P45+N46</f>
        <v>39781.4680336908</v>
      </c>
    </row>
    <row r="47" customFormat="false" ht="15" hidden="false" customHeight="false" outlineLevel="0" collapsed="false">
      <c r="K47" s="56" t="n">
        <f aca="false">K46+1</f>
        <v>40</v>
      </c>
      <c r="L47" s="56" t="n">
        <f aca="false">IF(K47&lt;=$B$14*12,1,0)</f>
        <v>1</v>
      </c>
      <c r="M47" s="58" t="n">
        <f aca="false">O46</f>
        <v>296130.99898576</v>
      </c>
      <c r="N47" s="58" t="n">
        <f aca="false">IF(L47=1,M47*$B$23,0)</f>
        <v>987.103329952533</v>
      </c>
      <c r="O47" s="58" t="n">
        <f aca="false">IF(L47=1,M47-($B$22-N47),M47)</f>
        <v>295614.244134996</v>
      </c>
      <c r="P47" s="58" t="n">
        <f aca="false">P46+N47</f>
        <v>40768.5713636433</v>
      </c>
    </row>
    <row r="48" customFormat="false" ht="15" hidden="false" customHeight="false" outlineLevel="0" collapsed="false">
      <c r="K48" s="56" t="n">
        <f aca="false">K47+1</f>
        <v>41</v>
      </c>
      <c r="L48" s="56" t="n">
        <f aca="false">IF(K48&lt;=$B$14*12,1,0)</f>
        <v>1</v>
      </c>
      <c r="M48" s="58" t="n">
        <f aca="false">O47</f>
        <v>295614.244134996</v>
      </c>
      <c r="N48" s="58" t="n">
        <f aca="false">IF(L48=1,M48*$B$23,0)</f>
        <v>985.380813783321</v>
      </c>
      <c r="O48" s="58" t="n">
        <f aca="false">IF(L48=1,M48-($B$22-N48),M48)</f>
        <v>295095.766768063</v>
      </c>
      <c r="P48" s="58" t="n">
        <f aca="false">P47+N48</f>
        <v>41753.9521774266</v>
      </c>
    </row>
    <row r="49" customFormat="false" ht="15" hidden="false" customHeight="false" outlineLevel="0" collapsed="false">
      <c r="K49" s="56" t="n">
        <f aca="false">K48+1</f>
        <v>42</v>
      </c>
      <c r="L49" s="56" t="n">
        <f aca="false">IF(K49&lt;=$B$14*12,1,0)</f>
        <v>1</v>
      </c>
      <c r="M49" s="58" t="n">
        <f aca="false">O48</f>
        <v>295095.766768063</v>
      </c>
      <c r="N49" s="58" t="n">
        <f aca="false">IF(L49=1,M49*$B$23,0)</f>
        <v>983.652555893544</v>
      </c>
      <c r="O49" s="58" t="n">
        <f aca="false">IF(L49=1,M49-($B$22-N49),M49)</f>
        <v>294575.561143241</v>
      </c>
      <c r="P49" s="58" t="n">
        <f aca="false">P48+N49</f>
        <v>42737.6047333202</v>
      </c>
    </row>
    <row r="50" customFormat="false" ht="15" hidden="false" customHeight="false" outlineLevel="0" collapsed="false">
      <c r="K50" s="56" t="n">
        <f aca="false">K49+1</f>
        <v>43</v>
      </c>
      <c r="L50" s="56" t="n">
        <f aca="false">IF(K50&lt;=$B$14*12,1,0)</f>
        <v>1</v>
      </c>
      <c r="M50" s="58" t="n">
        <f aca="false">O49</f>
        <v>294575.561143241</v>
      </c>
      <c r="N50" s="58" t="n">
        <f aca="false">IF(L50=1,M50*$B$23,0)</f>
        <v>981.918537144136</v>
      </c>
      <c r="O50" s="58" t="n">
        <f aca="false">IF(L50=1,M50-($B$22-N50),M50)</f>
        <v>294053.621499669</v>
      </c>
      <c r="P50" s="58" t="n">
        <f aca="false">P49+N50</f>
        <v>43719.5232704643</v>
      </c>
    </row>
    <row r="51" customFormat="false" ht="15" hidden="false" customHeight="false" outlineLevel="0" collapsed="false">
      <c r="K51" s="56" t="n">
        <f aca="false">K50+1</f>
        <v>44</v>
      </c>
      <c r="L51" s="56" t="n">
        <f aca="false">IF(K51&lt;=$B$14*12,1,0)</f>
        <v>1</v>
      </c>
      <c r="M51" s="58" t="n">
        <f aca="false">O50</f>
        <v>294053.621499669</v>
      </c>
      <c r="N51" s="58" t="n">
        <f aca="false">IF(L51=1,M51*$B$23,0)</f>
        <v>980.178738332229</v>
      </c>
      <c r="O51" s="58" t="n">
        <f aca="false">IF(L51=1,M51-($B$22-N51),M51)</f>
        <v>293529.942057285</v>
      </c>
      <c r="P51" s="58" t="n">
        <f aca="false">P50+N51</f>
        <v>44699.7020087966</v>
      </c>
    </row>
    <row r="52" customFormat="false" ht="15" hidden="false" customHeight="false" outlineLevel="0" collapsed="false">
      <c r="K52" s="56" t="n">
        <f aca="false">K51+1</f>
        <v>45</v>
      </c>
      <c r="L52" s="56" t="n">
        <f aca="false">IF(K52&lt;=$B$14*12,1,0)</f>
        <v>1</v>
      </c>
      <c r="M52" s="58" t="n">
        <f aca="false">O51</f>
        <v>293529.942057285</v>
      </c>
      <c r="N52" s="58" t="n">
        <f aca="false">IF(L52=1,M52*$B$23,0)</f>
        <v>978.433140190949</v>
      </c>
      <c r="O52" s="58" t="n">
        <f aca="false">IF(L52=1,M52-($B$22-N52),M52)</f>
        <v>293004.51701676</v>
      </c>
      <c r="P52" s="58" t="n">
        <f aca="false">P51+N52</f>
        <v>45678.1351489875</v>
      </c>
    </row>
    <row r="53" customFormat="false" ht="15" hidden="false" customHeight="false" outlineLevel="0" collapsed="false">
      <c r="K53" s="56" t="n">
        <f aca="false">K52+1</f>
        <v>46</v>
      </c>
      <c r="L53" s="56" t="n">
        <f aca="false">IF(K53&lt;=$B$14*12,1,0)</f>
        <v>1</v>
      </c>
      <c r="M53" s="58" t="n">
        <f aca="false">O52</f>
        <v>293004.51701676</v>
      </c>
      <c r="N53" s="58" t="n">
        <f aca="false">IF(L53=1,M53*$B$23,0)</f>
        <v>976.681723389198</v>
      </c>
      <c r="O53" s="58" t="n">
        <f aca="false">IF(L53=1,M53-($B$22-N53),M53)</f>
        <v>292477.340559433</v>
      </c>
      <c r="P53" s="58" t="n">
        <f aca="false">P52+N53</f>
        <v>46654.8168723767</v>
      </c>
    </row>
    <row r="54" customFormat="false" ht="15" hidden="false" customHeight="false" outlineLevel="0" collapsed="false">
      <c r="K54" s="56" t="n">
        <f aca="false">K53+1</f>
        <v>47</v>
      </c>
      <c r="L54" s="56" t="n">
        <f aca="false">IF(K54&lt;=$B$14*12,1,0)</f>
        <v>1</v>
      </c>
      <c r="M54" s="58" t="n">
        <f aca="false">O53</f>
        <v>292477.340559433</v>
      </c>
      <c r="N54" s="58" t="n">
        <f aca="false">IF(L54=1,M54*$B$23,0)</f>
        <v>974.924468531442</v>
      </c>
      <c r="O54" s="58" t="n">
        <f aca="false">IF(L54=1,M54-($B$22-N54),M54)</f>
        <v>291948.406847248</v>
      </c>
      <c r="P54" s="58" t="n">
        <f aca="false">P53+N54</f>
        <v>47629.7413409081</v>
      </c>
    </row>
    <row r="55" customFormat="false" ht="15" hidden="false" customHeight="false" outlineLevel="0" collapsed="false">
      <c r="K55" s="56" t="n">
        <f aca="false">K54+1</f>
        <v>48</v>
      </c>
      <c r="L55" s="56" t="n">
        <f aca="false">IF(K55&lt;=$B$14*12,1,0)</f>
        <v>1</v>
      </c>
      <c r="M55" s="58" t="n">
        <f aca="false">O54</f>
        <v>291948.406847248</v>
      </c>
      <c r="N55" s="58" t="n">
        <f aca="false">IF(L55=1,M55*$B$23,0)</f>
        <v>973.161356157493</v>
      </c>
      <c r="O55" s="58" t="n">
        <f aca="false">IF(L55=1,M55-($B$22-N55),M55)</f>
        <v>291417.710022689</v>
      </c>
      <c r="P55" s="58" t="n">
        <f aca="false">P54+N55</f>
        <v>48602.9026970656</v>
      </c>
    </row>
    <row r="56" customFormat="false" ht="15" hidden="false" customHeight="false" outlineLevel="0" collapsed="false">
      <c r="K56" s="56" t="n">
        <f aca="false">K55+1</f>
        <v>49</v>
      </c>
      <c r="L56" s="56" t="n">
        <f aca="false">IF(K56&lt;=$B$14*12,1,0)</f>
        <v>1</v>
      </c>
      <c r="M56" s="58" t="n">
        <f aca="false">O55</f>
        <v>291417.710022689</v>
      </c>
      <c r="N56" s="58" t="n">
        <f aca="false">IF(L56=1,M56*$B$23,0)</f>
        <v>971.392366742297</v>
      </c>
      <c r="O56" s="58" t="n">
        <f aca="false">IF(L56=1,M56-($B$22-N56),M56)</f>
        <v>290885.244208715</v>
      </c>
      <c r="P56" s="58" t="n">
        <f aca="false">P55+N56</f>
        <v>49574.2950638079</v>
      </c>
    </row>
    <row r="57" customFormat="false" ht="15" hidden="false" customHeight="false" outlineLevel="0" collapsed="false">
      <c r="K57" s="56" t="n">
        <f aca="false">K56+1</f>
        <v>50</v>
      </c>
      <c r="L57" s="56" t="n">
        <f aca="false">IF(K57&lt;=$B$14*12,1,0)</f>
        <v>1</v>
      </c>
      <c r="M57" s="58" t="n">
        <f aca="false">O56</f>
        <v>290885.244208715</v>
      </c>
      <c r="N57" s="58" t="n">
        <f aca="false">IF(L57=1,M57*$B$23,0)</f>
        <v>969.617480695718</v>
      </c>
      <c r="O57" s="58" t="n">
        <f aca="false">IF(L57=1,M57-($B$22-N57),M57)</f>
        <v>290351.003508695</v>
      </c>
      <c r="P57" s="58" t="n">
        <f aca="false">P56+N57</f>
        <v>50543.9125445037</v>
      </c>
    </row>
    <row r="58" customFormat="false" ht="15" hidden="false" customHeight="false" outlineLevel="0" collapsed="false">
      <c r="K58" s="56" t="n">
        <f aca="false">K57+1</f>
        <v>51</v>
      </c>
      <c r="L58" s="56" t="n">
        <f aca="false">IF(K58&lt;=$B$14*12,1,0)</f>
        <v>1</v>
      </c>
      <c r="M58" s="58" t="n">
        <f aca="false">O57</f>
        <v>290351.003508695</v>
      </c>
      <c r="N58" s="58" t="n">
        <f aca="false">IF(L58=1,M58*$B$23,0)</f>
        <v>967.836678362316</v>
      </c>
      <c r="O58" s="58" t="n">
        <f aca="false">IF(L58=1,M58-($B$22-N58),M58)</f>
        <v>289814.982006341</v>
      </c>
      <c r="P58" s="58" t="n">
        <f aca="false">P57+N58</f>
        <v>51511.749222866</v>
      </c>
    </row>
    <row r="59" customFormat="false" ht="15" hidden="false" customHeight="false" outlineLevel="0" collapsed="false">
      <c r="K59" s="56" t="n">
        <f aca="false">K58+1</f>
        <v>52</v>
      </c>
      <c r="L59" s="56" t="n">
        <f aca="false">IF(K59&lt;=$B$14*12,1,0)</f>
        <v>1</v>
      </c>
      <c r="M59" s="58" t="n">
        <f aca="false">O58</f>
        <v>289814.982006341</v>
      </c>
      <c r="N59" s="58" t="n">
        <f aca="false">IF(L59=1,M59*$B$23,0)</f>
        <v>966.049940021137</v>
      </c>
      <c r="O59" s="58" t="n">
        <f aca="false">IF(L59=1,M59-($B$22-N59),M59)</f>
        <v>289277.173765646</v>
      </c>
      <c r="P59" s="58" t="n">
        <f aca="false">P58+N59</f>
        <v>52477.7991628871</v>
      </c>
    </row>
    <row r="60" customFormat="false" ht="15" hidden="false" customHeight="false" outlineLevel="0" collapsed="false">
      <c r="K60" s="56" t="n">
        <f aca="false">K59+1</f>
        <v>53</v>
      </c>
      <c r="L60" s="56" t="n">
        <f aca="false">IF(K60&lt;=$B$14*12,1,0)</f>
        <v>1</v>
      </c>
      <c r="M60" s="58" t="n">
        <f aca="false">O59</f>
        <v>289277.173765646</v>
      </c>
      <c r="N60" s="58" t="n">
        <f aca="false">IF(L60=1,M60*$B$23,0)</f>
        <v>964.257245885486</v>
      </c>
      <c r="O60" s="58" t="n">
        <f aca="false">IF(L60=1,M60-($B$22-N60),M60)</f>
        <v>288737.572830815</v>
      </c>
      <c r="P60" s="58" t="n">
        <f aca="false">P59+N60</f>
        <v>53442.0564087726</v>
      </c>
    </row>
    <row r="61" customFormat="false" ht="15" hidden="false" customHeight="false" outlineLevel="0" collapsed="false">
      <c r="K61" s="56" t="n">
        <f aca="false">K60+1</f>
        <v>54</v>
      </c>
      <c r="L61" s="56" t="n">
        <f aca="false">IF(K61&lt;=$B$14*12,1,0)</f>
        <v>1</v>
      </c>
      <c r="M61" s="58" t="n">
        <f aca="false">O60</f>
        <v>288737.572830815</v>
      </c>
      <c r="N61" s="58" t="n">
        <f aca="false">IF(L61=1,M61*$B$23,0)</f>
        <v>962.458576102717</v>
      </c>
      <c r="O61" s="58" t="n">
        <f aca="false">IF(L61=1,M61-($B$22-N61),M61)</f>
        <v>288196.173226202</v>
      </c>
      <c r="P61" s="58" t="n">
        <f aca="false">P60+N61</f>
        <v>54404.5149848753</v>
      </c>
    </row>
    <row r="62" customFormat="false" ht="15" hidden="false" customHeight="false" outlineLevel="0" collapsed="false">
      <c r="K62" s="56" t="n">
        <f aca="false">K61+1</f>
        <v>55</v>
      </c>
      <c r="L62" s="56" t="n">
        <f aca="false">IF(K62&lt;=$B$14*12,1,0)</f>
        <v>1</v>
      </c>
      <c r="M62" s="58" t="n">
        <f aca="false">O61</f>
        <v>288196.173226202</v>
      </c>
      <c r="N62" s="58" t="n">
        <f aca="false">IF(L62=1,M62*$B$23,0)</f>
        <v>960.653910754006</v>
      </c>
      <c r="O62" s="58" t="n">
        <f aca="false">IF(L62=1,M62-($B$22-N62),M62)</f>
        <v>287652.96895624</v>
      </c>
      <c r="P62" s="58" t="n">
        <f aca="false">P61+N62</f>
        <v>55365.1688956293</v>
      </c>
    </row>
    <row r="63" customFormat="false" ht="15" hidden="false" customHeight="false" outlineLevel="0" collapsed="false">
      <c r="K63" s="56" t="n">
        <f aca="false">K62+1</f>
        <v>56</v>
      </c>
      <c r="L63" s="56" t="n">
        <f aca="false">IF(K63&lt;=$B$14*12,1,0)</f>
        <v>1</v>
      </c>
      <c r="M63" s="58" t="n">
        <f aca="false">O62</f>
        <v>287652.96895624</v>
      </c>
      <c r="N63" s="58" t="n">
        <f aca="false">IF(L63=1,M63*$B$23,0)</f>
        <v>958.843229854132</v>
      </c>
      <c r="O63" s="58" t="n">
        <f aca="false">IF(L63=1,M63-($B$22-N63),M63)</f>
        <v>287107.954005378</v>
      </c>
      <c r="P63" s="58" t="n">
        <f aca="false">P62+N63</f>
        <v>56324.0121254834</v>
      </c>
    </row>
    <row r="64" customFormat="false" ht="15" hidden="false" customHeight="false" outlineLevel="0" collapsed="false">
      <c r="K64" s="56" t="n">
        <f aca="false">K63+1</f>
        <v>57</v>
      </c>
      <c r="L64" s="56" t="n">
        <f aca="false">IF(K64&lt;=$B$14*12,1,0)</f>
        <v>1</v>
      </c>
      <c r="M64" s="58" t="n">
        <f aca="false">O63</f>
        <v>287107.954005378</v>
      </c>
      <c r="N64" s="58" t="n">
        <f aca="false">IF(L64=1,M64*$B$23,0)</f>
        <v>957.026513351259</v>
      </c>
      <c r="O64" s="58" t="n">
        <f aca="false">IF(L64=1,M64-($B$22-N64),M64)</f>
        <v>286561.122338013</v>
      </c>
      <c r="P64" s="58" t="n">
        <f aca="false">P63+N64</f>
        <v>57281.0386388347</v>
      </c>
    </row>
    <row r="65" customFormat="false" ht="15" hidden="false" customHeight="false" outlineLevel="0" collapsed="false">
      <c r="K65" s="56" t="n">
        <f aca="false">K64+1</f>
        <v>58</v>
      </c>
      <c r="L65" s="56" t="n">
        <f aca="false">IF(K65&lt;=$B$14*12,1,0)</f>
        <v>1</v>
      </c>
      <c r="M65" s="58" t="n">
        <f aca="false">O64</f>
        <v>286561.122338013</v>
      </c>
      <c r="N65" s="58" t="n">
        <f aca="false">IF(L65=1,M65*$B$23,0)</f>
        <v>955.203741126709</v>
      </c>
      <c r="O65" s="58" t="n">
        <f aca="false">IF(L65=1,M65-($B$22-N65),M65)</f>
        <v>286012.467898423</v>
      </c>
      <c r="P65" s="58" t="n">
        <f aca="false">P64+N65</f>
        <v>58236.2423799614</v>
      </c>
    </row>
    <row r="66" customFormat="false" ht="15" hidden="false" customHeight="false" outlineLevel="0" collapsed="false">
      <c r="K66" s="56" t="n">
        <f aca="false">K65+1</f>
        <v>59</v>
      </c>
      <c r="L66" s="56" t="n">
        <f aca="false">IF(K66&lt;=$B$14*12,1,0)</f>
        <v>1</v>
      </c>
      <c r="M66" s="58" t="n">
        <f aca="false">O65</f>
        <v>286012.467898423</v>
      </c>
      <c r="N66" s="58" t="n">
        <f aca="false">IF(L66=1,M66*$B$23,0)</f>
        <v>953.374892994744</v>
      </c>
      <c r="O66" s="58" t="n">
        <f aca="false">IF(L66=1,M66-($B$22-N66),M66)</f>
        <v>285461.984610702</v>
      </c>
      <c r="P66" s="58" t="n">
        <f aca="false">P65+N66</f>
        <v>59189.6172729562</v>
      </c>
    </row>
    <row r="67" customFormat="false" ht="15" hidden="false" customHeight="false" outlineLevel="0" collapsed="false">
      <c r="K67" s="56" t="n">
        <f aca="false">K66+1</f>
        <v>60</v>
      </c>
      <c r="L67" s="56" t="n">
        <f aca="false">IF(K67&lt;=$B$14*12,1,0)</f>
        <v>1</v>
      </c>
      <c r="M67" s="58" t="n">
        <f aca="false">O66</f>
        <v>285461.984610702</v>
      </c>
      <c r="N67" s="58" t="n">
        <f aca="false">IF(L67=1,M67*$B$23,0)</f>
        <v>951.539948702339</v>
      </c>
      <c r="O67" s="58" t="n">
        <f aca="false">IF(L67=1,M67-($B$22-N67),M67)</f>
        <v>284909.666378688</v>
      </c>
      <c r="P67" s="58" t="n">
        <f aca="false">P66+N67</f>
        <v>60141.1572216585</v>
      </c>
    </row>
    <row r="68" customFormat="false" ht="15" hidden="false" customHeight="false" outlineLevel="0" collapsed="false">
      <c r="K68" s="56" t="n">
        <f aca="false">K67+1</f>
        <v>61</v>
      </c>
      <c r="L68" s="56" t="n">
        <f aca="false">IF(K68&lt;=$B$14*12,1,0)</f>
        <v>1</v>
      </c>
      <c r="M68" s="58" t="n">
        <f aca="false">O67</f>
        <v>284909.666378688</v>
      </c>
      <c r="N68" s="58" t="n">
        <f aca="false">IF(L68=1,M68*$B$23,0)</f>
        <v>949.69888792896</v>
      </c>
      <c r="O68" s="58" t="n">
        <f aca="false">IF(L68=1,M68-($B$22-N68),M68)</f>
        <v>284355.507085901</v>
      </c>
      <c r="P68" s="58" t="n">
        <f aca="false">P67+N68</f>
        <v>61090.8561095875</v>
      </c>
    </row>
    <row r="69" customFormat="false" ht="15" hidden="false" customHeight="false" outlineLevel="0" collapsed="false">
      <c r="K69" s="56" t="n">
        <f aca="false">K68+1</f>
        <v>62</v>
      </c>
      <c r="L69" s="56" t="n">
        <f aca="false">IF(K69&lt;=$B$14*12,1,0)</f>
        <v>1</v>
      </c>
      <c r="M69" s="58" t="n">
        <f aca="false">O68</f>
        <v>284355.507085901</v>
      </c>
      <c r="N69" s="58" t="n">
        <f aca="false">IF(L69=1,M69*$B$23,0)</f>
        <v>947.851690286336</v>
      </c>
      <c r="O69" s="58" t="n">
        <f aca="false">IF(L69=1,M69-($B$22-N69),M69)</f>
        <v>283799.500595471</v>
      </c>
      <c r="P69" s="58" t="n">
        <f aca="false">P68+N69</f>
        <v>62038.7077998738</v>
      </c>
    </row>
    <row r="70" customFormat="false" ht="15" hidden="false" customHeight="false" outlineLevel="0" collapsed="false">
      <c r="K70" s="56" t="n">
        <f aca="false">K69+1</f>
        <v>63</v>
      </c>
      <c r="L70" s="56" t="n">
        <f aca="false">IF(K70&lt;=$B$14*12,1,0)</f>
        <v>1</v>
      </c>
      <c r="M70" s="58" t="n">
        <f aca="false">O69</f>
        <v>283799.500595471</v>
      </c>
      <c r="N70" s="58" t="n">
        <f aca="false">IF(L70=1,M70*$B$23,0)</f>
        <v>945.998335318236</v>
      </c>
      <c r="O70" s="58" t="n">
        <f aca="false">IF(L70=1,M70-($B$22-N70),M70)</f>
        <v>283241.640750073</v>
      </c>
      <c r="P70" s="58" t="n">
        <f aca="false">P69+N70</f>
        <v>62984.706135192</v>
      </c>
    </row>
    <row r="71" customFormat="false" ht="15" hidden="false" customHeight="false" outlineLevel="0" collapsed="false">
      <c r="K71" s="56" t="n">
        <f aca="false">K70+1</f>
        <v>64</v>
      </c>
      <c r="L71" s="56" t="n">
        <f aca="false">IF(K71&lt;=$B$14*12,1,0)</f>
        <v>1</v>
      </c>
      <c r="M71" s="58" t="n">
        <f aca="false">O70</f>
        <v>283241.640750073</v>
      </c>
      <c r="N71" s="58" t="n">
        <f aca="false">IF(L71=1,M71*$B$23,0)</f>
        <v>944.138802500243</v>
      </c>
      <c r="O71" s="58" t="n">
        <f aca="false">IF(L71=1,M71-($B$22-N71),M71)</f>
        <v>282681.921371857</v>
      </c>
      <c r="P71" s="58" t="n">
        <f aca="false">P70+N71</f>
        <v>63928.8449376923</v>
      </c>
    </row>
    <row r="72" customFormat="false" ht="15" hidden="false" customHeight="false" outlineLevel="0" collapsed="false">
      <c r="K72" s="56" t="n">
        <f aca="false">K71+1</f>
        <v>65</v>
      </c>
      <c r="L72" s="56" t="n">
        <f aca="false">IF(K72&lt;=$B$14*12,1,0)</f>
        <v>1</v>
      </c>
      <c r="M72" s="58" t="n">
        <f aca="false">O71</f>
        <v>282681.921371857</v>
      </c>
      <c r="N72" s="58" t="n">
        <f aca="false">IF(L72=1,M72*$B$23,0)</f>
        <v>942.273071239523</v>
      </c>
      <c r="O72" s="58" t="n">
        <f aca="false">IF(L72=1,M72-($B$22-N72),M72)</f>
        <v>282120.33626238</v>
      </c>
      <c r="P72" s="58" t="n">
        <f aca="false">P71+N72</f>
        <v>64871.1180089318</v>
      </c>
    </row>
    <row r="73" customFormat="false" ht="15" hidden="false" customHeight="false" outlineLevel="0" collapsed="false">
      <c r="K73" s="56" t="n">
        <f aca="false">K72+1</f>
        <v>66</v>
      </c>
      <c r="L73" s="56" t="n">
        <f aca="false">IF(K73&lt;=$B$14*12,1,0)</f>
        <v>1</v>
      </c>
      <c r="M73" s="58" t="n">
        <f aca="false">O72</f>
        <v>282120.33626238</v>
      </c>
      <c r="N73" s="58" t="n">
        <f aca="false">IF(L73=1,M73*$B$23,0)</f>
        <v>940.401120874601</v>
      </c>
      <c r="O73" s="58" t="n">
        <f aca="false">IF(L73=1,M73-($B$22-N73),M73)</f>
        <v>281556.879202539</v>
      </c>
      <c r="P73" s="58" t="n">
        <f aca="false">P72+N73</f>
        <v>65811.5191298064</v>
      </c>
    </row>
    <row r="74" customFormat="false" ht="15" hidden="false" customHeight="false" outlineLevel="0" collapsed="false">
      <c r="K74" s="56" t="n">
        <f aca="false">K73+1</f>
        <v>67</v>
      </c>
      <c r="L74" s="56" t="n">
        <f aca="false">IF(K74&lt;=$B$14*12,1,0)</f>
        <v>1</v>
      </c>
      <c r="M74" s="58" t="n">
        <f aca="false">O73</f>
        <v>281556.879202539</v>
      </c>
      <c r="N74" s="58" t="n">
        <f aca="false">IF(L74=1,M74*$B$23,0)</f>
        <v>938.522930675129</v>
      </c>
      <c r="O74" s="58" t="n">
        <f aca="false">IF(L74=1,M74-($B$22-N74),M74)</f>
        <v>280991.543952498</v>
      </c>
      <c r="P74" s="58" t="n">
        <f aca="false">P73+N74</f>
        <v>66750.0420604815</v>
      </c>
    </row>
    <row r="75" customFormat="false" ht="15" hidden="false" customHeight="false" outlineLevel="0" collapsed="false">
      <c r="K75" s="56" t="n">
        <f aca="false">K74+1</f>
        <v>68</v>
      </c>
      <c r="L75" s="56" t="n">
        <f aca="false">IF(K75&lt;=$B$14*12,1,0)</f>
        <v>1</v>
      </c>
      <c r="M75" s="58" t="n">
        <f aca="false">O74</f>
        <v>280991.543952498</v>
      </c>
      <c r="N75" s="58" t="n">
        <f aca="false">IF(L75=1,M75*$B$23,0)</f>
        <v>936.638479841659</v>
      </c>
      <c r="O75" s="58" t="n">
        <f aca="false">IF(L75=1,M75-($B$22-N75),M75)</f>
        <v>280424.324251623</v>
      </c>
      <c r="P75" s="58" t="n">
        <f aca="false">P74+N75</f>
        <v>67686.6805403232</v>
      </c>
    </row>
    <row r="76" customFormat="false" ht="15" hidden="false" customHeight="false" outlineLevel="0" collapsed="false">
      <c r="K76" s="56" t="n">
        <f aca="false">K75+1</f>
        <v>69</v>
      </c>
      <c r="L76" s="56" t="n">
        <f aca="false">IF(K76&lt;=$B$14*12,1,0)</f>
        <v>1</v>
      </c>
      <c r="M76" s="58" t="n">
        <f aca="false">O75</f>
        <v>280424.324251623</v>
      </c>
      <c r="N76" s="58" t="n">
        <f aca="false">IF(L76=1,M76*$B$23,0)</f>
        <v>934.747747505411</v>
      </c>
      <c r="O76" s="58" t="n">
        <f aca="false">IF(L76=1,M76-($B$22-N76),M76)</f>
        <v>279855.213818412</v>
      </c>
      <c r="P76" s="58" t="n">
        <f aca="false">P75+N76</f>
        <v>68621.4282878286</v>
      </c>
    </row>
    <row r="77" customFormat="false" ht="15" hidden="false" customHeight="false" outlineLevel="0" collapsed="false">
      <c r="K77" s="56" t="n">
        <f aca="false">K76+1</f>
        <v>70</v>
      </c>
      <c r="L77" s="56" t="n">
        <f aca="false">IF(K77&lt;=$B$14*12,1,0)</f>
        <v>1</v>
      </c>
      <c r="M77" s="58" t="n">
        <f aca="false">O76</f>
        <v>279855.213818412</v>
      </c>
      <c r="N77" s="58" t="n">
        <f aca="false">IF(L77=1,M77*$B$23,0)</f>
        <v>932.850712728041</v>
      </c>
      <c r="O77" s="58" t="n">
        <f aca="false">IF(L77=1,M77-($B$22-N77),M77)</f>
        <v>279284.206350424</v>
      </c>
      <c r="P77" s="58" t="n">
        <f aca="false">P76+N77</f>
        <v>69554.2790005566</v>
      </c>
    </row>
    <row r="78" customFormat="false" ht="15" hidden="false" customHeight="false" outlineLevel="0" collapsed="false">
      <c r="K78" s="56" t="n">
        <f aca="false">K77+1</f>
        <v>71</v>
      </c>
      <c r="L78" s="56" t="n">
        <f aca="false">IF(K78&lt;=$B$14*12,1,0)</f>
        <v>1</v>
      </c>
      <c r="M78" s="58" t="n">
        <f aca="false">O77</f>
        <v>279284.206350424</v>
      </c>
      <c r="N78" s="58" t="n">
        <f aca="false">IF(L78=1,M78*$B$23,0)</f>
        <v>930.947354501414</v>
      </c>
      <c r="O78" s="58" t="n">
        <f aca="false">IF(L78=1,M78-($B$22-N78),M78)</f>
        <v>278711.295524209</v>
      </c>
      <c r="P78" s="58" t="n">
        <f aca="false">P77+N78</f>
        <v>70485.226355058</v>
      </c>
    </row>
    <row r="79" customFormat="false" ht="15" hidden="false" customHeight="false" outlineLevel="0" collapsed="false">
      <c r="K79" s="56" t="n">
        <f aca="false">K78+1</f>
        <v>72</v>
      </c>
      <c r="L79" s="56" t="n">
        <f aca="false">IF(K79&lt;=$B$14*12,1,0)</f>
        <v>1</v>
      </c>
      <c r="M79" s="58" t="n">
        <f aca="false">O78</f>
        <v>278711.295524209</v>
      </c>
      <c r="N79" s="58" t="n">
        <f aca="false">IF(L79=1,M79*$B$23,0)</f>
        <v>929.037651747365</v>
      </c>
      <c r="O79" s="58" t="n">
        <f aca="false">IF(L79=1,M79-($B$22-N79),M79)</f>
        <v>278136.474995241</v>
      </c>
      <c r="P79" s="58" t="n">
        <f aca="false">P78+N79</f>
        <v>71414.2640068054</v>
      </c>
    </row>
    <row r="80" customFormat="false" ht="15" hidden="false" customHeight="false" outlineLevel="0" collapsed="false">
      <c r="K80" s="56" t="n">
        <f aca="false">K79+1</f>
        <v>73</v>
      </c>
      <c r="L80" s="56" t="n">
        <f aca="false">IF(K80&lt;=$B$14*12,1,0)</f>
        <v>1</v>
      </c>
      <c r="M80" s="58" t="n">
        <f aca="false">O79</f>
        <v>278136.474995241</v>
      </c>
      <c r="N80" s="58" t="n">
        <f aca="false">IF(L80=1,M80*$B$23,0)</f>
        <v>927.121583317469</v>
      </c>
      <c r="O80" s="58" t="n">
        <f aca="false">IF(L80=1,M80-($B$22-N80),M80)</f>
        <v>277559.738397842</v>
      </c>
      <c r="P80" s="58" t="n">
        <f aca="false">P79+N80</f>
        <v>72341.3855901229</v>
      </c>
    </row>
    <row r="81" customFormat="false" ht="15" hidden="false" customHeight="false" outlineLevel="0" collapsed="false">
      <c r="K81" s="56" t="n">
        <f aca="false">K80+1</f>
        <v>74</v>
      </c>
      <c r="L81" s="56" t="n">
        <f aca="false">IF(K81&lt;=$B$14*12,1,0)</f>
        <v>1</v>
      </c>
      <c r="M81" s="58" t="n">
        <f aca="false">O80</f>
        <v>277559.738397842</v>
      </c>
      <c r="N81" s="58" t="n">
        <f aca="false">IF(L81=1,M81*$B$23,0)</f>
        <v>925.199127992806</v>
      </c>
      <c r="O81" s="58" t="n">
        <f aca="false">IF(L81=1,M81-($B$22-N81),M81)</f>
        <v>276981.079345119</v>
      </c>
      <c r="P81" s="58" t="n">
        <f aca="false">P80+N81</f>
        <v>73266.5847181157</v>
      </c>
    </row>
    <row r="82" customFormat="false" ht="15" hidden="false" customHeight="false" outlineLevel="0" collapsed="false">
      <c r="K82" s="56" t="n">
        <f aca="false">K81+1</f>
        <v>75</v>
      </c>
      <c r="L82" s="56" t="n">
        <f aca="false">IF(K82&lt;=$B$14*12,1,0)</f>
        <v>1</v>
      </c>
      <c r="M82" s="58" t="n">
        <f aca="false">O81</f>
        <v>276981.079345119</v>
      </c>
      <c r="N82" s="58" t="n">
        <f aca="false">IF(L82=1,M82*$B$23,0)</f>
        <v>923.270264483729</v>
      </c>
      <c r="O82" s="58" t="n">
        <f aca="false">IF(L82=1,M82-($B$22-N82),M82)</f>
        <v>276400.491428886</v>
      </c>
      <c r="P82" s="58" t="n">
        <f aca="false">P81+N82</f>
        <v>74189.8549825994</v>
      </c>
    </row>
    <row r="83" customFormat="false" ht="15" hidden="false" customHeight="false" outlineLevel="0" collapsed="false">
      <c r="K83" s="56" t="n">
        <f aca="false">K82+1</f>
        <v>76</v>
      </c>
      <c r="L83" s="56" t="n">
        <f aca="false">IF(K83&lt;=$B$14*12,1,0)</f>
        <v>1</v>
      </c>
      <c r="M83" s="58" t="n">
        <f aca="false">O82</f>
        <v>276400.491428886</v>
      </c>
      <c r="N83" s="58" t="n">
        <f aca="false">IF(L83=1,M83*$B$23,0)</f>
        <v>921.33497142962</v>
      </c>
      <c r="O83" s="58" t="n">
        <f aca="false">IF(L83=1,M83-($B$22-N83),M83)</f>
        <v>275817.9682196</v>
      </c>
      <c r="P83" s="58" t="n">
        <f aca="false">P82+N83</f>
        <v>75111.189954029</v>
      </c>
    </row>
    <row r="84" customFormat="false" ht="15" hidden="false" customHeight="false" outlineLevel="0" collapsed="false">
      <c r="K84" s="56" t="n">
        <f aca="false">K83+1</f>
        <v>77</v>
      </c>
      <c r="L84" s="56" t="n">
        <f aca="false">IF(K84&lt;=$B$14*12,1,0)</f>
        <v>1</v>
      </c>
      <c r="M84" s="58" t="n">
        <f aca="false">O83</f>
        <v>275817.9682196</v>
      </c>
      <c r="N84" s="58" t="n">
        <f aca="false">IF(L84=1,M84*$B$23,0)</f>
        <v>919.393227398665</v>
      </c>
      <c r="O84" s="58" t="n">
        <f aca="false">IF(L84=1,M84-($B$22-N84),M84)</f>
        <v>275233.503266282</v>
      </c>
      <c r="P84" s="58" t="n">
        <f aca="false">P83+N84</f>
        <v>76030.5831814277</v>
      </c>
    </row>
    <row r="85" customFormat="false" ht="15" hidden="false" customHeight="false" outlineLevel="0" collapsed="false">
      <c r="K85" s="56" t="n">
        <f aca="false">K84+1</f>
        <v>78</v>
      </c>
      <c r="L85" s="56" t="n">
        <f aca="false">IF(K85&lt;=$B$14*12,1,0)</f>
        <v>1</v>
      </c>
      <c r="M85" s="58" t="n">
        <f aca="false">O84</f>
        <v>275233.503266282</v>
      </c>
      <c r="N85" s="58" t="n">
        <f aca="false">IF(L85=1,M85*$B$23,0)</f>
        <v>917.445010887607</v>
      </c>
      <c r="O85" s="58" t="n">
        <f aca="false">IF(L85=1,M85-($B$22-N85),M85)</f>
        <v>274647.090096453</v>
      </c>
      <c r="P85" s="58" t="n">
        <f aca="false">P84+N85</f>
        <v>76948.0281923153</v>
      </c>
    </row>
    <row r="86" customFormat="false" ht="15" hidden="false" customHeight="false" outlineLevel="0" collapsed="false">
      <c r="K86" s="56" t="n">
        <f aca="false">K85+1</f>
        <v>79</v>
      </c>
      <c r="L86" s="56" t="n">
        <f aca="false">IF(K86&lt;=$B$14*12,1,0)</f>
        <v>1</v>
      </c>
      <c r="M86" s="58" t="n">
        <f aca="false">O85</f>
        <v>274647.090096453</v>
      </c>
      <c r="N86" s="58" t="n">
        <f aca="false">IF(L86=1,M86*$B$23,0)</f>
        <v>915.490300321511</v>
      </c>
      <c r="O86" s="58" t="n">
        <f aca="false">IF(L86=1,M86-($B$22-N86),M86)</f>
        <v>274058.722216059</v>
      </c>
      <c r="P86" s="58" t="n">
        <f aca="false">P85+N86</f>
        <v>77863.5184926368</v>
      </c>
    </row>
    <row r="87" customFormat="false" ht="15" hidden="false" customHeight="false" outlineLevel="0" collapsed="false">
      <c r="K87" s="56" t="n">
        <f aca="false">K86+1</f>
        <v>80</v>
      </c>
      <c r="L87" s="56" t="n">
        <f aca="false">IF(K87&lt;=$B$14*12,1,0)</f>
        <v>1</v>
      </c>
      <c r="M87" s="58" t="n">
        <f aca="false">O86</f>
        <v>274058.722216059</v>
      </c>
      <c r="N87" s="58" t="n">
        <f aca="false">IF(L87=1,M87*$B$23,0)</f>
        <v>913.529074053529</v>
      </c>
      <c r="O87" s="58" t="n">
        <f aca="false">IF(L87=1,M87-($B$22-N87),M87)</f>
        <v>273468.393109396</v>
      </c>
      <c r="P87" s="58" t="n">
        <f aca="false">P86+N87</f>
        <v>78777.0475666903</v>
      </c>
    </row>
    <row r="88" customFormat="false" ht="15" hidden="false" customHeight="false" outlineLevel="0" collapsed="false">
      <c r="K88" s="56" t="n">
        <f aca="false">K87+1</f>
        <v>81</v>
      </c>
      <c r="L88" s="56" t="n">
        <f aca="false">IF(K88&lt;=$B$14*12,1,0)</f>
        <v>1</v>
      </c>
      <c r="M88" s="58" t="n">
        <f aca="false">O87</f>
        <v>273468.393109396</v>
      </c>
      <c r="N88" s="58" t="n">
        <f aca="false">IF(L88=1,M88*$B$23,0)</f>
        <v>911.561310364654</v>
      </c>
      <c r="O88" s="58" t="n">
        <f aca="false">IF(L88=1,M88-($B$22-N88),M88)</f>
        <v>272876.096239045</v>
      </c>
      <c r="P88" s="58" t="n">
        <f aca="false">P87+N88</f>
        <v>79688.608877055</v>
      </c>
    </row>
    <row r="89" customFormat="false" ht="15" hidden="false" customHeight="false" outlineLevel="0" collapsed="false">
      <c r="K89" s="56" t="n">
        <f aca="false">K88+1</f>
        <v>82</v>
      </c>
      <c r="L89" s="56" t="n">
        <f aca="false">IF(K89&lt;=$B$14*12,1,0)</f>
        <v>1</v>
      </c>
      <c r="M89" s="58" t="n">
        <f aca="false">O88</f>
        <v>272876.096239045</v>
      </c>
      <c r="N89" s="58" t="n">
        <f aca="false">IF(L89=1,M89*$B$23,0)</f>
        <v>909.586987463482</v>
      </c>
      <c r="O89" s="58" t="n">
        <f aca="false">IF(L89=1,M89-($B$22-N89),M89)</f>
        <v>272281.825045792</v>
      </c>
      <c r="P89" s="58" t="n">
        <f aca="false">P88+N89</f>
        <v>80598.1958645185</v>
      </c>
    </row>
    <row r="90" customFormat="false" ht="15" hidden="false" customHeight="false" outlineLevel="0" collapsed="false">
      <c r="K90" s="56" t="n">
        <f aca="false">K89+1</f>
        <v>83</v>
      </c>
      <c r="L90" s="56" t="n">
        <f aca="false">IF(K90&lt;=$B$14*12,1,0)</f>
        <v>1</v>
      </c>
      <c r="M90" s="58" t="n">
        <f aca="false">O89</f>
        <v>272281.825045792</v>
      </c>
      <c r="N90" s="58" t="n">
        <f aca="false">IF(L90=1,M90*$B$23,0)</f>
        <v>907.606083485973</v>
      </c>
      <c r="O90" s="58" t="n">
        <f aca="false">IF(L90=1,M90-($B$22-N90),M90)</f>
        <v>271685.572948562</v>
      </c>
      <c r="P90" s="58" t="n">
        <f aca="false">P89+N90</f>
        <v>81505.8019480044</v>
      </c>
    </row>
    <row r="91" customFormat="false" ht="15" hidden="false" customHeight="false" outlineLevel="0" collapsed="false">
      <c r="K91" s="56" t="n">
        <f aca="false">K90+1</f>
        <v>84</v>
      </c>
      <c r="L91" s="56" t="n">
        <f aca="false">IF(K91&lt;=$B$14*12,1,0)</f>
        <v>1</v>
      </c>
      <c r="M91" s="58" t="n">
        <f aca="false">O90</f>
        <v>271685.572948562</v>
      </c>
      <c r="N91" s="58" t="n">
        <f aca="false">IF(L91=1,M91*$B$23,0)</f>
        <v>905.618576495205</v>
      </c>
      <c r="O91" s="58" t="n">
        <f aca="false">IF(L91=1,M91-($B$22-N91),M91)</f>
        <v>271087.333344341</v>
      </c>
      <c r="P91" s="58" t="n">
        <f aca="false">P90+N91</f>
        <v>82411.4205244996</v>
      </c>
    </row>
    <row r="92" customFormat="false" ht="15" hidden="false" customHeight="false" outlineLevel="0" collapsed="false">
      <c r="K92" s="56" t="n">
        <f aca="false">K91+1</f>
        <v>85</v>
      </c>
      <c r="L92" s="56" t="n">
        <f aca="false">IF(K92&lt;=$B$14*12,1,0)</f>
        <v>1</v>
      </c>
      <c r="M92" s="58" t="n">
        <f aca="false">O91</f>
        <v>271087.333344341</v>
      </c>
      <c r="N92" s="58" t="n">
        <f aca="false">IF(L92=1,M92*$B$23,0)</f>
        <v>903.624444481136</v>
      </c>
      <c r="O92" s="58" t="n">
        <f aca="false">IF(L92=1,M92-($B$22-N92),M92)</f>
        <v>270487.099608106</v>
      </c>
      <c r="P92" s="58" t="n">
        <f aca="false">P91+N92</f>
        <v>83315.0449689808</v>
      </c>
    </row>
    <row r="93" customFormat="false" ht="15" hidden="false" customHeight="false" outlineLevel="0" collapsed="false">
      <c r="K93" s="56" t="n">
        <f aca="false">K92+1</f>
        <v>86</v>
      </c>
      <c r="L93" s="56" t="n">
        <f aca="false">IF(K93&lt;=$B$14*12,1,0)</f>
        <v>1</v>
      </c>
      <c r="M93" s="58" t="n">
        <f aca="false">O92</f>
        <v>270487.099608106</v>
      </c>
      <c r="N93" s="58" t="n">
        <f aca="false">IF(L93=1,M93*$B$23,0)</f>
        <v>901.623665360352</v>
      </c>
      <c r="O93" s="58" t="n">
        <f aca="false">IF(L93=1,M93-($B$22-N93),M93)</f>
        <v>269884.86509275</v>
      </c>
      <c r="P93" s="58" t="n">
        <f aca="false">P92+N93</f>
        <v>84216.6686343411</v>
      </c>
    </row>
    <row r="94" customFormat="false" ht="15" hidden="false" customHeight="false" outlineLevel="0" collapsed="false">
      <c r="K94" s="56" t="n">
        <f aca="false">K93+1</f>
        <v>87</v>
      </c>
      <c r="L94" s="56" t="n">
        <f aca="false">IF(K94&lt;=$B$14*12,1,0)</f>
        <v>1</v>
      </c>
      <c r="M94" s="58" t="n">
        <f aca="false">O93</f>
        <v>269884.86509275</v>
      </c>
      <c r="N94" s="58" t="n">
        <f aca="false">IF(L94=1,M94*$B$23,0)</f>
        <v>899.616216975833</v>
      </c>
      <c r="O94" s="58" t="n">
        <f aca="false">IF(L94=1,M94-($B$22-N94),M94)</f>
        <v>269280.623129009</v>
      </c>
      <c r="P94" s="58" t="n">
        <f aca="false">P93+N94</f>
        <v>85116.284851317</v>
      </c>
    </row>
    <row r="95" customFormat="false" ht="15" hidden="false" customHeight="false" outlineLevel="0" collapsed="false">
      <c r="K95" s="56" t="n">
        <f aca="false">K94+1</f>
        <v>88</v>
      </c>
      <c r="L95" s="56" t="n">
        <f aca="false">IF(K95&lt;=$B$14*12,1,0)</f>
        <v>1</v>
      </c>
      <c r="M95" s="58" t="n">
        <f aca="false">O94</f>
        <v>269280.623129009</v>
      </c>
      <c r="N95" s="58" t="n">
        <f aca="false">IF(L95=1,M95*$B$23,0)</f>
        <v>897.602077096698</v>
      </c>
      <c r="O95" s="58" t="n">
        <f aca="false">IF(L95=1,M95-($B$22-N95),M95)</f>
        <v>268674.36702539</v>
      </c>
      <c r="P95" s="58" t="n">
        <f aca="false">P94+N95</f>
        <v>86013.8869284137</v>
      </c>
    </row>
    <row r="96" customFormat="false" ht="15" hidden="false" customHeight="false" outlineLevel="0" collapsed="false">
      <c r="K96" s="56" t="n">
        <f aca="false">K95+1</f>
        <v>89</v>
      </c>
      <c r="L96" s="56" t="n">
        <f aca="false">IF(K96&lt;=$B$14*12,1,0)</f>
        <v>1</v>
      </c>
      <c r="M96" s="58" t="n">
        <f aca="false">O95</f>
        <v>268674.36702539</v>
      </c>
      <c r="N96" s="58" t="n">
        <f aca="false">IF(L96=1,M96*$B$23,0)</f>
        <v>895.581223417967</v>
      </c>
      <c r="O96" s="58" t="n">
        <f aca="false">IF(L96=1,M96-($B$22-N96),M96)</f>
        <v>268066.090068092</v>
      </c>
      <c r="P96" s="58" t="n">
        <f aca="false">P95+N96</f>
        <v>86909.4681518316</v>
      </c>
    </row>
    <row r="97" customFormat="false" ht="15" hidden="false" customHeight="false" outlineLevel="0" collapsed="false">
      <c r="K97" s="56" t="n">
        <f aca="false">K96+1</f>
        <v>90</v>
      </c>
      <c r="L97" s="56" t="n">
        <f aca="false">IF(K97&lt;=$B$14*12,1,0)</f>
        <v>1</v>
      </c>
      <c r="M97" s="58" t="n">
        <f aca="false">O96</f>
        <v>268066.090068092</v>
      </c>
      <c r="N97" s="58" t="n">
        <f aca="false">IF(L97=1,M97*$B$23,0)</f>
        <v>893.553633560306</v>
      </c>
      <c r="O97" s="58" t="n">
        <f aca="false">IF(L97=1,M97-($B$22-N97),M97)</f>
        <v>267455.785520936</v>
      </c>
      <c r="P97" s="58" t="n">
        <f aca="false">P96+N97</f>
        <v>87803.0217853919</v>
      </c>
    </row>
    <row r="98" customFormat="false" ht="15" hidden="false" customHeight="false" outlineLevel="0" collapsed="false">
      <c r="K98" s="56" t="n">
        <f aca="false">K97+1</f>
        <v>91</v>
      </c>
      <c r="L98" s="56" t="n">
        <f aca="false">IF(K98&lt;=$B$14*12,1,0)</f>
        <v>1</v>
      </c>
      <c r="M98" s="58" t="n">
        <f aca="false">O97</f>
        <v>267455.785520936</v>
      </c>
      <c r="N98" s="58" t="n">
        <f aca="false">IF(L98=1,M98*$B$23,0)</f>
        <v>891.519285069786</v>
      </c>
      <c r="O98" s="58" t="n">
        <f aca="false">IF(L98=1,M98-($B$22-N98),M98)</f>
        <v>266843.446625289</v>
      </c>
      <c r="P98" s="58" t="n">
        <f aca="false">P97+N98</f>
        <v>88694.5410704617</v>
      </c>
    </row>
    <row r="99" customFormat="false" ht="15" hidden="false" customHeight="false" outlineLevel="0" collapsed="false">
      <c r="K99" s="56" t="n">
        <f aca="false">K98+1</f>
        <v>92</v>
      </c>
      <c r="L99" s="56" t="n">
        <f aca="false">IF(K99&lt;=$B$14*12,1,0)</f>
        <v>1</v>
      </c>
      <c r="M99" s="58" t="n">
        <f aca="false">O98</f>
        <v>266843.446625289</v>
      </c>
      <c r="N99" s="58" t="n">
        <f aca="false">IF(L99=1,M99*$B$23,0)</f>
        <v>889.478155417632</v>
      </c>
      <c r="O99" s="58" t="n">
        <f aca="false">IF(L99=1,M99-($B$22-N99),M99)</f>
        <v>266229.066599991</v>
      </c>
      <c r="P99" s="58" t="n">
        <f aca="false">P98+N99</f>
        <v>89584.0192258794</v>
      </c>
    </row>
    <row r="100" customFormat="false" ht="15" hidden="false" customHeight="false" outlineLevel="0" collapsed="false">
      <c r="K100" s="56" t="n">
        <f aca="false">K99+1</f>
        <v>93</v>
      </c>
      <c r="L100" s="56" t="n">
        <f aca="false">IF(K100&lt;=$B$14*12,1,0)</f>
        <v>1</v>
      </c>
      <c r="M100" s="58" t="n">
        <f aca="false">O99</f>
        <v>266229.066599991</v>
      </c>
      <c r="N100" s="58" t="n">
        <f aca="false">IF(L100=1,M100*$B$23,0)</f>
        <v>887.43022199997</v>
      </c>
      <c r="O100" s="58" t="n">
        <f aca="false">IF(L100=1,M100-($B$22-N100),M100)</f>
        <v>265612.638641275</v>
      </c>
      <c r="P100" s="58" t="n">
        <f aca="false">P99+N100</f>
        <v>90471.4494478793</v>
      </c>
    </row>
    <row r="101" customFormat="false" ht="15" hidden="false" customHeight="false" outlineLevel="0" collapsed="false">
      <c r="K101" s="56" t="n">
        <f aca="false">K100+1</f>
        <v>94</v>
      </c>
      <c r="L101" s="56" t="n">
        <f aca="false">IF(K101&lt;=$B$14*12,1,0)</f>
        <v>1</v>
      </c>
      <c r="M101" s="58" t="n">
        <f aca="false">O100</f>
        <v>265612.638641275</v>
      </c>
      <c r="N101" s="58" t="n">
        <f aca="false">IF(L101=1,M101*$B$23,0)</f>
        <v>885.375462137582</v>
      </c>
      <c r="O101" s="58" t="n">
        <f aca="false">IF(L101=1,M101-($B$22-N101),M101)</f>
        <v>264994.155922696</v>
      </c>
      <c r="P101" s="58" t="n">
        <f aca="false">P100+N101</f>
        <v>91356.8249100169</v>
      </c>
    </row>
    <row r="102" customFormat="false" ht="15" hidden="false" customHeight="false" outlineLevel="0" collapsed="false">
      <c r="K102" s="56" t="n">
        <f aca="false">K101+1</f>
        <v>95</v>
      </c>
      <c r="L102" s="56" t="n">
        <f aca="false">IF(K102&lt;=$B$14*12,1,0)</f>
        <v>1</v>
      </c>
      <c r="M102" s="58" t="n">
        <f aca="false">O101</f>
        <v>264994.155922696</v>
      </c>
      <c r="N102" s="58" t="n">
        <f aca="false">IF(L102=1,M102*$B$23,0)</f>
        <v>883.313853075654</v>
      </c>
      <c r="O102" s="58" t="n">
        <f aca="false">IF(L102=1,M102-($B$22-N102),M102)</f>
        <v>264373.611595056</v>
      </c>
      <c r="P102" s="58" t="n">
        <f aca="false">P101+N102</f>
        <v>92240.1387630926</v>
      </c>
    </row>
    <row r="103" customFormat="false" ht="15" hidden="false" customHeight="false" outlineLevel="0" collapsed="false">
      <c r="K103" s="56" t="n">
        <f aca="false">K102+1</f>
        <v>96</v>
      </c>
      <c r="L103" s="56" t="n">
        <f aca="false">IF(K103&lt;=$B$14*12,1,0)</f>
        <v>1</v>
      </c>
      <c r="M103" s="58" t="n">
        <f aca="false">O102</f>
        <v>264373.611595056</v>
      </c>
      <c r="N103" s="58" t="n">
        <f aca="false">IF(L103=1,M103*$B$23,0)</f>
        <v>881.245371983519</v>
      </c>
      <c r="O103" s="58" t="n">
        <f aca="false">IF(L103=1,M103-($B$22-N103),M103)</f>
        <v>263750.998786323</v>
      </c>
      <c r="P103" s="58" t="n">
        <f aca="false">P102+N103</f>
        <v>93121.3841350761</v>
      </c>
    </row>
    <row r="104" customFormat="false" ht="15" hidden="false" customHeight="false" outlineLevel="0" collapsed="false">
      <c r="K104" s="56" t="n">
        <f aca="false">K103+1</f>
        <v>97</v>
      </c>
      <c r="L104" s="56" t="n">
        <f aca="false">IF(K104&lt;=$B$14*12,1,0)</f>
        <v>1</v>
      </c>
      <c r="M104" s="58" t="n">
        <f aca="false">O103</f>
        <v>263750.998786323</v>
      </c>
      <c r="N104" s="58" t="n">
        <f aca="false">IF(L104=1,M104*$B$23,0)</f>
        <v>879.16999595441</v>
      </c>
      <c r="O104" s="58" t="n">
        <f aca="false">IF(L104=1,M104-($B$22-N104),M104)</f>
        <v>263126.310601561</v>
      </c>
      <c r="P104" s="58" t="n">
        <f aca="false">P103+N104</f>
        <v>94000.5541310305</v>
      </c>
    </row>
    <row r="105" customFormat="false" ht="15" hidden="false" customHeight="false" outlineLevel="0" collapsed="false">
      <c r="K105" s="56" t="n">
        <f aca="false">K104+1</f>
        <v>98</v>
      </c>
      <c r="L105" s="56" t="n">
        <f aca="false">IF(K105&lt;=$B$14*12,1,0)</f>
        <v>1</v>
      </c>
      <c r="M105" s="58" t="n">
        <f aca="false">O104</f>
        <v>263126.310601561</v>
      </c>
      <c r="N105" s="58" t="n">
        <f aca="false">IF(L105=1,M105*$B$23,0)</f>
        <v>877.087702005204</v>
      </c>
      <c r="O105" s="58" t="n">
        <f aca="false">IF(L105=1,M105-($B$22-N105),M105)</f>
        <v>262499.54012285</v>
      </c>
      <c r="P105" s="58" t="n">
        <f aca="false">P104+N105</f>
        <v>94877.6418330357</v>
      </c>
    </row>
    <row r="106" customFormat="false" ht="15" hidden="false" customHeight="false" outlineLevel="0" collapsed="false">
      <c r="K106" s="56" t="n">
        <f aca="false">K105+1</f>
        <v>99</v>
      </c>
      <c r="L106" s="56" t="n">
        <f aca="false">IF(K106&lt;=$B$14*12,1,0)</f>
        <v>1</v>
      </c>
      <c r="M106" s="58" t="n">
        <f aca="false">O105</f>
        <v>262499.54012285</v>
      </c>
      <c r="N106" s="58" t="n">
        <f aca="false">IF(L106=1,M106*$B$23,0)</f>
        <v>874.998467076167</v>
      </c>
      <c r="O106" s="58" t="n">
        <f aca="false">IF(L106=1,M106-($B$22-N106),M106)</f>
        <v>261870.68040921</v>
      </c>
      <c r="P106" s="58" t="n">
        <f aca="false">P105+N106</f>
        <v>95752.6403001119</v>
      </c>
    </row>
    <row r="107" customFormat="false" ht="15" hidden="false" customHeight="false" outlineLevel="0" collapsed="false">
      <c r="K107" s="56" t="n">
        <f aca="false">K106+1</f>
        <v>100</v>
      </c>
      <c r="L107" s="56" t="n">
        <f aca="false">IF(K107&lt;=$B$14*12,1,0)</f>
        <v>1</v>
      </c>
      <c r="M107" s="58" t="n">
        <f aca="false">O106</f>
        <v>261870.68040921</v>
      </c>
      <c r="N107" s="58" t="n">
        <f aca="false">IF(L107=1,M107*$B$23,0)</f>
        <v>872.9022680307</v>
      </c>
      <c r="O107" s="58" t="n">
        <f aca="false">IF(L107=1,M107-($B$22-N107),M107)</f>
        <v>261239.724496525</v>
      </c>
      <c r="P107" s="58" t="n">
        <f aca="false">P106+N107</f>
        <v>96625.5425681425</v>
      </c>
    </row>
    <row r="108" customFormat="false" ht="15" hidden="false" customHeight="false" outlineLevel="0" collapsed="false">
      <c r="K108" s="56" t="n">
        <f aca="false">K107+1</f>
        <v>101</v>
      </c>
      <c r="L108" s="56" t="n">
        <f aca="false">IF(K108&lt;=$B$14*12,1,0)</f>
        <v>1</v>
      </c>
      <c r="M108" s="58" t="n">
        <f aca="false">O107</f>
        <v>261239.724496525</v>
      </c>
      <c r="N108" s="58" t="n">
        <f aca="false">IF(L108=1,M108*$B$23,0)</f>
        <v>870.799081655082</v>
      </c>
      <c r="O108" s="58" t="n">
        <f aca="false">IF(L108=1,M108-($B$22-N108),M108)</f>
        <v>260606.665397464</v>
      </c>
      <c r="P108" s="58" t="n">
        <f aca="false">P107+N108</f>
        <v>97496.3416497976</v>
      </c>
    </row>
    <row r="109" customFormat="false" ht="15" hidden="false" customHeight="false" outlineLevel="0" collapsed="false">
      <c r="K109" s="56" t="n">
        <f aca="false">K108+1</f>
        <v>102</v>
      </c>
      <c r="L109" s="56" t="n">
        <f aca="false">IF(K109&lt;=$B$14*12,1,0)</f>
        <v>1</v>
      </c>
      <c r="M109" s="58" t="n">
        <f aca="false">O108</f>
        <v>260606.665397464</v>
      </c>
      <c r="N109" s="58" t="n">
        <f aca="false">IF(L109=1,M109*$B$23,0)</f>
        <v>868.688884658212</v>
      </c>
      <c r="O109" s="58" t="n">
        <f aca="false">IF(L109=1,M109-($B$22-N109),M109)</f>
        <v>259971.496101406</v>
      </c>
      <c r="P109" s="58" t="n">
        <f aca="false">P108+N109</f>
        <v>98365.0305344558</v>
      </c>
    </row>
    <row r="110" customFormat="false" ht="15" hidden="false" customHeight="false" outlineLevel="0" collapsed="false">
      <c r="K110" s="56" t="n">
        <f aca="false">K109+1</f>
        <v>103</v>
      </c>
      <c r="L110" s="56" t="n">
        <f aca="false">IF(K110&lt;=$B$14*12,1,0)</f>
        <v>1</v>
      </c>
      <c r="M110" s="58" t="n">
        <f aca="false">O109</f>
        <v>259971.496101406</v>
      </c>
      <c r="N110" s="58" t="n">
        <f aca="false">IF(L110=1,M110*$B$23,0)</f>
        <v>866.571653671352</v>
      </c>
      <c r="O110" s="58" t="n">
        <f aca="false">IF(L110=1,M110-($B$22-N110),M110)</f>
        <v>259334.209574361</v>
      </c>
      <c r="P110" s="58" t="n">
        <f aca="false">P109+N110</f>
        <v>99231.6021881272</v>
      </c>
    </row>
    <row r="111" customFormat="false" ht="15" hidden="false" customHeight="false" outlineLevel="0" collapsed="false">
      <c r="K111" s="56" t="n">
        <f aca="false">K110+1</f>
        <v>104</v>
      </c>
      <c r="L111" s="56" t="n">
        <f aca="false">IF(K111&lt;=$B$14*12,1,0)</f>
        <v>1</v>
      </c>
      <c r="M111" s="58" t="n">
        <f aca="false">O110</f>
        <v>259334.209574361</v>
      </c>
      <c r="N111" s="58" t="n">
        <f aca="false">IF(L111=1,M111*$B$23,0)</f>
        <v>864.447365247869</v>
      </c>
      <c r="O111" s="58" t="n">
        <f aca="false">IF(L111=1,M111-($B$22-N111),M111)</f>
        <v>258694.798758892</v>
      </c>
      <c r="P111" s="58" t="n">
        <f aca="false">P110+N111</f>
        <v>100096.049553375</v>
      </c>
    </row>
    <row r="112" customFormat="false" ht="15" hidden="false" customHeight="false" outlineLevel="0" collapsed="false">
      <c r="K112" s="56" t="n">
        <f aca="false">K111+1</f>
        <v>105</v>
      </c>
      <c r="L112" s="56" t="n">
        <f aca="false">IF(K112&lt;=$B$14*12,1,0)</f>
        <v>1</v>
      </c>
      <c r="M112" s="58" t="n">
        <f aca="false">O111</f>
        <v>258694.798758892</v>
      </c>
      <c r="N112" s="58" t="n">
        <f aca="false">IF(L112=1,M112*$B$23,0)</f>
        <v>862.315995862975</v>
      </c>
      <c r="O112" s="58" t="n">
        <f aca="false">IF(L112=1,M112-($B$22-N112),M112)</f>
        <v>258053.256574039</v>
      </c>
      <c r="P112" s="58" t="n">
        <f aca="false">P111+N112</f>
        <v>100958.365549238</v>
      </c>
    </row>
    <row r="113" customFormat="false" ht="15" hidden="false" customHeight="false" outlineLevel="0" collapsed="false">
      <c r="K113" s="56" t="n">
        <f aca="false">K112+1</f>
        <v>106</v>
      </c>
      <c r="L113" s="56" t="n">
        <f aca="false">IF(K113&lt;=$B$14*12,1,0)</f>
        <v>1</v>
      </c>
      <c r="M113" s="58" t="n">
        <f aca="false">O112</f>
        <v>258053.256574039</v>
      </c>
      <c r="N113" s="58" t="n">
        <f aca="false">IF(L113=1,M113*$B$23,0)</f>
        <v>860.177521913464</v>
      </c>
      <c r="O113" s="58" t="n">
        <f aca="false">IF(L113=1,M113-($B$22-N113),M113)</f>
        <v>257409.575915237</v>
      </c>
      <c r="P113" s="58" t="n">
        <f aca="false">P112+N113</f>
        <v>101818.543071152</v>
      </c>
    </row>
    <row r="114" customFormat="false" ht="15" hidden="false" customHeight="false" outlineLevel="0" collapsed="false">
      <c r="K114" s="56" t="n">
        <f aca="false">K113+1</f>
        <v>107</v>
      </c>
      <c r="L114" s="56" t="n">
        <f aca="false">IF(K114&lt;=$B$14*12,1,0)</f>
        <v>1</v>
      </c>
      <c r="M114" s="58" t="n">
        <f aca="false">O113</f>
        <v>257409.575915237</v>
      </c>
      <c r="N114" s="58" t="n">
        <f aca="false">IF(L114=1,M114*$B$23,0)</f>
        <v>858.031919717455</v>
      </c>
      <c r="O114" s="58" t="n">
        <f aca="false">IF(L114=1,M114-($B$22-N114),M114)</f>
        <v>256763.749654238</v>
      </c>
      <c r="P114" s="58" t="n">
        <f aca="false">P113+N114</f>
        <v>102676.574990869</v>
      </c>
    </row>
    <row r="115" customFormat="false" ht="15" hidden="false" customHeight="false" outlineLevel="0" collapsed="false">
      <c r="K115" s="56" t="n">
        <f aca="false">K114+1</f>
        <v>108</v>
      </c>
      <c r="L115" s="56" t="n">
        <f aca="false">IF(K115&lt;=$B$14*12,1,0)</f>
        <v>1</v>
      </c>
      <c r="M115" s="58" t="n">
        <f aca="false">O114</f>
        <v>256763.749654238</v>
      </c>
      <c r="N115" s="58" t="n">
        <f aca="false">IF(L115=1,M115*$B$23,0)</f>
        <v>855.879165514126</v>
      </c>
      <c r="O115" s="58" t="n">
        <f aca="false">IF(L115=1,M115-($B$22-N115),M115)</f>
        <v>256115.770639036</v>
      </c>
      <c r="P115" s="58" t="n">
        <f aca="false">P114+N115</f>
        <v>103532.454156383</v>
      </c>
    </row>
    <row r="116" customFormat="false" ht="15" hidden="false" customHeight="false" outlineLevel="0" collapsed="false">
      <c r="K116" s="56" t="n">
        <f aca="false">K115+1</f>
        <v>109</v>
      </c>
      <c r="L116" s="56" t="n">
        <f aca="false">IF(K116&lt;=$B$14*12,1,0)</f>
        <v>1</v>
      </c>
      <c r="M116" s="58" t="n">
        <f aca="false">O115</f>
        <v>256115.770639036</v>
      </c>
      <c r="N116" s="58" t="n">
        <f aca="false">IF(L116=1,M116*$B$23,0)</f>
        <v>853.719235463452</v>
      </c>
      <c r="O116" s="58" t="n">
        <f aca="false">IF(L116=1,M116-($B$22-N116),M116)</f>
        <v>255465.631693783</v>
      </c>
      <c r="P116" s="58" t="n">
        <f aca="false">P115+N116</f>
        <v>104386.173391847</v>
      </c>
    </row>
    <row r="117" customFormat="false" ht="15" hidden="false" customHeight="false" outlineLevel="0" collapsed="false">
      <c r="K117" s="56" t="n">
        <f aca="false">K116+1</f>
        <v>110</v>
      </c>
      <c r="L117" s="56" t="n">
        <f aca="false">IF(K117&lt;=$B$14*12,1,0)</f>
        <v>1</v>
      </c>
      <c r="M117" s="58" t="n">
        <f aca="false">O116</f>
        <v>255465.631693783</v>
      </c>
      <c r="N117" s="58" t="n">
        <f aca="false">IF(L117=1,M117*$B$23,0)</f>
        <v>851.552105645943</v>
      </c>
      <c r="O117" s="58" t="n">
        <f aca="false">IF(L117=1,M117-($B$22-N117),M117)</f>
        <v>254813.325618713</v>
      </c>
      <c r="P117" s="58" t="n">
        <f aca="false">P116+N117</f>
        <v>105237.725497492</v>
      </c>
    </row>
    <row r="118" customFormat="false" ht="15" hidden="false" customHeight="false" outlineLevel="0" collapsed="false">
      <c r="K118" s="56" t="n">
        <f aca="false">K117+1</f>
        <v>111</v>
      </c>
      <c r="L118" s="56" t="n">
        <f aca="false">IF(K118&lt;=$B$14*12,1,0)</f>
        <v>1</v>
      </c>
      <c r="M118" s="58" t="n">
        <f aca="false">O117</f>
        <v>254813.325618713</v>
      </c>
      <c r="N118" s="58" t="n">
        <f aca="false">IF(L118=1,M118*$B$23,0)</f>
        <v>849.377752062376</v>
      </c>
      <c r="O118" s="58" t="n">
        <f aca="false">IF(L118=1,M118-($B$22-N118),M118)</f>
        <v>254158.845190059</v>
      </c>
      <c r="P118" s="58" t="n">
        <f aca="false">P117+N118</f>
        <v>106087.103249555</v>
      </c>
    </row>
    <row r="119" customFormat="false" ht="15" hidden="false" customHeight="false" outlineLevel="0" collapsed="false">
      <c r="K119" s="56" t="n">
        <f aca="false">K118+1</f>
        <v>112</v>
      </c>
      <c r="L119" s="56" t="n">
        <f aca="false">IF(K119&lt;=$B$14*12,1,0)</f>
        <v>1</v>
      </c>
      <c r="M119" s="58" t="n">
        <f aca="false">O118</f>
        <v>254158.845190059</v>
      </c>
      <c r="N119" s="58" t="n">
        <f aca="false">IF(L119=1,M119*$B$23,0)</f>
        <v>847.19615063353</v>
      </c>
      <c r="O119" s="58" t="n">
        <f aca="false">IF(L119=1,M119-($B$22-N119),M119)</f>
        <v>253502.183159976</v>
      </c>
      <c r="P119" s="58" t="n">
        <f aca="false">P118+N119</f>
        <v>106934.299400188</v>
      </c>
    </row>
    <row r="120" customFormat="false" ht="15" hidden="false" customHeight="false" outlineLevel="0" collapsed="false">
      <c r="K120" s="56" t="n">
        <f aca="false">K119+1</f>
        <v>113</v>
      </c>
      <c r="L120" s="56" t="n">
        <f aca="false">IF(K120&lt;=$B$14*12,1,0)</f>
        <v>1</v>
      </c>
      <c r="M120" s="58" t="n">
        <f aca="false">O119</f>
        <v>253502.183159976</v>
      </c>
      <c r="N120" s="58" t="n">
        <f aca="false">IF(L120=1,M120*$B$23,0)</f>
        <v>845.007277199921</v>
      </c>
      <c r="O120" s="58" t="n">
        <f aca="false">IF(L120=1,M120-($B$22-N120),M120)</f>
        <v>252843.33225646</v>
      </c>
      <c r="P120" s="58" t="n">
        <f aca="false">P119+N120</f>
        <v>107779.306677388</v>
      </c>
    </row>
    <row r="121" customFormat="false" ht="15" hidden="false" customHeight="false" outlineLevel="0" collapsed="false">
      <c r="K121" s="56" t="n">
        <f aca="false">K120+1</f>
        <v>114</v>
      </c>
      <c r="L121" s="56" t="n">
        <f aca="false">IF(K121&lt;=$B$14*12,1,0)</f>
        <v>1</v>
      </c>
      <c r="M121" s="58" t="n">
        <f aca="false">O120</f>
        <v>252843.33225646</v>
      </c>
      <c r="N121" s="58" t="n">
        <f aca="false">IF(L121=1,M121*$B$23,0)</f>
        <v>842.811107521534</v>
      </c>
      <c r="O121" s="58" t="n">
        <f aca="false">IF(L121=1,M121-($B$22-N121),M121)</f>
        <v>252182.285183265</v>
      </c>
      <c r="P121" s="58" t="n">
        <f aca="false">P120+N121</f>
        <v>108622.11778491</v>
      </c>
    </row>
    <row r="122" customFormat="false" ht="15" hidden="false" customHeight="false" outlineLevel="0" collapsed="false">
      <c r="K122" s="56" t="n">
        <f aca="false">K121+1</f>
        <v>115</v>
      </c>
      <c r="L122" s="56" t="n">
        <f aca="false">IF(K122&lt;=$B$14*12,1,0)</f>
        <v>1</v>
      </c>
      <c r="M122" s="58" t="n">
        <f aca="false">O121</f>
        <v>252182.285183265</v>
      </c>
      <c r="N122" s="58" t="n">
        <f aca="false">IF(L122=1,M122*$B$23,0)</f>
        <v>840.607617277551</v>
      </c>
      <c r="O122" s="58" t="n">
        <f aca="false">IF(L122=1,M122-($B$22-N122),M122)</f>
        <v>251519.034619827</v>
      </c>
      <c r="P122" s="58" t="n">
        <f aca="false">P121+N122</f>
        <v>109462.725402187</v>
      </c>
    </row>
    <row r="123" customFormat="false" ht="15" hidden="false" customHeight="false" outlineLevel="0" collapsed="false">
      <c r="K123" s="56" t="n">
        <f aca="false">K122+1</f>
        <v>116</v>
      </c>
      <c r="L123" s="56" t="n">
        <f aca="false">IF(K123&lt;=$B$14*12,1,0)</f>
        <v>1</v>
      </c>
      <c r="M123" s="58" t="n">
        <f aca="false">O122</f>
        <v>251519.034619827</v>
      </c>
      <c r="N123" s="58" t="n">
        <f aca="false">IF(L123=1,M123*$B$23,0)</f>
        <v>838.396782066089</v>
      </c>
      <c r="O123" s="58" t="n">
        <f aca="false">IF(L123=1,M123-($B$22-N123),M123)</f>
        <v>250853.573221177</v>
      </c>
      <c r="P123" s="58" t="n">
        <f aca="false">P122+N123</f>
        <v>110301.122184253</v>
      </c>
    </row>
    <row r="124" customFormat="false" ht="15" hidden="false" customHeight="false" outlineLevel="0" collapsed="false">
      <c r="K124" s="56" t="n">
        <f aca="false">K123+1</f>
        <v>117</v>
      </c>
      <c r="L124" s="56" t="n">
        <f aca="false">IF(K124&lt;=$B$14*12,1,0)</f>
        <v>1</v>
      </c>
      <c r="M124" s="58" t="n">
        <f aca="false">O123</f>
        <v>250853.573221177</v>
      </c>
      <c r="N124" s="58" t="n">
        <f aca="false">IF(L124=1,M124*$B$23,0)</f>
        <v>836.178577403922</v>
      </c>
      <c r="O124" s="58" t="n">
        <f aca="false">IF(L124=1,M124-($B$22-N124),M124)</f>
        <v>250185.893617864</v>
      </c>
      <c r="P124" s="58" t="n">
        <f aca="false">P123+N124</f>
        <v>111137.300761657</v>
      </c>
    </row>
    <row r="125" customFormat="false" ht="15" hidden="false" customHeight="false" outlineLevel="0" collapsed="false">
      <c r="K125" s="56" t="n">
        <f aca="false">K124+1</f>
        <v>118</v>
      </c>
      <c r="L125" s="56" t="n">
        <f aca="false">IF(K125&lt;=$B$14*12,1,0)</f>
        <v>1</v>
      </c>
      <c r="M125" s="58" t="n">
        <f aca="false">O124</f>
        <v>250185.893617864</v>
      </c>
      <c r="N125" s="58" t="n">
        <f aca="false">IF(L125=1,M125*$B$23,0)</f>
        <v>833.952978726215</v>
      </c>
      <c r="O125" s="58" t="n">
        <f aca="false">IF(L125=1,M125-($B$22-N125),M125)</f>
        <v>249515.988415874</v>
      </c>
      <c r="P125" s="58" t="n">
        <f aca="false">P124+N125</f>
        <v>111971.253740384</v>
      </c>
    </row>
    <row r="126" customFormat="false" ht="15" hidden="false" customHeight="false" outlineLevel="0" collapsed="false">
      <c r="K126" s="56" t="n">
        <f aca="false">K125+1</f>
        <v>119</v>
      </c>
      <c r="L126" s="56" t="n">
        <f aca="false">IF(K126&lt;=$B$14*12,1,0)</f>
        <v>1</v>
      </c>
      <c r="M126" s="58" t="n">
        <f aca="false">O125</f>
        <v>249515.988415874</v>
      </c>
      <c r="N126" s="58" t="n">
        <f aca="false">IF(L126=1,M126*$B$23,0)</f>
        <v>831.719961386248</v>
      </c>
      <c r="O126" s="58" t="n">
        <f aca="false">IF(L126=1,M126-($B$22-N126),M126)</f>
        <v>248843.850196545</v>
      </c>
      <c r="P126" s="58" t="n">
        <f aca="false">P125+N126</f>
        <v>112802.97370177</v>
      </c>
    </row>
    <row r="127" customFormat="false" ht="15" hidden="false" customHeight="false" outlineLevel="0" collapsed="false">
      <c r="K127" s="56" t="n">
        <f aca="false">K126+1</f>
        <v>120</v>
      </c>
      <c r="L127" s="56" t="n">
        <f aca="false">IF(K127&lt;=$B$14*12,1,0)</f>
        <v>1</v>
      </c>
      <c r="M127" s="58" t="n">
        <f aca="false">O126</f>
        <v>248843.850196545</v>
      </c>
      <c r="N127" s="58" t="n">
        <f aca="false">IF(L127=1,M127*$B$23,0)</f>
        <v>829.479500655149</v>
      </c>
      <c r="O127" s="58" t="n">
        <f aca="false">IF(L127=1,M127-($B$22-N127),M127)</f>
        <v>248169.471516484</v>
      </c>
      <c r="P127" s="58" t="n">
        <f aca="false">P126+N127</f>
        <v>113632.453202425</v>
      </c>
    </row>
    <row r="128" customFormat="false" ht="15" hidden="false" customHeight="false" outlineLevel="0" collapsed="false">
      <c r="K128" s="56" t="n">
        <f aca="false">K127+1</f>
        <v>121</v>
      </c>
      <c r="L128" s="56" t="n">
        <f aca="false">IF(K128&lt;=$B$14*12,1,0)</f>
        <v>0</v>
      </c>
      <c r="M128" s="58" t="n">
        <f aca="false">O127</f>
        <v>248169.471516484</v>
      </c>
      <c r="N128" s="58" t="n">
        <f aca="false">IF(L128=1,M128*$B$23,0)</f>
        <v>0</v>
      </c>
      <c r="O128" s="58" t="n">
        <f aca="false">IF(L128=1,M128-($B$22-N128),M128)</f>
        <v>248169.471516484</v>
      </c>
      <c r="P128" s="58" t="n">
        <f aca="false">P127+N128</f>
        <v>113632.453202425</v>
      </c>
    </row>
    <row r="129" customFormat="false" ht="15" hidden="false" customHeight="false" outlineLevel="0" collapsed="false">
      <c r="K129" s="56" t="n">
        <f aca="false">K128+1</f>
        <v>122</v>
      </c>
      <c r="L129" s="56" t="n">
        <f aca="false">IF(K129&lt;=$B$14*12,1,0)</f>
        <v>0</v>
      </c>
      <c r="M129" s="58" t="n">
        <f aca="false">O128</f>
        <v>248169.471516484</v>
      </c>
      <c r="N129" s="58" t="n">
        <f aca="false">IF(L129=1,M129*$B$23,0)</f>
        <v>0</v>
      </c>
      <c r="O129" s="58" t="n">
        <f aca="false">IF(L129=1,M129-($B$22-N129),M129)</f>
        <v>248169.471516484</v>
      </c>
      <c r="P129" s="58" t="n">
        <f aca="false">P128+N129</f>
        <v>113632.453202425</v>
      </c>
    </row>
    <row r="130" customFormat="false" ht="15" hidden="false" customHeight="false" outlineLevel="0" collapsed="false">
      <c r="K130" s="56" t="n">
        <f aca="false">K129+1</f>
        <v>123</v>
      </c>
      <c r="L130" s="56" t="n">
        <f aca="false">IF(K130&lt;=$B$14*12,1,0)</f>
        <v>0</v>
      </c>
      <c r="M130" s="58" t="n">
        <f aca="false">O129</f>
        <v>248169.471516484</v>
      </c>
      <c r="N130" s="58" t="n">
        <f aca="false">IF(L130=1,M130*$B$23,0)</f>
        <v>0</v>
      </c>
      <c r="O130" s="58" t="n">
        <f aca="false">IF(L130=1,M130-($B$22-N130),M130)</f>
        <v>248169.471516484</v>
      </c>
      <c r="P130" s="58" t="n">
        <f aca="false">P129+N130</f>
        <v>113632.453202425</v>
      </c>
    </row>
    <row r="131" customFormat="false" ht="15" hidden="false" customHeight="false" outlineLevel="0" collapsed="false">
      <c r="K131" s="56" t="n">
        <f aca="false">K130+1</f>
        <v>124</v>
      </c>
      <c r="L131" s="56" t="n">
        <f aca="false">IF(K131&lt;=$B$14*12,1,0)</f>
        <v>0</v>
      </c>
      <c r="M131" s="58" t="n">
        <f aca="false">O130</f>
        <v>248169.471516484</v>
      </c>
      <c r="N131" s="58" t="n">
        <f aca="false">IF(L131=1,M131*$B$23,0)</f>
        <v>0</v>
      </c>
      <c r="O131" s="58" t="n">
        <f aca="false">IF(L131=1,M131-($B$22-N131),M131)</f>
        <v>248169.471516484</v>
      </c>
      <c r="P131" s="58" t="n">
        <f aca="false">P130+N131</f>
        <v>113632.453202425</v>
      </c>
    </row>
    <row r="132" customFormat="false" ht="15" hidden="false" customHeight="false" outlineLevel="0" collapsed="false">
      <c r="K132" s="56" t="n">
        <f aca="false">K131+1</f>
        <v>125</v>
      </c>
      <c r="L132" s="56" t="n">
        <f aca="false">IF(K132&lt;=$B$14*12,1,0)</f>
        <v>0</v>
      </c>
      <c r="M132" s="58" t="n">
        <f aca="false">O131</f>
        <v>248169.471516484</v>
      </c>
      <c r="N132" s="58" t="n">
        <f aca="false">IF(L132=1,M132*$B$23,0)</f>
        <v>0</v>
      </c>
      <c r="O132" s="58" t="n">
        <f aca="false">IF(L132=1,M132-($B$22-N132),M132)</f>
        <v>248169.471516484</v>
      </c>
      <c r="P132" s="58" t="n">
        <f aca="false">P131+N132</f>
        <v>113632.453202425</v>
      </c>
    </row>
    <row r="133" customFormat="false" ht="15" hidden="false" customHeight="false" outlineLevel="0" collapsed="false">
      <c r="K133" s="56" t="n">
        <f aca="false">K132+1</f>
        <v>126</v>
      </c>
      <c r="L133" s="56" t="n">
        <f aca="false">IF(K133&lt;=$B$14*12,1,0)</f>
        <v>0</v>
      </c>
      <c r="M133" s="58" t="n">
        <f aca="false">O132</f>
        <v>248169.471516484</v>
      </c>
      <c r="N133" s="58" t="n">
        <f aca="false">IF(L133=1,M133*$B$23,0)</f>
        <v>0</v>
      </c>
      <c r="O133" s="58" t="n">
        <f aca="false">IF(L133=1,M133-($B$22-N133),M133)</f>
        <v>248169.471516484</v>
      </c>
      <c r="P133" s="58" t="n">
        <f aca="false">P132+N133</f>
        <v>113632.453202425</v>
      </c>
    </row>
    <row r="134" customFormat="false" ht="15" hidden="false" customHeight="false" outlineLevel="0" collapsed="false">
      <c r="K134" s="56" t="n">
        <f aca="false">K133+1</f>
        <v>127</v>
      </c>
      <c r="L134" s="56" t="n">
        <f aca="false">IF(K134&lt;=$B$14*12,1,0)</f>
        <v>0</v>
      </c>
      <c r="M134" s="58" t="n">
        <f aca="false">O133</f>
        <v>248169.471516484</v>
      </c>
      <c r="N134" s="58" t="n">
        <f aca="false">IF(L134=1,M134*$B$23,0)</f>
        <v>0</v>
      </c>
      <c r="O134" s="58" t="n">
        <f aca="false">IF(L134=1,M134-($B$22-N134),M134)</f>
        <v>248169.471516484</v>
      </c>
      <c r="P134" s="58" t="n">
        <f aca="false">P133+N134</f>
        <v>113632.453202425</v>
      </c>
    </row>
    <row r="135" customFormat="false" ht="15" hidden="false" customHeight="false" outlineLevel="0" collapsed="false">
      <c r="K135" s="56" t="n">
        <f aca="false">K134+1</f>
        <v>128</v>
      </c>
      <c r="L135" s="56" t="n">
        <f aca="false">IF(K135&lt;=$B$14*12,1,0)</f>
        <v>0</v>
      </c>
      <c r="M135" s="58" t="n">
        <f aca="false">O134</f>
        <v>248169.471516484</v>
      </c>
      <c r="N135" s="58" t="n">
        <f aca="false">IF(L135=1,M135*$B$23,0)</f>
        <v>0</v>
      </c>
      <c r="O135" s="58" t="n">
        <f aca="false">IF(L135=1,M135-($B$22-N135),M135)</f>
        <v>248169.471516484</v>
      </c>
      <c r="P135" s="58" t="n">
        <f aca="false">P134+N135</f>
        <v>113632.453202425</v>
      </c>
    </row>
    <row r="136" customFormat="false" ht="15" hidden="false" customHeight="false" outlineLevel="0" collapsed="false">
      <c r="K136" s="56" t="n">
        <f aca="false">K135+1</f>
        <v>129</v>
      </c>
      <c r="L136" s="56" t="n">
        <f aca="false">IF(K136&lt;=$B$14*12,1,0)</f>
        <v>0</v>
      </c>
      <c r="M136" s="58" t="n">
        <f aca="false">O135</f>
        <v>248169.471516484</v>
      </c>
      <c r="N136" s="58" t="n">
        <f aca="false">IF(L136=1,M136*$B$23,0)</f>
        <v>0</v>
      </c>
      <c r="O136" s="58" t="n">
        <f aca="false">IF(L136=1,M136-($B$22-N136),M136)</f>
        <v>248169.471516484</v>
      </c>
      <c r="P136" s="58" t="n">
        <f aca="false">P135+N136</f>
        <v>113632.453202425</v>
      </c>
    </row>
    <row r="137" customFormat="false" ht="15" hidden="false" customHeight="false" outlineLevel="0" collapsed="false">
      <c r="K137" s="56" t="n">
        <f aca="false">K136+1</f>
        <v>130</v>
      </c>
      <c r="L137" s="56" t="n">
        <f aca="false">IF(K137&lt;=$B$14*12,1,0)</f>
        <v>0</v>
      </c>
      <c r="M137" s="58" t="n">
        <f aca="false">O136</f>
        <v>248169.471516484</v>
      </c>
      <c r="N137" s="58" t="n">
        <f aca="false">IF(L137=1,M137*$B$23,0)</f>
        <v>0</v>
      </c>
      <c r="O137" s="58" t="n">
        <f aca="false">IF(L137=1,M137-($B$22-N137),M137)</f>
        <v>248169.471516484</v>
      </c>
      <c r="P137" s="58" t="n">
        <f aca="false">P136+N137</f>
        <v>113632.453202425</v>
      </c>
    </row>
    <row r="138" customFormat="false" ht="15" hidden="false" customHeight="false" outlineLevel="0" collapsed="false">
      <c r="K138" s="56" t="n">
        <f aca="false">K137+1</f>
        <v>131</v>
      </c>
      <c r="L138" s="56" t="n">
        <f aca="false">IF(K138&lt;=$B$14*12,1,0)</f>
        <v>0</v>
      </c>
      <c r="M138" s="58" t="n">
        <f aca="false">O137</f>
        <v>248169.471516484</v>
      </c>
      <c r="N138" s="58" t="n">
        <f aca="false">IF(L138=1,M138*$B$23,0)</f>
        <v>0</v>
      </c>
      <c r="O138" s="58" t="n">
        <f aca="false">IF(L138=1,M138-($B$22-N138),M138)</f>
        <v>248169.471516484</v>
      </c>
      <c r="P138" s="58" t="n">
        <f aca="false">P137+N138</f>
        <v>113632.453202425</v>
      </c>
    </row>
    <row r="139" customFormat="false" ht="15" hidden="false" customHeight="false" outlineLevel="0" collapsed="false">
      <c r="K139" s="56" t="n">
        <f aca="false">K138+1</f>
        <v>132</v>
      </c>
      <c r="L139" s="56" t="n">
        <f aca="false">IF(K139&lt;=$B$14*12,1,0)</f>
        <v>0</v>
      </c>
      <c r="M139" s="58" t="n">
        <f aca="false">O138</f>
        <v>248169.471516484</v>
      </c>
      <c r="N139" s="58" t="n">
        <f aca="false">IF(L139=1,M139*$B$23,0)</f>
        <v>0</v>
      </c>
      <c r="O139" s="58" t="n">
        <f aca="false">IF(L139=1,M139-($B$22-N139),M139)</f>
        <v>248169.471516484</v>
      </c>
      <c r="P139" s="58" t="n">
        <f aca="false">P138+N139</f>
        <v>113632.453202425</v>
      </c>
    </row>
    <row r="140" customFormat="false" ht="15" hidden="false" customHeight="false" outlineLevel="0" collapsed="false">
      <c r="K140" s="56" t="n">
        <f aca="false">K139+1</f>
        <v>133</v>
      </c>
      <c r="L140" s="56" t="n">
        <f aca="false">IF(K140&lt;=$B$14*12,1,0)</f>
        <v>0</v>
      </c>
      <c r="M140" s="58" t="n">
        <f aca="false">O139</f>
        <v>248169.471516484</v>
      </c>
      <c r="N140" s="58" t="n">
        <f aca="false">IF(L140=1,M140*$B$23,0)</f>
        <v>0</v>
      </c>
      <c r="O140" s="58" t="n">
        <f aca="false">IF(L140=1,M140-($B$22-N140),M140)</f>
        <v>248169.471516484</v>
      </c>
      <c r="P140" s="58" t="n">
        <f aca="false">P139+N140</f>
        <v>113632.453202425</v>
      </c>
    </row>
    <row r="141" customFormat="false" ht="15" hidden="false" customHeight="false" outlineLevel="0" collapsed="false">
      <c r="K141" s="56" t="n">
        <f aca="false">K140+1</f>
        <v>134</v>
      </c>
      <c r="L141" s="56" t="n">
        <f aca="false">IF(K141&lt;=$B$14*12,1,0)</f>
        <v>0</v>
      </c>
      <c r="M141" s="58" t="n">
        <f aca="false">O140</f>
        <v>248169.471516484</v>
      </c>
      <c r="N141" s="58" t="n">
        <f aca="false">IF(L141=1,M141*$B$23,0)</f>
        <v>0</v>
      </c>
      <c r="O141" s="58" t="n">
        <f aca="false">IF(L141=1,M141-($B$22-N141),M141)</f>
        <v>248169.471516484</v>
      </c>
      <c r="P141" s="58" t="n">
        <f aca="false">P140+N141</f>
        <v>113632.453202425</v>
      </c>
    </row>
    <row r="142" customFormat="false" ht="15" hidden="false" customHeight="false" outlineLevel="0" collapsed="false">
      <c r="K142" s="56" t="n">
        <f aca="false">K141+1</f>
        <v>135</v>
      </c>
      <c r="L142" s="56" t="n">
        <f aca="false">IF(K142&lt;=$B$14*12,1,0)</f>
        <v>0</v>
      </c>
      <c r="M142" s="58" t="n">
        <f aca="false">O141</f>
        <v>248169.471516484</v>
      </c>
      <c r="N142" s="58" t="n">
        <f aca="false">IF(L142=1,M142*$B$23,0)</f>
        <v>0</v>
      </c>
      <c r="O142" s="58" t="n">
        <f aca="false">IF(L142=1,M142-($B$22-N142),M142)</f>
        <v>248169.471516484</v>
      </c>
      <c r="P142" s="58" t="n">
        <f aca="false">P141+N142</f>
        <v>113632.453202425</v>
      </c>
    </row>
    <row r="143" customFormat="false" ht="15" hidden="false" customHeight="false" outlineLevel="0" collapsed="false">
      <c r="K143" s="56" t="n">
        <f aca="false">K142+1</f>
        <v>136</v>
      </c>
      <c r="L143" s="56" t="n">
        <f aca="false">IF(K143&lt;=$B$14*12,1,0)</f>
        <v>0</v>
      </c>
      <c r="M143" s="58" t="n">
        <f aca="false">O142</f>
        <v>248169.471516484</v>
      </c>
      <c r="N143" s="58" t="n">
        <f aca="false">IF(L143=1,M143*$B$23,0)</f>
        <v>0</v>
      </c>
      <c r="O143" s="58" t="n">
        <f aca="false">IF(L143=1,M143-($B$22-N143),M143)</f>
        <v>248169.471516484</v>
      </c>
      <c r="P143" s="58" t="n">
        <f aca="false">P142+N143</f>
        <v>113632.453202425</v>
      </c>
    </row>
    <row r="144" customFormat="false" ht="15" hidden="false" customHeight="false" outlineLevel="0" collapsed="false">
      <c r="K144" s="56" t="n">
        <f aca="false">K143+1</f>
        <v>137</v>
      </c>
      <c r="L144" s="56" t="n">
        <f aca="false">IF(K144&lt;=$B$14*12,1,0)</f>
        <v>0</v>
      </c>
      <c r="M144" s="58" t="n">
        <f aca="false">O143</f>
        <v>248169.471516484</v>
      </c>
      <c r="N144" s="58" t="n">
        <f aca="false">IF(L144=1,M144*$B$23,0)</f>
        <v>0</v>
      </c>
      <c r="O144" s="58" t="n">
        <f aca="false">IF(L144=1,M144-($B$22-N144),M144)</f>
        <v>248169.471516484</v>
      </c>
      <c r="P144" s="58" t="n">
        <f aca="false">P143+N144</f>
        <v>113632.453202425</v>
      </c>
    </row>
    <row r="145" customFormat="false" ht="15" hidden="false" customHeight="false" outlineLevel="0" collapsed="false">
      <c r="K145" s="56" t="n">
        <f aca="false">K144+1</f>
        <v>138</v>
      </c>
      <c r="L145" s="56" t="n">
        <f aca="false">IF(K145&lt;=$B$14*12,1,0)</f>
        <v>0</v>
      </c>
      <c r="M145" s="58" t="n">
        <f aca="false">O144</f>
        <v>248169.471516484</v>
      </c>
      <c r="N145" s="58" t="n">
        <f aca="false">IF(L145=1,M145*$B$23,0)</f>
        <v>0</v>
      </c>
      <c r="O145" s="58" t="n">
        <f aca="false">IF(L145=1,M145-($B$22-N145),M145)</f>
        <v>248169.471516484</v>
      </c>
      <c r="P145" s="58" t="n">
        <f aca="false">P144+N145</f>
        <v>113632.453202425</v>
      </c>
    </row>
    <row r="146" customFormat="false" ht="15" hidden="false" customHeight="false" outlineLevel="0" collapsed="false">
      <c r="K146" s="56" t="n">
        <f aca="false">K145+1</f>
        <v>139</v>
      </c>
      <c r="L146" s="56" t="n">
        <f aca="false">IF(K146&lt;=$B$14*12,1,0)</f>
        <v>0</v>
      </c>
      <c r="M146" s="58" t="n">
        <f aca="false">O145</f>
        <v>248169.471516484</v>
      </c>
      <c r="N146" s="58" t="n">
        <f aca="false">IF(L146=1,M146*$B$23,0)</f>
        <v>0</v>
      </c>
      <c r="O146" s="58" t="n">
        <f aca="false">IF(L146=1,M146-($B$22-N146),M146)</f>
        <v>248169.471516484</v>
      </c>
      <c r="P146" s="58" t="n">
        <f aca="false">P145+N146</f>
        <v>113632.453202425</v>
      </c>
    </row>
    <row r="147" customFormat="false" ht="15" hidden="false" customHeight="false" outlineLevel="0" collapsed="false">
      <c r="K147" s="56" t="n">
        <f aca="false">K146+1</f>
        <v>140</v>
      </c>
      <c r="L147" s="56" t="n">
        <f aca="false">IF(K147&lt;=$B$14*12,1,0)</f>
        <v>0</v>
      </c>
      <c r="M147" s="58" t="n">
        <f aca="false">O146</f>
        <v>248169.471516484</v>
      </c>
      <c r="N147" s="58" t="n">
        <f aca="false">IF(L147=1,M147*$B$23,0)</f>
        <v>0</v>
      </c>
      <c r="O147" s="58" t="n">
        <f aca="false">IF(L147=1,M147-($B$22-N147),M147)</f>
        <v>248169.471516484</v>
      </c>
      <c r="P147" s="58" t="n">
        <f aca="false">P146+N147</f>
        <v>113632.453202425</v>
      </c>
    </row>
    <row r="148" customFormat="false" ht="15" hidden="false" customHeight="false" outlineLevel="0" collapsed="false">
      <c r="K148" s="56" t="n">
        <f aca="false">K147+1</f>
        <v>141</v>
      </c>
      <c r="L148" s="56" t="n">
        <f aca="false">IF(K148&lt;=$B$14*12,1,0)</f>
        <v>0</v>
      </c>
      <c r="M148" s="58" t="n">
        <f aca="false">O147</f>
        <v>248169.471516484</v>
      </c>
      <c r="N148" s="58" t="n">
        <f aca="false">IF(L148=1,M148*$B$23,0)</f>
        <v>0</v>
      </c>
      <c r="O148" s="58" t="n">
        <f aca="false">IF(L148=1,M148-($B$22-N148),M148)</f>
        <v>248169.471516484</v>
      </c>
      <c r="P148" s="58" t="n">
        <f aca="false">P147+N148</f>
        <v>113632.453202425</v>
      </c>
    </row>
    <row r="149" customFormat="false" ht="15" hidden="false" customHeight="false" outlineLevel="0" collapsed="false">
      <c r="K149" s="56" t="n">
        <f aca="false">K148+1</f>
        <v>142</v>
      </c>
      <c r="L149" s="56" t="n">
        <f aca="false">IF(K149&lt;=$B$14*12,1,0)</f>
        <v>0</v>
      </c>
      <c r="M149" s="58" t="n">
        <f aca="false">O148</f>
        <v>248169.471516484</v>
      </c>
      <c r="N149" s="58" t="n">
        <f aca="false">IF(L149=1,M149*$B$23,0)</f>
        <v>0</v>
      </c>
      <c r="O149" s="58" t="n">
        <f aca="false">IF(L149=1,M149-($B$22-N149),M149)</f>
        <v>248169.471516484</v>
      </c>
      <c r="P149" s="58" t="n">
        <f aca="false">P148+N149</f>
        <v>113632.453202425</v>
      </c>
    </row>
    <row r="150" customFormat="false" ht="15" hidden="false" customHeight="false" outlineLevel="0" collapsed="false">
      <c r="K150" s="56" t="n">
        <f aca="false">K149+1</f>
        <v>143</v>
      </c>
      <c r="L150" s="56" t="n">
        <f aca="false">IF(K150&lt;=$B$14*12,1,0)</f>
        <v>0</v>
      </c>
      <c r="M150" s="58" t="n">
        <f aca="false">O149</f>
        <v>248169.471516484</v>
      </c>
      <c r="N150" s="58" t="n">
        <f aca="false">IF(L150=1,M150*$B$23,0)</f>
        <v>0</v>
      </c>
      <c r="O150" s="58" t="n">
        <f aca="false">IF(L150=1,M150-($B$22-N150),M150)</f>
        <v>248169.471516484</v>
      </c>
      <c r="P150" s="58" t="n">
        <f aca="false">P149+N150</f>
        <v>113632.453202425</v>
      </c>
    </row>
    <row r="151" customFormat="false" ht="15" hidden="false" customHeight="false" outlineLevel="0" collapsed="false">
      <c r="K151" s="56" t="n">
        <f aca="false">K150+1</f>
        <v>144</v>
      </c>
      <c r="L151" s="56" t="n">
        <f aca="false">IF(K151&lt;=$B$14*12,1,0)</f>
        <v>0</v>
      </c>
      <c r="M151" s="58" t="n">
        <f aca="false">O150</f>
        <v>248169.471516484</v>
      </c>
      <c r="N151" s="58" t="n">
        <f aca="false">IF(L151=1,M151*$B$23,0)</f>
        <v>0</v>
      </c>
      <c r="O151" s="58" t="n">
        <f aca="false">IF(L151=1,M151-($B$22-N151),M151)</f>
        <v>248169.471516484</v>
      </c>
      <c r="P151" s="58" t="n">
        <f aca="false">P150+N151</f>
        <v>113632.453202425</v>
      </c>
    </row>
    <row r="152" customFormat="false" ht="15" hidden="false" customHeight="false" outlineLevel="0" collapsed="false">
      <c r="K152" s="56" t="n">
        <f aca="false">K151+1</f>
        <v>145</v>
      </c>
      <c r="L152" s="56" t="n">
        <f aca="false">IF(K152&lt;=$B$14*12,1,0)</f>
        <v>0</v>
      </c>
      <c r="M152" s="58" t="n">
        <f aca="false">O151</f>
        <v>248169.471516484</v>
      </c>
      <c r="N152" s="58" t="n">
        <f aca="false">IF(L152=1,M152*$B$23,0)</f>
        <v>0</v>
      </c>
      <c r="O152" s="58" t="n">
        <f aca="false">IF(L152=1,M152-($B$22-N152),M152)</f>
        <v>248169.471516484</v>
      </c>
      <c r="P152" s="58" t="n">
        <f aca="false">P151+N152</f>
        <v>113632.453202425</v>
      </c>
    </row>
    <row r="153" customFormat="false" ht="15" hidden="false" customHeight="false" outlineLevel="0" collapsed="false">
      <c r="K153" s="56" t="n">
        <f aca="false">K152+1</f>
        <v>146</v>
      </c>
      <c r="L153" s="56" t="n">
        <f aca="false">IF(K153&lt;=$B$14*12,1,0)</f>
        <v>0</v>
      </c>
      <c r="M153" s="58" t="n">
        <f aca="false">O152</f>
        <v>248169.471516484</v>
      </c>
      <c r="N153" s="58" t="n">
        <f aca="false">IF(L153=1,M153*$B$23,0)</f>
        <v>0</v>
      </c>
      <c r="O153" s="58" t="n">
        <f aca="false">IF(L153=1,M153-($B$22-N153),M153)</f>
        <v>248169.471516484</v>
      </c>
      <c r="P153" s="58" t="n">
        <f aca="false">P152+N153</f>
        <v>113632.453202425</v>
      </c>
    </row>
    <row r="154" customFormat="false" ht="15" hidden="false" customHeight="false" outlineLevel="0" collapsed="false">
      <c r="K154" s="56" t="n">
        <f aca="false">K153+1</f>
        <v>147</v>
      </c>
      <c r="L154" s="56" t="n">
        <f aca="false">IF(K154&lt;=$B$14*12,1,0)</f>
        <v>0</v>
      </c>
      <c r="M154" s="58" t="n">
        <f aca="false">O153</f>
        <v>248169.471516484</v>
      </c>
      <c r="N154" s="58" t="n">
        <f aca="false">IF(L154=1,M154*$B$23,0)</f>
        <v>0</v>
      </c>
      <c r="O154" s="58" t="n">
        <f aca="false">IF(L154=1,M154-($B$22-N154),M154)</f>
        <v>248169.471516484</v>
      </c>
      <c r="P154" s="58" t="n">
        <f aca="false">P153+N154</f>
        <v>113632.453202425</v>
      </c>
    </row>
    <row r="155" customFormat="false" ht="15" hidden="false" customHeight="false" outlineLevel="0" collapsed="false">
      <c r="K155" s="56" t="n">
        <f aca="false">K154+1</f>
        <v>148</v>
      </c>
      <c r="L155" s="56" t="n">
        <f aca="false">IF(K155&lt;=$B$14*12,1,0)</f>
        <v>0</v>
      </c>
      <c r="M155" s="58" t="n">
        <f aca="false">O154</f>
        <v>248169.471516484</v>
      </c>
      <c r="N155" s="58" t="n">
        <f aca="false">IF(L155=1,M155*$B$23,0)</f>
        <v>0</v>
      </c>
      <c r="O155" s="58" t="n">
        <f aca="false">IF(L155=1,M155-($B$22-N155),M155)</f>
        <v>248169.471516484</v>
      </c>
      <c r="P155" s="58" t="n">
        <f aca="false">P154+N155</f>
        <v>113632.453202425</v>
      </c>
    </row>
    <row r="156" customFormat="false" ht="15" hidden="false" customHeight="false" outlineLevel="0" collapsed="false">
      <c r="K156" s="56" t="n">
        <f aca="false">K155+1</f>
        <v>149</v>
      </c>
      <c r="L156" s="56" t="n">
        <f aca="false">IF(K156&lt;=$B$14*12,1,0)</f>
        <v>0</v>
      </c>
      <c r="M156" s="58" t="n">
        <f aca="false">O155</f>
        <v>248169.471516484</v>
      </c>
      <c r="N156" s="58" t="n">
        <f aca="false">IF(L156=1,M156*$B$23,0)</f>
        <v>0</v>
      </c>
      <c r="O156" s="58" t="n">
        <f aca="false">IF(L156=1,M156-($B$22-N156),M156)</f>
        <v>248169.471516484</v>
      </c>
      <c r="P156" s="58" t="n">
        <f aca="false">P155+N156</f>
        <v>113632.453202425</v>
      </c>
    </row>
    <row r="157" customFormat="false" ht="15" hidden="false" customHeight="false" outlineLevel="0" collapsed="false">
      <c r="K157" s="56" t="n">
        <f aca="false">K156+1</f>
        <v>150</v>
      </c>
      <c r="L157" s="56" t="n">
        <f aca="false">IF(K157&lt;=$B$14*12,1,0)</f>
        <v>0</v>
      </c>
      <c r="M157" s="58" t="n">
        <f aca="false">O156</f>
        <v>248169.471516484</v>
      </c>
      <c r="N157" s="58" t="n">
        <f aca="false">IF(L157=1,M157*$B$23,0)</f>
        <v>0</v>
      </c>
      <c r="O157" s="58" t="n">
        <f aca="false">IF(L157=1,M157-($B$22-N157),M157)</f>
        <v>248169.471516484</v>
      </c>
      <c r="P157" s="58" t="n">
        <f aca="false">P156+N157</f>
        <v>113632.453202425</v>
      </c>
    </row>
    <row r="158" customFormat="false" ht="15" hidden="false" customHeight="false" outlineLevel="0" collapsed="false">
      <c r="K158" s="56" t="n">
        <f aca="false">K157+1</f>
        <v>151</v>
      </c>
      <c r="L158" s="56" t="n">
        <f aca="false">IF(K158&lt;=$B$14*12,1,0)</f>
        <v>0</v>
      </c>
      <c r="M158" s="58" t="n">
        <f aca="false">O157</f>
        <v>248169.471516484</v>
      </c>
      <c r="N158" s="58" t="n">
        <f aca="false">IF(L158=1,M158*$B$23,0)</f>
        <v>0</v>
      </c>
      <c r="O158" s="58" t="n">
        <f aca="false">IF(L158=1,M158-($B$22-N158),M158)</f>
        <v>248169.471516484</v>
      </c>
      <c r="P158" s="58" t="n">
        <f aca="false">P157+N158</f>
        <v>113632.453202425</v>
      </c>
    </row>
    <row r="159" customFormat="false" ht="15" hidden="false" customHeight="false" outlineLevel="0" collapsed="false">
      <c r="K159" s="56" t="n">
        <f aca="false">K158+1</f>
        <v>152</v>
      </c>
      <c r="L159" s="56" t="n">
        <f aca="false">IF(K159&lt;=$B$14*12,1,0)</f>
        <v>0</v>
      </c>
      <c r="M159" s="58" t="n">
        <f aca="false">O158</f>
        <v>248169.471516484</v>
      </c>
      <c r="N159" s="58" t="n">
        <f aca="false">IF(L159=1,M159*$B$23,0)</f>
        <v>0</v>
      </c>
      <c r="O159" s="58" t="n">
        <f aca="false">IF(L159=1,M159-($B$22-N159),M159)</f>
        <v>248169.471516484</v>
      </c>
      <c r="P159" s="58" t="n">
        <f aca="false">P158+N159</f>
        <v>113632.453202425</v>
      </c>
    </row>
    <row r="160" customFormat="false" ht="15" hidden="false" customHeight="false" outlineLevel="0" collapsed="false">
      <c r="K160" s="56" t="n">
        <f aca="false">K159+1</f>
        <v>153</v>
      </c>
      <c r="L160" s="56" t="n">
        <f aca="false">IF(K160&lt;=$B$14*12,1,0)</f>
        <v>0</v>
      </c>
      <c r="M160" s="58" t="n">
        <f aca="false">O159</f>
        <v>248169.471516484</v>
      </c>
      <c r="N160" s="58" t="n">
        <f aca="false">IF(L160=1,M160*$B$23,0)</f>
        <v>0</v>
      </c>
      <c r="O160" s="58" t="n">
        <f aca="false">IF(L160=1,M160-($B$22-N160),M160)</f>
        <v>248169.471516484</v>
      </c>
      <c r="P160" s="58" t="n">
        <f aca="false">P159+N160</f>
        <v>113632.453202425</v>
      </c>
    </row>
    <row r="161" customFormat="false" ht="15" hidden="false" customHeight="false" outlineLevel="0" collapsed="false">
      <c r="K161" s="56" t="n">
        <f aca="false">K160+1</f>
        <v>154</v>
      </c>
      <c r="L161" s="56" t="n">
        <f aca="false">IF(K161&lt;=$B$14*12,1,0)</f>
        <v>0</v>
      </c>
      <c r="M161" s="58" t="n">
        <f aca="false">O160</f>
        <v>248169.471516484</v>
      </c>
      <c r="N161" s="58" t="n">
        <f aca="false">IF(L161=1,M161*$B$23,0)</f>
        <v>0</v>
      </c>
      <c r="O161" s="58" t="n">
        <f aca="false">IF(L161=1,M161-($B$22-N161),M161)</f>
        <v>248169.471516484</v>
      </c>
      <c r="P161" s="58" t="n">
        <f aca="false">P160+N161</f>
        <v>113632.453202425</v>
      </c>
    </row>
    <row r="162" customFormat="false" ht="15" hidden="false" customHeight="false" outlineLevel="0" collapsed="false">
      <c r="K162" s="56" t="n">
        <f aca="false">K161+1</f>
        <v>155</v>
      </c>
      <c r="L162" s="56" t="n">
        <f aca="false">IF(K162&lt;=$B$14*12,1,0)</f>
        <v>0</v>
      </c>
      <c r="M162" s="58" t="n">
        <f aca="false">O161</f>
        <v>248169.471516484</v>
      </c>
      <c r="N162" s="58" t="n">
        <f aca="false">IF(L162=1,M162*$B$23,0)</f>
        <v>0</v>
      </c>
      <c r="O162" s="58" t="n">
        <f aca="false">IF(L162=1,M162-($B$22-N162),M162)</f>
        <v>248169.471516484</v>
      </c>
      <c r="P162" s="58" t="n">
        <f aca="false">P161+N162</f>
        <v>113632.453202425</v>
      </c>
    </row>
    <row r="163" customFormat="false" ht="15" hidden="false" customHeight="false" outlineLevel="0" collapsed="false">
      <c r="K163" s="56" t="n">
        <f aca="false">K162+1</f>
        <v>156</v>
      </c>
      <c r="L163" s="56" t="n">
        <f aca="false">IF(K163&lt;=$B$14*12,1,0)</f>
        <v>0</v>
      </c>
      <c r="M163" s="58" t="n">
        <f aca="false">O162</f>
        <v>248169.471516484</v>
      </c>
      <c r="N163" s="58" t="n">
        <f aca="false">IF(L163=1,M163*$B$23,0)</f>
        <v>0</v>
      </c>
      <c r="O163" s="58" t="n">
        <f aca="false">IF(L163=1,M163-($B$22-N163),M163)</f>
        <v>248169.471516484</v>
      </c>
      <c r="P163" s="58" t="n">
        <f aca="false">P162+N163</f>
        <v>113632.453202425</v>
      </c>
    </row>
    <row r="164" customFormat="false" ht="15" hidden="false" customHeight="false" outlineLevel="0" collapsed="false">
      <c r="K164" s="56" t="n">
        <f aca="false">K163+1</f>
        <v>157</v>
      </c>
      <c r="L164" s="56" t="n">
        <f aca="false">IF(K164&lt;=$B$14*12,1,0)</f>
        <v>0</v>
      </c>
      <c r="M164" s="58" t="n">
        <f aca="false">O163</f>
        <v>248169.471516484</v>
      </c>
      <c r="N164" s="58" t="n">
        <f aca="false">IF(L164=1,M164*$B$23,0)</f>
        <v>0</v>
      </c>
      <c r="O164" s="58" t="n">
        <f aca="false">IF(L164=1,M164-($B$22-N164),M164)</f>
        <v>248169.471516484</v>
      </c>
      <c r="P164" s="58" t="n">
        <f aca="false">P163+N164</f>
        <v>113632.453202425</v>
      </c>
    </row>
    <row r="165" customFormat="false" ht="15" hidden="false" customHeight="false" outlineLevel="0" collapsed="false">
      <c r="K165" s="56" t="n">
        <f aca="false">K164+1</f>
        <v>158</v>
      </c>
      <c r="L165" s="56" t="n">
        <f aca="false">IF(K165&lt;=$B$14*12,1,0)</f>
        <v>0</v>
      </c>
      <c r="M165" s="58" t="n">
        <f aca="false">O164</f>
        <v>248169.471516484</v>
      </c>
      <c r="N165" s="58" t="n">
        <f aca="false">IF(L165=1,M165*$B$23,0)</f>
        <v>0</v>
      </c>
      <c r="O165" s="58" t="n">
        <f aca="false">IF(L165=1,M165-($B$22-N165),M165)</f>
        <v>248169.471516484</v>
      </c>
      <c r="P165" s="58" t="n">
        <f aca="false">P164+N165</f>
        <v>113632.453202425</v>
      </c>
    </row>
    <row r="166" customFormat="false" ht="15" hidden="false" customHeight="false" outlineLevel="0" collapsed="false">
      <c r="K166" s="56" t="n">
        <f aca="false">K165+1</f>
        <v>159</v>
      </c>
      <c r="L166" s="56" t="n">
        <f aca="false">IF(K166&lt;=$B$14*12,1,0)</f>
        <v>0</v>
      </c>
      <c r="M166" s="58" t="n">
        <f aca="false">O165</f>
        <v>248169.471516484</v>
      </c>
      <c r="N166" s="58" t="n">
        <f aca="false">IF(L166=1,M166*$B$23,0)</f>
        <v>0</v>
      </c>
      <c r="O166" s="58" t="n">
        <f aca="false">IF(L166=1,M166-($B$22-N166),M166)</f>
        <v>248169.471516484</v>
      </c>
      <c r="P166" s="58" t="n">
        <f aca="false">P165+N166</f>
        <v>113632.453202425</v>
      </c>
    </row>
    <row r="167" customFormat="false" ht="15" hidden="false" customHeight="false" outlineLevel="0" collapsed="false">
      <c r="K167" s="56" t="n">
        <f aca="false">K166+1</f>
        <v>160</v>
      </c>
      <c r="L167" s="56" t="n">
        <f aca="false">IF(K167&lt;=$B$14*12,1,0)</f>
        <v>0</v>
      </c>
      <c r="M167" s="58" t="n">
        <f aca="false">O166</f>
        <v>248169.471516484</v>
      </c>
      <c r="N167" s="58" t="n">
        <f aca="false">IF(L167=1,M167*$B$23,0)</f>
        <v>0</v>
      </c>
      <c r="O167" s="58" t="n">
        <f aca="false">IF(L167=1,M167-($B$22-N167),M167)</f>
        <v>248169.471516484</v>
      </c>
      <c r="P167" s="58" t="n">
        <f aca="false">P166+N167</f>
        <v>113632.453202425</v>
      </c>
    </row>
    <row r="168" customFormat="false" ht="15" hidden="false" customHeight="false" outlineLevel="0" collapsed="false">
      <c r="K168" s="56" t="n">
        <f aca="false">K167+1</f>
        <v>161</v>
      </c>
      <c r="L168" s="56" t="n">
        <f aca="false">IF(K168&lt;=$B$14*12,1,0)</f>
        <v>0</v>
      </c>
      <c r="M168" s="58" t="n">
        <f aca="false">O167</f>
        <v>248169.471516484</v>
      </c>
      <c r="N168" s="58" t="n">
        <f aca="false">IF(L168=1,M168*$B$23,0)</f>
        <v>0</v>
      </c>
      <c r="O168" s="58" t="n">
        <f aca="false">IF(L168=1,M168-($B$22-N168),M168)</f>
        <v>248169.471516484</v>
      </c>
      <c r="P168" s="58" t="n">
        <f aca="false">P167+N168</f>
        <v>113632.453202425</v>
      </c>
    </row>
    <row r="169" customFormat="false" ht="15" hidden="false" customHeight="false" outlineLevel="0" collapsed="false">
      <c r="K169" s="56" t="n">
        <f aca="false">K168+1</f>
        <v>162</v>
      </c>
      <c r="L169" s="56" t="n">
        <f aca="false">IF(K169&lt;=$B$14*12,1,0)</f>
        <v>0</v>
      </c>
      <c r="M169" s="58" t="n">
        <f aca="false">O168</f>
        <v>248169.471516484</v>
      </c>
      <c r="N169" s="58" t="n">
        <f aca="false">IF(L169=1,M169*$B$23,0)</f>
        <v>0</v>
      </c>
      <c r="O169" s="58" t="n">
        <f aca="false">IF(L169=1,M169-($B$22-N169),M169)</f>
        <v>248169.471516484</v>
      </c>
      <c r="P169" s="58" t="n">
        <f aca="false">P168+N169</f>
        <v>113632.453202425</v>
      </c>
    </row>
    <row r="170" customFormat="false" ht="15" hidden="false" customHeight="false" outlineLevel="0" collapsed="false">
      <c r="K170" s="56" t="n">
        <f aca="false">K169+1</f>
        <v>163</v>
      </c>
      <c r="L170" s="56" t="n">
        <f aca="false">IF(K170&lt;=$B$14*12,1,0)</f>
        <v>0</v>
      </c>
      <c r="M170" s="58" t="n">
        <f aca="false">O169</f>
        <v>248169.471516484</v>
      </c>
      <c r="N170" s="58" t="n">
        <f aca="false">IF(L170=1,M170*$B$23,0)</f>
        <v>0</v>
      </c>
      <c r="O170" s="58" t="n">
        <f aca="false">IF(L170=1,M170-($B$22-N170),M170)</f>
        <v>248169.471516484</v>
      </c>
      <c r="P170" s="58" t="n">
        <f aca="false">P169+N170</f>
        <v>113632.453202425</v>
      </c>
    </row>
    <row r="171" customFormat="false" ht="15" hidden="false" customHeight="false" outlineLevel="0" collapsed="false">
      <c r="K171" s="56" t="n">
        <f aca="false">K170+1</f>
        <v>164</v>
      </c>
      <c r="L171" s="56" t="n">
        <f aca="false">IF(K171&lt;=$B$14*12,1,0)</f>
        <v>0</v>
      </c>
      <c r="M171" s="58" t="n">
        <f aca="false">O170</f>
        <v>248169.471516484</v>
      </c>
      <c r="N171" s="58" t="n">
        <f aca="false">IF(L171=1,M171*$B$23,0)</f>
        <v>0</v>
      </c>
      <c r="O171" s="58" t="n">
        <f aca="false">IF(L171=1,M171-($B$22-N171),M171)</f>
        <v>248169.471516484</v>
      </c>
      <c r="P171" s="58" t="n">
        <f aca="false">P170+N171</f>
        <v>113632.453202425</v>
      </c>
    </row>
    <row r="172" customFormat="false" ht="15" hidden="false" customHeight="false" outlineLevel="0" collapsed="false">
      <c r="K172" s="56" t="n">
        <f aca="false">K171+1</f>
        <v>165</v>
      </c>
      <c r="L172" s="56" t="n">
        <f aca="false">IF(K172&lt;=$B$14*12,1,0)</f>
        <v>0</v>
      </c>
      <c r="M172" s="58" t="n">
        <f aca="false">O171</f>
        <v>248169.471516484</v>
      </c>
      <c r="N172" s="58" t="n">
        <f aca="false">IF(L172=1,M172*$B$23,0)</f>
        <v>0</v>
      </c>
      <c r="O172" s="58" t="n">
        <f aca="false">IF(L172=1,M172-($B$22-N172),M172)</f>
        <v>248169.471516484</v>
      </c>
      <c r="P172" s="58" t="n">
        <f aca="false">P171+N172</f>
        <v>113632.453202425</v>
      </c>
    </row>
    <row r="173" customFormat="false" ht="15" hidden="false" customHeight="false" outlineLevel="0" collapsed="false">
      <c r="K173" s="56" t="n">
        <f aca="false">K172+1</f>
        <v>166</v>
      </c>
      <c r="L173" s="56" t="n">
        <f aca="false">IF(K173&lt;=$B$14*12,1,0)</f>
        <v>0</v>
      </c>
      <c r="M173" s="58" t="n">
        <f aca="false">O172</f>
        <v>248169.471516484</v>
      </c>
      <c r="N173" s="58" t="n">
        <f aca="false">IF(L173=1,M173*$B$23,0)</f>
        <v>0</v>
      </c>
      <c r="O173" s="58" t="n">
        <f aca="false">IF(L173=1,M173-($B$22-N173),M173)</f>
        <v>248169.471516484</v>
      </c>
      <c r="P173" s="58" t="n">
        <f aca="false">P172+N173</f>
        <v>113632.453202425</v>
      </c>
    </row>
    <row r="174" customFormat="false" ht="15" hidden="false" customHeight="false" outlineLevel="0" collapsed="false">
      <c r="K174" s="56" t="n">
        <f aca="false">K173+1</f>
        <v>167</v>
      </c>
      <c r="L174" s="56" t="n">
        <f aca="false">IF(K174&lt;=$B$14*12,1,0)</f>
        <v>0</v>
      </c>
      <c r="M174" s="58" t="n">
        <f aca="false">O173</f>
        <v>248169.471516484</v>
      </c>
      <c r="N174" s="58" t="n">
        <f aca="false">IF(L174=1,M174*$B$23,0)</f>
        <v>0</v>
      </c>
      <c r="O174" s="58" t="n">
        <f aca="false">IF(L174=1,M174-($B$22-N174),M174)</f>
        <v>248169.471516484</v>
      </c>
      <c r="P174" s="58" t="n">
        <f aca="false">P173+N174</f>
        <v>113632.453202425</v>
      </c>
    </row>
    <row r="175" customFormat="false" ht="15" hidden="false" customHeight="false" outlineLevel="0" collapsed="false">
      <c r="K175" s="56" t="n">
        <f aca="false">K174+1</f>
        <v>168</v>
      </c>
      <c r="L175" s="56" t="n">
        <f aca="false">IF(K175&lt;=$B$14*12,1,0)</f>
        <v>0</v>
      </c>
      <c r="M175" s="58" t="n">
        <f aca="false">O174</f>
        <v>248169.471516484</v>
      </c>
      <c r="N175" s="58" t="n">
        <f aca="false">IF(L175=1,M175*$B$23,0)</f>
        <v>0</v>
      </c>
      <c r="O175" s="58" t="n">
        <f aca="false">IF(L175=1,M175-($B$22-N175),M175)</f>
        <v>248169.471516484</v>
      </c>
      <c r="P175" s="58" t="n">
        <f aca="false">P174+N175</f>
        <v>113632.453202425</v>
      </c>
    </row>
    <row r="176" customFormat="false" ht="15" hidden="false" customHeight="false" outlineLevel="0" collapsed="false">
      <c r="K176" s="56" t="n">
        <f aca="false">K175+1</f>
        <v>169</v>
      </c>
      <c r="L176" s="56" t="n">
        <f aca="false">IF(K176&lt;=$B$14*12,1,0)</f>
        <v>0</v>
      </c>
      <c r="M176" s="58" t="n">
        <f aca="false">O175</f>
        <v>248169.471516484</v>
      </c>
      <c r="N176" s="58" t="n">
        <f aca="false">IF(L176=1,M176*$B$23,0)</f>
        <v>0</v>
      </c>
      <c r="O176" s="58" t="n">
        <f aca="false">IF(L176=1,M176-($B$22-N176),M176)</f>
        <v>248169.471516484</v>
      </c>
      <c r="P176" s="58" t="n">
        <f aca="false">P175+N176</f>
        <v>113632.453202425</v>
      </c>
    </row>
    <row r="177" customFormat="false" ht="15" hidden="false" customHeight="false" outlineLevel="0" collapsed="false">
      <c r="K177" s="56" t="n">
        <f aca="false">K176+1</f>
        <v>170</v>
      </c>
      <c r="L177" s="56" t="n">
        <f aca="false">IF(K177&lt;=$B$14*12,1,0)</f>
        <v>0</v>
      </c>
      <c r="M177" s="58" t="n">
        <f aca="false">O176</f>
        <v>248169.471516484</v>
      </c>
      <c r="N177" s="58" t="n">
        <f aca="false">IF(L177=1,M177*$B$23,0)</f>
        <v>0</v>
      </c>
      <c r="O177" s="58" t="n">
        <f aca="false">IF(L177=1,M177-($B$22-N177),M177)</f>
        <v>248169.471516484</v>
      </c>
      <c r="P177" s="58" t="n">
        <f aca="false">P176+N177</f>
        <v>113632.453202425</v>
      </c>
    </row>
    <row r="178" customFormat="false" ht="15" hidden="false" customHeight="false" outlineLevel="0" collapsed="false">
      <c r="K178" s="56" t="n">
        <f aca="false">K177+1</f>
        <v>171</v>
      </c>
      <c r="L178" s="56" t="n">
        <f aca="false">IF(K178&lt;=$B$14*12,1,0)</f>
        <v>0</v>
      </c>
      <c r="M178" s="58" t="n">
        <f aca="false">O177</f>
        <v>248169.471516484</v>
      </c>
      <c r="N178" s="58" t="n">
        <f aca="false">IF(L178=1,M178*$B$23,0)</f>
        <v>0</v>
      </c>
      <c r="O178" s="58" t="n">
        <f aca="false">IF(L178=1,M178-($B$22-N178),M178)</f>
        <v>248169.471516484</v>
      </c>
      <c r="P178" s="58" t="n">
        <f aca="false">P177+N178</f>
        <v>113632.453202425</v>
      </c>
    </row>
    <row r="179" customFormat="false" ht="15" hidden="false" customHeight="false" outlineLevel="0" collapsed="false">
      <c r="K179" s="56" t="n">
        <f aca="false">K178+1</f>
        <v>172</v>
      </c>
      <c r="L179" s="56" t="n">
        <f aca="false">IF(K179&lt;=$B$14*12,1,0)</f>
        <v>0</v>
      </c>
      <c r="M179" s="58" t="n">
        <f aca="false">O178</f>
        <v>248169.471516484</v>
      </c>
      <c r="N179" s="58" t="n">
        <f aca="false">IF(L179=1,M179*$B$23,0)</f>
        <v>0</v>
      </c>
      <c r="O179" s="58" t="n">
        <f aca="false">IF(L179=1,M179-($B$22-N179),M179)</f>
        <v>248169.471516484</v>
      </c>
      <c r="P179" s="58" t="n">
        <f aca="false">P178+N179</f>
        <v>113632.453202425</v>
      </c>
    </row>
    <row r="180" customFormat="false" ht="15" hidden="false" customHeight="false" outlineLevel="0" collapsed="false">
      <c r="K180" s="56" t="n">
        <f aca="false">K179+1</f>
        <v>173</v>
      </c>
      <c r="L180" s="56" t="n">
        <f aca="false">IF(K180&lt;=$B$14*12,1,0)</f>
        <v>0</v>
      </c>
      <c r="M180" s="58" t="n">
        <f aca="false">O179</f>
        <v>248169.471516484</v>
      </c>
      <c r="N180" s="58" t="n">
        <f aca="false">IF(L180=1,M180*$B$23,0)</f>
        <v>0</v>
      </c>
      <c r="O180" s="58" t="n">
        <f aca="false">IF(L180=1,M180-($B$22-N180),M180)</f>
        <v>248169.471516484</v>
      </c>
      <c r="P180" s="58" t="n">
        <f aca="false">P179+N180</f>
        <v>113632.453202425</v>
      </c>
    </row>
    <row r="181" customFormat="false" ht="15" hidden="false" customHeight="false" outlineLevel="0" collapsed="false">
      <c r="K181" s="56" t="n">
        <f aca="false">K180+1</f>
        <v>174</v>
      </c>
      <c r="L181" s="56" t="n">
        <f aca="false">IF(K181&lt;=$B$14*12,1,0)</f>
        <v>0</v>
      </c>
      <c r="M181" s="58" t="n">
        <f aca="false">O180</f>
        <v>248169.471516484</v>
      </c>
      <c r="N181" s="58" t="n">
        <f aca="false">IF(L181=1,M181*$B$23,0)</f>
        <v>0</v>
      </c>
      <c r="O181" s="58" t="n">
        <f aca="false">IF(L181=1,M181-($B$22-N181),M181)</f>
        <v>248169.471516484</v>
      </c>
      <c r="P181" s="58" t="n">
        <f aca="false">P180+N181</f>
        <v>113632.453202425</v>
      </c>
    </row>
    <row r="182" customFormat="false" ht="15" hidden="false" customHeight="false" outlineLevel="0" collapsed="false">
      <c r="K182" s="56" t="n">
        <f aca="false">K181+1</f>
        <v>175</v>
      </c>
      <c r="L182" s="56" t="n">
        <f aca="false">IF(K182&lt;=$B$14*12,1,0)</f>
        <v>0</v>
      </c>
      <c r="M182" s="58" t="n">
        <f aca="false">O181</f>
        <v>248169.471516484</v>
      </c>
      <c r="N182" s="58" t="n">
        <f aca="false">IF(L182=1,M182*$B$23,0)</f>
        <v>0</v>
      </c>
      <c r="O182" s="58" t="n">
        <f aca="false">IF(L182=1,M182-($B$22-N182),M182)</f>
        <v>248169.471516484</v>
      </c>
      <c r="P182" s="58" t="n">
        <f aca="false">P181+N182</f>
        <v>113632.453202425</v>
      </c>
    </row>
    <row r="183" customFormat="false" ht="15" hidden="false" customHeight="false" outlineLevel="0" collapsed="false">
      <c r="K183" s="56" t="n">
        <f aca="false">K182+1</f>
        <v>176</v>
      </c>
      <c r="L183" s="56" t="n">
        <f aca="false">IF(K183&lt;=$B$14*12,1,0)</f>
        <v>0</v>
      </c>
      <c r="M183" s="58" t="n">
        <f aca="false">O182</f>
        <v>248169.471516484</v>
      </c>
      <c r="N183" s="58" t="n">
        <f aca="false">IF(L183=1,M183*$B$23,0)</f>
        <v>0</v>
      </c>
      <c r="O183" s="58" t="n">
        <f aca="false">IF(L183=1,M183-($B$22-N183),M183)</f>
        <v>248169.471516484</v>
      </c>
      <c r="P183" s="58" t="n">
        <f aca="false">P182+N183</f>
        <v>113632.453202425</v>
      </c>
    </row>
    <row r="184" customFormat="false" ht="15" hidden="false" customHeight="false" outlineLevel="0" collapsed="false">
      <c r="K184" s="56" t="n">
        <f aca="false">K183+1</f>
        <v>177</v>
      </c>
      <c r="L184" s="56" t="n">
        <f aca="false">IF(K184&lt;=$B$14*12,1,0)</f>
        <v>0</v>
      </c>
      <c r="M184" s="58" t="n">
        <f aca="false">O183</f>
        <v>248169.471516484</v>
      </c>
      <c r="N184" s="58" t="n">
        <f aca="false">IF(L184=1,M184*$B$23,0)</f>
        <v>0</v>
      </c>
      <c r="O184" s="58" t="n">
        <f aca="false">IF(L184=1,M184-($B$22-N184),M184)</f>
        <v>248169.471516484</v>
      </c>
      <c r="P184" s="58" t="n">
        <f aca="false">P183+N184</f>
        <v>113632.453202425</v>
      </c>
    </row>
    <row r="185" customFormat="false" ht="15" hidden="false" customHeight="false" outlineLevel="0" collapsed="false">
      <c r="K185" s="56" t="n">
        <f aca="false">K184+1</f>
        <v>178</v>
      </c>
      <c r="L185" s="56" t="n">
        <f aca="false">IF(K185&lt;=$B$14*12,1,0)</f>
        <v>0</v>
      </c>
      <c r="M185" s="58" t="n">
        <f aca="false">O184</f>
        <v>248169.471516484</v>
      </c>
      <c r="N185" s="58" t="n">
        <f aca="false">IF(L185=1,M185*$B$23,0)</f>
        <v>0</v>
      </c>
      <c r="O185" s="58" t="n">
        <f aca="false">IF(L185=1,M185-($B$22-N185),M185)</f>
        <v>248169.471516484</v>
      </c>
      <c r="P185" s="58" t="n">
        <f aca="false">P184+N185</f>
        <v>113632.453202425</v>
      </c>
    </row>
    <row r="186" customFormat="false" ht="15" hidden="false" customHeight="false" outlineLevel="0" collapsed="false">
      <c r="K186" s="56" t="n">
        <f aca="false">K185+1</f>
        <v>179</v>
      </c>
      <c r="L186" s="56" t="n">
        <f aca="false">IF(K186&lt;=$B$14*12,1,0)</f>
        <v>0</v>
      </c>
      <c r="M186" s="58" t="n">
        <f aca="false">O185</f>
        <v>248169.471516484</v>
      </c>
      <c r="N186" s="58" t="n">
        <f aca="false">IF(L186=1,M186*$B$23,0)</f>
        <v>0</v>
      </c>
      <c r="O186" s="58" t="n">
        <f aca="false">IF(L186=1,M186-($B$22-N186),M186)</f>
        <v>248169.471516484</v>
      </c>
      <c r="P186" s="58" t="n">
        <f aca="false">P185+N186</f>
        <v>113632.453202425</v>
      </c>
    </row>
    <row r="187" customFormat="false" ht="15" hidden="false" customHeight="false" outlineLevel="0" collapsed="false">
      <c r="K187" s="56" t="n">
        <f aca="false">K186+1</f>
        <v>180</v>
      </c>
      <c r="L187" s="56" t="n">
        <f aca="false">IF(K187&lt;=$B$14*12,1,0)</f>
        <v>0</v>
      </c>
      <c r="M187" s="58" t="n">
        <f aca="false">O186</f>
        <v>248169.471516484</v>
      </c>
      <c r="N187" s="58" t="n">
        <f aca="false">IF(L187=1,M187*$B$23,0)</f>
        <v>0</v>
      </c>
      <c r="O187" s="58" t="n">
        <f aca="false">IF(L187=1,M187-($B$22-N187),M187)</f>
        <v>248169.471516484</v>
      </c>
      <c r="P187" s="58" t="n">
        <f aca="false">P186+N187</f>
        <v>113632.453202425</v>
      </c>
    </row>
    <row r="188" customFormat="false" ht="15" hidden="false" customHeight="false" outlineLevel="0" collapsed="false">
      <c r="K188" s="56" t="n">
        <f aca="false">K187+1</f>
        <v>181</v>
      </c>
      <c r="L188" s="56" t="n">
        <f aca="false">IF(K188&lt;=$B$14*12,1,0)</f>
        <v>0</v>
      </c>
      <c r="M188" s="58" t="n">
        <f aca="false">O187</f>
        <v>248169.471516484</v>
      </c>
      <c r="N188" s="58" t="n">
        <f aca="false">IF(L188=1,M188*$B$23,0)</f>
        <v>0</v>
      </c>
      <c r="O188" s="58" t="n">
        <f aca="false">IF(L188=1,M188-($B$22-N188),M188)</f>
        <v>248169.471516484</v>
      </c>
      <c r="P188" s="58" t="n">
        <f aca="false">P187+N188</f>
        <v>113632.453202425</v>
      </c>
    </row>
    <row r="189" customFormat="false" ht="15" hidden="false" customHeight="false" outlineLevel="0" collapsed="false">
      <c r="K189" s="56" t="n">
        <f aca="false">K188+1</f>
        <v>182</v>
      </c>
      <c r="L189" s="56" t="n">
        <f aca="false">IF(K189&lt;=$B$14*12,1,0)</f>
        <v>0</v>
      </c>
      <c r="M189" s="58" t="n">
        <f aca="false">O188</f>
        <v>248169.471516484</v>
      </c>
      <c r="N189" s="58" t="n">
        <f aca="false">IF(L189=1,M189*$B$23,0)</f>
        <v>0</v>
      </c>
      <c r="O189" s="58" t="n">
        <f aca="false">IF(L189=1,M189-($B$22-N189),M189)</f>
        <v>248169.471516484</v>
      </c>
      <c r="P189" s="58" t="n">
        <f aca="false">P188+N189</f>
        <v>113632.453202425</v>
      </c>
    </row>
    <row r="190" customFormat="false" ht="15" hidden="false" customHeight="false" outlineLevel="0" collapsed="false">
      <c r="K190" s="56" t="n">
        <f aca="false">K189+1</f>
        <v>183</v>
      </c>
      <c r="L190" s="56" t="n">
        <f aca="false">IF(K190&lt;=$B$14*12,1,0)</f>
        <v>0</v>
      </c>
      <c r="M190" s="58" t="n">
        <f aca="false">O189</f>
        <v>248169.471516484</v>
      </c>
      <c r="N190" s="58" t="n">
        <f aca="false">IF(L190=1,M190*$B$23,0)</f>
        <v>0</v>
      </c>
      <c r="O190" s="58" t="n">
        <f aca="false">IF(L190=1,M190-($B$22-N190),M190)</f>
        <v>248169.471516484</v>
      </c>
      <c r="P190" s="58" t="n">
        <f aca="false">P189+N190</f>
        <v>113632.453202425</v>
      </c>
    </row>
    <row r="191" customFormat="false" ht="15" hidden="false" customHeight="false" outlineLevel="0" collapsed="false">
      <c r="K191" s="56" t="n">
        <f aca="false">K190+1</f>
        <v>184</v>
      </c>
      <c r="L191" s="56" t="n">
        <f aca="false">IF(K191&lt;=$B$14*12,1,0)</f>
        <v>0</v>
      </c>
      <c r="M191" s="58" t="n">
        <f aca="false">O190</f>
        <v>248169.471516484</v>
      </c>
      <c r="N191" s="58" t="n">
        <f aca="false">IF(L191=1,M191*$B$23,0)</f>
        <v>0</v>
      </c>
      <c r="O191" s="58" t="n">
        <f aca="false">IF(L191=1,M191-($B$22-N191),M191)</f>
        <v>248169.471516484</v>
      </c>
      <c r="P191" s="58" t="n">
        <f aca="false">P190+N191</f>
        <v>113632.453202425</v>
      </c>
    </row>
    <row r="192" customFormat="false" ht="15" hidden="false" customHeight="false" outlineLevel="0" collapsed="false">
      <c r="K192" s="56" t="n">
        <f aca="false">K191+1</f>
        <v>185</v>
      </c>
      <c r="L192" s="56" t="n">
        <f aca="false">IF(K192&lt;=$B$14*12,1,0)</f>
        <v>0</v>
      </c>
      <c r="M192" s="58" t="n">
        <f aca="false">O191</f>
        <v>248169.471516484</v>
      </c>
      <c r="N192" s="58" t="n">
        <f aca="false">IF(L192=1,M192*$B$23,0)</f>
        <v>0</v>
      </c>
      <c r="O192" s="58" t="n">
        <f aca="false">IF(L192=1,M192-($B$22-N192),M192)</f>
        <v>248169.471516484</v>
      </c>
      <c r="P192" s="58" t="n">
        <f aca="false">P191+N192</f>
        <v>113632.453202425</v>
      </c>
    </row>
    <row r="193" customFormat="false" ht="15" hidden="false" customHeight="false" outlineLevel="0" collapsed="false">
      <c r="K193" s="56" t="n">
        <f aca="false">K192+1</f>
        <v>186</v>
      </c>
      <c r="L193" s="56" t="n">
        <f aca="false">IF(K193&lt;=$B$14*12,1,0)</f>
        <v>0</v>
      </c>
      <c r="M193" s="58" t="n">
        <f aca="false">O192</f>
        <v>248169.471516484</v>
      </c>
      <c r="N193" s="58" t="n">
        <f aca="false">IF(L193=1,M193*$B$23,0)</f>
        <v>0</v>
      </c>
      <c r="O193" s="58" t="n">
        <f aca="false">IF(L193=1,M193-($B$22-N193),M193)</f>
        <v>248169.471516484</v>
      </c>
      <c r="P193" s="58" t="n">
        <f aca="false">P192+N193</f>
        <v>113632.453202425</v>
      </c>
    </row>
    <row r="194" customFormat="false" ht="15" hidden="false" customHeight="false" outlineLevel="0" collapsed="false">
      <c r="K194" s="56" t="n">
        <f aca="false">K193+1</f>
        <v>187</v>
      </c>
      <c r="L194" s="56" t="n">
        <f aca="false">IF(K194&lt;=$B$14*12,1,0)</f>
        <v>0</v>
      </c>
      <c r="M194" s="58" t="n">
        <f aca="false">O193</f>
        <v>248169.471516484</v>
      </c>
      <c r="N194" s="58" t="n">
        <f aca="false">IF(L194=1,M194*$B$23,0)</f>
        <v>0</v>
      </c>
      <c r="O194" s="58" t="n">
        <f aca="false">IF(L194=1,M194-($B$22-N194),M194)</f>
        <v>248169.471516484</v>
      </c>
      <c r="P194" s="58" t="n">
        <f aca="false">P193+N194</f>
        <v>113632.453202425</v>
      </c>
    </row>
    <row r="195" customFormat="false" ht="15" hidden="false" customHeight="false" outlineLevel="0" collapsed="false">
      <c r="K195" s="56" t="n">
        <f aca="false">K194+1</f>
        <v>188</v>
      </c>
      <c r="L195" s="56" t="n">
        <f aca="false">IF(K195&lt;=$B$14*12,1,0)</f>
        <v>0</v>
      </c>
      <c r="M195" s="58" t="n">
        <f aca="false">O194</f>
        <v>248169.471516484</v>
      </c>
      <c r="N195" s="58" t="n">
        <f aca="false">IF(L195=1,M195*$B$23,0)</f>
        <v>0</v>
      </c>
      <c r="O195" s="58" t="n">
        <f aca="false">IF(L195=1,M195-($B$22-N195),M195)</f>
        <v>248169.471516484</v>
      </c>
      <c r="P195" s="58" t="n">
        <f aca="false">P194+N195</f>
        <v>113632.453202425</v>
      </c>
    </row>
    <row r="196" customFormat="false" ht="15" hidden="false" customHeight="false" outlineLevel="0" collapsed="false">
      <c r="K196" s="56" t="n">
        <f aca="false">K195+1</f>
        <v>189</v>
      </c>
      <c r="L196" s="56" t="n">
        <f aca="false">IF(K196&lt;=$B$14*12,1,0)</f>
        <v>0</v>
      </c>
      <c r="M196" s="58" t="n">
        <f aca="false">O195</f>
        <v>248169.471516484</v>
      </c>
      <c r="N196" s="58" t="n">
        <f aca="false">IF(L196=1,M196*$B$23,0)</f>
        <v>0</v>
      </c>
      <c r="O196" s="58" t="n">
        <f aca="false">IF(L196=1,M196-($B$22-N196),M196)</f>
        <v>248169.471516484</v>
      </c>
      <c r="P196" s="58" t="n">
        <f aca="false">P195+N196</f>
        <v>113632.453202425</v>
      </c>
    </row>
    <row r="197" customFormat="false" ht="15" hidden="false" customHeight="false" outlineLevel="0" collapsed="false">
      <c r="K197" s="56" t="n">
        <f aca="false">K196+1</f>
        <v>190</v>
      </c>
      <c r="L197" s="56" t="n">
        <f aca="false">IF(K197&lt;=$B$14*12,1,0)</f>
        <v>0</v>
      </c>
      <c r="M197" s="58" t="n">
        <f aca="false">O196</f>
        <v>248169.471516484</v>
      </c>
      <c r="N197" s="58" t="n">
        <f aca="false">IF(L197=1,M197*$B$23,0)</f>
        <v>0</v>
      </c>
      <c r="O197" s="58" t="n">
        <f aca="false">IF(L197=1,M197-($B$22-N197),M197)</f>
        <v>248169.471516484</v>
      </c>
      <c r="P197" s="58" t="n">
        <f aca="false">P196+N197</f>
        <v>113632.453202425</v>
      </c>
    </row>
    <row r="198" customFormat="false" ht="15" hidden="false" customHeight="false" outlineLevel="0" collapsed="false">
      <c r="K198" s="56" t="n">
        <f aca="false">K197+1</f>
        <v>191</v>
      </c>
      <c r="L198" s="56" t="n">
        <f aca="false">IF(K198&lt;=$B$14*12,1,0)</f>
        <v>0</v>
      </c>
      <c r="M198" s="58" t="n">
        <f aca="false">O197</f>
        <v>248169.471516484</v>
      </c>
      <c r="N198" s="58" t="n">
        <f aca="false">IF(L198=1,M198*$B$23,0)</f>
        <v>0</v>
      </c>
      <c r="O198" s="58" t="n">
        <f aca="false">IF(L198=1,M198-($B$22-N198),M198)</f>
        <v>248169.471516484</v>
      </c>
      <c r="P198" s="58" t="n">
        <f aca="false">P197+N198</f>
        <v>113632.453202425</v>
      </c>
    </row>
    <row r="199" customFormat="false" ht="15" hidden="false" customHeight="false" outlineLevel="0" collapsed="false">
      <c r="K199" s="56" t="n">
        <f aca="false">K198+1</f>
        <v>192</v>
      </c>
      <c r="L199" s="56" t="n">
        <f aca="false">IF(K199&lt;=$B$14*12,1,0)</f>
        <v>0</v>
      </c>
      <c r="M199" s="58" t="n">
        <f aca="false">O198</f>
        <v>248169.471516484</v>
      </c>
      <c r="N199" s="58" t="n">
        <f aca="false">IF(L199=1,M199*$B$23,0)</f>
        <v>0</v>
      </c>
      <c r="O199" s="58" t="n">
        <f aca="false">IF(L199=1,M199-($B$22-N199),M199)</f>
        <v>248169.471516484</v>
      </c>
      <c r="P199" s="58" t="n">
        <f aca="false">P198+N199</f>
        <v>113632.453202425</v>
      </c>
    </row>
    <row r="200" customFormat="false" ht="15" hidden="false" customHeight="false" outlineLevel="0" collapsed="false">
      <c r="K200" s="56" t="n">
        <f aca="false">K199+1</f>
        <v>193</v>
      </c>
      <c r="L200" s="56" t="n">
        <f aca="false">IF(K200&lt;=$B$14*12,1,0)</f>
        <v>0</v>
      </c>
      <c r="M200" s="58" t="n">
        <f aca="false">O199</f>
        <v>248169.471516484</v>
      </c>
      <c r="N200" s="58" t="n">
        <f aca="false">IF(L200=1,M200*$B$23,0)</f>
        <v>0</v>
      </c>
      <c r="O200" s="58" t="n">
        <f aca="false">IF(L200=1,M200-($B$22-N200),M200)</f>
        <v>248169.471516484</v>
      </c>
      <c r="P200" s="58" t="n">
        <f aca="false">P199+N200</f>
        <v>113632.453202425</v>
      </c>
    </row>
    <row r="201" customFormat="false" ht="15" hidden="false" customHeight="false" outlineLevel="0" collapsed="false">
      <c r="K201" s="56" t="n">
        <f aca="false">K200+1</f>
        <v>194</v>
      </c>
      <c r="L201" s="56" t="n">
        <f aca="false">IF(K201&lt;=$B$14*12,1,0)</f>
        <v>0</v>
      </c>
      <c r="M201" s="58" t="n">
        <f aca="false">O200</f>
        <v>248169.471516484</v>
      </c>
      <c r="N201" s="58" t="n">
        <f aca="false">IF(L201=1,M201*$B$23,0)</f>
        <v>0</v>
      </c>
      <c r="O201" s="58" t="n">
        <f aca="false">IF(L201=1,M201-($B$22-N201),M201)</f>
        <v>248169.471516484</v>
      </c>
      <c r="P201" s="58" t="n">
        <f aca="false">P200+N201</f>
        <v>113632.453202425</v>
      </c>
    </row>
    <row r="202" customFormat="false" ht="15" hidden="false" customHeight="false" outlineLevel="0" collapsed="false">
      <c r="K202" s="56" t="n">
        <f aca="false">K201+1</f>
        <v>195</v>
      </c>
      <c r="L202" s="56" t="n">
        <f aca="false">IF(K202&lt;=$B$14*12,1,0)</f>
        <v>0</v>
      </c>
      <c r="M202" s="58" t="n">
        <f aca="false">O201</f>
        <v>248169.471516484</v>
      </c>
      <c r="N202" s="58" t="n">
        <f aca="false">IF(L202=1,M202*$B$23,0)</f>
        <v>0</v>
      </c>
      <c r="O202" s="58" t="n">
        <f aca="false">IF(L202=1,M202-($B$22-N202),M202)</f>
        <v>248169.471516484</v>
      </c>
      <c r="P202" s="58" t="n">
        <f aca="false">P201+N202</f>
        <v>113632.453202425</v>
      </c>
    </row>
    <row r="203" customFormat="false" ht="15" hidden="false" customHeight="false" outlineLevel="0" collapsed="false">
      <c r="K203" s="56" t="n">
        <f aca="false">K202+1</f>
        <v>196</v>
      </c>
      <c r="L203" s="56" t="n">
        <f aca="false">IF(K203&lt;=$B$14*12,1,0)</f>
        <v>0</v>
      </c>
      <c r="M203" s="58" t="n">
        <f aca="false">O202</f>
        <v>248169.471516484</v>
      </c>
      <c r="N203" s="58" t="n">
        <f aca="false">IF(L203=1,M203*$B$23,0)</f>
        <v>0</v>
      </c>
      <c r="O203" s="58" t="n">
        <f aca="false">IF(L203=1,M203-($B$22-N203),M203)</f>
        <v>248169.471516484</v>
      </c>
      <c r="P203" s="58" t="n">
        <f aca="false">P202+N203</f>
        <v>113632.453202425</v>
      </c>
    </row>
    <row r="204" customFormat="false" ht="15" hidden="false" customHeight="false" outlineLevel="0" collapsed="false">
      <c r="K204" s="56" t="n">
        <f aca="false">K203+1</f>
        <v>197</v>
      </c>
      <c r="L204" s="56" t="n">
        <f aca="false">IF(K204&lt;=$B$14*12,1,0)</f>
        <v>0</v>
      </c>
      <c r="M204" s="58" t="n">
        <f aca="false">O203</f>
        <v>248169.471516484</v>
      </c>
      <c r="N204" s="58" t="n">
        <f aca="false">IF(L204=1,M204*$B$23,0)</f>
        <v>0</v>
      </c>
      <c r="O204" s="58" t="n">
        <f aca="false">IF(L204=1,M204-($B$22-N204),M204)</f>
        <v>248169.471516484</v>
      </c>
      <c r="P204" s="58" t="n">
        <f aca="false">P203+N204</f>
        <v>113632.453202425</v>
      </c>
    </row>
    <row r="205" customFormat="false" ht="15" hidden="false" customHeight="false" outlineLevel="0" collapsed="false">
      <c r="K205" s="56" t="n">
        <f aca="false">K204+1</f>
        <v>198</v>
      </c>
      <c r="L205" s="56" t="n">
        <f aca="false">IF(K205&lt;=$B$14*12,1,0)</f>
        <v>0</v>
      </c>
      <c r="M205" s="58" t="n">
        <f aca="false">O204</f>
        <v>248169.471516484</v>
      </c>
      <c r="N205" s="58" t="n">
        <f aca="false">IF(L205=1,M205*$B$23,0)</f>
        <v>0</v>
      </c>
      <c r="O205" s="58" t="n">
        <f aca="false">IF(L205=1,M205-($B$22-N205),M205)</f>
        <v>248169.471516484</v>
      </c>
      <c r="P205" s="58" t="n">
        <f aca="false">P204+N205</f>
        <v>113632.453202425</v>
      </c>
    </row>
    <row r="206" customFormat="false" ht="15" hidden="false" customHeight="false" outlineLevel="0" collapsed="false">
      <c r="K206" s="56" t="n">
        <f aca="false">K205+1</f>
        <v>199</v>
      </c>
      <c r="L206" s="56" t="n">
        <f aca="false">IF(K206&lt;=$B$14*12,1,0)</f>
        <v>0</v>
      </c>
      <c r="M206" s="58" t="n">
        <f aca="false">O205</f>
        <v>248169.471516484</v>
      </c>
      <c r="N206" s="58" t="n">
        <f aca="false">IF(L206=1,M206*$B$23,0)</f>
        <v>0</v>
      </c>
      <c r="O206" s="58" t="n">
        <f aca="false">IF(L206=1,M206-($B$22-N206),M206)</f>
        <v>248169.471516484</v>
      </c>
      <c r="P206" s="58" t="n">
        <f aca="false">P205+N206</f>
        <v>113632.453202425</v>
      </c>
    </row>
    <row r="207" customFormat="false" ht="15" hidden="false" customHeight="false" outlineLevel="0" collapsed="false">
      <c r="K207" s="56" t="n">
        <f aca="false">K206+1</f>
        <v>200</v>
      </c>
      <c r="L207" s="56" t="n">
        <f aca="false">IF(K207&lt;=$B$14*12,1,0)</f>
        <v>0</v>
      </c>
      <c r="M207" s="58" t="n">
        <f aca="false">O206</f>
        <v>248169.471516484</v>
      </c>
      <c r="N207" s="58" t="n">
        <f aca="false">IF(L207=1,M207*$B$23,0)</f>
        <v>0</v>
      </c>
      <c r="O207" s="58" t="n">
        <f aca="false">IF(L207=1,M207-($B$22-N207),M207)</f>
        <v>248169.471516484</v>
      </c>
      <c r="P207" s="58" t="n">
        <f aca="false">P206+N207</f>
        <v>113632.453202425</v>
      </c>
    </row>
    <row r="208" customFormat="false" ht="15" hidden="false" customHeight="false" outlineLevel="0" collapsed="false">
      <c r="K208" s="56" t="n">
        <f aca="false">K207+1</f>
        <v>201</v>
      </c>
      <c r="L208" s="56" t="n">
        <f aca="false">IF(K208&lt;=$B$14*12,1,0)</f>
        <v>0</v>
      </c>
      <c r="M208" s="58" t="n">
        <f aca="false">O207</f>
        <v>248169.471516484</v>
      </c>
      <c r="N208" s="58" t="n">
        <f aca="false">IF(L208=1,M208*$B$23,0)</f>
        <v>0</v>
      </c>
      <c r="O208" s="58" t="n">
        <f aca="false">IF(L208=1,M208-($B$22-N208),M208)</f>
        <v>248169.471516484</v>
      </c>
      <c r="P208" s="58" t="n">
        <f aca="false">P207+N208</f>
        <v>113632.453202425</v>
      </c>
    </row>
    <row r="209" customFormat="false" ht="15" hidden="false" customHeight="false" outlineLevel="0" collapsed="false">
      <c r="K209" s="56" t="n">
        <f aca="false">K208+1</f>
        <v>202</v>
      </c>
      <c r="L209" s="56" t="n">
        <f aca="false">IF(K209&lt;=$B$14*12,1,0)</f>
        <v>0</v>
      </c>
      <c r="M209" s="58" t="n">
        <f aca="false">O208</f>
        <v>248169.471516484</v>
      </c>
      <c r="N209" s="58" t="n">
        <f aca="false">IF(L209=1,M209*$B$23,0)</f>
        <v>0</v>
      </c>
      <c r="O209" s="58" t="n">
        <f aca="false">IF(L209=1,M209-($B$22-N209),M209)</f>
        <v>248169.471516484</v>
      </c>
      <c r="P209" s="58" t="n">
        <f aca="false">P208+N209</f>
        <v>113632.453202425</v>
      </c>
    </row>
    <row r="210" customFormat="false" ht="15" hidden="false" customHeight="false" outlineLevel="0" collapsed="false">
      <c r="K210" s="56" t="n">
        <f aca="false">K209+1</f>
        <v>203</v>
      </c>
      <c r="L210" s="56" t="n">
        <f aca="false">IF(K210&lt;=$B$14*12,1,0)</f>
        <v>0</v>
      </c>
      <c r="M210" s="58" t="n">
        <f aca="false">O209</f>
        <v>248169.471516484</v>
      </c>
      <c r="N210" s="58" t="n">
        <f aca="false">IF(L210=1,M210*$B$23,0)</f>
        <v>0</v>
      </c>
      <c r="O210" s="58" t="n">
        <f aca="false">IF(L210=1,M210-($B$22-N210),M210)</f>
        <v>248169.471516484</v>
      </c>
      <c r="P210" s="58" t="n">
        <f aca="false">P209+N210</f>
        <v>113632.453202425</v>
      </c>
    </row>
    <row r="211" customFormat="false" ht="15" hidden="false" customHeight="false" outlineLevel="0" collapsed="false">
      <c r="K211" s="56" t="n">
        <f aca="false">K210+1</f>
        <v>204</v>
      </c>
      <c r="L211" s="56" t="n">
        <f aca="false">IF(K211&lt;=$B$14*12,1,0)</f>
        <v>0</v>
      </c>
      <c r="M211" s="58" t="n">
        <f aca="false">O210</f>
        <v>248169.471516484</v>
      </c>
      <c r="N211" s="58" t="n">
        <f aca="false">IF(L211=1,M211*$B$23,0)</f>
        <v>0</v>
      </c>
      <c r="O211" s="58" t="n">
        <f aca="false">IF(L211=1,M211-($B$22-N211),M211)</f>
        <v>248169.471516484</v>
      </c>
      <c r="P211" s="58" t="n">
        <f aca="false">P210+N211</f>
        <v>113632.453202425</v>
      </c>
    </row>
    <row r="212" customFormat="false" ht="15" hidden="false" customHeight="false" outlineLevel="0" collapsed="false">
      <c r="K212" s="56" t="n">
        <f aca="false">K211+1</f>
        <v>205</v>
      </c>
      <c r="L212" s="56" t="n">
        <f aca="false">IF(K212&lt;=$B$14*12,1,0)</f>
        <v>0</v>
      </c>
      <c r="M212" s="58" t="n">
        <f aca="false">O211</f>
        <v>248169.471516484</v>
      </c>
      <c r="N212" s="58" t="n">
        <f aca="false">IF(L212=1,M212*$B$23,0)</f>
        <v>0</v>
      </c>
      <c r="O212" s="58" t="n">
        <f aca="false">IF(L212=1,M212-($B$22-N212),M212)</f>
        <v>248169.471516484</v>
      </c>
      <c r="P212" s="58" t="n">
        <f aca="false">P211+N212</f>
        <v>113632.453202425</v>
      </c>
    </row>
    <row r="213" customFormat="false" ht="15" hidden="false" customHeight="false" outlineLevel="0" collapsed="false">
      <c r="K213" s="56" t="n">
        <f aca="false">K212+1</f>
        <v>206</v>
      </c>
      <c r="L213" s="56" t="n">
        <f aca="false">IF(K213&lt;=$B$14*12,1,0)</f>
        <v>0</v>
      </c>
      <c r="M213" s="58" t="n">
        <f aca="false">O212</f>
        <v>248169.471516484</v>
      </c>
      <c r="N213" s="58" t="n">
        <f aca="false">IF(L213=1,M213*$B$23,0)</f>
        <v>0</v>
      </c>
      <c r="O213" s="58" t="n">
        <f aca="false">IF(L213=1,M213-($B$22-N213),M213)</f>
        <v>248169.471516484</v>
      </c>
      <c r="P213" s="58" t="n">
        <f aca="false">P212+N213</f>
        <v>113632.453202425</v>
      </c>
    </row>
    <row r="214" customFormat="false" ht="15" hidden="false" customHeight="false" outlineLevel="0" collapsed="false">
      <c r="K214" s="56" t="n">
        <f aca="false">K213+1</f>
        <v>207</v>
      </c>
      <c r="L214" s="56" t="n">
        <f aca="false">IF(K214&lt;=$B$14*12,1,0)</f>
        <v>0</v>
      </c>
      <c r="M214" s="58" t="n">
        <f aca="false">O213</f>
        <v>248169.471516484</v>
      </c>
      <c r="N214" s="58" t="n">
        <f aca="false">IF(L214=1,M214*$B$23,0)</f>
        <v>0</v>
      </c>
      <c r="O214" s="58" t="n">
        <f aca="false">IF(L214=1,M214-($B$22-N214),M214)</f>
        <v>248169.471516484</v>
      </c>
      <c r="P214" s="58" t="n">
        <f aca="false">P213+N214</f>
        <v>113632.453202425</v>
      </c>
    </row>
    <row r="215" customFormat="false" ht="15" hidden="false" customHeight="false" outlineLevel="0" collapsed="false">
      <c r="K215" s="56" t="n">
        <f aca="false">K214+1</f>
        <v>208</v>
      </c>
      <c r="L215" s="56" t="n">
        <f aca="false">IF(K215&lt;=$B$14*12,1,0)</f>
        <v>0</v>
      </c>
      <c r="M215" s="58" t="n">
        <f aca="false">O214</f>
        <v>248169.471516484</v>
      </c>
      <c r="N215" s="58" t="n">
        <f aca="false">IF(L215=1,M215*$B$23,0)</f>
        <v>0</v>
      </c>
      <c r="O215" s="58" t="n">
        <f aca="false">IF(L215=1,M215-($B$22-N215),M215)</f>
        <v>248169.471516484</v>
      </c>
      <c r="P215" s="58" t="n">
        <f aca="false">P214+N215</f>
        <v>113632.453202425</v>
      </c>
    </row>
    <row r="216" customFormat="false" ht="15" hidden="false" customHeight="false" outlineLevel="0" collapsed="false">
      <c r="K216" s="56" t="n">
        <f aca="false">K215+1</f>
        <v>209</v>
      </c>
      <c r="L216" s="56" t="n">
        <f aca="false">IF(K216&lt;=$B$14*12,1,0)</f>
        <v>0</v>
      </c>
      <c r="M216" s="58" t="n">
        <f aca="false">O215</f>
        <v>248169.471516484</v>
      </c>
      <c r="N216" s="58" t="n">
        <f aca="false">IF(L216=1,M216*$B$23,0)</f>
        <v>0</v>
      </c>
      <c r="O216" s="58" t="n">
        <f aca="false">IF(L216=1,M216-($B$22-N216),M216)</f>
        <v>248169.471516484</v>
      </c>
      <c r="P216" s="58" t="n">
        <f aca="false">P215+N216</f>
        <v>113632.453202425</v>
      </c>
    </row>
    <row r="217" customFormat="false" ht="15" hidden="false" customHeight="false" outlineLevel="0" collapsed="false">
      <c r="K217" s="56" t="n">
        <f aca="false">K216+1</f>
        <v>210</v>
      </c>
      <c r="L217" s="56" t="n">
        <f aca="false">IF(K217&lt;=$B$14*12,1,0)</f>
        <v>0</v>
      </c>
      <c r="M217" s="58" t="n">
        <f aca="false">O216</f>
        <v>248169.471516484</v>
      </c>
      <c r="N217" s="58" t="n">
        <f aca="false">IF(L217=1,M217*$B$23,0)</f>
        <v>0</v>
      </c>
      <c r="O217" s="58" t="n">
        <f aca="false">IF(L217=1,M217-($B$22-N217),M217)</f>
        <v>248169.471516484</v>
      </c>
      <c r="P217" s="58" t="n">
        <f aca="false">P216+N217</f>
        <v>113632.453202425</v>
      </c>
    </row>
    <row r="218" customFormat="false" ht="15" hidden="false" customHeight="false" outlineLevel="0" collapsed="false">
      <c r="K218" s="56" t="n">
        <f aca="false">K217+1</f>
        <v>211</v>
      </c>
      <c r="L218" s="56" t="n">
        <f aca="false">IF(K218&lt;=$B$14*12,1,0)</f>
        <v>0</v>
      </c>
      <c r="M218" s="58" t="n">
        <f aca="false">O217</f>
        <v>248169.471516484</v>
      </c>
      <c r="N218" s="58" t="n">
        <f aca="false">IF(L218=1,M218*$B$23,0)</f>
        <v>0</v>
      </c>
      <c r="O218" s="58" t="n">
        <f aca="false">IF(L218=1,M218-($B$22-N218),M218)</f>
        <v>248169.471516484</v>
      </c>
      <c r="P218" s="58" t="n">
        <f aca="false">P217+N218</f>
        <v>113632.453202425</v>
      </c>
    </row>
    <row r="219" customFormat="false" ht="15" hidden="false" customHeight="false" outlineLevel="0" collapsed="false">
      <c r="K219" s="56" t="n">
        <f aca="false">K218+1</f>
        <v>212</v>
      </c>
      <c r="L219" s="56" t="n">
        <f aca="false">IF(K219&lt;=$B$14*12,1,0)</f>
        <v>0</v>
      </c>
      <c r="M219" s="58" t="n">
        <f aca="false">O218</f>
        <v>248169.471516484</v>
      </c>
      <c r="N219" s="58" t="n">
        <f aca="false">IF(L219=1,M219*$B$23,0)</f>
        <v>0</v>
      </c>
      <c r="O219" s="58" t="n">
        <f aca="false">IF(L219=1,M219-($B$22-N219),M219)</f>
        <v>248169.471516484</v>
      </c>
      <c r="P219" s="58" t="n">
        <f aca="false">P218+N219</f>
        <v>113632.453202425</v>
      </c>
    </row>
    <row r="220" customFormat="false" ht="15" hidden="false" customHeight="false" outlineLevel="0" collapsed="false">
      <c r="K220" s="56" t="n">
        <f aca="false">K219+1</f>
        <v>213</v>
      </c>
      <c r="L220" s="56" t="n">
        <f aca="false">IF(K220&lt;=$B$14*12,1,0)</f>
        <v>0</v>
      </c>
      <c r="M220" s="58" t="n">
        <f aca="false">O219</f>
        <v>248169.471516484</v>
      </c>
      <c r="N220" s="58" t="n">
        <f aca="false">IF(L220=1,M220*$B$23,0)</f>
        <v>0</v>
      </c>
      <c r="O220" s="58" t="n">
        <f aca="false">IF(L220=1,M220-($B$22-N220),M220)</f>
        <v>248169.471516484</v>
      </c>
      <c r="P220" s="58" t="n">
        <f aca="false">P219+N220</f>
        <v>113632.453202425</v>
      </c>
    </row>
    <row r="221" customFormat="false" ht="15" hidden="false" customHeight="false" outlineLevel="0" collapsed="false">
      <c r="K221" s="56" t="n">
        <f aca="false">K220+1</f>
        <v>214</v>
      </c>
      <c r="L221" s="56" t="n">
        <f aca="false">IF(K221&lt;=$B$14*12,1,0)</f>
        <v>0</v>
      </c>
      <c r="M221" s="58" t="n">
        <f aca="false">O220</f>
        <v>248169.471516484</v>
      </c>
      <c r="N221" s="58" t="n">
        <f aca="false">IF(L221=1,M221*$B$23,0)</f>
        <v>0</v>
      </c>
      <c r="O221" s="58" t="n">
        <f aca="false">IF(L221=1,M221-($B$22-N221),M221)</f>
        <v>248169.471516484</v>
      </c>
      <c r="P221" s="58" t="n">
        <f aca="false">P220+N221</f>
        <v>113632.453202425</v>
      </c>
    </row>
    <row r="222" customFormat="false" ht="15" hidden="false" customHeight="false" outlineLevel="0" collapsed="false">
      <c r="K222" s="56" t="n">
        <f aca="false">K221+1</f>
        <v>215</v>
      </c>
      <c r="L222" s="56" t="n">
        <f aca="false">IF(K222&lt;=$B$14*12,1,0)</f>
        <v>0</v>
      </c>
      <c r="M222" s="58" t="n">
        <f aca="false">O221</f>
        <v>248169.471516484</v>
      </c>
      <c r="N222" s="58" t="n">
        <f aca="false">IF(L222=1,M222*$B$23,0)</f>
        <v>0</v>
      </c>
      <c r="O222" s="58" t="n">
        <f aca="false">IF(L222=1,M222-($B$22-N222),M222)</f>
        <v>248169.471516484</v>
      </c>
      <c r="P222" s="58" t="n">
        <f aca="false">P221+N222</f>
        <v>113632.453202425</v>
      </c>
    </row>
    <row r="223" customFormat="false" ht="15" hidden="false" customHeight="false" outlineLevel="0" collapsed="false">
      <c r="K223" s="56" t="n">
        <f aca="false">K222+1</f>
        <v>216</v>
      </c>
      <c r="L223" s="56" t="n">
        <f aca="false">IF(K223&lt;=$B$14*12,1,0)</f>
        <v>0</v>
      </c>
      <c r="M223" s="58" t="n">
        <f aca="false">O222</f>
        <v>248169.471516484</v>
      </c>
      <c r="N223" s="58" t="n">
        <f aca="false">IF(L223=1,M223*$B$23,0)</f>
        <v>0</v>
      </c>
      <c r="O223" s="58" t="n">
        <f aca="false">IF(L223=1,M223-($B$22-N223),M223)</f>
        <v>248169.471516484</v>
      </c>
      <c r="P223" s="58" t="n">
        <f aca="false">P222+N223</f>
        <v>113632.453202425</v>
      </c>
    </row>
    <row r="224" customFormat="false" ht="15" hidden="false" customHeight="false" outlineLevel="0" collapsed="false">
      <c r="K224" s="56" t="n">
        <f aca="false">K223+1</f>
        <v>217</v>
      </c>
      <c r="L224" s="56" t="n">
        <f aca="false">IF(K224&lt;=$B$14*12,1,0)</f>
        <v>0</v>
      </c>
      <c r="M224" s="58" t="n">
        <f aca="false">O223</f>
        <v>248169.471516484</v>
      </c>
      <c r="N224" s="58" t="n">
        <f aca="false">IF(L224=1,M224*$B$23,0)</f>
        <v>0</v>
      </c>
      <c r="O224" s="58" t="n">
        <f aca="false">IF(L224=1,M224-($B$22-N224),M224)</f>
        <v>248169.471516484</v>
      </c>
      <c r="P224" s="58" t="n">
        <f aca="false">P223+N224</f>
        <v>113632.453202425</v>
      </c>
    </row>
    <row r="225" customFormat="false" ht="15" hidden="false" customHeight="false" outlineLevel="0" collapsed="false">
      <c r="K225" s="56" t="n">
        <f aca="false">K224+1</f>
        <v>218</v>
      </c>
      <c r="L225" s="56" t="n">
        <f aca="false">IF(K225&lt;=$B$14*12,1,0)</f>
        <v>0</v>
      </c>
      <c r="M225" s="58" t="n">
        <f aca="false">O224</f>
        <v>248169.471516484</v>
      </c>
      <c r="N225" s="58" t="n">
        <f aca="false">IF(L225=1,M225*$B$23,0)</f>
        <v>0</v>
      </c>
      <c r="O225" s="58" t="n">
        <f aca="false">IF(L225=1,M225-($B$22-N225),M225)</f>
        <v>248169.471516484</v>
      </c>
      <c r="P225" s="58" t="n">
        <f aca="false">P224+N225</f>
        <v>113632.453202425</v>
      </c>
    </row>
    <row r="226" customFormat="false" ht="15" hidden="false" customHeight="false" outlineLevel="0" collapsed="false">
      <c r="K226" s="56" t="n">
        <f aca="false">K225+1</f>
        <v>219</v>
      </c>
      <c r="L226" s="56" t="n">
        <f aca="false">IF(K226&lt;=$B$14*12,1,0)</f>
        <v>0</v>
      </c>
      <c r="M226" s="58" t="n">
        <f aca="false">O225</f>
        <v>248169.471516484</v>
      </c>
      <c r="N226" s="58" t="n">
        <f aca="false">IF(L226=1,M226*$B$23,0)</f>
        <v>0</v>
      </c>
      <c r="O226" s="58" t="n">
        <f aca="false">IF(L226=1,M226-($B$22-N226),M226)</f>
        <v>248169.471516484</v>
      </c>
      <c r="P226" s="58" t="n">
        <f aca="false">P225+N226</f>
        <v>113632.453202425</v>
      </c>
    </row>
    <row r="227" customFormat="false" ht="15" hidden="false" customHeight="false" outlineLevel="0" collapsed="false">
      <c r="K227" s="56" t="n">
        <f aca="false">K226+1</f>
        <v>220</v>
      </c>
      <c r="L227" s="56" t="n">
        <f aca="false">IF(K227&lt;=$B$14*12,1,0)</f>
        <v>0</v>
      </c>
      <c r="M227" s="58" t="n">
        <f aca="false">O226</f>
        <v>248169.471516484</v>
      </c>
      <c r="N227" s="58" t="n">
        <f aca="false">IF(L227=1,M227*$B$23,0)</f>
        <v>0</v>
      </c>
      <c r="O227" s="58" t="n">
        <f aca="false">IF(L227=1,M227-($B$22-N227),M227)</f>
        <v>248169.471516484</v>
      </c>
      <c r="P227" s="58" t="n">
        <f aca="false">P226+N227</f>
        <v>113632.453202425</v>
      </c>
    </row>
    <row r="228" customFormat="false" ht="15" hidden="false" customHeight="false" outlineLevel="0" collapsed="false">
      <c r="K228" s="56" t="n">
        <f aca="false">K227+1</f>
        <v>221</v>
      </c>
      <c r="L228" s="56" t="n">
        <f aca="false">IF(K228&lt;=$B$14*12,1,0)</f>
        <v>0</v>
      </c>
      <c r="M228" s="58" t="n">
        <f aca="false">O227</f>
        <v>248169.471516484</v>
      </c>
      <c r="N228" s="58" t="n">
        <f aca="false">IF(L228=1,M228*$B$23,0)</f>
        <v>0</v>
      </c>
      <c r="O228" s="58" t="n">
        <f aca="false">IF(L228=1,M228-($B$22-N228),M228)</f>
        <v>248169.471516484</v>
      </c>
      <c r="P228" s="58" t="n">
        <f aca="false">P227+N228</f>
        <v>113632.453202425</v>
      </c>
    </row>
    <row r="229" customFormat="false" ht="15" hidden="false" customHeight="false" outlineLevel="0" collapsed="false">
      <c r="K229" s="56" t="n">
        <f aca="false">K228+1</f>
        <v>222</v>
      </c>
      <c r="L229" s="56" t="n">
        <f aca="false">IF(K229&lt;=$B$14*12,1,0)</f>
        <v>0</v>
      </c>
      <c r="M229" s="58" t="n">
        <f aca="false">O228</f>
        <v>248169.471516484</v>
      </c>
      <c r="N229" s="58" t="n">
        <f aca="false">IF(L229=1,M229*$B$23,0)</f>
        <v>0</v>
      </c>
      <c r="O229" s="58" t="n">
        <f aca="false">IF(L229=1,M229-($B$22-N229),M229)</f>
        <v>248169.471516484</v>
      </c>
      <c r="P229" s="58" t="n">
        <f aca="false">P228+N229</f>
        <v>113632.453202425</v>
      </c>
    </row>
    <row r="230" customFormat="false" ht="15" hidden="false" customHeight="false" outlineLevel="0" collapsed="false">
      <c r="K230" s="56" t="n">
        <f aca="false">K229+1</f>
        <v>223</v>
      </c>
      <c r="L230" s="56" t="n">
        <f aca="false">IF(K230&lt;=$B$14*12,1,0)</f>
        <v>0</v>
      </c>
      <c r="M230" s="58" t="n">
        <f aca="false">O229</f>
        <v>248169.471516484</v>
      </c>
      <c r="N230" s="58" t="n">
        <f aca="false">IF(L230=1,M230*$B$23,0)</f>
        <v>0</v>
      </c>
      <c r="O230" s="58" t="n">
        <f aca="false">IF(L230=1,M230-($B$22-N230),M230)</f>
        <v>248169.471516484</v>
      </c>
      <c r="P230" s="58" t="n">
        <f aca="false">P229+N230</f>
        <v>113632.453202425</v>
      </c>
    </row>
    <row r="231" customFormat="false" ht="15" hidden="false" customHeight="false" outlineLevel="0" collapsed="false">
      <c r="K231" s="56" t="n">
        <f aca="false">K230+1</f>
        <v>224</v>
      </c>
      <c r="L231" s="56" t="n">
        <f aca="false">IF(K231&lt;=$B$14*12,1,0)</f>
        <v>0</v>
      </c>
      <c r="M231" s="58" t="n">
        <f aca="false">O230</f>
        <v>248169.471516484</v>
      </c>
      <c r="N231" s="58" t="n">
        <f aca="false">IF(L231=1,M231*$B$23,0)</f>
        <v>0</v>
      </c>
      <c r="O231" s="58" t="n">
        <f aca="false">IF(L231=1,M231-($B$22-N231),M231)</f>
        <v>248169.471516484</v>
      </c>
      <c r="P231" s="58" t="n">
        <f aca="false">P230+N231</f>
        <v>113632.453202425</v>
      </c>
    </row>
    <row r="232" customFormat="false" ht="15" hidden="false" customHeight="false" outlineLevel="0" collapsed="false">
      <c r="K232" s="56" t="n">
        <f aca="false">K231+1</f>
        <v>225</v>
      </c>
      <c r="L232" s="56" t="n">
        <f aca="false">IF(K232&lt;=$B$14*12,1,0)</f>
        <v>0</v>
      </c>
      <c r="M232" s="58" t="n">
        <f aca="false">O231</f>
        <v>248169.471516484</v>
      </c>
      <c r="N232" s="58" t="n">
        <f aca="false">IF(L232=1,M232*$B$23,0)</f>
        <v>0</v>
      </c>
      <c r="O232" s="58" t="n">
        <f aca="false">IF(L232=1,M232-($B$22-N232),M232)</f>
        <v>248169.471516484</v>
      </c>
      <c r="P232" s="58" t="n">
        <f aca="false">P231+N232</f>
        <v>113632.453202425</v>
      </c>
    </row>
    <row r="233" customFormat="false" ht="15" hidden="false" customHeight="false" outlineLevel="0" collapsed="false">
      <c r="K233" s="56" t="n">
        <f aca="false">K232+1</f>
        <v>226</v>
      </c>
      <c r="L233" s="56" t="n">
        <f aca="false">IF(K233&lt;=$B$14*12,1,0)</f>
        <v>0</v>
      </c>
      <c r="M233" s="58" t="n">
        <f aca="false">O232</f>
        <v>248169.471516484</v>
      </c>
      <c r="N233" s="58" t="n">
        <f aca="false">IF(L233=1,M233*$B$23,0)</f>
        <v>0</v>
      </c>
      <c r="O233" s="58" t="n">
        <f aca="false">IF(L233=1,M233-($B$22-N233),M233)</f>
        <v>248169.471516484</v>
      </c>
      <c r="P233" s="58" t="n">
        <f aca="false">P232+N233</f>
        <v>113632.453202425</v>
      </c>
    </row>
    <row r="234" customFormat="false" ht="15" hidden="false" customHeight="false" outlineLevel="0" collapsed="false">
      <c r="K234" s="56" t="n">
        <f aca="false">K233+1</f>
        <v>227</v>
      </c>
      <c r="L234" s="56" t="n">
        <f aca="false">IF(K234&lt;=$B$14*12,1,0)</f>
        <v>0</v>
      </c>
      <c r="M234" s="58" t="n">
        <f aca="false">O233</f>
        <v>248169.471516484</v>
      </c>
      <c r="N234" s="58" t="n">
        <f aca="false">IF(L234=1,M234*$B$23,0)</f>
        <v>0</v>
      </c>
      <c r="O234" s="58" t="n">
        <f aca="false">IF(L234=1,M234-($B$22-N234),M234)</f>
        <v>248169.471516484</v>
      </c>
      <c r="P234" s="58" t="n">
        <f aca="false">P233+N234</f>
        <v>113632.453202425</v>
      </c>
    </row>
    <row r="235" customFormat="false" ht="15" hidden="false" customHeight="false" outlineLevel="0" collapsed="false">
      <c r="K235" s="56" t="n">
        <f aca="false">K234+1</f>
        <v>228</v>
      </c>
      <c r="L235" s="56" t="n">
        <f aca="false">IF(K235&lt;=$B$14*12,1,0)</f>
        <v>0</v>
      </c>
      <c r="M235" s="58" t="n">
        <f aca="false">O234</f>
        <v>248169.471516484</v>
      </c>
      <c r="N235" s="58" t="n">
        <f aca="false">IF(L235=1,M235*$B$23,0)</f>
        <v>0</v>
      </c>
      <c r="O235" s="58" t="n">
        <f aca="false">IF(L235=1,M235-($B$22-N235),M235)</f>
        <v>248169.471516484</v>
      </c>
      <c r="P235" s="58" t="n">
        <f aca="false">P234+N235</f>
        <v>113632.453202425</v>
      </c>
    </row>
    <row r="236" customFormat="false" ht="15" hidden="false" customHeight="false" outlineLevel="0" collapsed="false">
      <c r="K236" s="56" t="n">
        <f aca="false">K235+1</f>
        <v>229</v>
      </c>
      <c r="L236" s="56" t="n">
        <f aca="false">IF(K236&lt;=$B$14*12,1,0)</f>
        <v>0</v>
      </c>
      <c r="M236" s="58" t="n">
        <f aca="false">O235</f>
        <v>248169.471516484</v>
      </c>
      <c r="N236" s="58" t="n">
        <f aca="false">IF(L236=1,M236*$B$23,0)</f>
        <v>0</v>
      </c>
      <c r="O236" s="58" t="n">
        <f aca="false">IF(L236=1,M236-($B$22-N236),M236)</f>
        <v>248169.471516484</v>
      </c>
      <c r="P236" s="58" t="n">
        <f aca="false">P235+N236</f>
        <v>113632.453202425</v>
      </c>
    </row>
    <row r="237" customFormat="false" ht="15" hidden="false" customHeight="false" outlineLevel="0" collapsed="false">
      <c r="K237" s="56" t="n">
        <f aca="false">K236+1</f>
        <v>230</v>
      </c>
      <c r="L237" s="56" t="n">
        <f aca="false">IF(K237&lt;=$B$14*12,1,0)</f>
        <v>0</v>
      </c>
      <c r="M237" s="58" t="n">
        <f aca="false">O236</f>
        <v>248169.471516484</v>
      </c>
      <c r="N237" s="58" t="n">
        <f aca="false">IF(L237=1,M237*$B$23,0)</f>
        <v>0</v>
      </c>
      <c r="O237" s="58" t="n">
        <f aca="false">IF(L237=1,M237-($B$22-N237),M237)</f>
        <v>248169.471516484</v>
      </c>
      <c r="P237" s="58" t="n">
        <f aca="false">P236+N237</f>
        <v>113632.453202425</v>
      </c>
    </row>
    <row r="238" customFormat="false" ht="15" hidden="false" customHeight="false" outlineLevel="0" collapsed="false">
      <c r="K238" s="56" t="n">
        <f aca="false">K237+1</f>
        <v>231</v>
      </c>
      <c r="L238" s="56" t="n">
        <f aca="false">IF(K238&lt;=$B$14*12,1,0)</f>
        <v>0</v>
      </c>
      <c r="M238" s="58" t="n">
        <f aca="false">O237</f>
        <v>248169.471516484</v>
      </c>
      <c r="N238" s="58" t="n">
        <f aca="false">IF(L238=1,M238*$B$23,0)</f>
        <v>0</v>
      </c>
      <c r="O238" s="58" t="n">
        <f aca="false">IF(L238=1,M238-($B$22-N238),M238)</f>
        <v>248169.471516484</v>
      </c>
      <c r="P238" s="58" t="n">
        <f aca="false">P237+N238</f>
        <v>113632.453202425</v>
      </c>
    </row>
    <row r="239" customFormat="false" ht="15" hidden="false" customHeight="false" outlineLevel="0" collapsed="false">
      <c r="K239" s="56" t="n">
        <f aca="false">K238+1</f>
        <v>232</v>
      </c>
      <c r="L239" s="56" t="n">
        <f aca="false">IF(K239&lt;=$B$14*12,1,0)</f>
        <v>0</v>
      </c>
      <c r="M239" s="58" t="n">
        <f aca="false">O238</f>
        <v>248169.471516484</v>
      </c>
      <c r="N239" s="58" t="n">
        <f aca="false">IF(L239=1,M239*$B$23,0)</f>
        <v>0</v>
      </c>
      <c r="O239" s="58" t="n">
        <f aca="false">IF(L239=1,M239-($B$22-N239),M239)</f>
        <v>248169.471516484</v>
      </c>
      <c r="P239" s="58" t="n">
        <f aca="false">P238+N239</f>
        <v>113632.453202425</v>
      </c>
    </row>
    <row r="240" customFormat="false" ht="15" hidden="false" customHeight="false" outlineLevel="0" collapsed="false">
      <c r="K240" s="56" t="n">
        <f aca="false">K239+1</f>
        <v>233</v>
      </c>
      <c r="L240" s="56" t="n">
        <f aca="false">IF(K240&lt;=$B$14*12,1,0)</f>
        <v>0</v>
      </c>
      <c r="M240" s="58" t="n">
        <f aca="false">O239</f>
        <v>248169.471516484</v>
      </c>
      <c r="N240" s="58" t="n">
        <f aca="false">IF(L240=1,M240*$B$23,0)</f>
        <v>0</v>
      </c>
      <c r="O240" s="58" t="n">
        <f aca="false">IF(L240=1,M240-($B$22-N240),M240)</f>
        <v>248169.471516484</v>
      </c>
      <c r="P240" s="58" t="n">
        <f aca="false">P239+N240</f>
        <v>113632.453202425</v>
      </c>
    </row>
    <row r="241" customFormat="false" ht="15" hidden="false" customHeight="false" outlineLevel="0" collapsed="false">
      <c r="K241" s="56" t="n">
        <f aca="false">K240+1</f>
        <v>234</v>
      </c>
      <c r="L241" s="56" t="n">
        <f aca="false">IF(K241&lt;=$B$14*12,1,0)</f>
        <v>0</v>
      </c>
      <c r="M241" s="58" t="n">
        <f aca="false">O240</f>
        <v>248169.471516484</v>
      </c>
      <c r="N241" s="58" t="n">
        <f aca="false">IF(L241=1,M241*$B$23,0)</f>
        <v>0</v>
      </c>
      <c r="O241" s="58" t="n">
        <f aca="false">IF(L241=1,M241-($B$22-N241),M241)</f>
        <v>248169.471516484</v>
      </c>
      <c r="P241" s="58" t="n">
        <f aca="false">P240+N241</f>
        <v>113632.453202425</v>
      </c>
    </row>
    <row r="242" customFormat="false" ht="15" hidden="false" customHeight="false" outlineLevel="0" collapsed="false">
      <c r="K242" s="56" t="n">
        <f aca="false">K241+1</f>
        <v>235</v>
      </c>
      <c r="L242" s="56" t="n">
        <f aca="false">IF(K242&lt;=$B$14*12,1,0)</f>
        <v>0</v>
      </c>
      <c r="M242" s="58" t="n">
        <f aca="false">O241</f>
        <v>248169.471516484</v>
      </c>
      <c r="N242" s="58" t="n">
        <f aca="false">IF(L242=1,M242*$B$23,0)</f>
        <v>0</v>
      </c>
      <c r="O242" s="58" t="n">
        <f aca="false">IF(L242=1,M242-($B$22-N242),M242)</f>
        <v>248169.471516484</v>
      </c>
      <c r="P242" s="58" t="n">
        <f aca="false">P241+N242</f>
        <v>113632.453202425</v>
      </c>
    </row>
    <row r="243" customFormat="false" ht="15" hidden="false" customHeight="false" outlineLevel="0" collapsed="false">
      <c r="K243" s="56" t="n">
        <f aca="false">K242+1</f>
        <v>236</v>
      </c>
      <c r="L243" s="56" t="n">
        <f aca="false">IF(K243&lt;=$B$14*12,1,0)</f>
        <v>0</v>
      </c>
      <c r="M243" s="58" t="n">
        <f aca="false">O242</f>
        <v>248169.471516484</v>
      </c>
      <c r="N243" s="58" t="n">
        <f aca="false">IF(L243=1,M243*$B$23,0)</f>
        <v>0</v>
      </c>
      <c r="O243" s="58" t="n">
        <f aca="false">IF(L243=1,M243-($B$22-N243),M243)</f>
        <v>248169.471516484</v>
      </c>
      <c r="P243" s="58" t="n">
        <f aca="false">P242+N243</f>
        <v>113632.453202425</v>
      </c>
    </row>
    <row r="244" customFormat="false" ht="15" hidden="false" customHeight="false" outlineLevel="0" collapsed="false">
      <c r="K244" s="56" t="n">
        <f aca="false">K243+1</f>
        <v>237</v>
      </c>
      <c r="L244" s="56" t="n">
        <f aca="false">IF(K244&lt;=$B$14*12,1,0)</f>
        <v>0</v>
      </c>
      <c r="M244" s="58" t="n">
        <f aca="false">O243</f>
        <v>248169.471516484</v>
      </c>
      <c r="N244" s="58" t="n">
        <f aca="false">IF(L244=1,M244*$B$23,0)</f>
        <v>0</v>
      </c>
      <c r="O244" s="58" t="n">
        <f aca="false">IF(L244=1,M244-($B$22-N244),M244)</f>
        <v>248169.471516484</v>
      </c>
      <c r="P244" s="58" t="n">
        <f aca="false">P243+N244</f>
        <v>113632.453202425</v>
      </c>
    </row>
    <row r="245" customFormat="false" ht="15" hidden="false" customHeight="false" outlineLevel="0" collapsed="false">
      <c r="K245" s="56" t="n">
        <f aca="false">K244+1</f>
        <v>238</v>
      </c>
      <c r="L245" s="56" t="n">
        <f aca="false">IF(K245&lt;=$B$14*12,1,0)</f>
        <v>0</v>
      </c>
      <c r="M245" s="58" t="n">
        <f aca="false">O244</f>
        <v>248169.471516484</v>
      </c>
      <c r="N245" s="58" t="n">
        <f aca="false">IF(L245=1,M245*$B$23,0)</f>
        <v>0</v>
      </c>
      <c r="O245" s="58" t="n">
        <f aca="false">IF(L245=1,M245-($B$22-N245),M245)</f>
        <v>248169.471516484</v>
      </c>
      <c r="P245" s="58" t="n">
        <f aca="false">P244+N245</f>
        <v>113632.453202425</v>
      </c>
    </row>
    <row r="246" customFormat="false" ht="15" hidden="false" customHeight="false" outlineLevel="0" collapsed="false">
      <c r="K246" s="56" t="n">
        <f aca="false">K245+1</f>
        <v>239</v>
      </c>
      <c r="L246" s="56" t="n">
        <f aca="false">IF(K246&lt;=$B$14*12,1,0)</f>
        <v>0</v>
      </c>
      <c r="M246" s="58" t="n">
        <f aca="false">O245</f>
        <v>248169.471516484</v>
      </c>
      <c r="N246" s="58" t="n">
        <f aca="false">IF(L246=1,M246*$B$23,0)</f>
        <v>0</v>
      </c>
      <c r="O246" s="58" t="n">
        <f aca="false">IF(L246=1,M246-($B$22-N246),M246)</f>
        <v>248169.471516484</v>
      </c>
      <c r="P246" s="58" t="n">
        <f aca="false">P245+N246</f>
        <v>113632.453202425</v>
      </c>
    </row>
    <row r="247" customFormat="false" ht="15" hidden="false" customHeight="false" outlineLevel="0" collapsed="false">
      <c r="K247" s="56" t="n">
        <f aca="false">K246+1</f>
        <v>240</v>
      </c>
      <c r="L247" s="56" t="n">
        <f aca="false">IF(K247&lt;=$B$14*12,1,0)</f>
        <v>0</v>
      </c>
      <c r="M247" s="58" t="n">
        <f aca="false">O246</f>
        <v>248169.471516484</v>
      </c>
      <c r="N247" s="58" t="n">
        <f aca="false">IF(L247=1,M247*$B$23,0)</f>
        <v>0</v>
      </c>
      <c r="O247" s="58" t="n">
        <f aca="false">IF(L247=1,M247-($B$22-N247),M247)</f>
        <v>248169.471516484</v>
      </c>
      <c r="P247" s="58" t="n">
        <f aca="false">P246+N247</f>
        <v>113632.453202425</v>
      </c>
    </row>
    <row r="248" customFormat="false" ht="15" hidden="false" customHeight="false" outlineLevel="0" collapsed="false">
      <c r="K248" s="56" t="n">
        <f aca="false">K247+1</f>
        <v>241</v>
      </c>
      <c r="L248" s="56" t="n">
        <f aca="false">IF(K248&lt;=$B$14*12,1,0)</f>
        <v>0</v>
      </c>
      <c r="M248" s="58" t="n">
        <f aca="false">O247</f>
        <v>248169.471516484</v>
      </c>
      <c r="N248" s="58" t="n">
        <f aca="false">IF(L248=1,M248*$B$23,0)</f>
        <v>0</v>
      </c>
      <c r="O248" s="58" t="n">
        <f aca="false">IF(L248=1,M248-($B$22-N248),M248)</f>
        <v>248169.471516484</v>
      </c>
      <c r="P248" s="58" t="n">
        <f aca="false">P247+N248</f>
        <v>113632.453202425</v>
      </c>
    </row>
    <row r="249" customFormat="false" ht="15" hidden="false" customHeight="false" outlineLevel="0" collapsed="false">
      <c r="K249" s="56" t="n">
        <f aca="false">K248+1</f>
        <v>242</v>
      </c>
      <c r="L249" s="56" t="n">
        <f aca="false">IF(K249&lt;=$B$14*12,1,0)</f>
        <v>0</v>
      </c>
      <c r="M249" s="58" t="n">
        <f aca="false">O248</f>
        <v>248169.471516484</v>
      </c>
      <c r="N249" s="58" t="n">
        <f aca="false">IF(L249=1,M249*$B$23,0)</f>
        <v>0</v>
      </c>
      <c r="O249" s="58" t="n">
        <f aca="false">IF(L249=1,M249-($B$22-N249),M249)</f>
        <v>248169.471516484</v>
      </c>
      <c r="P249" s="58" t="n">
        <f aca="false">P248+N249</f>
        <v>113632.453202425</v>
      </c>
    </row>
    <row r="250" customFormat="false" ht="15" hidden="false" customHeight="false" outlineLevel="0" collapsed="false">
      <c r="K250" s="56" t="n">
        <f aca="false">K249+1</f>
        <v>243</v>
      </c>
      <c r="L250" s="56" t="n">
        <f aca="false">IF(K250&lt;=$B$14*12,1,0)</f>
        <v>0</v>
      </c>
      <c r="M250" s="58" t="n">
        <f aca="false">O249</f>
        <v>248169.471516484</v>
      </c>
      <c r="N250" s="58" t="n">
        <f aca="false">IF(L250=1,M250*$B$23,0)</f>
        <v>0</v>
      </c>
      <c r="O250" s="58" t="n">
        <f aca="false">IF(L250=1,M250-($B$22-N250),M250)</f>
        <v>248169.471516484</v>
      </c>
      <c r="P250" s="58" t="n">
        <f aca="false">P249+N250</f>
        <v>113632.453202425</v>
      </c>
    </row>
    <row r="251" customFormat="false" ht="15" hidden="false" customHeight="false" outlineLevel="0" collapsed="false">
      <c r="K251" s="56" t="n">
        <f aca="false">K250+1</f>
        <v>244</v>
      </c>
      <c r="L251" s="56" t="n">
        <f aca="false">IF(K251&lt;=$B$14*12,1,0)</f>
        <v>0</v>
      </c>
      <c r="M251" s="58" t="n">
        <f aca="false">O250</f>
        <v>248169.471516484</v>
      </c>
      <c r="N251" s="58" t="n">
        <f aca="false">IF(L251=1,M251*$B$23,0)</f>
        <v>0</v>
      </c>
      <c r="O251" s="58" t="n">
        <f aca="false">IF(L251=1,M251-($B$22-N251),M251)</f>
        <v>248169.471516484</v>
      </c>
      <c r="P251" s="58" t="n">
        <f aca="false">P250+N251</f>
        <v>113632.453202425</v>
      </c>
    </row>
    <row r="252" customFormat="false" ht="15" hidden="false" customHeight="false" outlineLevel="0" collapsed="false">
      <c r="K252" s="56" t="n">
        <f aca="false">K251+1</f>
        <v>245</v>
      </c>
      <c r="L252" s="56" t="n">
        <f aca="false">IF(K252&lt;=$B$14*12,1,0)</f>
        <v>0</v>
      </c>
      <c r="M252" s="58" t="n">
        <f aca="false">O251</f>
        <v>248169.471516484</v>
      </c>
      <c r="N252" s="58" t="n">
        <f aca="false">IF(L252=1,M252*$B$23,0)</f>
        <v>0</v>
      </c>
      <c r="O252" s="58" t="n">
        <f aca="false">IF(L252=1,M252-($B$22-N252),M252)</f>
        <v>248169.471516484</v>
      </c>
      <c r="P252" s="58" t="n">
        <f aca="false">P251+N252</f>
        <v>113632.453202425</v>
      </c>
    </row>
    <row r="253" customFormat="false" ht="15" hidden="false" customHeight="false" outlineLevel="0" collapsed="false">
      <c r="K253" s="56" t="n">
        <f aca="false">K252+1</f>
        <v>246</v>
      </c>
      <c r="L253" s="56" t="n">
        <f aca="false">IF(K253&lt;=$B$14*12,1,0)</f>
        <v>0</v>
      </c>
      <c r="M253" s="58" t="n">
        <f aca="false">O252</f>
        <v>248169.471516484</v>
      </c>
      <c r="N253" s="58" t="n">
        <f aca="false">IF(L253=1,M253*$B$23,0)</f>
        <v>0</v>
      </c>
      <c r="O253" s="58" t="n">
        <f aca="false">IF(L253=1,M253-($B$22-N253),M253)</f>
        <v>248169.471516484</v>
      </c>
      <c r="P253" s="58" t="n">
        <f aca="false">P252+N253</f>
        <v>113632.453202425</v>
      </c>
    </row>
    <row r="254" customFormat="false" ht="15" hidden="false" customHeight="false" outlineLevel="0" collapsed="false">
      <c r="K254" s="56" t="n">
        <f aca="false">K253+1</f>
        <v>247</v>
      </c>
      <c r="L254" s="56" t="n">
        <f aca="false">IF(K254&lt;=$B$14*12,1,0)</f>
        <v>0</v>
      </c>
      <c r="M254" s="58" t="n">
        <f aca="false">O253</f>
        <v>248169.471516484</v>
      </c>
      <c r="N254" s="58" t="n">
        <f aca="false">IF(L254=1,M254*$B$23,0)</f>
        <v>0</v>
      </c>
      <c r="O254" s="58" t="n">
        <f aca="false">IF(L254=1,M254-($B$22-N254),M254)</f>
        <v>248169.471516484</v>
      </c>
      <c r="P254" s="58" t="n">
        <f aca="false">P253+N254</f>
        <v>113632.453202425</v>
      </c>
    </row>
    <row r="255" customFormat="false" ht="15" hidden="false" customHeight="false" outlineLevel="0" collapsed="false">
      <c r="K255" s="56" t="n">
        <f aca="false">K254+1</f>
        <v>248</v>
      </c>
      <c r="L255" s="56" t="n">
        <f aca="false">IF(K255&lt;=$B$14*12,1,0)</f>
        <v>0</v>
      </c>
      <c r="M255" s="58" t="n">
        <f aca="false">O254</f>
        <v>248169.471516484</v>
      </c>
      <c r="N255" s="58" t="n">
        <f aca="false">IF(L255=1,M255*$B$23,0)</f>
        <v>0</v>
      </c>
      <c r="O255" s="58" t="n">
        <f aca="false">IF(L255=1,M255-($B$22-N255),M255)</f>
        <v>248169.471516484</v>
      </c>
      <c r="P255" s="58" t="n">
        <f aca="false">P254+N255</f>
        <v>113632.453202425</v>
      </c>
    </row>
    <row r="256" customFormat="false" ht="15" hidden="false" customHeight="false" outlineLevel="0" collapsed="false">
      <c r="K256" s="56" t="n">
        <f aca="false">K255+1</f>
        <v>249</v>
      </c>
      <c r="L256" s="56" t="n">
        <f aca="false">IF(K256&lt;=$B$14*12,1,0)</f>
        <v>0</v>
      </c>
      <c r="M256" s="58" t="n">
        <f aca="false">O255</f>
        <v>248169.471516484</v>
      </c>
      <c r="N256" s="58" t="n">
        <f aca="false">IF(L256=1,M256*$B$23,0)</f>
        <v>0</v>
      </c>
      <c r="O256" s="58" t="n">
        <f aca="false">IF(L256=1,M256-($B$22-N256),M256)</f>
        <v>248169.471516484</v>
      </c>
      <c r="P256" s="58" t="n">
        <f aca="false">P255+N256</f>
        <v>113632.453202425</v>
      </c>
    </row>
    <row r="257" customFormat="false" ht="15" hidden="false" customHeight="false" outlineLevel="0" collapsed="false">
      <c r="K257" s="56" t="n">
        <f aca="false">K256+1</f>
        <v>250</v>
      </c>
      <c r="L257" s="56" t="n">
        <f aca="false">IF(K257&lt;=$B$14*12,1,0)</f>
        <v>0</v>
      </c>
      <c r="M257" s="58" t="n">
        <f aca="false">O256</f>
        <v>248169.471516484</v>
      </c>
      <c r="N257" s="58" t="n">
        <f aca="false">IF(L257=1,M257*$B$23,0)</f>
        <v>0</v>
      </c>
      <c r="O257" s="58" t="n">
        <f aca="false">IF(L257=1,M257-($B$22-N257),M257)</f>
        <v>248169.471516484</v>
      </c>
      <c r="P257" s="58" t="n">
        <f aca="false">P256+N257</f>
        <v>113632.453202425</v>
      </c>
    </row>
    <row r="258" customFormat="false" ht="15" hidden="false" customHeight="false" outlineLevel="0" collapsed="false">
      <c r="K258" s="56" t="n">
        <f aca="false">K257+1</f>
        <v>251</v>
      </c>
      <c r="L258" s="56" t="n">
        <f aca="false">IF(K258&lt;=$B$14*12,1,0)</f>
        <v>0</v>
      </c>
      <c r="M258" s="58" t="n">
        <f aca="false">O257</f>
        <v>248169.471516484</v>
      </c>
      <c r="N258" s="58" t="n">
        <f aca="false">IF(L258=1,M258*$B$23,0)</f>
        <v>0</v>
      </c>
      <c r="O258" s="58" t="n">
        <f aca="false">IF(L258=1,M258-($B$22-N258),M258)</f>
        <v>248169.471516484</v>
      </c>
      <c r="P258" s="58" t="n">
        <f aca="false">P257+N258</f>
        <v>113632.453202425</v>
      </c>
    </row>
    <row r="259" customFormat="false" ht="15" hidden="false" customHeight="false" outlineLevel="0" collapsed="false">
      <c r="K259" s="56" t="n">
        <f aca="false">K258+1</f>
        <v>252</v>
      </c>
      <c r="L259" s="56" t="n">
        <f aca="false">IF(K259&lt;=$B$14*12,1,0)</f>
        <v>0</v>
      </c>
      <c r="M259" s="58" t="n">
        <f aca="false">O258</f>
        <v>248169.471516484</v>
      </c>
      <c r="N259" s="58" t="n">
        <f aca="false">IF(L259=1,M259*$B$23,0)</f>
        <v>0</v>
      </c>
      <c r="O259" s="58" t="n">
        <f aca="false">IF(L259=1,M259-($B$22-N259),M259)</f>
        <v>248169.471516484</v>
      </c>
      <c r="P259" s="58" t="n">
        <f aca="false">P258+N259</f>
        <v>113632.453202425</v>
      </c>
    </row>
    <row r="260" customFormat="false" ht="15" hidden="false" customHeight="false" outlineLevel="0" collapsed="false">
      <c r="K260" s="56" t="n">
        <f aca="false">K259+1</f>
        <v>253</v>
      </c>
      <c r="L260" s="56" t="n">
        <f aca="false">IF(K260&lt;=$B$14*12,1,0)</f>
        <v>0</v>
      </c>
      <c r="M260" s="58" t="n">
        <f aca="false">O259</f>
        <v>248169.471516484</v>
      </c>
      <c r="N260" s="58" t="n">
        <f aca="false">IF(L260=1,M260*$B$23,0)</f>
        <v>0</v>
      </c>
      <c r="O260" s="58" t="n">
        <f aca="false">IF(L260=1,M260-($B$22-N260),M260)</f>
        <v>248169.471516484</v>
      </c>
      <c r="P260" s="58" t="n">
        <f aca="false">P259+N260</f>
        <v>113632.453202425</v>
      </c>
    </row>
    <row r="261" customFormat="false" ht="15" hidden="false" customHeight="false" outlineLevel="0" collapsed="false">
      <c r="K261" s="56" t="n">
        <f aca="false">K260+1</f>
        <v>254</v>
      </c>
      <c r="L261" s="56" t="n">
        <f aca="false">IF(K261&lt;=$B$14*12,1,0)</f>
        <v>0</v>
      </c>
      <c r="M261" s="58" t="n">
        <f aca="false">O260</f>
        <v>248169.471516484</v>
      </c>
      <c r="N261" s="58" t="n">
        <f aca="false">IF(L261=1,M261*$B$23,0)</f>
        <v>0</v>
      </c>
      <c r="O261" s="58" t="n">
        <f aca="false">IF(L261=1,M261-($B$22-N261),M261)</f>
        <v>248169.471516484</v>
      </c>
      <c r="P261" s="58" t="n">
        <f aca="false">P260+N261</f>
        <v>113632.453202425</v>
      </c>
    </row>
    <row r="262" customFormat="false" ht="15" hidden="false" customHeight="false" outlineLevel="0" collapsed="false">
      <c r="K262" s="56" t="n">
        <f aca="false">K261+1</f>
        <v>255</v>
      </c>
      <c r="L262" s="56" t="n">
        <f aca="false">IF(K262&lt;=$B$14*12,1,0)</f>
        <v>0</v>
      </c>
      <c r="M262" s="58" t="n">
        <f aca="false">O261</f>
        <v>248169.471516484</v>
      </c>
      <c r="N262" s="58" t="n">
        <f aca="false">IF(L262=1,M262*$B$23,0)</f>
        <v>0</v>
      </c>
      <c r="O262" s="58" t="n">
        <f aca="false">IF(L262=1,M262-($B$22-N262),M262)</f>
        <v>248169.471516484</v>
      </c>
      <c r="P262" s="58" t="n">
        <f aca="false">P261+N262</f>
        <v>113632.453202425</v>
      </c>
    </row>
    <row r="263" customFormat="false" ht="15" hidden="false" customHeight="false" outlineLevel="0" collapsed="false">
      <c r="K263" s="56" t="n">
        <f aca="false">K262+1</f>
        <v>256</v>
      </c>
      <c r="L263" s="56" t="n">
        <f aca="false">IF(K263&lt;=$B$14*12,1,0)</f>
        <v>0</v>
      </c>
      <c r="M263" s="58" t="n">
        <f aca="false">O262</f>
        <v>248169.471516484</v>
      </c>
      <c r="N263" s="58" t="n">
        <f aca="false">IF(L263=1,M263*$B$23,0)</f>
        <v>0</v>
      </c>
      <c r="O263" s="58" t="n">
        <f aca="false">IF(L263=1,M263-($B$22-N263),M263)</f>
        <v>248169.471516484</v>
      </c>
      <c r="P263" s="58" t="n">
        <f aca="false">P262+N263</f>
        <v>113632.453202425</v>
      </c>
    </row>
    <row r="264" customFormat="false" ht="15" hidden="false" customHeight="false" outlineLevel="0" collapsed="false">
      <c r="K264" s="56" t="n">
        <f aca="false">K263+1</f>
        <v>257</v>
      </c>
      <c r="L264" s="56" t="n">
        <f aca="false">IF(K264&lt;=$B$14*12,1,0)</f>
        <v>0</v>
      </c>
      <c r="M264" s="58" t="n">
        <f aca="false">O263</f>
        <v>248169.471516484</v>
      </c>
      <c r="N264" s="58" t="n">
        <f aca="false">IF(L264=1,M264*$B$23,0)</f>
        <v>0</v>
      </c>
      <c r="O264" s="58" t="n">
        <f aca="false">IF(L264=1,M264-($B$22-N264),M264)</f>
        <v>248169.471516484</v>
      </c>
      <c r="P264" s="58" t="n">
        <f aca="false">P263+N264</f>
        <v>113632.453202425</v>
      </c>
    </row>
    <row r="265" customFormat="false" ht="15" hidden="false" customHeight="false" outlineLevel="0" collapsed="false">
      <c r="K265" s="56" t="n">
        <f aca="false">K264+1</f>
        <v>258</v>
      </c>
      <c r="L265" s="56" t="n">
        <f aca="false">IF(K265&lt;=$B$14*12,1,0)</f>
        <v>0</v>
      </c>
      <c r="M265" s="58" t="n">
        <f aca="false">O264</f>
        <v>248169.471516484</v>
      </c>
      <c r="N265" s="58" t="n">
        <f aca="false">IF(L265=1,M265*$B$23,0)</f>
        <v>0</v>
      </c>
      <c r="O265" s="58" t="n">
        <f aca="false">IF(L265=1,M265-($B$22-N265),M265)</f>
        <v>248169.471516484</v>
      </c>
      <c r="P265" s="58" t="n">
        <f aca="false">P264+N265</f>
        <v>113632.453202425</v>
      </c>
    </row>
    <row r="266" customFormat="false" ht="15" hidden="false" customHeight="false" outlineLevel="0" collapsed="false">
      <c r="K266" s="56" t="n">
        <f aca="false">K265+1</f>
        <v>259</v>
      </c>
      <c r="L266" s="56" t="n">
        <f aca="false">IF(K266&lt;=$B$14*12,1,0)</f>
        <v>0</v>
      </c>
      <c r="M266" s="58" t="n">
        <f aca="false">O265</f>
        <v>248169.471516484</v>
      </c>
      <c r="N266" s="58" t="n">
        <f aca="false">IF(L266=1,M266*$B$23,0)</f>
        <v>0</v>
      </c>
      <c r="O266" s="58" t="n">
        <f aca="false">IF(L266=1,M266-($B$22-N266),M266)</f>
        <v>248169.471516484</v>
      </c>
      <c r="P266" s="58" t="n">
        <f aca="false">P265+N266</f>
        <v>113632.453202425</v>
      </c>
    </row>
    <row r="267" customFormat="false" ht="15" hidden="false" customHeight="false" outlineLevel="0" collapsed="false">
      <c r="K267" s="56" t="n">
        <f aca="false">K266+1</f>
        <v>260</v>
      </c>
      <c r="L267" s="56" t="n">
        <f aca="false">IF(K267&lt;=$B$14*12,1,0)</f>
        <v>0</v>
      </c>
      <c r="M267" s="58" t="n">
        <f aca="false">O266</f>
        <v>248169.471516484</v>
      </c>
      <c r="N267" s="58" t="n">
        <f aca="false">IF(L267=1,M267*$B$23,0)</f>
        <v>0</v>
      </c>
      <c r="O267" s="58" t="n">
        <f aca="false">IF(L267=1,M267-($B$22-N267),M267)</f>
        <v>248169.471516484</v>
      </c>
      <c r="P267" s="58" t="n">
        <f aca="false">P266+N267</f>
        <v>113632.453202425</v>
      </c>
    </row>
    <row r="268" customFormat="false" ht="15" hidden="false" customHeight="false" outlineLevel="0" collapsed="false">
      <c r="K268" s="56" t="n">
        <f aca="false">K267+1</f>
        <v>261</v>
      </c>
      <c r="L268" s="56" t="n">
        <f aca="false">IF(K268&lt;=$B$14*12,1,0)</f>
        <v>0</v>
      </c>
      <c r="M268" s="58" t="n">
        <f aca="false">O267</f>
        <v>248169.471516484</v>
      </c>
      <c r="N268" s="58" t="n">
        <f aca="false">IF(L268=1,M268*$B$23,0)</f>
        <v>0</v>
      </c>
      <c r="O268" s="58" t="n">
        <f aca="false">IF(L268=1,M268-($B$22-N268),M268)</f>
        <v>248169.471516484</v>
      </c>
      <c r="P268" s="58" t="n">
        <f aca="false">P267+N268</f>
        <v>113632.453202425</v>
      </c>
    </row>
    <row r="269" customFormat="false" ht="15" hidden="false" customHeight="false" outlineLevel="0" collapsed="false">
      <c r="K269" s="56" t="n">
        <f aca="false">K268+1</f>
        <v>262</v>
      </c>
      <c r="L269" s="56" t="n">
        <f aca="false">IF(K269&lt;=$B$14*12,1,0)</f>
        <v>0</v>
      </c>
      <c r="M269" s="58" t="n">
        <f aca="false">O268</f>
        <v>248169.471516484</v>
      </c>
      <c r="N269" s="58" t="n">
        <f aca="false">IF(L269=1,M269*$B$23,0)</f>
        <v>0</v>
      </c>
      <c r="O269" s="58" t="n">
        <f aca="false">IF(L269=1,M269-($B$22-N269),M269)</f>
        <v>248169.471516484</v>
      </c>
      <c r="P269" s="58" t="n">
        <f aca="false">P268+N269</f>
        <v>113632.453202425</v>
      </c>
    </row>
    <row r="270" customFormat="false" ht="15" hidden="false" customHeight="false" outlineLevel="0" collapsed="false">
      <c r="K270" s="56" t="n">
        <f aca="false">K269+1</f>
        <v>263</v>
      </c>
      <c r="L270" s="56" t="n">
        <f aca="false">IF(K270&lt;=$B$14*12,1,0)</f>
        <v>0</v>
      </c>
      <c r="M270" s="58" t="n">
        <f aca="false">O269</f>
        <v>248169.471516484</v>
      </c>
      <c r="N270" s="58" t="n">
        <f aca="false">IF(L270=1,M270*$B$23,0)</f>
        <v>0</v>
      </c>
      <c r="O270" s="58" t="n">
        <f aca="false">IF(L270=1,M270-($B$22-N270),M270)</f>
        <v>248169.471516484</v>
      </c>
      <c r="P270" s="58" t="n">
        <f aca="false">P269+N270</f>
        <v>113632.453202425</v>
      </c>
    </row>
    <row r="271" customFormat="false" ht="15" hidden="false" customHeight="false" outlineLevel="0" collapsed="false">
      <c r="K271" s="56" t="n">
        <f aca="false">K270+1</f>
        <v>264</v>
      </c>
      <c r="L271" s="56" t="n">
        <f aca="false">IF(K271&lt;=$B$14*12,1,0)</f>
        <v>0</v>
      </c>
      <c r="M271" s="58" t="n">
        <f aca="false">O270</f>
        <v>248169.471516484</v>
      </c>
      <c r="N271" s="58" t="n">
        <f aca="false">IF(L271=1,M271*$B$23,0)</f>
        <v>0</v>
      </c>
      <c r="O271" s="58" t="n">
        <f aca="false">IF(L271=1,M271-($B$22-N271),M271)</f>
        <v>248169.471516484</v>
      </c>
      <c r="P271" s="58" t="n">
        <f aca="false">P270+N271</f>
        <v>113632.453202425</v>
      </c>
    </row>
    <row r="272" customFormat="false" ht="15" hidden="false" customHeight="false" outlineLevel="0" collapsed="false">
      <c r="K272" s="56" t="n">
        <f aca="false">K271+1</f>
        <v>265</v>
      </c>
      <c r="L272" s="56" t="n">
        <f aca="false">IF(K272&lt;=$B$14*12,1,0)</f>
        <v>0</v>
      </c>
      <c r="M272" s="58" t="n">
        <f aca="false">O271</f>
        <v>248169.471516484</v>
      </c>
      <c r="N272" s="58" t="n">
        <f aca="false">IF(L272=1,M272*$B$23,0)</f>
        <v>0</v>
      </c>
      <c r="O272" s="58" t="n">
        <f aca="false">IF(L272=1,M272-($B$22-N272),M272)</f>
        <v>248169.471516484</v>
      </c>
      <c r="P272" s="58" t="n">
        <f aca="false">P271+N272</f>
        <v>113632.453202425</v>
      </c>
    </row>
    <row r="273" customFormat="false" ht="15" hidden="false" customHeight="false" outlineLevel="0" collapsed="false">
      <c r="K273" s="56" t="n">
        <f aca="false">K272+1</f>
        <v>266</v>
      </c>
      <c r="L273" s="56" t="n">
        <f aca="false">IF(K273&lt;=$B$14*12,1,0)</f>
        <v>0</v>
      </c>
      <c r="M273" s="58" t="n">
        <f aca="false">O272</f>
        <v>248169.471516484</v>
      </c>
      <c r="N273" s="58" t="n">
        <f aca="false">IF(L273=1,M273*$B$23,0)</f>
        <v>0</v>
      </c>
      <c r="O273" s="58" t="n">
        <f aca="false">IF(L273=1,M273-($B$22-N273),M273)</f>
        <v>248169.471516484</v>
      </c>
      <c r="P273" s="58" t="n">
        <f aca="false">P272+N273</f>
        <v>113632.453202425</v>
      </c>
    </row>
    <row r="274" customFormat="false" ht="15" hidden="false" customHeight="false" outlineLevel="0" collapsed="false">
      <c r="K274" s="56" t="n">
        <f aca="false">K273+1</f>
        <v>267</v>
      </c>
      <c r="L274" s="56" t="n">
        <f aca="false">IF(K274&lt;=$B$14*12,1,0)</f>
        <v>0</v>
      </c>
      <c r="M274" s="58" t="n">
        <f aca="false">O273</f>
        <v>248169.471516484</v>
      </c>
      <c r="N274" s="58" t="n">
        <f aca="false">IF(L274=1,M274*$B$23,0)</f>
        <v>0</v>
      </c>
      <c r="O274" s="58" t="n">
        <f aca="false">IF(L274=1,M274-($B$22-N274),M274)</f>
        <v>248169.471516484</v>
      </c>
      <c r="P274" s="58" t="n">
        <f aca="false">P273+N274</f>
        <v>113632.453202425</v>
      </c>
    </row>
    <row r="275" customFormat="false" ht="15" hidden="false" customHeight="false" outlineLevel="0" collapsed="false">
      <c r="K275" s="56" t="n">
        <f aca="false">K274+1</f>
        <v>268</v>
      </c>
      <c r="L275" s="56" t="n">
        <f aca="false">IF(K275&lt;=$B$14*12,1,0)</f>
        <v>0</v>
      </c>
      <c r="M275" s="58" t="n">
        <f aca="false">O274</f>
        <v>248169.471516484</v>
      </c>
      <c r="N275" s="58" t="n">
        <f aca="false">IF(L275=1,M275*$B$23,0)</f>
        <v>0</v>
      </c>
      <c r="O275" s="58" t="n">
        <f aca="false">IF(L275=1,M275-($B$22-N275),M275)</f>
        <v>248169.471516484</v>
      </c>
      <c r="P275" s="58" t="n">
        <f aca="false">P274+N275</f>
        <v>113632.453202425</v>
      </c>
    </row>
    <row r="276" customFormat="false" ht="15" hidden="false" customHeight="false" outlineLevel="0" collapsed="false">
      <c r="K276" s="56" t="n">
        <f aca="false">K275+1</f>
        <v>269</v>
      </c>
      <c r="L276" s="56" t="n">
        <f aca="false">IF(K276&lt;=$B$14*12,1,0)</f>
        <v>0</v>
      </c>
      <c r="M276" s="58" t="n">
        <f aca="false">O275</f>
        <v>248169.471516484</v>
      </c>
      <c r="N276" s="58" t="n">
        <f aca="false">IF(L276=1,M276*$B$23,0)</f>
        <v>0</v>
      </c>
      <c r="O276" s="58" t="n">
        <f aca="false">IF(L276=1,M276-($B$22-N276),M276)</f>
        <v>248169.471516484</v>
      </c>
      <c r="P276" s="58" t="n">
        <f aca="false">P275+N276</f>
        <v>113632.453202425</v>
      </c>
    </row>
    <row r="277" customFormat="false" ht="15" hidden="false" customHeight="false" outlineLevel="0" collapsed="false">
      <c r="K277" s="56" t="n">
        <f aca="false">K276+1</f>
        <v>270</v>
      </c>
      <c r="L277" s="56" t="n">
        <f aca="false">IF(K277&lt;=$B$14*12,1,0)</f>
        <v>0</v>
      </c>
      <c r="M277" s="58" t="n">
        <f aca="false">O276</f>
        <v>248169.471516484</v>
      </c>
      <c r="N277" s="58" t="n">
        <f aca="false">IF(L277=1,M277*$B$23,0)</f>
        <v>0</v>
      </c>
      <c r="O277" s="58" t="n">
        <f aca="false">IF(L277=1,M277-($B$22-N277),M277)</f>
        <v>248169.471516484</v>
      </c>
      <c r="P277" s="58" t="n">
        <f aca="false">P276+N277</f>
        <v>113632.453202425</v>
      </c>
    </row>
    <row r="278" customFormat="false" ht="15" hidden="false" customHeight="false" outlineLevel="0" collapsed="false">
      <c r="K278" s="56" t="n">
        <f aca="false">K277+1</f>
        <v>271</v>
      </c>
      <c r="L278" s="56" t="n">
        <f aca="false">IF(K278&lt;=$B$14*12,1,0)</f>
        <v>0</v>
      </c>
      <c r="M278" s="58" t="n">
        <f aca="false">O277</f>
        <v>248169.471516484</v>
      </c>
      <c r="N278" s="58" t="n">
        <f aca="false">IF(L278=1,M278*$B$23,0)</f>
        <v>0</v>
      </c>
      <c r="O278" s="58" t="n">
        <f aca="false">IF(L278=1,M278-($B$22-N278),M278)</f>
        <v>248169.471516484</v>
      </c>
      <c r="P278" s="58" t="n">
        <f aca="false">P277+N278</f>
        <v>113632.453202425</v>
      </c>
    </row>
    <row r="279" customFormat="false" ht="15" hidden="false" customHeight="false" outlineLevel="0" collapsed="false">
      <c r="K279" s="56" t="n">
        <f aca="false">K278+1</f>
        <v>272</v>
      </c>
      <c r="L279" s="56" t="n">
        <f aca="false">IF(K279&lt;=$B$14*12,1,0)</f>
        <v>0</v>
      </c>
      <c r="M279" s="58" t="n">
        <f aca="false">O278</f>
        <v>248169.471516484</v>
      </c>
      <c r="N279" s="58" t="n">
        <f aca="false">IF(L279=1,M279*$B$23,0)</f>
        <v>0</v>
      </c>
      <c r="O279" s="58" t="n">
        <f aca="false">IF(L279=1,M279-($B$22-N279),M279)</f>
        <v>248169.471516484</v>
      </c>
      <c r="P279" s="58" t="n">
        <f aca="false">P278+N279</f>
        <v>113632.453202425</v>
      </c>
    </row>
    <row r="280" customFormat="false" ht="15" hidden="false" customHeight="false" outlineLevel="0" collapsed="false">
      <c r="K280" s="56" t="n">
        <f aca="false">K279+1</f>
        <v>273</v>
      </c>
      <c r="L280" s="56" t="n">
        <f aca="false">IF(K280&lt;=$B$14*12,1,0)</f>
        <v>0</v>
      </c>
      <c r="M280" s="58" t="n">
        <f aca="false">O279</f>
        <v>248169.471516484</v>
      </c>
      <c r="N280" s="58" t="n">
        <f aca="false">IF(L280=1,M280*$B$23,0)</f>
        <v>0</v>
      </c>
      <c r="O280" s="58" t="n">
        <f aca="false">IF(L280=1,M280-($B$22-N280),M280)</f>
        <v>248169.471516484</v>
      </c>
      <c r="P280" s="58" t="n">
        <f aca="false">P279+N280</f>
        <v>113632.453202425</v>
      </c>
    </row>
    <row r="281" customFormat="false" ht="15" hidden="false" customHeight="false" outlineLevel="0" collapsed="false">
      <c r="K281" s="56" t="n">
        <f aca="false">K280+1</f>
        <v>274</v>
      </c>
      <c r="L281" s="56" t="n">
        <f aca="false">IF(K281&lt;=$B$14*12,1,0)</f>
        <v>0</v>
      </c>
      <c r="M281" s="58" t="n">
        <f aca="false">O280</f>
        <v>248169.471516484</v>
      </c>
      <c r="N281" s="58" t="n">
        <f aca="false">IF(L281=1,M281*$B$23,0)</f>
        <v>0</v>
      </c>
      <c r="O281" s="58" t="n">
        <f aca="false">IF(L281=1,M281-($B$22-N281),M281)</f>
        <v>248169.471516484</v>
      </c>
      <c r="P281" s="58" t="n">
        <f aca="false">P280+N281</f>
        <v>113632.453202425</v>
      </c>
    </row>
    <row r="282" customFormat="false" ht="15" hidden="false" customHeight="false" outlineLevel="0" collapsed="false">
      <c r="K282" s="56" t="n">
        <f aca="false">K281+1</f>
        <v>275</v>
      </c>
      <c r="L282" s="56" t="n">
        <f aca="false">IF(K282&lt;=$B$14*12,1,0)</f>
        <v>0</v>
      </c>
      <c r="M282" s="58" t="n">
        <f aca="false">O281</f>
        <v>248169.471516484</v>
      </c>
      <c r="N282" s="58" t="n">
        <f aca="false">IF(L282=1,M282*$B$23,0)</f>
        <v>0</v>
      </c>
      <c r="O282" s="58" t="n">
        <f aca="false">IF(L282=1,M282-($B$22-N282),M282)</f>
        <v>248169.471516484</v>
      </c>
      <c r="P282" s="58" t="n">
        <f aca="false">P281+N282</f>
        <v>113632.453202425</v>
      </c>
    </row>
    <row r="283" customFormat="false" ht="15" hidden="false" customHeight="false" outlineLevel="0" collapsed="false">
      <c r="K283" s="56" t="n">
        <f aca="false">K282+1</f>
        <v>276</v>
      </c>
      <c r="L283" s="56" t="n">
        <f aca="false">IF(K283&lt;=$B$14*12,1,0)</f>
        <v>0</v>
      </c>
      <c r="M283" s="58" t="n">
        <f aca="false">O282</f>
        <v>248169.471516484</v>
      </c>
      <c r="N283" s="58" t="n">
        <f aca="false">IF(L283=1,M283*$B$23,0)</f>
        <v>0</v>
      </c>
      <c r="O283" s="58" t="n">
        <f aca="false">IF(L283=1,M283-($B$22-N283),M283)</f>
        <v>248169.471516484</v>
      </c>
      <c r="P283" s="58" t="n">
        <f aca="false">P282+N283</f>
        <v>113632.453202425</v>
      </c>
    </row>
    <row r="284" customFormat="false" ht="15" hidden="false" customHeight="false" outlineLevel="0" collapsed="false">
      <c r="K284" s="56" t="n">
        <f aca="false">K283+1</f>
        <v>277</v>
      </c>
      <c r="L284" s="56" t="n">
        <f aca="false">IF(K284&lt;=$B$14*12,1,0)</f>
        <v>0</v>
      </c>
      <c r="M284" s="58" t="n">
        <f aca="false">O283</f>
        <v>248169.471516484</v>
      </c>
      <c r="N284" s="58" t="n">
        <f aca="false">IF(L284=1,M284*$B$23,0)</f>
        <v>0</v>
      </c>
      <c r="O284" s="58" t="n">
        <f aca="false">IF(L284=1,M284-($B$22-N284),M284)</f>
        <v>248169.471516484</v>
      </c>
      <c r="P284" s="58" t="n">
        <f aca="false">P283+N284</f>
        <v>113632.453202425</v>
      </c>
    </row>
    <row r="285" customFormat="false" ht="15" hidden="false" customHeight="false" outlineLevel="0" collapsed="false">
      <c r="K285" s="56" t="n">
        <f aca="false">K284+1</f>
        <v>278</v>
      </c>
      <c r="L285" s="56" t="n">
        <f aca="false">IF(K285&lt;=$B$14*12,1,0)</f>
        <v>0</v>
      </c>
      <c r="M285" s="58" t="n">
        <f aca="false">O284</f>
        <v>248169.471516484</v>
      </c>
      <c r="N285" s="58" t="n">
        <f aca="false">IF(L285=1,M285*$B$23,0)</f>
        <v>0</v>
      </c>
      <c r="O285" s="58" t="n">
        <f aca="false">IF(L285=1,M285-($B$22-N285),M285)</f>
        <v>248169.471516484</v>
      </c>
      <c r="P285" s="58" t="n">
        <f aca="false">P284+N285</f>
        <v>113632.453202425</v>
      </c>
    </row>
    <row r="286" customFormat="false" ht="15" hidden="false" customHeight="false" outlineLevel="0" collapsed="false">
      <c r="K286" s="56" t="n">
        <f aca="false">K285+1</f>
        <v>279</v>
      </c>
      <c r="L286" s="56" t="n">
        <f aca="false">IF(K286&lt;=$B$14*12,1,0)</f>
        <v>0</v>
      </c>
      <c r="M286" s="58" t="n">
        <f aca="false">O285</f>
        <v>248169.471516484</v>
      </c>
      <c r="N286" s="58" t="n">
        <f aca="false">IF(L286=1,M286*$B$23,0)</f>
        <v>0</v>
      </c>
      <c r="O286" s="58" t="n">
        <f aca="false">IF(L286=1,M286-($B$22-N286),M286)</f>
        <v>248169.471516484</v>
      </c>
      <c r="P286" s="58" t="n">
        <f aca="false">P285+N286</f>
        <v>113632.453202425</v>
      </c>
    </row>
    <row r="287" customFormat="false" ht="15" hidden="false" customHeight="false" outlineLevel="0" collapsed="false">
      <c r="K287" s="56" t="n">
        <f aca="false">K286+1</f>
        <v>280</v>
      </c>
      <c r="L287" s="56" t="n">
        <f aca="false">IF(K287&lt;=$B$14*12,1,0)</f>
        <v>0</v>
      </c>
      <c r="M287" s="58" t="n">
        <f aca="false">O286</f>
        <v>248169.471516484</v>
      </c>
      <c r="N287" s="58" t="n">
        <f aca="false">IF(L287=1,M287*$B$23,0)</f>
        <v>0</v>
      </c>
      <c r="O287" s="58" t="n">
        <f aca="false">IF(L287=1,M287-($B$22-N287),M287)</f>
        <v>248169.471516484</v>
      </c>
      <c r="P287" s="58" t="n">
        <f aca="false">P286+N287</f>
        <v>113632.453202425</v>
      </c>
    </row>
    <row r="288" customFormat="false" ht="15" hidden="false" customHeight="false" outlineLevel="0" collapsed="false">
      <c r="K288" s="56" t="n">
        <f aca="false">K287+1</f>
        <v>281</v>
      </c>
      <c r="L288" s="56" t="n">
        <f aca="false">IF(K288&lt;=$B$14*12,1,0)</f>
        <v>0</v>
      </c>
      <c r="M288" s="58" t="n">
        <f aca="false">O287</f>
        <v>248169.471516484</v>
      </c>
      <c r="N288" s="58" t="n">
        <f aca="false">IF(L288=1,M288*$B$23,0)</f>
        <v>0</v>
      </c>
      <c r="O288" s="58" t="n">
        <f aca="false">IF(L288=1,M288-($B$22-N288),M288)</f>
        <v>248169.471516484</v>
      </c>
      <c r="P288" s="58" t="n">
        <f aca="false">P287+N288</f>
        <v>113632.453202425</v>
      </c>
    </row>
    <row r="289" customFormat="false" ht="15" hidden="false" customHeight="false" outlineLevel="0" collapsed="false">
      <c r="K289" s="56" t="n">
        <f aca="false">K288+1</f>
        <v>282</v>
      </c>
      <c r="L289" s="56" t="n">
        <f aca="false">IF(K289&lt;=$B$14*12,1,0)</f>
        <v>0</v>
      </c>
      <c r="M289" s="58" t="n">
        <f aca="false">O288</f>
        <v>248169.471516484</v>
      </c>
      <c r="N289" s="58" t="n">
        <f aca="false">IF(L289=1,M289*$B$23,0)</f>
        <v>0</v>
      </c>
      <c r="O289" s="58" t="n">
        <f aca="false">IF(L289=1,M289-($B$22-N289),M289)</f>
        <v>248169.471516484</v>
      </c>
      <c r="P289" s="58" t="n">
        <f aca="false">P288+N289</f>
        <v>113632.453202425</v>
      </c>
    </row>
    <row r="290" customFormat="false" ht="15" hidden="false" customHeight="false" outlineLevel="0" collapsed="false">
      <c r="K290" s="56" t="n">
        <f aca="false">K289+1</f>
        <v>283</v>
      </c>
      <c r="L290" s="56" t="n">
        <f aca="false">IF(K290&lt;=$B$14*12,1,0)</f>
        <v>0</v>
      </c>
      <c r="M290" s="58" t="n">
        <f aca="false">O289</f>
        <v>248169.471516484</v>
      </c>
      <c r="N290" s="58" t="n">
        <f aca="false">IF(L290=1,M290*$B$23,0)</f>
        <v>0</v>
      </c>
      <c r="O290" s="58" t="n">
        <f aca="false">IF(L290=1,M290-($B$22-N290),M290)</f>
        <v>248169.471516484</v>
      </c>
      <c r="P290" s="58" t="n">
        <f aca="false">P289+N290</f>
        <v>113632.453202425</v>
      </c>
    </row>
    <row r="291" customFormat="false" ht="15" hidden="false" customHeight="false" outlineLevel="0" collapsed="false">
      <c r="K291" s="56" t="n">
        <f aca="false">K290+1</f>
        <v>284</v>
      </c>
      <c r="L291" s="56" t="n">
        <f aca="false">IF(K291&lt;=$B$14*12,1,0)</f>
        <v>0</v>
      </c>
      <c r="M291" s="58" t="n">
        <f aca="false">O290</f>
        <v>248169.471516484</v>
      </c>
      <c r="N291" s="58" t="n">
        <f aca="false">IF(L291=1,M291*$B$23,0)</f>
        <v>0</v>
      </c>
      <c r="O291" s="58" t="n">
        <f aca="false">IF(L291=1,M291-($B$22-N291),M291)</f>
        <v>248169.471516484</v>
      </c>
      <c r="P291" s="58" t="n">
        <f aca="false">P290+N291</f>
        <v>113632.453202425</v>
      </c>
    </row>
    <row r="292" customFormat="false" ht="15" hidden="false" customHeight="false" outlineLevel="0" collapsed="false">
      <c r="K292" s="56" t="n">
        <f aca="false">K291+1</f>
        <v>285</v>
      </c>
      <c r="L292" s="56" t="n">
        <f aca="false">IF(K292&lt;=$B$14*12,1,0)</f>
        <v>0</v>
      </c>
      <c r="M292" s="58" t="n">
        <f aca="false">O291</f>
        <v>248169.471516484</v>
      </c>
      <c r="N292" s="58" t="n">
        <f aca="false">IF(L292=1,M292*$B$23,0)</f>
        <v>0</v>
      </c>
      <c r="O292" s="58" t="n">
        <f aca="false">IF(L292=1,M292-($B$22-N292),M292)</f>
        <v>248169.471516484</v>
      </c>
      <c r="P292" s="58" t="n">
        <f aca="false">P291+N292</f>
        <v>113632.453202425</v>
      </c>
    </row>
    <row r="293" customFormat="false" ht="15" hidden="false" customHeight="false" outlineLevel="0" collapsed="false">
      <c r="K293" s="56" t="n">
        <f aca="false">K292+1</f>
        <v>286</v>
      </c>
      <c r="L293" s="56" t="n">
        <f aca="false">IF(K293&lt;=$B$14*12,1,0)</f>
        <v>0</v>
      </c>
      <c r="M293" s="58" t="n">
        <f aca="false">O292</f>
        <v>248169.471516484</v>
      </c>
      <c r="N293" s="58" t="n">
        <f aca="false">IF(L293=1,M293*$B$23,0)</f>
        <v>0</v>
      </c>
      <c r="O293" s="58" t="n">
        <f aca="false">IF(L293=1,M293-($B$22-N293),M293)</f>
        <v>248169.471516484</v>
      </c>
      <c r="P293" s="58" t="n">
        <f aca="false">P292+N293</f>
        <v>113632.453202425</v>
      </c>
    </row>
    <row r="294" customFormat="false" ht="15" hidden="false" customHeight="false" outlineLevel="0" collapsed="false">
      <c r="K294" s="56" t="n">
        <f aca="false">K293+1</f>
        <v>287</v>
      </c>
      <c r="L294" s="56" t="n">
        <f aca="false">IF(K294&lt;=$B$14*12,1,0)</f>
        <v>0</v>
      </c>
      <c r="M294" s="58" t="n">
        <f aca="false">O293</f>
        <v>248169.471516484</v>
      </c>
      <c r="N294" s="58" t="n">
        <f aca="false">IF(L294=1,M294*$B$23,0)</f>
        <v>0</v>
      </c>
      <c r="O294" s="58" t="n">
        <f aca="false">IF(L294=1,M294-($B$22-N294),M294)</f>
        <v>248169.471516484</v>
      </c>
      <c r="P294" s="58" t="n">
        <f aca="false">P293+N294</f>
        <v>113632.453202425</v>
      </c>
    </row>
    <row r="295" customFormat="false" ht="15" hidden="false" customHeight="false" outlineLevel="0" collapsed="false">
      <c r="K295" s="56" t="n">
        <f aca="false">K294+1</f>
        <v>288</v>
      </c>
      <c r="L295" s="56" t="n">
        <f aca="false">IF(K295&lt;=$B$14*12,1,0)</f>
        <v>0</v>
      </c>
      <c r="M295" s="58" t="n">
        <f aca="false">O294</f>
        <v>248169.471516484</v>
      </c>
      <c r="N295" s="58" t="n">
        <f aca="false">IF(L295=1,M295*$B$23,0)</f>
        <v>0</v>
      </c>
      <c r="O295" s="58" t="n">
        <f aca="false">IF(L295=1,M295-($B$22-N295),M295)</f>
        <v>248169.471516484</v>
      </c>
      <c r="P295" s="58" t="n">
        <f aca="false">P294+N295</f>
        <v>113632.453202425</v>
      </c>
    </row>
    <row r="296" customFormat="false" ht="15" hidden="false" customHeight="false" outlineLevel="0" collapsed="false">
      <c r="K296" s="56" t="n">
        <f aca="false">K295+1</f>
        <v>289</v>
      </c>
      <c r="L296" s="56" t="n">
        <f aca="false">IF(K296&lt;=$B$14*12,1,0)</f>
        <v>0</v>
      </c>
      <c r="M296" s="58" t="n">
        <f aca="false">O295</f>
        <v>248169.471516484</v>
      </c>
      <c r="N296" s="58" t="n">
        <f aca="false">IF(L296=1,M296*$B$23,0)</f>
        <v>0</v>
      </c>
      <c r="O296" s="58" t="n">
        <f aca="false">IF(L296=1,M296-($B$22-N296),M296)</f>
        <v>248169.471516484</v>
      </c>
      <c r="P296" s="58" t="n">
        <f aca="false">P295+N296</f>
        <v>113632.453202425</v>
      </c>
    </row>
    <row r="297" customFormat="false" ht="15" hidden="false" customHeight="false" outlineLevel="0" collapsed="false">
      <c r="K297" s="56" t="n">
        <f aca="false">K296+1</f>
        <v>290</v>
      </c>
      <c r="L297" s="56" t="n">
        <f aca="false">IF(K297&lt;=$B$14*12,1,0)</f>
        <v>0</v>
      </c>
      <c r="M297" s="58" t="n">
        <f aca="false">O296</f>
        <v>248169.471516484</v>
      </c>
      <c r="N297" s="58" t="n">
        <f aca="false">IF(L297=1,M297*$B$23,0)</f>
        <v>0</v>
      </c>
      <c r="O297" s="58" t="n">
        <f aca="false">IF(L297=1,M297-($B$22-N297),M297)</f>
        <v>248169.471516484</v>
      </c>
      <c r="P297" s="58" t="n">
        <f aca="false">P296+N297</f>
        <v>113632.453202425</v>
      </c>
    </row>
    <row r="298" customFormat="false" ht="15" hidden="false" customHeight="false" outlineLevel="0" collapsed="false">
      <c r="K298" s="56" t="n">
        <f aca="false">K297+1</f>
        <v>291</v>
      </c>
      <c r="L298" s="56" t="n">
        <f aca="false">IF(K298&lt;=$B$14*12,1,0)</f>
        <v>0</v>
      </c>
      <c r="M298" s="58" t="n">
        <f aca="false">O297</f>
        <v>248169.471516484</v>
      </c>
      <c r="N298" s="58" t="n">
        <f aca="false">IF(L298=1,M298*$B$23,0)</f>
        <v>0</v>
      </c>
      <c r="O298" s="58" t="n">
        <f aca="false">IF(L298=1,M298-($B$22-N298),M298)</f>
        <v>248169.471516484</v>
      </c>
      <c r="P298" s="58" t="n">
        <f aca="false">P297+N298</f>
        <v>113632.453202425</v>
      </c>
    </row>
    <row r="299" customFormat="false" ht="15" hidden="false" customHeight="false" outlineLevel="0" collapsed="false">
      <c r="K299" s="56" t="n">
        <f aca="false">K298+1</f>
        <v>292</v>
      </c>
      <c r="L299" s="56" t="n">
        <f aca="false">IF(K299&lt;=$B$14*12,1,0)</f>
        <v>0</v>
      </c>
      <c r="M299" s="58" t="n">
        <f aca="false">O298</f>
        <v>248169.471516484</v>
      </c>
      <c r="N299" s="58" t="n">
        <f aca="false">IF(L299=1,M299*$B$23,0)</f>
        <v>0</v>
      </c>
      <c r="O299" s="58" t="n">
        <f aca="false">IF(L299=1,M299-($B$22-N299),M299)</f>
        <v>248169.471516484</v>
      </c>
      <c r="P299" s="58" t="n">
        <f aca="false">P298+N299</f>
        <v>113632.453202425</v>
      </c>
    </row>
    <row r="300" customFormat="false" ht="15" hidden="false" customHeight="false" outlineLevel="0" collapsed="false">
      <c r="K300" s="56" t="n">
        <f aca="false">K299+1</f>
        <v>293</v>
      </c>
      <c r="L300" s="56" t="n">
        <f aca="false">IF(K300&lt;=$B$14*12,1,0)</f>
        <v>0</v>
      </c>
      <c r="M300" s="58" t="n">
        <f aca="false">O299</f>
        <v>248169.471516484</v>
      </c>
      <c r="N300" s="58" t="n">
        <f aca="false">IF(L300=1,M300*$B$23,0)</f>
        <v>0</v>
      </c>
      <c r="O300" s="58" t="n">
        <f aca="false">IF(L300=1,M300-($B$22-N300),M300)</f>
        <v>248169.471516484</v>
      </c>
      <c r="P300" s="58" t="n">
        <f aca="false">P299+N300</f>
        <v>113632.453202425</v>
      </c>
    </row>
    <row r="301" customFormat="false" ht="15" hidden="false" customHeight="false" outlineLevel="0" collapsed="false">
      <c r="K301" s="56" t="n">
        <f aca="false">K300+1</f>
        <v>294</v>
      </c>
      <c r="L301" s="56" t="n">
        <f aca="false">IF(K301&lt;=$B$14*12,1,0)</f>
        <v>0</v>
      </c>
      <c r="M301" s="58" t="n">
        <f aca="false">O300</f>
        <v>248169.471516484</v>
      </c>
      <c r="N301" s="58" t="n">
        <f aca="false">IF(L301=1,M301*$B$23,0)</f>
        <v>0</v>
      </c>
      <c r="O301" s="58" t="n">
        <f aca="false">IF(L301=1,M301-($B$22-N301),M301)</f>
        <v>248169.471516484</v>
      </c>
      <c r="P301" s="58" t="n">
        <f aca="false">P300+N301</f>
        <v>113632.453202425</v>
      </c>
    </row>
    <row r="302" customFormat="false" ht="15" hidden="false" customHeight="false" outlineLevel="0" collapsed="false">
      <c r="K302" s="56" t="n">
        <f aca="false">K301+1</f>
        <v>295</v>
      </c>
      <c r="L302" s="56" t="n">
        <f aca="false">IF(K302&lt;=$B$14*12,1,0)</f>
        <v>0</v>
      </c>
      <c r="M302" s="58" t="n">
        <f aca="false">O301</f>
        <v>248169.471516484</v>
      </c>
      <c r="N302" s="58" t="n">
        <f aca="false">IF(L302=1,M302*$B$23,0)</f>
        <v>0</v>
      </c>
      <c r="O302" s="58" t="n">
        <f aca="false">IF(L302=1,M302-($B$22-N302),M302)</f>
        <v>248169.471516484</v>
      </c>
      <c r="P302" s="58" t="n">
        <f aca="false">P301+N302</f>
        <v>113632.453202425</v>
      </c>
    </row>
    <row r="303" customFormat="false" ht="15" hidden="false" customHeight="false" outlineLevel="0" collapsed="false">
      <c r="K303" s="56" t="n">
        <f aca="false">K302+1</f>
        <v>296</v>
      </c>
      <c r="L303" s="56" t="n">
        <f aca="false">IF(K303&lt;=$B$14*12,1,0)</f>
        <v>0</v>
      </c>
      <c r="M303" s="58" t="n">
        <f aca="false">O302</f>
        <v>248169.471516484</v>
      </c>
      <c r="N303" s="58" t="n">
        <f aca="false">IF(L303=1,M303*$B$23,0)</f>
        <v>0</v>
      </c>
      <c r="O303" s="58" t="n">
        <f aca="false">IF(L303=1,M303-($B$22-N303),M303)</f>
        <v>248169.471516484</v>
      </c>
      <c r="P303" s="58" t="n">
        <f aca="false">P302+N303</f>
        <v>113632.453202425</v>
      </c>
    </row>
    <row r="304" customFormat="false" ht="15" hidden="false" customHeight="false" outlineLevel="0" collapsed="false">
      <c r="K304" s="56" t="n">
        <f aca="false">K303+1</f>
        <v>297</v>
      </c>
      <c r="L304" s="56" t="n">
        <f aca="false">IF(K304&lt;=$B$14*12,1,0)</f>
        <v>0</v>
      </c>
      <c r="M304" s="58" t="n">
        <f aca="false">O303</f>
        <v>248169.471516484</v>
      </c>
      <c r="N304" s="58" t="n">
        <f aca="false">IF(L304=1,M304*$B$23,0)</f>
        <v>0</v>
      </c>
      <c r="O304" s="58" t="n">
        <f aca="false">IF(L304=1,M304-($B$22-N304),M304)</f>
        <v>248169.471516484</v>
      </c>
      <c r="P304" s="58" t="n">
        <f aca="false">P303+N304</f>
        <v>113632.453202425</v>
      </c>
    </row>
    <row r="305" customFormat="false" ht="15" hidden="false" customHeight="false" outlineLevel="0" collapsed="false">
      <c r="K305" s="56" t="n">
        <f aca="false">K304+1</f>
        <v>298</v>
      </c>
      <c r="L305" s="56" t="n">
        <f aca="false">IF(K305&lt;=$B$14*12,1,0)</f>
        <v>0</v>
      </c>
      <c r="M305" s="58" t="n">
        <f aca="false">O304</f>
        <v>248169.471516484</v>
      </c>
      <c r="N305" s="58" t="n">
        <f aca="false">IF(L305=1,M305*$B$23,0)</f>
        <v>0</v>
      </c>
      <c r="O305" s="58" t="n">
        <f aca="false">IF(L305=1,M305-($B$22-N305),M305)</f>
        <v>248169.471516484</v>
      </c>
      <c r="P305" s="58" t="n">
        <f aca="false">P304+N305</f>
        <v>113632.453202425</v>
      </c>
    </row>
    <row r="306" customFormat="false" ht="15" hidden="false" customHeight="false" outlineLevel="0" collapsed="false">
      <c r="K306" s="56" t="n">
        <f aca="false">K305+1</f>
        <v>299</v>
      </c>
      <c r="L306" s="56" t="n">
        <f aca="false">IF(K306&lt;=$B$14*12,1,0)</f>
        <v>0</v>
      </c>
      <c r="M306" s="58" t="n">
        <f aca="false">O305</f>
        <v>248169.471516484</v>
      </c>
      <c r="N306" s="58" t="n">
        <f aca="false">IF(L306=1,M306*$B$23,0)</f>
        <v>0</v>
      </c>
      <c r="O306" s="58" t="n">
        <f aca="false">IF(L306=1,M306-($B$22-N306),M306)</f>
        <v>248169.471516484</v>
      </c>
      <c r="P306" s="58" t="n">
        <f aca="false">P305+N306</f>
        <v>113632.453202425</v>
      </c>
    </row>
    <row r="307" customFormat="false" ht="15" hidden="false" customHeight="false" outlineLevel="0" collapsed="false">
      <c r="K307" s="56" t="n">
        <f aca="false">K306+1</f>
        <v>300</v>
      </c>
      <c r="L307" s="56" t="n">
        <f aca="false">IF(K307&lt;=$B$14*12,1,0)</f>
        <v>0</v>
      </c>
      <c r="M307" s="58" t="n">
        <f aca="false">O306</f>
        <v>248169.471516484</v>
      </c>
      <c r="N307" s="58" t="n">
        <f aca="false">IF(L307=1,M307*$B$23,0)</f>
        <v>0</v>
      </c>
      <c r="O307" s="58" t="n">
        <f aca="false">IF(L307=1,M307-($B$22-N307),M307)</f>
        <v>248169.471516484</v>
      </c>
      <c r="P307" s="58" t="n">
        <f aca="false">P306+N307</f>
        <v>113632.453202425</v>
      </c>
    </row>
    <row r="308" customFormat="false" ht="15" hidden="false" customHeight="false" outlineLevel="0" collapsed="false">
      <c r="K308" s="56" t="n">
        <f aca="false">K307+1</f>
        <v>301</v>
      </c>
      <c r="L308" s="56" t="n">
        <f aca="false">IF(K308&lt;=$B$14*12,1,0)</f>
        <v>0</v>
      </c>
      <c r="M308" s="58" t="n">
        <f aca="false">O307</f>
        <v>248169.471516484</v>
      </c>
      <c r="N308" s="58" t="n">
        <f aca="false">IF(L308=1,M308*$B$23,0)</f>
        <v>0</v>
      </c>
      <c r="O308" s="58" t="n">
        <f aca="false">IF(L308=1,M308-($B$22-N308),M308)</f>
        <v>248169.471516484</v>
      </c>
      <c r="P308" s="58" t="n">
        <f aca="false">P307+N308</f>
        <v>113632.453202425</v>
      </c>
    </row>
    <row r="309" customFormat="false" ht="15" hidden="false" customHeight="false" outlineLevel="0" collapsed="false">
      <c r="K309" s="56" t="n">
        <f aca="false">K308+1</f>
        <v>302</v>
      </c>
      <c r="L309" s="56" t="n">
        <f aca="false">IF(K309&lt;=$B$14*12,1,0)</f>
        <v>0</v>
      </c>
      <c r="M309" s="58" t="n">
        <f aca="false">O308</f>
        <v>248169.471516484</v>
      </c>
      <c r="N309" s="58" t="n">
        <f aca="false">IF(L309=1,M309*$B$23,0)</f>
        <v>0</v>
      </c>
      <c r="O309" s="58" t="n">
        <f aca="false">IF(L309=1,M309-($B$22-N309),M309)</f>
        <v>248169.471516484</v>
      </c>
      <c r="P309" s="58" t="n">
        <f aca="false">P308+N309</f>
        <v>113632.453202425</v>
      </c>
    </row>
    <row r="310" customFormat="false" ht="15" hidden="false" customHeight="false" outlineLevel="0" collapsed="false">
      <c r="K310" s="56" t="n">
        <f aca="false">K309+1</f>
        <v>303</v>
      </c>
      <c r="L310" s="56" t="n">
        <f aca="false">IF(K310&lt;=$B$14*12,1,0)</f>
        <v>0</v>
      </c>
      <c r="M310" s="58" t="n">
        <f aca="false">O309</f>
        <v>248169.471516484</v>
      </c>
      <c r="N310" s="58" t="n">
        <f aca="false">IF(L310=1,M310*$B$23,0)</f>
        <v>0</v>
      </c>
      <c r="O310" s="58" t="n">
        <f aca="false">IF(L310=1,M310-($B$22-N310),M310)</f>
        <v>248169.471516484</v>
      </c>
      <c r="P310" s="58" t="n">
        <f aca="false">P309+N310</f>
        <v>113632.453202425</v>
      </c>
    </row>
    <row r="311" customFormat="false" ht="15" hidden="false" customHeight="false" outlineLevel="0" collapsed="false">
      <c r="K311" s="56" t="n">
        <f aca="false">K310+1</f>
        <v>304</v>
      </c>
      <c r="L311" s="56" t="n">
        <f aca="false">IF(K311&lt;=$B$14*12,1,0)</f>
        <v>0</v>
      </c>
      <c r="M311" s="58" t="n">
        <f aca="false">O310</f>
        <v>248169.471516484</v>
      </c>
      <c r="N311" s="58" t="n">
        <f aca="false">IF(L311=1,M311*$B$23,0)</f>
        <v>0</v>
      </c>
      <c r="O311" s="58" t="n">
        <f aca="false">IF(L311=1,M311-($B$22-N311),M311)</f>
        <v>248169.471516484</v>
      </c>
      <c r="P311" s="58" t="n">
        <f aca="false">P310+N311</f>
        <v>113632.453202425</v>
      </c>
    </row>
    <row r="312" customFormat="false" ht="15" hidden="false" customHeight="false" outlineLevel="0" collapsed="false">
      <c r="K312" s="56" t="n">
        <f aca="false">K311+1</f>
        <v>305</v>
      </c>
      <c r="L312" s="56" t="n">
        <f aca="false">IF(K312&lt;=$B$14*12,1,0)</f>
        <v>0</v>
      </c>
      <c r="M312" s="58" t="n">
        <f aca="false">O311</f>
        <v>248169.471516484</v>
      </c>
      <c r="N312" s="58" t="n">
        <f aca="false">IF(L312=1,M312*$B$23,0)</f>
        <v>0</v>
      </c>
      <c r="O312" s="58" t="n">
        <f aca="false">IF(L312=1,M312-($B$22-N312),M312)</f>
        <v>248169.471516484</v>
      </c>
      <c r="P312" s="58" t="n">
        <f aca="false">P311+N312</f>
        <v>113632.453202425</v>
      </c>
    </row>
    <row r="313" customFormat="false" ht="15" hidden="false" customHeight="false" outlineLevel="0" collapsed="false">
      <c r="K313" s="56" t="n">
        <f aca="false">K312+1</f>
        <v>306</v>
      </c>
      <c r="L313" s="56" t="n">
        <f aca="false">IF(K313&lt;=$B$14*12,1,0)</f>
        <v>0</v>
      </c>
      <c r="M313" s="58" t="n">
        <f aca="false">O312</f>
        <v>248169.471516484</v>
      </c>
      <c r="N313" s="58" t="n">
        <f aca="false">IF(L313=1,M313*$B$23,0)</f>
        <v>0</v>
      </c>
      <c r="O313" s="58" t="n">
        <f aca="false">IF(L313=1,M313-($B$22-N313),M313)</f>
        <v>248169.471516484</v>
      </c>
      <c r="P313" s="58" t="n">
        <f aca="false">P312+N313</f>
        <v>113632.453202425</v>
      </c>
    </row>
    <row r="314" customFormat="false" ht="15" hidden="false" customHeight="false" outlineLevel="0" collapsed="false">
      <c r="K314" s="56" t="n">
        <f aca="false">K313+1</f>
        <v>307</v>
      </c>
      <c r="L314" s="56" t="n">
        <f aca="false">IF(K314&lt;=$B$14*12,1,0)</f>
        <v>0</v>
      </c>
      <c r="M314" s="58" t="n">
        <f aca="false">O313</f>
        <v>248169.471516484</v>
      </c>
      <c r="N314" s="58" t="n">
        <f aca="false">IF(L314=1,M314*$B$23,0)</f>
        <v>0</v>
      </c>
      <c r="O314" s="58" t="n">
        <f aca="false">IF(L314=1,M314-($B$22-N314),M314)</f>
        <v>248169.471516484</v>
      </c>
      <c r="P314" s="58" t="n">
        <f aca="false">P313+N314</f>
        <v>113632.453202425</v>
      </c>
    </row>
    <row r="315" customFormat="false" ht="15" hidden="false" customHeight="false" outlineLevel="0" collapsed="false">
      <c r="K315" s="56" t="n">
        <f aca="false">K314+1</f>
        <v>308</v>
      </c>
      <c r="L315" s="56" t="n">
        <f aca="false">IF(K315&lt;=$B$14*12,1,0)</f>
        <v>0</v>
      </c>
      <c r="M315" s="58" t="n">
        <f aca="false">O314</f>
        <v>248169.471516484</v>
      </c>
      <c r="N315" s="58" t="n">
        <f aca="false">IF(L315=1,M315*$B$23,0)</f>
        <v>0</v>
      </c>
      <c r="O315" s="58" t="n">
        <f aca="false">IF(L315=1,M315-($B$22-N315),M315)</f>
        <v>248169.471516484</v>
      </c>
      <c r="P315" s="58" t="n">
        <f aca="false">P314+N315</f>
        <v>113632.453202425</v>
      </c>
    </row>
    <row r="316" customFormat="false" ht="15" hidden="false" customHeight="false" outlineLevel="0" collapsed="false">
      <c r="K316" s="56" t="n">
        <f aca="false">K315+1</f>
        <v>309</v>
      </c>
      <c r="L316" s="56" t="n">
        <f aca="false">IF(K316&lt;=$B$14*12,1,0)</f>
        <v>0</v>
      </c>
      <c r="M316" s="58" t="n">
        <f aca="false">O315</f>
        <v>248169.471516484</v>
      </c>
      <c r="N316" s="58" t="n">
        <f aca="false">IF(L316=1,M316*$B$23,0)</f>
        <v>0</v>
      </c>
      <c r="O316" s="58" t="n">
        <f aca="false">IF(L316=1,M316-($B$22-N316),M316)</f>
        <v>248169.471516484</v>
      </c>
      <c r="P316" s="58" t="n">
        <f aca="false">P315+N316</f>
        <v>113632.453202425</v>
      </c>
    </row>
    <row r="317" customFormat="false" ht="15" hidden="false" customHeight="false" outlineLevel="0" collapsed="false">
      <c r="K317" s="56" t="n">
        <f aca="false">K316+1</f>
        <v>310</v>
      </c>
      <c r="L317" s="56" t="n">
        <f aca="false">IF(K317&lt;=$B$14*12,1,0)</f>
        <v>0</v>
      </c>
      <c r="M317" s="58" t="n">
        <f aca="false">O316</f>
        <v>248169.471516484</v>
      </c>
      <c r="N317" s="58" t="n">
        <f aca="false">IF(L317=1,M317*$B$23,0)</f>
        <v>0</v>
      </c>
      <c r="O317" s="58" t="n">
        <f aca="false">IF(L317=1,M317-($B$22-N317),M317)</f>
        <v>248169.471516484</v>
      </c>
      <c r="P317" s="58" t="n">
        <f aca="false">P316+N317</f>
        <v>113632.453202425</v>
      </c>
    </row>
    <row r="318" customFormat="false" ht="15" hidden="false" customHeight="false" outlineLevel="0" collapsed="false">
      <c r="K318" s="56" t="n">
        <f aca="false">K317+1</f>
        <v>311</v>
      </c>
      <c r="L318" s="56" t="n">
        <f aca="false">IF(K318&lt;=$B$14*12,1,0)</f>
        <v>0</v>
      </c>
      <c r="M318" s="58" t="n">
        <f aca="false">O317</f>
        <v>248169.471516484</v>
      </c>
      <c r="N318" s="58" t="n">
        <f aca="false">IF(L318=1,M318*$B$23,0)</f>
        <v>0</v>
      </c>
      <c r="O318" s="58" t="n">
        <f aca="false">IF(L318=1,M318-($B$22-N318),M318)</f>
        <v>248169.471516484</v>
      </c>
      <c r="P318" s="58" t="n">
        <f aca="false">P317+N318</f>
        <v>113632.453202425</v>
      </c>
    </row>
    <row r="319" customFormat="false" ht="15" hidden="false" customHeight="false" outlineLevel="0" collapsed="false">
      <c r="K319" s="56" t="n">
        <f aca="false">K318+1</f>
        <v>312</v>
      </c>
      <c r="L319" s="56" t="n">
        <f aca="false">IF(K319&lt;=$B$14*12,1,0)</f>
        <v>0</v>
      </c>
      <c r="M319" s="58" t="n">
        <f aca="false">O318</f>
        <v>248169.471516484</v>
      </c>
      <c r="N319" s="58" t="n">
        <f aca="false">IF(L319=1,M319*$B$23,0)</f>
        <v>0</v>
      </c>
      <c r="O319" s="58" t="n">
        <f aca="false">IF(L319=1,M319-($B$22-N319),M319)</f>
        <v>248169.471516484</v>
      </c>
      <c r="P319" s="58" t="n">
        <f aca="false">P318+N319</f>
        <v>113632.453202425</v>
      </c>
    </row>
    <row r="320" customFormat="false" ht="15" hidden="false" customHeight="false" outlineLevel="0" collapsed="false">
      <c r="K320" s="56" t="n">
        <f aca="false">K319+1</f>
        <v>313</v>
      </c>
      <c r="L320" s="56" t="n">
        <f aca="false">IF(K320&lt;=$B$14*12,1,0)</f>
        <v>0</v>
      </c>
      <c r="M320" s="58" t="n">
        <f aca="false">O319</f>
        <v>248169.471516484</v>
      </c>
      <c r="N320" s="58" t="n">
        <f aca="false">IF(L320=1,M320*$B$23,0)</f>
        <v>0</v>
      </c>
      <c r="O320" s="58" t="n">
        <f aca="false">IF(L320=1,M320-($B$22-N320),M320)</f>
        <v>248169.471516484</v>
      </c>
      <c r="P320" s="58" t="n">
        <f aca="false">P319+N320</f>
        <v>113632.453202425</v>
      </c>
    </row>
    <row r="321" customFormat="false" ht="15" hidden="false" customHeight="false" outlineLevel="0" collapsed="false">
      <c r="K321" s="56" t="n">
        <f aca="false">K320+1</f>
        <v>314</v>
      </c>
      <c r="L321" s="56" t="n">
        <f aca="false">IF(K321&lt;=$B$14*12,1,0)</f>
        <v>0</v>
      </c>
      <c r="M321" s="58" t="n">
        <f aca="false">O320</f>
        <v>248169.471516484</v>
      </c>
      <c r="N321" s="58" t="n">
        <f aca="false">IF(L321=1,M321*$B$23,0)</f>
        <v>0</v>
      </c>
      <c r="O321" s="58" t="n">
        <f aca="false">IF(L321=1,M321-($B$22-N321),M321)</f>
        <v>248169.471516484</v>
      </c>
      <c r="P321" s="58" t="n">
        <f aca="false">P320+N321</f>
        <v>113632.453202425</v>
      </c>
    </row>
    <row r="322" customFormat="false" ht="15" hidden="false" customHeight="false" outlineLevel="0" collapsed="false">
      <c r="K322" s="56" t="n">
        <f aca="false">K321+1</f>
        <v>315</v>
      </c>
      <c r="L322" s="56" t="n">
        <f aca="false">IF(K322&lt;=$B$14*12,1,0)</f>
        <v>0</v>
      </c>
      <c r="M322" s="58" t="n">
        <f aca="false">O321</f>
        <v>248169.471516484</v>
      </c>
      <c r="N322" s="58" t="n">
        <f aca="false">IF(L322=1,M322*$B$23,0)</f>
        <v>0</v>
      </c>
      <c r="O322" s="58" t="n">
        <f aca="false">IF(L322=1,M322-($B$22-N322),M322)</f>
        <v>248169.471516484</v>
      </c>
      <c r="P322" s="58" t="n">
        <f aca="false">P321+N322</f>
        <v>113632.453202425</v>
      </c>
    </row>
    <row r="323" customFormat="false" ht="15" hidden="false" customHeight="false" outlineLevel="0" collapsed="false">
      <c r="K323" s="56" t="n">
        <f aca="false">K322+1</f>
        <v>316</v>
      </c>
      <c r="L323" s="56" t="n">
        <f aca="false">IF(K323&lt;=$B$14*12,1,0)</f>
        <v>0</v>
      </c>
      <c r="M323" s="58" t="n">
        <f aca="false">O322</f>
        <v>248169.471516484</v>
      </c>
      <c r="N323" s="58" t="n">
        <f aca="false">IF(L323=1,M323*$B$23,0)</f>
        <v>0</v>
      </c>
      <c r="O323" s="58" t="n">
        <f aca="false">IF(L323=1,M323-($B$22-N323),M323)</f>
        <v>248169.471516484</v>
      </c>
      <c r="P323" s="58" t="n">
        <f aca="false">P322+N323</f>
        <v>113632.453202425</v>
      </c>
    </row>
    <row r="324" customFormat="false" ht="15" hidden="false" customHeight="false" outlineLevel="0" collapsed="false">
      <c r="K324" s="56" t="n">
        <f aca="false">K323+1</f>
        <v>317</v>
      </c>
      <c r="L324" s="56" t="n">
        <f aca="false">IF(K324&lt;=$B$14*12,1,0)</f>
        <v>0</v>
      </c>
      <c r="M324" s="58" t="n">
        <f aca="false">O323</f>
        <v>248169.471516484</v>
      </c>
      <c r="N324" s="58" t="n">
        <f aca="false">IF(L324=1,M324*$B$23,0)</f>
        <v>0</v>
      </c>
      <c r="O324" s="58" t="n">
        <f aca="false">IF(L324=1,M324-($B$22-N324),M324)</f>
        <v>248169.471516484</v>
      </c>
      <c r="P324" s="58" t="n">
        <f aca="false">P323+N324</f>
        <v>113632.453202425</v>
      </c>
    </row>
    <row r="325" customFormat="false" ht="15" hidden="false" customHeight="false" outlineLevel="0" collapsed="false">
      <c r="K325" s="56" t="n">
        <f aca="false">K324+1</f>
        <v>318</v>
      </c>
      <c r="L325" s="56" t="n">
        <f aca="false">IF(K325&lt;=$B$14*12,1,0)</f>
        <v>0</v>
      </c>
      <c r="M325" s="58" t="n">
        <f aca="false">O324</f>
        <v>248169.471516484</v>
      </c>
      <c r="N325" s="58" t="n">
        <f aca="false">IF(L325=1,M325*$B$23,0)</f>
        <v>0</v>
      </c>
      <c r="O325" s="58" t="n">
        <f aca="false">IF(L325=1,M325-($B$22-N325),M325)</f>
        <v>248169.471516484</v>
      </c>
      <c r="P325" s="58" t="n">
        <f aca="false">P324+N325</f>
        <v>113632.453202425</v>
      </c>
    </row>
    <row r="326" customFormat="false" ht="15" hidden="false" customHeight="false" outlineLevel="0" collapsed="false">
      <c r="K326" s="56" t="n">
        <f aca="false">K325+1</f>
        <v>319</v>
      </c>
      <c r="L326" s="56" t="n">
        <f aca="false">IF(K326&lt;=$B$14*12,1,0)</f>
        <v>0</v>
      </c>
      <c r="M326" s="58" t="n">
        <f aca="false">O325</f>
        <v>248169.471516484</v>
      </c>
      <c r="N326" s="58" t="n">
        <f aca="false">IF(L326=1,M326*$B$23,0)</f>
        <v>0</v>
      </c>
      <c r="O326" s="58" t="n">
        <f aca="false">IF(L326=1,M326-($B$22-N326),M326)</f>
        <v>248169.471516484</v>
      </c>
      <c r="P326" s="58" t="n">
        <f aca="false">P325+N326</f>
        <v>113632.453202425</v>
      </c>
    </row>
    <row r="327" customFormat="false" ht="15" hidden="false" customHeight="false" outlineLevel="0" collapsed="false">
      <c r="K327" s="56" t="n">
        <f aca="false">K326+1</f>
        <v>320</v>
      </c>
      <c r="L327" s="56" t="n">
        <f aca="false">IF(K327&lt;=$B$14*12,1,0)</f>
        <v>0</v>
      </c>
      <c r="M327" s="58" t="n">
        <f aca="false">O326</f>
        <v>248169.471516484</v>
      </c>
      <c r="N327" s="58" t="n">
        <f aca="false">IF(L327=1,M327*$B$23,0)</f>
        <v>0</v>
      </c>
      <c r="O327" s="58" t="n">
        <f aca="false">IF(L327=1,M327-($B$22-N327),M327)</f>
        <v>248169.471516484</v>
      </c>
      <c r="P327" s="58" t="n">
        <f aca="false">P326+N327</f>
        <v>113632.453202425</v>
      </c>
    </row>
    <row r="328" customFormat="false" ht="15" hidden="false" customHeight="false" outlineLevel="0" collapsed="false">
      <c r="K328" s="56" t="n">
        <f aca="false">K327+1</f>
        <v>321</v>
      </c>
      <c r="L328" s="56" t="n">
        <f aca="false">IF(K328&lt;=$B$14*12,1,0)</f>
        <v>0</v>
      </c>
      <c r="M328" s="58" t="n">
        <f aca="false">O327</f>
        <v>248169.471516484</v>
      </c>
      <c r="N328" s="58" t="n">
        <f aca="false">IF(L328=1,M328*$B$23,0)</f>
        <v>0</v>
      </c>
      <c r="O328" s="58" t="n">
        <f aca="false">IF(L328=1,M328-($B$22-N328),M328)</f>
        <v>248169.471516484</v>
      </c>
      <c r="P328" s="58" t="n">
        <f aca="false">P327+N328</f>
        <v>113632.453202425</v>
      </c>
    </row>
    <row r="329" customFormat="false" ht="15" hidden="false" customHeight="false" outlineLevel="0" collapsed="false">
      <c r="K329" s="56" t="n">
        <f aca="false">K328+1</f>
        <v>322</v>
      </c>
      <c r="L329" s="56" t="n">
        <f aca="false">IF(K329&lt;=$B$14*12,1,0)</f>
        <v>0</v>
      </c>
      <c r="M329" s="58" t="n">
        <f aca="false">O328</f>
        <v>248169.471516484</v>
      </c>
      <c r="N329" s="58" t="n">
        <f aca="false">IF(L329=1,M329*$B$23,0)</f>
        <v>0</v>
      </c>
      <c r="O329" s="58" t="n">
        <f aca="false">IF(L329=1,M329-($B$22-N329),M329)</f>
        <v>248169.471516484</v>
      </c>
      <c r="P329" s="58" t="n">
        <f aca="false">P328+N329</f>
        <v>113632.453202425</v>
      </c>
    </row>
    <row r="330" customFormat="false" ht="15" hidden="false" customHeight="false" outlineLevel="0" collapsed="false">
      <c r="K330" s="56" t="n">
        <f aca="false">K329+1</f>
        <v>323</v>
      </c>
      <c r="L330" s="56" t="n">
        <f aca="false">IF(K330&lt;=$B$14*12,1,0)</f>
        <v>0</v>
      </c>
      <c r="M330" s="58" t="n">
        <f aca="false">O329</f>
        <v>248169.471516484</v>
      </c>
      <c r="N330" s="58" t="n">
        <f aca="false">IF(L330=1,M330*$B$23,0)</f>
        <v>0</v>
      </c>
      <c r="O330" s="58" t="n">
        <f aca="false">IF(L330=1,M330-($B$22-N330),M330)</f>
        <v>248169.471516484</v>
      </c>
      <c r="P330" s="58" t="n">
        <f aca="false">P329+N330</f>
        <v>113632.453202425</v>
      </c>
    </row>
    <row r="331" customFormat="false" ht="15" hidden="false" customHeight="false" outlineLevel="0" collapsed="false">
      <c r="K331" s="56" t="n">
        <f aca="false">K330+1</f>
        <v>324</v>
      </c>
      <c r="L331" s="56" t="n">
        <f aca="false">IF(K331&lt;=$B$14*12,1,0)</f>
        <v>0</v>
      </c>
      <c r="M331" s="58" t="n">
        <f aca="false">O330</f>
        <v>248169.471516484</v>
      </c>
      <c r="N331" s="58" t="n">
        <f aca="false">IF(L331=1,M331*$B$23,0)</f>
        <v>0</v>
      </c>
      <c r="O331" s="58" t="n">
        <f aca="false">IF(L331=1,M331-($B$22-N331),M331)</f>
        <v>248169.471516484</v>
      </c>
      <c r="P331" s="58" t="n">
        <f aca="false">P330+N331</f>
        <v>113632.453202425</v>
      </c>
    </row>
    <row r="332" customFormat="false" ht="15" hidden="false" customHeight="false" outlineLevel="0" collapsed="false">
      <c r="K332" s="56" t="n">
        <f aca="false">K331+1</f>
        <v>325</v>
      </c>
      <c r="L332" s="56" t="n">
        <f aca="false">IF(K332&lt;=$B$14*12,1,0)</f>
        <v>0</v>
      </c>
      <c r="M332" s="58" t="n">
        <f aca="false">O331</f>
        <v>248169.471516484</v>
      </c>
      <c r="N332" s="58" t="n">
        <f aca="false">IF(L332=1,M332*$B$23,0)</f>
        <v>0</v>
      </c>
      <c r="O332" s="58" t="n">
        <f aca="false">IF(L332=1,M332-($B$22-N332),M332)</f>
        <v>248169.471516484</v>
      </c>
      <c r="P332" s="58" t="n">
        <f aca="false">P331+N332</f>
        <v>113632.453202425</v>
      </c>
    </row>
    <row r="333" customFormat="false" ht="15" hidden="false" customHeight="false" outlineLevel="0" collapsed="false">
      <c r="K333" s="56" t="n">
        <f aca="false">K332+1</f>
        <v>326</v>
      </c>
      <c r="L333" s="56" t="n">
        <f aca="false">IF(K333&lt;=$B$14*12,1,0)</f>
        <v>0</v>
      </c>
      <c r="M333" s="58" t="n">
        <f aca="false">O332</f>
        <v>248169.471516484</v>
      </c>
      <c r="N333" s="58" t="n">
        <f aca="false">IF(L333=1,M333*$B$23,0)</f>
        <v>0</v>
      </c>
      <c r="O333" s="58" t="n">
        <f aca="false">IF(L333=1,M333-($B$22-N333),M333)</f>
        <v>248169.471516484</v>
      </c>
      <c r="P333" s="58" t="n">
        <f aca="false">P332+N333</f>
        <v>113632.453202425</v>
      </c>
    </row>
    <row r="334" customFormat="false" ht="15" hidden="false" customHeight="false" outlineLevel="0" collapsed="false">
      <c r="K334" s="56" t="n">
        <f aca="false">K333+1</f>
        <v>327</v>
      </c>
      <c r="L334" s="56" t="n">
        <f aca="false">IF(K334&lt;=$B$14*12,1,0)</f>
        <v>0</v>
      </c>
      <c r="M334" s="58" t="n">
        <f aca="false">O333</f>
        <v>248169.471516484</v>
      </c>
      <c r="N334" s="58" t="n">
        <f aca="false">IF(L334=1,M334*$B$23,0)</f>
        <v>0</v>
      </c>
      <c r="O334" s="58" t="n">
        <f aca="false">IF(L334=1,M334-($B$22-N334),M334)</f>
        <v>248169.471516484</v>
      </c>
      <c r="P334" s="58" t="n">
        <f aca="false">P333+N334</f>
        <v>113632.453202425</v>
      </c>
    </row>
    <row r="335" customFormat="false" ht="15" hidden="false" customHeight="false" outlineLevel="0" collapsed="false">
      <c r="K335" s="56" t="n">
        <f aca="false">K334+1</f>
        <v>328</v>
      </c>
      <c r="L335" s="56" t="n">
        <f aca="false">IF(K335&lt;=$B$14*12,1,0)</f>
        <v>0</v>
      </c>
      <c r="M335" s="58" t="n">
        <f aca="false">O334</f>
        <v>248169.471516484</v>
      </c>
      <c r="N335" s="58" t="n">
        <f aca="false">IF(L335=1,M335*$B$23,0)</f>
        <v>0</v>
      </c>
      <c r="O335" s="58" t="n">
        <f aca="false">IF(L335=1,M335-($B$22-N335),M335)</f>
        <v>248169.471516484</v>
      </c>
      <c r="P335" s="58" t="n">
        <f aca="false">P334+N335</f>
        <v>113632.453202425</v>
      </c>
    </row>
    <row r="336" customFormat="false" ht="15" hidden="false" customHeight="false" outlineLevel="0" collapsed="false">
      <c r="K336" s="56" t="n">
        <f aca="false">K335+1</f>
        <v>329</v>
      </c>
      <c r="L336" s="56" t="n">
        <f aca="false">IF(K336&lt;=$B$14*12,1,0)</f>
        <v>0</v>
      </c>
      <c r="M336" s="58" t="n">
        <f aca="false">O335</f>
        <v>248169.471516484</v>
      </c>
      <c r="N336" s="58" t="n">
        <f aca="false">IF(L336=1,M336*$B$23,0)</f>
        <v>0</v>
      </c>
      <c r="O336" s="58" t="n">
        <f aca="false">IF(L336=1,M336-($B$22-N336),M336)</f>
        <v>248169.471516484</v>
      </c>
      <c r="P336" s="58" t="n">
        <f aca="false">P335+N336</f>
        <v>113632.453202425</v>
      </c>
    </row>
    <row r="337" customFormat="false" ht="15" hidden="false" customHeight="false" outlineLevel="0" collapsed="false">
      <c r="K337" s="56" t="n">
        <f aca="false">K336+1</f>
        <v>330</v>
      </c>
      <c r="L337" s="56" t="n">
        <f aca="false">IF(K337&lt;=$B$14*12,1,0)</f>
        <v>0</v>
      </c>
      <c r="M337" s="58" t="n">
        <f aca="false">O336</f>
        <v>248169.471516484</v>
      </c>
      <c r="N337" s="58" t="n">
        <f aca="false">IF(L337=1,M337*$B$23,0)</f>
        <v>0</v>
      </c>
      <c r="O337" s="58" t="n">
        <f aca="false">IF(L337=1,M337-($B$22-N337),M337)</f>
        <v>248169.471516484</v>
      </c>
      <c r="P337" s="58" t="n">
        <f aca="false">P336+N337</f>
        <v>113632.453202425</v>
      </c>
    </row>
    <row r="338" customFormat="false" ht="15" hidden="false" customHeight="false" outlineLevel="0" collapsed="false">
      <c r="K338" s="56" t="n">
        <f aca="false">K337+1</f>
        <v>331</v>
      </c>
      <c r="L338" s="56" t="n">
        <f aca="false">IF(K338&lt;=$B$14*12,1,0)</f>
        <v>0</v>
      </c>
      <c r="M338" s="58" t="n">
        <f aca="false">O337</f>
        <v>248169.471516484</v>
      </c>
      <c r="N338" s="58" t="n">
        <f aca="false">IF(L338=1,M338*$B$23,0)</f>
        <v>0</v>
      </c>
      <c r="O338" s="58" t="n">
        <f aca="false">IF(L338=1,M338-($B$22-N338),M338)</f>
        <v>248169.471516484</v>
      </c>
      <c r="P338" s="58" t="n">
        <f aca="false">P337+N338</f>
        <v>113632.453202425</v>
      </c>
    </row>
    <row r="339" customFormat="false" ht="15" hidden="false" customHeight="false" outlineLevel="0" collapsed="false">
      <c r="K339" s="56" t="n">
        <f aca="false">K338+1</f>
        <v>332</v>
      </c>
      <c r="L339" s="56" t="n">
        <f aca="false">IF(K339&lt;=$B$14*12,1,0)</f>
        <v>0</v>
      </c>
      <c r="M339" s="58" t="n">
        <f aca="false">O338</f>
        <v>248169.471516484</v>
      </c>
      <c r="N339" s="58" t="n">
        <f aca="false">IF(L339=1,M339*$B$23,0)</f>
        <v>0</v>
      </c>
      <c r="O339" s="58" t="n">
        <f aca="false">IF(L339=1,M339-($B$22-N339),M339)</f>
        <v>248169.471516484</v>
      </c>
      <c r="P339" s="58" t="n">
        <f aca="false">P338+N339</f>
        <v>113632.453202425</v>
      </c>
    </row>
    <row r="340" customFormat="false" ht="15" hidden="false" customHeight="false" outlineLevel="0" collapsed="false">
      <c r="K340" s="56" t="n">
        <f aca="false">K339+1</f>
        <v>333</v>
      </c>
      <c r="L340" s="56" t="n">
        <f aca="false">IF(K340&lt;=$B$14*12,1,0)</f>
        <v>0</v>
      </c>
      <c r="M340" s="58" t="n">
        <f aca="false">O339</f>
        <v>248169.471516484</v>
      </c>
      <c r="N340" s="58" t="n">
        <f aca="false">IF(L340=1,M340*$B$23,0)</f>
        <v>0</v>
      </c>
      <c r="O340" s="58" t="n">
        <f aca="false">IF(L340=1,M340-($B$22-N340),M340)</f>
        <v>248169.471516484</v>
      </c>
      <c r="P340" s="58" t="n">
        <f aca="false">P339+N340</f>
        <v>113632.453202425</v>
      </c>
    </row>
    <row r="341" customFormat="false" ht="15" hidden="false" customHeight="false" outlineLevel="0" collapsed="false">
      <c r="K341" s="56" t="n">
        <f aca="false">K340+1</f>
        <v>334</v>
      </c>
      <c r="L341" s="56" t="n">
        <f aca="false">IF(K341&lt;=$B$14*12,1,0)</f>
        <v>0</v>
      </c>
      <c r="M341" s="58" t="n">
        <f aca="false">O340</f>
        <v>248169.471516484</v>
      </c>
      <c r="N341" s="58" t="n">
        <f aca="false">IF(L341=1,M341*$B$23,0)</f>
        <v>0</v>
      </c>
      <c r="O341" s="58" t="n">
        <f aca="false">IF(L341=1,M341-($B$22-N341),M341)</f>
        <v>248169.471516484</v>
      </c>
      <c r="P341" s="58" t="n">
        <f aca="false">P340+N341</f>
        <v>113632.453202425</v>
      </c>
    </row>
    <row r="342" customFormat="false" ht="15" hidden="false" customHeight="false" outlineLevel="0" collapsed="false">
      <c r="K342" s="56" t="n">
        <f aca="false">K341+1</f>
        <v>335</v>
      </c>
      <c r="L342" s="56" t="n">
        <f aca="false">IF(K342&lt;=$B$14*12,1,0)</f>
        <v>0</v>
      </c>
      <c r="M342" s="58" t="n">
        <f aca="false">O341</f>
        <v>248169.471516484</v>
      </c>
      <c r="N342" s="58" t="n">
        <f aca="false">IF(L342=1,M342*$B$23,0)</f>
        <v>0</v>
      </c>
      <c r="O342" s="58" t="n">
        <f aca="false">IF(L342=1,M342-($B$22-N342),M342)</f>
        <v>248169.471516484</v>
      </c>
      <c r="P342" s="58" t="n">
        <f aca="false">P341+N342</f>
        <v>113632.453202425</v>
      </c>
    </row>
    <row r="343" customFormat="false" ht="15" hidden="false" customHeight="false" outlineLevel="0" collapsed="false">
      <c r="K343" s="56" t="n">
        <f aca="false">K342+1</f>
        <v>336</v>
      </c>
      <c r="L343" s="56" t="n">
        <f aca="false">IF(K343&lt;=$B$14*12,1,0)</f>
        <v>0</v>
      </c>
      <c r="M343" s="58" t="n">
        <f aca="false">O342</f>
        <v>248169.471516484</v>
      </c>
      <c r="N343" s="58" t="n">
        <f aca="false">IF(L343=1,M343*$B$23,0)</f>
        <v>0</v>
      </c>
      <c r="O343" s="58" t="n">
        <f aca="false">IF(L343=1,M343-($B$22-N343),M343)</f>
        <v>248169.471516484</v>
      </c>
      <c r="P343" s="58" t="n">
        <f aca="false">P342+N343</f>
        <v>113632.453202425</v>
      </c>
    </row>
    <row r="344" customFormat="false" ht="15" hidden="false" customHeight="false" outlineLevel="0" collapsed="false">
      <c r="K344" s="56" t="n">
        <f aca="false">K343+1</f>
        <v>337</v>
      </c>
      <c r="L344" s="56" t="n">
        <f aca="false">IF(K344&lt;=$B$14*12,1,0)</f>
        <v>0</v>
      </c>
      <c r="M344" s="58" t="n">
        <f aca="false">O343</f>
        <v>248169.471516484</v>
      </c>
      <c r="N344" s="58" t="n">
        <f aca="false">IF(L344=1,M344*$B$23,0)</f>
        <v>0</v>
      </c>
      <c r="O344" s="58" t="n">
        <f aca="false">IF(L344=1,M344-($B$22-N344),M344)</f>
        <v>248169.471516484</v>
      </c>
      <c r="P344" s="58" t="n">
        <f aca="false">P343+N344</f>
        <v>113632.453202425</v>
      </c>
    </row>
    <row r="345" customFormat="false" ht="15" hidden="false" customHeight="false" outlineLevel="0" collapsed="false">
      <c r="K345" s="56" t="n">
        <f aca="false">K344+1</f>
        <v>338</v>
      </c>
      <c r="L345" s="56" t="n">
        <f aca="false">IF(K345&lt;=$B$14*12,1,0)</f>
        <v>0</v>
      </c>
      <c r="M345" s="58" t="n">
        <f aca="false">O344</f>
        <v>248169.471516484</v>
      </c>
      <c r="N345" s="58" t="n">
        <f aca="false">IF(L345=1,M345*$B$23,0)</f>
        <v>0</v>
      </c>
      <c r="O345" s="58" t="n">
        <f aca="false">IF(L345=1,M345-($B$22-N345),M345)</f>
        <v>248169.471516484</v>
      </c>
      <c r="P345" s="58" t="n">
        <f aca="false">P344+N345</f>
        <v>113632.453202425</v>
      </c>
    </row>
    <row r="346" customFormat="false" ht="15" hidden="false" customHeight="false" outlineLevel="0" collapsed="false">
      <c r="K346" s="56" t="n">
        <f aca="false">K345+1</f>
        <v>339</v>
      </c>
      <c r="L346" s="56" t="n">
        <f aca="false">IF(K346&lt;=$B$14*12,1,0)</f>
        <v>0</v>
      </c>
      <c r="M346" s="58" t="n">
        <f aca="false">O345</f>
        <v>248169.471516484</v>
      </c>
      <c r="N346" s="58" t="n">
        <f aca="false">IF(L346=1,M346*$B$23,0)</f>
        <v>0</v>
      </c>
      <c r="O346" s="58" t="n">
        <f aca="false">IF(L346=1,M346-($B$22-N346),M346)</f>
        <v>248169.471516484</v>
      </c>
      <c r="P346" s="58" t="n">
        <f aca="false">P345+N346</f>
        <v>113632.453202425</v>
      </c>
    </row>
    <row r="347" customFormat="false" ht="15" hidden="false" customHeight="false" outlineLevel="0" collapsed="false">
      <c r="K347" s="56" t="n">
        <f aca="false">K346+1</f>
        <v>340</v>
      </c>
      <c r="L347" s="56" t="n">
        <f aca="false">IF(K347&lt;=$B$14*12,1,0)</f>
        <v>0</v>
      </c>
      <c r="M347" s="58" t="n">
        <f aca="false">O346</f>
        <v>248169.471516484</v>
      </c>
      <c r="N347" s="58" t="n">
        <f aca="false">IF(L347=1,M347*$B$23,0)</f>
        <v>0</v>
      </c>
      <c r="O347" s="58" t="n">
        <f aca="false">IF(L347=1,M347-($B$22-N347),M347)</f>
        <v>248169.471516484</v>
      </c>
      <c r="P347" s="58" t="n">
        <f aca="false">P346+N347</f>
        <v>113632.453202425</v>
      </c>
    </row>
    <row r="348" customFormat="false" ht="15" hidden="false" customHeight="false" outlineLevel="0" collapsed="false">
      <c r="K348" s="56" t="n">
        <f aca="false">K347+1</f>
        <v>341</v>
      </c>
      <c r="L348" s="56" t="n">
        <f aca="false">IF(K348&lt;=$B$14*12,1,0)</f>
        <v>0</v>
      </c>
      <c r="M348" s="58" t="n">
        <f aca="false">O347</f>
        <v>248169.471516484</v>
      </c>
      <c r="N348" s="58" t="n">
        <f aca="false">IF(L348=1,M348*$B$23,0)</f>
        <v>0</v>
      </c>
      <c r="O348" s="58" t="n">
        <f aca="false">IF(L348=1,M348-($B$22-N348),M348)</f>
        <v>248169.471516484</v>
      </c>
      <c r="P348" s="58" t="n">
        <f aca="false">P347+N348</f>
        <v>113632.453202425</v>
      </c>
    </row>
    <row r="349" customFormat="false" ht="15" hidden="false" customHeight="false" outlineLevel="0" collapsed="false">
      <c r="K349" s="56" t="n">
        <f aca="false">K348+1</f>
        <v>342</v>
      </c>
      <c r="L349" s="56" t="n">
        <f aca="false">IF(K349&lt;=$B$14*12,1,0)</f>
        <v>0</v>
      </c>
      <c r="M349" s="58" t="n">
        <f aca="false">O348</f>
        <v>248169.471516484</v>
      </c>
      <c r="N349" s="58" t="n">
        <f aca="false">IF(L349=1,M349*$B$23,0)</f>
        <v>0</v>
      </c>
      <c r="O349" s="58" t="n">
        <f aca="false">IF(L349=1,M349-($B$22-N349),M349)</f>
        <v>248169.471516484</v>
      </c>
      <c r="P349" s="58" t="n">
        <f aca="false">P348+N349</f>
        <v>113632.453202425</v>
      </c>
    </row>
    <row r="350" customFormat="false" ht="15" hidden="false" customHeight="false" outlineLevel="0" collapsed="false">
      <c r="K350" s="56" t="n">
        <f aca="false">K349+1</f>
        <v>343</v>
      </c>
      <c r="L350" s="56" t="n">
        <f aca="false">IF(K350&lt;=$B$14*12,1,0)</f>
        <v>0</v>
      </c>
      <c r="M350" s="58" t="n">
        <f aca="false">O349</f>
        <v>248169.471516484</v>
      </c>
      <c r="N350" s="58" t="n">
        <f aca="false">IF(L350=1,M350*$B$23,0)</f>
        <v>0</v>
      </c>
      <c r="O350" s="58" t="n">
        <f aca="false">IF(L350=1,M350-($B$22-N350),M350)</f>
        <v>248169.471516484</v>
      </c>
      <c r="P350" s="58" t="n">
        <f aca="false">P349+N350</f>
        <v>113632.453202425</v>
      </c>
    </row>
    <row r="351" customFormat="false" ht="15" hidden="false" customHeight="false" outlineLevel="0" collapsed="false">
      <c r="K351" s="56" t="n">
        <f aca="false">K350+1</f>
        <v>344</v>
      </c>
      <c r="L351" s="56" t="n">
        <f aca="false">IF(K351&lt;=$B$14*12,1,0)</f>
        <v>0</v>
      </c>
      <c r="M351" s="58" t="n">
        <f aca="false">O350</f>
        <v>248169.471516484</v>
      </c>
      <c r="N351" s="58" t="n">
        <f aca="false">IF(L351=1,M351*$B$23,0)</f>
        <v>0</v>
      </c>
      <c r="O351" s="58" t="n">
        <f aca="false">IF(L351=1,M351-($B$22-N351),M351)</f>
        <v>248169.471516484</v>
      </c>
      <c r="P351" s="58" t="n">
        <f aca="false">P350+N351</f>
        <v>113632.453202425</v>
      </c>
    </row>
    <row r="352" customFormat="false" ht="15" hidden="false" customHeight="false" outlineLevel="0" collapsed="false">
      <c r="K352" s="56" t="n">
        <f aca="false">K351+1</f>
        <v>345</v>
      </c>
      <c r="L352" s="56" t="n">
        <f aca="false">IF(K352&lt;=$B$14*12,1,0)</f>
        <v>0</v>
      </c>
      <c r="M352" s="58" t="n">
        <f aca="false">O351</f>
        <v>248169.471516484</v>
      </c>
      <c r="N352" s="58" t="n">
        <f aca="false">IF(L352=1,M352*$B$23,0)</f>
        <v>0</v>
      </c>
      <c r="O352" s="58" t="n">
        <f aca="false">IF(L352=1,M352-($B$22-N352),M352)</f>
        <v>248169.471516484</v>
      </c>
      <c r="P352" s="58" t="n">
        <f aca="false">P351+N352</f>
        <v>113632.453202425</v>
      </c>
    </row>
    <row r="353" customFormat="false" ht="15" hidden="false" customHeight="false" outlineLevel="0" collapsed="false">
      <c r="K353" s="56" t="n">
        <f aca="false">K352+1</f>
        <v>346</v>
      </c>
      <c r="L353" s="56" t="n">
        <f aca="false">IF(K353&lt;=$B$14*12,1,0)</f>
        <v>0</v>
      </c>
      <c r="M353" s="58" t="n">
        <f aca="false">O352</f>
        <v>248169.471516484</v>
      </c>
      <c r="N353" s="58" t="n">
        <f aca="false">IF(L353=1,M353*$B$23,0)</f>
        <v>0</v>
      </c>
      <c r="O353" s="58" t="n">
        <f aca="false">IF(L353=1,M353-($B$22-N353),M353)</f>
        <v>248169.471516484</v>
      </c>
      <c r="P353" s="58" t="n">
        <f aca="false">P352+N353</f>
        <v>113632.453202425</v>
      </c>
    </row>
    <row r="354" customFormat="false" ht="15" hidden="false" customHeight="false" outlineLevel="0" collapsed="false">
      <c r="K354" s="56" t="n">
        <f aca="false">K353+1</f>
        <v>347</v>
      </c>
      <c r="L354" s="56" t="n">
        <f aca="false">IF(K354&lt;=$B$14*12,1,0)</f>
        <v>0</v>
      </c>
      <c r="M354" s="58" t="n">
        <f aca="false">O353</f>
        <v>248169.471516484</v>
      </c>
      <c r="N354" s="58" t="n">
        <f aca="false">IF(L354=1,M354*$B$23,0)</f>
        <v>0</v>
      </c>
      <c r="O354" s="58" t="n">
        <f aca="false">IF(L354=1,M354-($B$22-N354),M354)</f>
        <v>248169.471516484</v>
      </c>
      <c r="P354" s="58" t="n">
        <f aca="false">P353+N354</f>
        <v>113632.453202425</v>
      </c>
    </row>
    <row r="355" customFormat="false" ht="15" hidden="false" customHeight="false" outlineLevel="0" collapsed="false">
      <c r="K355" s="56" t="n">
        <f aca="false">K354+1</f>
        <v>348</v>
      </c>
      <c r="L355" s="56" t="n">
        <f aca="false">IF(K355&lt;=$B$14*12,1,0)</f>
        <v>0</v>
      </c>
      <c r="M355" s="58" t="n">
        <f aca="false">O354</f>
        <v>248169.471516484</v>
      </c>
      <c r="N355" s="58" t="n">
        <f aca="false">IF(L355=1,M355*$B$23,0)</f>
        <v>0</v>
      </c>
      <c r="O355" s="58" t="n">
        <f aca="false">IF(L355=1,M355-($B$22-N355),M355)</f>
        <v>248169.471516484</v>
      </c>
      <c r="P355" s="58" t="n">
        <f aca="false">P354+N355</f>
        <v>113632.453202425</v>
      </c>
    </row>
    <row r="356" customFormat="false" ht="15" hidden="false" customHeight="false" outlineLevel="0" collapsed="false">
      <c r="K356" s="56" t="n">
        <f aca="false">K355+1</f>
        <v>349</v>
      </c>
      <c r="L356" s="56" t="n">
        <f aca="false">IF(K356&lt;=$B$14*12,1,0)</f>
        <v>0</v>
      </c>
      <c r="M356" s="58" t="n">
        <f aca="false">O355</f>
        <v>248169.471516484</v>
      </c>
      <c r="N356" s="58" t="n">
        <f aca="false">IF(L356=1,M356*$B$23,0)</f>
        <v>0</v>
      </c>
      <c r="O356" s="58" t="n">
        <f aca="false">IF(L356=1,M356-($B$22-N356),M356)</f>
        <v>248169.471516484</v>
      </c>
      <c r="P356" s="58" t="n">
        <f aca="false">P355+N356</f>
        <v>113632.453202425</v>
      </c>
    </row>
    <row r="357" customFormat="false" ht="15" hidden="false" customHeight="false" outlineLevel="0" collapsed="false">
      <c r="K357" s="56" t="n">
        <f aca="false">K356+1</f>
        <v>350</v>
      </c>
      <c r="L357" s="56" t="n">
        <f aca="false">IF(K357&lt;=$B$14*12,1,0)</f>
        <v>0</v>
      </c>
      <c r="M357" s="58" t="n">
        <f aca="false">O356</f>
        <v>248169.471516484</v>
      </c>
      <c r="N357" s="58" t="n">
        <f aca="false">IF(L357=1,M357*$B$23,0)</f>
        <v>0</v>
      </c>
      <c r="O357" s="58" t="n">
        <f aca="false">IF(L357=1,M357-($B$22-N357),M357)</f>
        <v>248169.471516484</v>
      </c>
      <c r="P357" s="58" t="n">
        <f aca="false">P356+N357</f>
        <v>113632.453202425</v>
      </c>
    </row>
    <row r="358" customFormat="false" ht="15" hidden="false" customHeight="false" outlineLevel="0" collapsed="false">
      <c r="K358" s="56" t="n">
        <f aca="false">K357+1</f>
        <v>351</v>
      </c>
      <c r="L358" s="56" t="n">
        <f aca="false">IF(K358&lt;=$B$14*12,1,0)</f>
        <v>0</v>
      </c>
      <c r="M358" s="58" t="n">
        <f aca="false">O357</f>
        <v>248169.471516484</v>
      </c>
      <c r="N358" s="58" t="n">
        <f aca="false">IF(L358=1,M358*$B$23,0)</f>
        <v>0</v>
      </c>
      <c r="O358" s="58" t="n">
        <f aca="false">IF(L358=1,M358-($B$22-N358),M358)</f>
        <v>248169.471516484</v>
      </c>
      <c r="P358" s="58" t="n">
        <f aca="false">P357+N358</f>
        <v>113632.453202425</v>
      </c>
    </row>
    <row r="359" customFormat="false" ht="15" hidden="false" customHeight="false" outlineLevel="0" collapsed="false">
      <c r="K359" s="56" t="n">
        <f aca="false">K358+1</f>
        <v>352</v>
      </c>
      <c r="L359" s="56" t="n">
        <f aca="false">IF(K359&lt;=$B$14*12,1,0)</f>
        <v>0</v>
      </c>
      <c r="M359" s="58" t="n">
        <f aca="false">O358</f>
        <v>248169.471516484</v>
      </c>
      <c r="N359" s="58" t="n">
        <f aca="false">IF(L359=1,M359*$B$23,0)</f>
        <v>0</v>
      </c>
      <c r="O359" s="58" t="n">
        <f aca="false">IF(L359=1,M359-($B$22-N359),M359)</f>
        <v>248169.471516484</v>
      </c>
      <c r="P359" s="58" t="n">
        <f aca="false">P358+N359</f>
        <v>113632.453202425</v>
      </c>
    </row>
    <row r="360" customFormat="false" ht="15" hidden="false" customHeight="false" outlineLevel="0" collapsed="false">
      <c r="K360" s="56" t="n">
        <f aca="false">K359+1</f>
        <v>353</v>
      </c>
      <c r="L360" s="56" t="n">
        <f aca="false">IF(K360&lt;=$B$14*12,1,0)</f>
        <v>0</v>
      </c>
      <c r="M360" s="58" t="n">
        <f aca="false">O359</f>
        <v>248169.471516484</v>
      </c>
      <c r="N360" s="58" t="n">
        <f aca="false">IF(L360=1,M360*$B$23,0)</f>
        <v>0</v>
      </c>
      <c r="O360" s="58" t="n">
        <f aca="false">IF(L360=1,M360-($B$22-N360),M360)</f>
        <v>248169.471516484</v>
      </c>
      <c r="P360" s="58" t="n">
        <f aca="false">P359+N360</f>
        <v>113632.453202425</v>
      </c>
    </row>
    <row r="361" customFormat="false" ht="15" hidden="false" customHeight="false" outlineLevel="0" collapsed="false">
      <c r="K361" s="56" t="n">
        <f aca="false">K360+1</f>
        <v>354</v>
      </c>
      <c r="L361" s="56" t="n">
        <f aca="false">IF(K361&lt;=$B$14*12,1,0)</f>
        <v>0</v>
      </c>
      <c r="M361" s="58" t="n">
        <f aca="false">O360</f>
        <v>248169.471516484</v>
      </c>
      <c r="N361" s="58" t="n">
        <f aca="false">IF(L361=1,M361*$B$23,0)</f>
        <v>0</v>
      </c>
      <c r="O361" s="58" t="n">
        <f aca="false">IF(L361=1,M361-($B$22-N361),M361)</f>
        <v>248169.471516484</v>
      </c>
      <c r="P361" s="58" t="n">
        <f aca="false">P360+N361</f>
        <v>113632.453202425</v>
      </c>
    </row>
    <row r="362" customFormat="false" ht="15" hidden="false" customHeight="false" outlineLevel="0" collapsed="false">
      <c r="K362" s="56" t="n">
        <f aca="false">K361+1</f>
        <v>355</v>
      </c>
      <c r="L362" s="56" t="n">
        <f aca="false">IF(K362&lt;=$B$14*12,1,0)</f>
        <v>0</v>
      </c>
      <c r="M362" s="58" t="n">
        <f aca="false">O361</f>
        <v>248169.471516484</v>
      </c>
      <c r="N362" s="58" t="n">
        <f aca="false">IF(L362=1,M362*$B$23,0)</f>
        <v>0</v>
      </c>
      <c r="O362" s="58" t="n">
        <f aca="false">IF(L362=1,M362-($B$22-N362),M362)</f>
        <v>248169.471516484</v>
      </c>
      <c r="P362" s="58" t="n">
        <f aca="false">P361+N362</f>
        <v>113632.453202425</v>
      </c>
    </row>
    <row r="363" customFormat="false" ht="15" hidden="false" customHeight="false" outlineLevel="0" collapsed="false">
      <c r="K363" s="56" t="n">
        <f aca="false">K362+1</f>
        <v>356</v>
      </c>
      <c r="L363" s="56" t="n">
        <f aca="false">IF(K363&lt;=$B$14*12,1,0)</f>
        <v>0</v>
      </c>
      <c r="M363" s="58" t="n">
        <f aca="false">O362</f>
        <v>248169.471516484</v>
      </c>
      <c r="N363" s="58" t="n">
        <f aca="false">IF(L363=1,M363*$B$23,0)</f>
        <v>0</v>
      </c>
      <c r="O363" s="58" t="n">
        <f aca="false">IF(L363=1,M363-($B$22-N363),M363)</f>
        <v>248169.471516484</v>
      </c>
      <c r="P363" s="58" t="n">
        <f aca="false">P362+N363</f>
        <v>113632.453202425</v>
      </c>
    </row>
    <row r="364" customFormat="false" ht="15" hidden="false" customHeight="false" outlineLevel="0" collapsed="false">
      <c r="K364" s="56" t="n">
        <f aca="false">K363+1</f>
        <v>357</v>
      </c>
      <c r="L364" s="56" t="n">
        <f aca="false">IF(K364&lt;=$B$14*12,1,0)</f>
        <v>0</v>
      </c>
      <c r="M364" s="58" t="n">
        <f aca="false">O363</f>
        <v>248169.471516484</v>
      </c>
      <c r="N364" s="58" t="n">
        <f aca="false">IF(L364=1,M364*$B$23,0)</f>
        <v>0</v>
      </c>
      <c r="O364" s="58" t="n">
        <f aca="false">IF(L364=1,M364-($B$22-N364),M364)</f>
        <v>248169.471516484</v>
      </c>
      <c r="P364" s="58" t="n">
        <f aca="false">P363+N364</f>
        <v>113632.453202425</v>
      </c>
    </row>
    <row r="365" customFormat="false" ht="15" hidden="false" customHeight="false" outlineLevel="0" collapsed="false">
      <c r="K365" s="56" t="n">
        <f aca="false">K364+1</f>
        <v>358</v>
      </c>
      <c r="L365" s="56" t="n">
        <f aca="false">IF(K365&lt;=$B$14*12,1,0)</f>
        <v>0</v>
      </c>
      <c r="M365" s="58" t="n">
        <f aca="false">O364</f>
        <v>248169.471516484</v>
      </c>
      <c r="N365" s="58" t="n">
        <f aca="false">IF(L365=1,M365*$B$23,0)</f>
        <v>0</v>
      </c>
      <c r="O365" s="58" t="n">
        <f aca="false">IF(L365=1,M365-($B$22-N365),M365)</f>
        <v>248169.471516484</v>
      </c>
      <c r="P365" s="58" t="n">
        <f aca="false">P364+N365</f>
        <v>113632.453202425</v>
      </c>
    </row>
    <row r="366" customFormat="false" ht="15" hidden="false" customHeight="false" outlineLevel="0" collapsed="false">
      <c r="K366" s="56" t="n">
        <f aca="false">K365+1</f>
        <v>359</v>
      </c>
      <c r="L366" s="56" t="n">
        <f aca="false">IF(K366&lt;=$B$14*12,1,0)</f>
        <v>0</v>
      </c>
      <c r="M366" s="58" t="n">
        <f aca="false">O365</f>
        <v>248169.471516484</v>
      </c>
      <c r="N366" s="58" t="n">
        <f aca="false">IF(L366=1,M366*$B$23,0)</f>
        <v>0</v>
      </c>
      <c r="O366" s="58" t="n">
        <f aca="false">IF(L366=1,M366-($B$22-N366),M366)</f>
        <v>248169.471516484</v>
      </c>
      <c r="P366" s="58" t="n">
        <f aca="false">P365+N366</f>
        <v>113632.453202425</v>
      </c>
    </row>
    <row r="367" customFormat="false" ht="15" hidden="false" customHeight="false" outlineLevel="0" collapsed="false">
      <c r="K367" s="56" t="n">
        <f aca="false">K366+1</f>
        <v>360</v>
      </c>
      <c r="L367" s="56" t="n">
        <f aca="false">IF(K367&lt;=$B$14*12,1,0)</f>
        <v>0</v>
      </c>
      <c r="M367" s="58" t="n">
        <f aca="false">O366</f>
        <v>248169.471516484</v>
      </c>
      <c r="N367" s="58" t="n">
        <f aca="false">IF(L367=1,M367*$B$23,0)</f>
        <v>0</v>
      </c>
      <c r="O367" s="58" t="n">
        <f aca="false">IF(L367=1,M367-($B$22-N367),M367)</f>
        <v>248169.471516484</v>
      </c>
      <c r="P367" s="58" t="n">
        <f aca="false">P366+N367</f>
        <v>113632.453202425</v>
      </c>
    </row>
  </sheetData>
  <mergeCells count="21">
    <mergeCell ref="A3:I3"/>
    <mergeCell ref="A4:I4"/>
    <mergeCell ref="A5:I5"/>
    <mergeCell ref="D19:I19"/>
    <mergeCell ref="D20:I20"/>
    <mergeCell ref="D21:I21"/>
    <mergeCell ref="D22:I22"/>
    <mergeCell ref="D23:I23"/>
    <mergeCell ref="D24:I24"/>
    <mergeCell ref="D25:I25"/>
    <mergeCell ref="D26:I26"/>
    <mergeCell ref="D27:I27"/>
    <mergeCell ref="D28:I28"/>
    <mergeCell ref="D29:I29"/>
    <mergeCell ref="D33:I33"/>
    <mergeCell ref="D34:I34"/>
    <mergeCell ref="D35:I35"/>
    <mergeCell ref="D36:I36"/>
    <mergeCell ref="D37:I37"/>
    <mergeCell ref="D38:I38"/>
    <mergeCell ref="D39:I39"/>
  </mergeCells>
  <dataValidations count="6">
    <dataValidation allowBlank="false" error="The prototype accepts 0.01 to 0.08 here." errorStyle="stop" errorTitle="Outside the prototype range" operator="between" showDropDown="false" showErrorMessage="true" showInputMessage="false" sqref="B13" type="decimal">
      <formula1>0.01</formula1>
      <formula2>0.08</formula2>
    </dataValidation>
    <dataValidation allowBlank="false" error="The prototype accepts 100000 to 10000000 here." errorStyle="stop" errorTitle="Outside the prototype range" operator="between" showDropDown="false" showErrorMessage="true" showInputMessage="false" sqref="B11" type="decimal">
      <formula1>100000</formula1>
      <formula2>10000000</formula2>
    </dataValidation>
    <dataValidation allowBlank="false" error="The prototype accepts 500 to 50000 here." errorStyle="stop" errorTitle="Outside the prototype range" operator="between" showDropDown="false" showErrorMessage="true" showInputMessage="false" sqref="B10" type="decimal">
      <formula1>500</formula1>
      <formula2>50000</formula2>
    </dataValidation>
    <dataValidation allowBlank="false" error="The prototype accepts 0 to 3000000 here." errorStyle="stop" errorTitle="Outside the prototype range" operator="between" showDropDown="false" showErrorMessage="true" showInputMessage="false" sqref="B12" type="decimal">
      <formula1>0</formula1>
      <formula2>3000000</formula2>
    </dataValidation>
    <dataValidation allowBlank="false" error="The prototype accepts 1 to 30 here." errorStyle="stop" errorTitle="Outside the prototype range" operator="between" showDropDown="false" showErrorMessage="true" showInputMessage="false" sqref="B14" type="decimal">
      <formula1>1</formula1>
      <formula2>30</formula2>
    </dataValidation>
    <dataValidation allowBlank="false" error="The prototype accepts 0.0 to 0.06 here." errorStyle="stop" errorTitle="Outside the prototype range" operator="between" showDropDown="false" showErrorMessage="true" showInputMessage="false" sqref="B15" type="decimal">
      <formula1>0</formula1>
      <formula2>0.06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631</v>
      </c>
    </row>
    <row r="2" customFormat="false" ht="15" hidden="false" customHeight="false" outlineLevel="0" collapsed="false">
      <c r="A2" s="30" t="s">
        <v>632</v>
      </c>
    </row>
    <row r="3" customFormat="false" ht="37.5" hidden="false" customHeight="true" outlineLevel="0" collapsed="false">
      <c r="A3" s="31" t="s">
        <v>633</v>
      </c>
      <c r="B3" s="31"/>
      <c r="C3" s="31"/>
      <c r="D3" s="31"/>
      <c r="E3" s="31"/>
      <c r="F3" s="31"/>
      <c r="G3" s="31"/>
      <c r="H3" s="31"/>
      <c r="I3" s="31"/>
    </row>
    <row r="4" customFormat="false" ht="63.75" hidden="false" customHeight="true" outlineLevel="0" collapsed="false">
      <c r="A4" s="31" t="s">
        <v>634</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635</v>
      </c>
      <c r="B10" s="33" t="n">
        <v>15000</v>
      </c>
      <c r="C10" s="7" t="s">
        <v>257</v>
      </c>
      <c r="D10" s="34" t="n">
        <v>15000</v>
      </c>
      <c r="E10" s="34" t="n">
        <v>500</v>
      </c>
      <c r="F10" s="34" t="n">
        <v>500000</v>
      </c>
      <c r="G10" s="34" t="n">
        <v>5000000</v>
      </c>
      <c r="H10" s="34" t="n">
        <v>500</v>
      </c>
      <c r="I10" s="35"/>
    </row>
    <row r="11" customFormat="false" ht="15" hidden="false" customHeight="false" outlineLevel="0" collapsed="false">
      <c r="A11" s="7" t="s">
        <v>636</v>
      </c>
      <c r="B11" s="36" t="n">
        <v>3</v>
      </c>
      <c r="C11" s="7" t="s">
        <v>388</v>
      </c>
      <c r="D11" s="37" t="n">
        <v>3</v>
      </c>
      <c r="E11" s="37" t="n">
        <v>1</v>
      </c>
      <c r="F11" s="37" t="n">
        <v>30</v>
      </c>
      <c r="G11" s="37" t="n">
        <v>30</v>
      </c>
      <c r="H11" s="37" t="n">
        <v>1</v>
      </c>
      <c r="I11" s="35"/>
    </row>
    <row r="12" customFormat="false" ht="15" hidden="false" customHeight="false" outlineLevel="0" collapsed="false">
      <c r="A12" s="7" t="s">
        <v>637</v>
      </c>
      <c r="B12" s="33" t="n">
        <v>2000</v>
      </c>
      <c r="C12" s="7" t="s">
        <v>257</v>
      </c>
      <c r="D12" s="34" t="n">
        <v>2000</v>
      </c>
      <c r="E12" s="34" t="n">
        <v>0</v>
      </c>
      <c r="F12" s="34" t="n">
        <v>200000</v>
      </c>
      <c r="G12" s="34" t="n">
        <v>2000000</v>
      </c>
      <c r="H12" s="34" t="n">
        <v>500</v>
      </c>
      <c r="I12" s="35"/>
    </row>
    <row r="13" customFormat="false" ht="15" hidden="false" customHeight="false" outlineLevel="0" collapsed="false">
      <c r="A13" s="7" t="s">
        <v>638</v>
      </c>
      <c r="B13" s="38" t="n">
        <v>0.02</v>
      </c>
      <c r="C13" s="7" t="s">
        <v>386</v>
      </c>
      <c r="D13" s="39" t="n">
        <v>0.02</v>
      </c>
      <c r="E13" s="39" t="n">
        <v>0</v>
      </c>
      <c r="F13" s="39" t="n">
        <v>0.07</v>
      </c>
      <c r="G13" s="39" t="n">
        <v>0.07</v>
      </c>
      <c r="H13" s="39" t="n">
        <v>0.005</v>
      </c>
      <c r="I13" s="35"/>
    </row>
    <row r="15" customFormat="false" ht="15" hidden="false" customHeight="false" outlineLevel="0" collapsed="false">
      <c r="A15" s="15" t="s">
        <v>391</v>
      </c>
      <c r="B15" s="16"/>
      <c r="C15" s="16"/>
      <c r="D15" s="16"/>
      <c r="E15" s="16"/>
      <c r="F15" s="16"/>
      <c r="G15" s="16"/>
      <c r="H15" s="16"/>
      <c r="I15" s="16"/>
    </row>
    <row r="16" customFormat="false" ht="15" hidden="false" customHeight="false" outlineLevel="0" collapsed="false">
      <c r="A16" s="17" t="s">
        <v>392</v>
      </c>
      <c r="B16" s="17" t="s">
        <v>192</v>
      </c>
      <c r="C16" s="17" t="s">
        <v>193</v>
      </c>
      <c r="D16" s="17" t="s">
        <v>393</v>
      </c>
    </row>
    <row r="17" customFormat="false" ht="15" hidden="false" customHeight="false" outlineLevel="0" collapsed="false">
      <c r="A17" s="7" t="s">
        <v>639</v>
      </c>
      <c r="B17" s="44" t="n">
        <f aca="false">IF(Assumptions!$C$6=1,$B$10*POWER(1+Assumptions!$C$14,$B$11),$B$10)</f>
        <v>15918.12</v>
      </c>
      <c r="C17" s="41" t="s">
        <v>257</v>
      </c>
      <c r="D17" s="42" t="s">
        <v>640</v>
      </c>
      <c r="E17" s="42"/>
      <c r="F17" s="42"/>
      <c r="G17" s="42"/>
      <c r="H17" s="42"/>
      <c r="I17" s="42"/>
    </row>
    <row r="18" customFormat="false" ht="15" hidden="false" customHeight="false" outlineLevel="0" collapsed="false">
      <c r="A18" s="7" t="s">
        <v>641</v>
      </c>
      <c r="B18" s="43" t="n">
        <f aca="false">$B$12*POWER(1+$B$13,$B$11)</f>
        <v>2122.416</v>
      </c>
      <c r="C18" s="41" t="s">
        <v>257</v>
      </c>
      <c r="D18" s="42" t="s">
        <v>642</v>
      </c>
      <c r="E18" s="42"/>
      <c r="F18" s="42"/>
      <c r="G18" s="42"/>
      <c r="H18" s="42"/>
      <c r="I18" s="42"/>
    </row>
    <row r="19" customFormat="false" ht="15" hidden="false" customHeight="false" outlineLevel="0" collapsed="false">
      <c r="A19" s="7" t="s">
        <v>643</v>
      </c>
      <c r="B19" s="43" t="n">
        <f aca="false">$B$17-$B$18</f>
        <v>13795.704</v>
      </c>
      <c r="C19" s="41" t="s">
        <v>257</v>
      </c>
      <c r="D19" s="42" t="s">
        <v>644</v>
      </c>
      <c r="E19" s="42"/>
      <c r="F19" s="42"/>
      <c r="G19" s="42"/>
      <c r="H19" s="42"/>
      <c r="I19" s="42"/>
    </row>
    <row r="20" customFormat="false" ht="15" hidden="false" customHeight="false" outlineLevel="0" collapsed="false">
      <c r="A20" s="7" t="s">
        <v>645</v>
      </c>
      <c r="B20" s="45" t="n">
        <f aca="false">POWER(1+$B$13,1/12)-1</f>
        <v>0.00165158130192022</v>
      </c>
      <c r="C20" s="41" t="s">
        <v>407</v>
      </c>
      <c r="D20" s="42" t="s">
        <v>646</v>
      </c>
      <c r="E20" s="42"/>
      <c r="F20" s="42"/>
      <c r="G20" s="42"/>
      <c r="H20" s="42"/>
      <c r="I20" s="42"/>
    </row>
    <row r="21" customFormat="false" ht="15" hidden="false" customHeight="false" outlineLevel="0" collapsed="false">
      <c r="A21" s="7" t="s">
        <v>647</v>
      </c>
      <c r="B21" s="46" t="n">
        <f aca="false">$B$11*12</f>
        <v>36</v>
      </c>
      <c r="C21" s="41" t="s">
        <v>240</v>
      </c>
      <c r="D21" s="42" t="s">
        <v>410</v>
      </c>
      <c r="E21" s="42"/>
      <c r="F21" s="42"/>
      <c r="G21" s="42"/>
      <c r="H21" s="42"/>
      <c r="I21" s="42"/>
    </row>
    <row r="22" customFormat="false" ht="15" hidden="false" customHeight="false" outlineLevel="0" collapsed="false">
      <c r="A22" s="7" t="s">
        <v>648</v>
      </c>
      <c r="B22" s="63" t="n">
        <f aca="false">IF($B$20&lt;&gt;0,(POWER(1+$B$20,$B$21)-1)/$B$20,$B$21)</f>
        <v>37.0602403459266</v>
      </c>
      <c r="C22" s="41" t="s">
        <v>507</v>
      </c>
      <c r="D22" s="42" t="s">
        <v>649</v>
      </c>
      <c r="E22" s="42"/>
      <c r="F22" s="42"/>
      <c r="G22" s="42"/>
      <c r="H22" s="42"/>
      <c r="I22" s="42"/>
    </row>
    <row r="23" customFormat="false" ht="15" hidden="false" customHeight="false" outlineLevel="0" collapsed="false">
      <c r="A23" s="7" t="s">
        <v>650</v>
      </c>
      <c r="B23" s="43" t="n">
        <f aca="false">IF($B$19&gt;0,$B$19/$B$22,0)</f>
        <v>372.250796843964</v>
      </c>
      <c r="C23" s="41" t="s">
        <v>257</v>
      </c>
      <c r="D23" s="42" t="s">
        <v>651</v>
      </c>
      <c r="E23" s="42"/>
      <c r="F23" s="42"/>
      <c r="G23" s="42"/>
      <c r="H23" s="42"/>
      <c r="I23" s="42"/>
    </row>
    <row r="25" customFormat="false" ht="15" hidden="false" customHeight="false" outlineLevel="0" collapsed="false">
      <c r="A25" s="15" t="s">
        <v>415</v>
      </c>
      <c r="B25" s="16"/>
      <c r="C25" s="16"/>
      <c r="D25" s="16"/>
      <c r="E25" s="16"/>
      <c r="F25" s="16"/>
      <c r="G25" s="16"/>
      <c r="H25" s="16"/>
      <c r="I25" s="16"/>
    </row>
    <row r="26" customFormat="false" ht="15" hidden="false" customHeight="false" outlineLevel="0" collapsed="false">
      <c r="A26" s="17" t="s">
        <v>416</v>
      </c>
      <c r="B26" s="17" t="s">
        <v>192</v>
      </c>
      <c r="C26" s="17" t="s">
        <v>417</v>
      </c>
      <c r="D26" s="17" t="s">
        <v>418</v>
      </c>
    </row>
    <row r="27" customFormat="false" ht="15" hidden="false" customHeight="false" outlineLevel="0" collapsed="false">
      <c r="A27" s="4" t="s">
        <v>419</v>
      </c>
      <c r="B27" s="48"/>
      <c r="C27" s="49" t="str">
        <f aca="false">"Monthly amount (illustrative)"</f>
        <v>Monthly amount (illustrative)</v>
      </c>
      <c r="D27" s="42" t="s">
        <v>420</v>
      </c>
      <c r="E27" s="42"/>
      <c r="F27" s="42"/>
      <c r="G27" s="42"/>
      <c r="H27" s="42"/>
      <c r="I27" s="42"/>
    </row>
    <row r="28" customFormat="false" ht="15" hidden="false" customHeight="false" outlineLevel="0" collapsed="false">
      <c r="A28" s="4" t="s">
        <v>652</v>
      </c>
      <c r="B28" s="50" t="n">
        <f aca="false">$B$23</f>
        <v>372.250796843964</v>
      </c>
      <c r="C28" s="49" t="str">
        <f aca="false">IF(($B$23)&lt;0,"−€","€")&amp;FIXED(ROUND(ABS($B$23),0),0)</f>
        <v>€372</v>
      </c>
      <c r="D28" s="42" t="s">
        <v>653</v>
      </c>
      <c r="E28" s="42"/>
      <c r="F28" s="42"/>
      <c r="G28" s="42"/>
      <c r="H28" s="42"/>
      <c r="I28" s="42"/>
    </row>
    <row r="29" customFormat="false" ht="15" hidden="false" customHeight="false" outlineLevel="0" collapsed="false">
      <c r="A29" s="4" t="s">
        <v>654</v>
      </c>
      <c r="B29" s="50" t="n">
        <f aca="false">$B$10</f>
        <v>15000</v>
      </c>
      <c r="C29" s="49" t="str">
        <f aca="false">IF(($B$10)&lt;0,"−€","€")&amp;FIXED(ROUND(ABS($B$10),0),0)</f>
        <v>€15,000</v>
      </c>
      <c r="D29" s="42" t="s">
        <v>427</v>
      </c>
      <c r="E29" s="42"/>
      <c r="F29" s="42"/>
      <c r="G29" s="42"/>
      <c r="H29" s="42"/>
      <c r="I29" s="42"/>
    </row>
    <row r="30" customFormat="false" ht="15" hidden="false" customHeight="false" outlineLevel="0" collapsed="false">
      <c r="A30" s="4" t="s">
        <v>655</v>
      </c>
      <c r="B30" s="52" t="n">
        <f aca="false">IF(Assumptions!$C$6=1,$B$17,"")</f>
        <v>15918.12</v>
      </c>
      <c r="C30" s="64" t="str">
        <f aca="false">IF(Assumptions!$C$6=1,IF(($B$17)&lt;0,"−€","€")&amp;FIXED(ROUND(ABS($B$17),0),0),"")</f>
        <v>€15,918</v>
      </c>
      <c r="D30" s="42" t="s">
        <v>656</v>
      </c>
      <c r="E30" s="42"/>
      <c r="F30" s="42"/>
      <c r="G30" s="42"/>
      <c r="H30" s="42"/>
      <c r="I30" s="42"/>
    </row>
    <row r="31" customFormat="false" ht="15" hidden="false" customHeight="false" outlineLevel="0" collapsed="false">
      <c r="A31" s="4" t="s">
        <v>657</v>
      </c>
      <c r="B31" s="52" t="n">
        <f aca="false">IF(Assumptions!$C$6=1,$B$17,"")</f>
        <v>15918.12</v>
      </c>
      <c r="C31" s="64" t="str">
        <f aca="false">IF(Assumptions!$C$6=1,IF(($B$17)&lt;0,"−€","€")&amp;FIXED(ROUND(ABS($B$17),0),0),"")</f>
        <v>€15,918</v>
      </c>
      <c r="D31" s="42" t="s">
        <v>658</v>
      </c>
      <c r="E31" s="42"/>
      <c r="F31" s="42"/>
      <c r="G31" s="42"/>
      <c r="H31" s="42"/>
      <c r="I31" s="42"/>
    </row>
    <row r="32" customFormat="false" ht="15" hidden="false" customHeight="false" outlineLevel="0" collapsed="false">
      <c r="A32" s="4" t="s">
        <v>637</v>
      </c>
      <c r="B32" s="50" t="n">
        <f aca="false">$B$12</f>
        <v>2000</v>
      </c>
      <c r="C32" s="49" t="str">
        <f aca="false">IF(($B$12)&lt;0,"−€","€")&amp;FIXED(ROUND(ABS($B$12),0),0)</f>
        <v>€2,000</v>
      </c>
      <c r="D32" s="42" t="s">
        <v>659</v>
      </c>
      <c r="E32" s="42"/>
      <c r="F32" s="42"/>
      <c r="G32" s="42"/>
      <c r="H32" s="42"/>
      <c r="I32" s="42"/>
    </row>
    <row r="33" customFormat="false" ht="15" hidden="false" customHeight="false" outlineLevel="0" collapsed="false">
      <c r="A33" s="4" t="s">
        <v>660</v>
      </c>
      <c r="B33" s="65" t="n">
        <f aca="false">IF(Assumptions!$C$6=1,Assumptions!$C$14,"")</f>
        <v>0.02</v>
      </c>
      <c r="C33" s="64" t="str">
        <f aca="false">IF(Assumptions!$C$6=1,ROUND((Assumptions!$C$14)*100,2)&amp;"%","")</f>
        <v>2%</v>
      </c>
      <c r="D33" s="42" t="s">
        <v>658</v>
      </c>
      <c r="E33" s="42"/>
      <c r="F33" s="42"/>
      <c r="G33" s="42"/>
      <c r="H33" s="42"/>
      <c r="I33" s="42"/>
    </row>
    <row r="34" customFormat="false" ht="15" hidden="false" customHeight="false" outlineLevel="0" collapsed="false">
      <c r="A34" s="4" t="s">
        <v>661</v>
      </c>
      <c r="B34" s="50" t="n">
        <f aca="false">$B$10</f>
        <v>15000</v>
      </c>
      <c r="C34" s="49" t="str">
        <f aca="false">$B$34&amp;""</f>
        <v>15000</v>
      </c>
      <c r="D34" s="42" t="s">
        <v>435</v>
      </c>
      <c r="E34" s="42"/>
      <c r="F34" s="42"/>
      <c r="G34" s="42"/>
      <c r="H34" s="42"/>
      <c r="I34" s="42"/>
    </row>
    <row r="35" customFormat="false" ht="15" hidden="false" customHeight="false" outlineLevel="0" collapsed="false">
      <c r="A35" s="4" t="s">
        <v>434</v>
      </c>
      <c r="B35" s="48" t="n">
        <f aca="false">$B$11</f>
        <v>3</v>
      </c>
      <c r="C35" s="49" t="str">
        <f aca="false">$B$35&amp;""</f>
        <v>3</v>
      </c>
      <c r="D35" s="42" t="s">
        <v>435</v>
      </c>
      <c r="E35" s="42"/>
      <c r="F35" s="42"/>
      <c r="G35" s="42"/>
      <c r="H35" s="42"/>
      <c r="I35" s="42"/>
    </row>
  </sheetData>
  <mergeCells count="19">
    <mergeCell ref="A3:I3"/>
    <mergeCell ref="A4:I4"/>
    <mergeCell ref="A5:I5"/>
    <mergeCell ref="D17:I17"/>
    <mergeCell ref="D18:I18"/>
    <mergeCell ref="D19:I19"/>
    <mergeCell ref="D20:I20"/>
    <mergeCell ref="D21:I21"/>
    <mergeCell ref="D22:I22"/>
    <mergeCell ref="D23:I23"/>
    <mergeCell ref="D27:I27"/>
    <mergeCell ref="D28:I28"/>
    <mergeCell ref="D29:I29"/>
    <mergeCell ref="D30:I30"/>
    <mergeCell ref="D31:I31"/>
    <mergeCell ref="D32:I32"/>
    <mergeCell ref="D33:I33"/>
    <mergeCell ref="D34:I34"/>
    <mergeCell ref="D35:I35"/>
  </mergeCells>
  <dataValidations count="4">
    <dataValidation allowBlank="false" error="The prototype accepts 0 to 2000000 here." errorStyle="stop" errorTitle="Outside the prototype range" operator="between" showDropDown="false" showErrorMessage="true" showInputMessage="false" sqref="B12" type="decimal">
      <formula1>0</formula1>
      <formula2>2000000</formula2>
    </dataValidation>
    <dataValidation allowBlank="false" error="The prototype accepts 1 to 30 here." errorStyle="stop" errorTitle="Outside the prototype range" operator="between" showDropDown="false" showErrorMessage="true" showInputMessage="false" sqref="B11" type="decimal">
      <formula1>1</formula1>
      <formula2>30</formula2>
    </dataValidation>
    <dataValidation allowBlank="false" error="The prototype accepts 500 to 5000000 here." errorStyle="stop" errorTitle="Outside the prototype range" operator="between" showDropDown="false" showErrorMessage="true" showInputMessage="false" sqref="B10" type="decimal">
      <formula1>500</formula1>
      <formula2>5000000</formula2>
    </dataValidation>
    <dataValidation allowBlank="false" error="The prototype accepts 0.0 to 0.07 here." errorStyle="stop" errorTitle="Outside the prototype range" operator="between" showDropDown="false" showErrorMessage="true" showInputMessage="false" sqref="B13" type="decimal">
      <formula1>0</formula1>
      <formula2>0.07</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662</v>
      </c>
    </row>
    <row r="2" customFormat="false" ht="15" hidden="false" customHeight="false" outlineLevel="0" collapsed="false">
      <c r="A2" s="30" t="s">
        <v>663</v>
      </c>
    </row>
    <row r="3" customFormat="false" ht="37.5" hidden="false" customHeight="true" outlineLevel="0" collapsed="false">
      <c r="A3" s="31" t="s">
        <v>664</v>
      </c>
      <c r="B3" s="31"/>
      <c r="C3" s="31"/>
      <c r="D3" s="31"/>
      <c r="E3" s="31"/>
      <c r="F3" s="31"/>
      <c r="G3" s="31"/>
      <c r="H3" s="31"/>
      <c r="I3" s="31"/>
    </row>
    <row r="4" customFormat="false" ht="63.75" hidden="false" customHeight="true" outlineLevel="0" collapsed="false">
      <c r="A4" s="31" t="s">
        <v>665</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666</v>
      </c>
      <c r="B10" s="33" t="n">
        <v>5000</v>
      </c>
      <c r="C10" s="7" t="s">
        <v>257</v>
      </c>
      <c r="D10" s="34" t="n">
        <v>5000</v>
      </c>
      <c r="E10" s="34" t="n">
        <v>0</v>
      </c>
      <c r="F10" s="34" t="n">
        <v>200000</v>
      </c>
      <c r="G10" s="34" t="n">
        <v>2000000</v>
      </c>
      <c r="H10" s="34" t="n">
        <v>500</v>
      </c>
      <c r="I10" s="35"/>
    </row>
    <row r="11" customFormat="false" ht="15" hidden="false" customHeight="false" outlineLevel="0" collapsed="false">
      <c r="A11" s="7" t="s">
        <v>667</v>
      </c>
      <c r="B11" s="33" t="n">
        <v>200</v>
      </c>
      <c r="C11" s="7" t="s">
        <v>257</v>
      </c>
      <c r="D11" s="34" t="n">
        <v>200</v>
      </c>
      <c r="E11" s="34" t="n">
        <v>0</v>
      </c>
      <c r="F11" s="34" t="n">
        <v>3000</v>
      </c>
      <c r="G11" s="34" t="n">
        <v>30000</v>
      </c>
      <c r="H11" s="34" t="n">
        <v>25</v>
      </c>
      <c r="I11" s="35"/>
    </row>
    <row r="12" customFormat="false" ht="15" hidden="false" customHeight="false" outlineLevel="0" collapsed="false">
      <c r="A12" s="7" t="s">
        <v>668</v>
      </c>
      <c r="B12" s="38" t="n">
        <v>0.04</v>
      </c>
      <c r="C12" s="7" t="s">
        <v>386</v>
      </c>
      <c r="D12" s="39" t="n">
        <v>0.04</v>
      </c>
      <c r="E12" s="39" t="n">
        <v>0</v>
      </c>
      <c r="F12" s="39" t="n">
        <v>0.08</v>
      </c>
      <c r="G12" s="39" t="n">
        <v>0.08</v>
      </c>
      <c r="H12" s="39" t="n">
        <v>0.005</v>
      </c>
      <c r="I12" s="35"/>
    </row>
    <row r="13" customFormat="false" ht="15" hidden="false" customHeight="false" outlineLevel="0" collapsed="false">
      <c r="A13" s="7" t="s">
        <v>603</v>
      </c>
      <c r="B13" s="36" t="n">
        <v>20</v>
      </c>
      <c r="C13" s="7" t="s">
        <v>388</v>
      </c>
      <c r="D13" s="37" t="n">
        <v>20</v>
      </c>
      <c r="E13" s="37" t="n">
        <v>1</v>
      </c>
      <c r="F13" s="37" t="n">
        <v>40</v>
      </c>
      <c r="G13" s="37" t="n">
        <v>40</v>
      </c>
      <c r="H13" s="37" t="n">
        <v>1</v>
      </c>
      <c r="I13" s="35"/>
    </row>
    <row r="15" customFormat="false" ht="15" hidden="false" customHeight="false" outlineLevel="0" collapsed="false">
      <c r="A15" s="15" t="s">
        <v>391</v>
      </c>
      <c r="B15" s="16"/>
      <c r="C15" s="16"/>
      <c r="D15" s="16"/>
      <c r="E15" s="16"/>
      <c r="F15" s="16"/>
      <c r="G15" s="16"/>
      <c r="H15" s="16"/>
      <c r="I15" s="16"/>
    </row>
    <row r="16" customFormat="false" ht="15" hidden="false" customHeight="false" outlineLevel="0" collapsed="false">
      <c r="A16" s="17" t="s">
        <v>392</v>
      </c>
      <c r="B16" s="17" t="s">
        <v>192</v>
      </c>
      <c r="C16" s="17" t="s">
        <v>193</v>
      </c>
      <c r="D16" s="17" t="s">
        <v>393</v>
      </c>
    </row>
    <row r="17" customFormat="false" ht="15" hidden="false" customHeight="false" outlineLevel="0" collapsed="false">
      <c r="A17" s="7" t="s">
        <v>669</v>
      </c>
      <c r="B17" s="43" t="n">
        <f aca="false">$B$10*POWER(1+$B$12,$B$13)</f>
        <v>10955.6157151671</v>
      </c>
      <c r="C17" s="41" t="s">
        <v>257</v>
      </c>
      <c r="D17" s="42" t="s">
        <v>670</v>
      </c>
      <c r="E17" s="42"/>
      <c r="F17" s="42"/>
      <c r="G17" s="42"/>
      <c r="H17" s="42"/>
      <c r="I17" s="42"/>
    </row>
    <row r="18" customFormat="false" ht="15" hidden="false" customHeight="false" outlineLevel="0" collapsed="false">
      <c r="A18" s="7" t="s">
        <v>645</v>
      </c>
      <c r="B18" s="45" t="n">
        <f aca="false">POWER(1+$B$12,1/12)-1</f>
        <v>0.00327373978219891</v>
      </c>
      <c r="C18" s="41" t="s">
        <v>407</v>
      </c>
      <c r="D18" s="42" t="s">
        <v>646</v>
      </c>
      <c r="E18" s="42"/>
      <c r="F18" s="42"/>
      <c r="G18" s="42"/>
      <c r="H18" s="42"/>
      <c r="I18" s="42"/>
    </row>
    <row r="19" customFormat="false" ht="15" hidden="false" customHeight="false" outlineLevel="0" collapsed="false">
      <c r="A19" s="7" t="s">
        <v>647</v>
      </c>
      <c r="B19" s="46" t="n">
        <f aca="false">$B$13*12</f>
        <v>240</v>
      </c>
      <c r="C19" s="41" t="s">
        <v>240</v>
      </c>
      <c r="D19" s="42" t="s">
        <v>410</v>
      </c>
      <c r="E19" s="42"/>
      <c r="F19" s="42"/>
      <c r="G19" s="42"/>
      <c r="H19" s="42"/>
      <c r="I19" s="42"/>
    </row>
    <row r="20" customFormat="false" ht="15" hidden="false" customHeight="false" outlineLevel="0" collapsed="false">
      <c r="A20" s="7" t="s">
        <v>671</v>
      </c>
      <c r="B20" s="43" t="n">
        <f aca="false">IF($B$18&lt;&gt;0,$B$11*(POWER(1+$B$18,$B$19)-1)/$B$18,$B$11*$B$19)</f>
        <v>72768.3458233439</v>
      </c>
      <c r="C20" s="41" t="s">
        <v>257</v>
      </c>
      <c r="D20" s="42" t="s">
        <v>672</v>
      </c>
      <c r="E20" s="42"/>
      <c r="F20" s="42"/>
      <c r="G20" s="42"/>
      <c r="H20" s="42"/>
      <c r="I20" s="42"/>
    </row>
    <row r="21" customFormat="false" ht="15" hidden="false" customHeight="false" outlineLevel="0" collapsed="false">
      <c r="A21" s="7" t="s">
        <v>673</v>
      </c>
      <c r="B21" s="43" t="n">
        <f aca="false">$B$17+$B$20</f>
        <v>83723.961538511</v>
      </c>
      <c r="C21" s="41" t="s">
        <v>257</v>
      </c>
      <c r="D21" s="42" t="s">
        <v>674</v>
      </c>
      <c r="E21" s="42"/>
      <c r="F21" s="42"/>
      <c r="G21" s="42"/>
      <c r="H21" s="42"/>
      <c r="I21" s="42"/>
    </row>
    <row r="22" customFormat="false" ht="15" hidden="false" customHeight="false" outlineLevel="0" collapsed="false">
      <c r="A22" s="7" t="s">
        <v>675</v>
      </c>
      <c r="B22" s="43" t="n">
        <f aca="false">$B$10+$B$11*12*$B$13</f>
        <v>53000</v>
      </c>
      <c r="C22" s="41" t="s">
        <v>257</v>
      </c>
      <c r="D22" s="42" t="s">
        <v>676</v>
      </c>
      <c r="E22" s="42"/>
      <c r="F22" s="42"/>
      <c r="G22" s="42"/>
      <c r="H22" s="42"/>
      <c r="I22" s="42"/>
    </row>
    <row r="23" customFormat="false" ht="15" hidden="false" customHeight="false" outlineLevel="0" collapsed="false">
      <c r="A23" s="7" t="s">
        <v>677</v>
      </c>
      <c r="B23" s="66" t="n">
        <f aca="false">POWER(1+Assumptions!$C$14,$B$13)</f>
        <v>1.48594739597836</v>
      </c>
      <c r="C23" s="41" t="s">
        <v>507</v>
      </c>
      <c r="D23" s="42" t="s">
        <v>678</v>
      </c>
      <c r="E23" s="42"/>
      <c r="F23" s="42"/>
      <c r="G23" s="42"/>
      <c r="H23" s="42"/>
      <c r="I23" s="42"/>
    </row>
    <row r="24" customFormat="false" ht="15" hidden="false" customHeight="false" outlineLevel="0" collapsed="false">
      <c r="A24" s="7" t="s">
        <v>679</v>
      </c>
      <c r="B24" s="43" t="n">
        <f aca="false">$B$21/$B$23</f>
        <v>56343.8260096595</v>
      </c>
      <c r="C24" s="41" t="s">
        <v>257</v>
      </c>
      <c r="D24" s="42" t="s">
        <v>680</v>
      </c>
      <c r="E24" s="42"/>
      <c r="F24" s="42"/>
      <c r="G24" s="42"/>
      <c r="H24" s="42"/>
      <c r="I24" s="42"/>
    </row>
    <row r="26" customFormat="false" ht="15" hidden="false" customHeight="false" outlineLevel="0" collapsed="false">
      <c r="A26" s="15" t="s">
        <v>415</v>
      </c>
      <c r="B26" s="16"/>
      <c r="C26" s="16"/>
      <c r="D26" s="16"/>
      <c r="E26" s="16"/>
      <c r="F26" s="16"/>
      <c r="G26" s="16"/>
      <c r="H26" s="16"/>
      <c r="I26" s="16"/>
    </row>
    <row r="27" customFormat="false" ht="15" hidden="false" customHeight="false" outlineLevel="0" collapsed="false">
      <c r="A27" s="17" t="s">
        <v>416</v>
      </c>
      <c r="B27" s="17" t="s">
        <v>192</v>
      </c>
      <c r="C27" s="17" t="s">
        <v>417</v>
      </c>
      <c r="D27" s="17" t="s">
        <v>418</v>
      </c>
    </row>
    <row r="28" customFormat="false" ht="15" hidden="false" customHeight="false" outlineLevel="0" collapsed="false">
      <c r="A28" s="4" t="s">
        <v>419</v>
      </c>
      <c r="B28" s="48"/>
      <c r="C28" s="49" t="str">
        <f aca="false">"Could grow to"</f>
        <v>Could grow to</v>
      </c>
      <c r="D28" s="42" t="s">
        <v>420</v>
      </c>
      <c r="E28" s="42"/>
      <c r="F28" s="42"/>
      <c r="G28" s="42"/>
      <c r="H28" s="42"/>
      <c r="I28" s="42"/>
    </row>
    <row r="29" customFormat="false" ht="15" hidden="false" customHeight="false" outlineLevel="0" collapsed="false">
      <c r="A29" s="4" t="s">
        <v>673</v>
      </c>
      <c r="B29" s="50" t="n">
        <f aca="false">$B$21</f>
        <v>83723.961538511</v>
      </c>
      <c r="C29" s="49" t="str">
        <f aca="false">IF(($B$21)&lt;0,"−€","€")&amp;FIXED(ROUND(ABS($B$21),0),0)</f>
        <v>€83,724</v>
      </c>
      <c r="D29" s="42" t="s">
        <v>512</v>
      </c>
      <c r="E29" s="42"/>
      <c r="F29" s="42"/>
      <c r="G29" s="42"/>
      <c r="H29" s="42"/>
      <c r="I29" s="42"/>
    </row>
    <row r="30" customFormat="false" ht="15" hidden="false" customHeight="false" outlineLevel="0" collapsed="false">
      <c r="A30" s="4" t="s">
        <v>675</v>
      </c>
      <c r="B30" s="50" t="n">
        <f aca="false">$B$22</f>
        <v>53000</v>
      </c>
      <c r="C30" s="49" t="str">
        <f aca="false">IF(($B$22)&lt;0,"−€","€")&amp;FIXED(ROUND(ABS($B$22),0),0)</f>
        <v>€53,000</v>
      </c>
      <c r="D30" s="42" t="s">
        <v>628</v>
      </c>
      <c r="E30" s="42"/>
      <c r="F30" s="42"/>
      <c r="G30" s="42"/>
      <c r="H30" s="42"/>
      <c r="I30" s="42"/>
    </row>
    <row r="31" customFormat="false" ht="15" hidden="false" customHeight="false" outlineLevel="0" collapsed="false">
      <c r="A31" s="4" t="s">
        <v>681</v>
      </c>
      <c r="B31" s="50" t="n">
        <f aca="false">$B$21-$B$22</f>
        <v>30723.961538511</v>
      </c>
      <c r="C31" s="49" t="str">
        <f aca="false">IF(($B$21-$B$22)&lt;0,"−€","€")&amp;FIXED(ROUND(ABS($B$21-$B$22),0),0)</f>
        <v>€30,724</v>
      </c>
      <c r="D31" s="42" t="s">
        <v>630</v>
      </c>
      <c r="E31" s="42"/>
      <c r="F31" s="42"/>
      <c r="G31" s="42"/>
      <c r="H31" s="42"/>
      <c r="I31" s="42"/>
    </row>
    <row r="32" customFormat="false" ht="15" hidden="false" customHeight="false" outlineLevel="0" collapsed="false">
      <c r="A32" s="4" t="s">
        <v>682</v>
      </c>
      <c r="B32" s="52" t="n">
        <f aca="false">IF(Assumptions!$C$6=1,$B$24,"")</f>
        <v>56343.8260096595</v>
      </c>
      <c r="C32" s="64" t="str">
        <f aca="false">IF(Assumptions!$C$6=1,IF(($B$24)&lt;0,"−€","€")&amp;FIXED(ROUND(ABS($B$24),0),0),"")</f>
        <v>€56,344</v>
      </c>
      <c r="D32" s="42" t="s">
        <v>683</v>
      </c>
      <c r="E32" s="42"/>
      <c r="F32" s="42"/>
      <c r="G32" s="42"/>
      <c r="H32" s="42"/>
      <c r="I32" s="42"/>
    </row>
    <row r="33" customFormat="false" ht="15" hidden="false" customHeight="false" outlineLevel="0" collapsed="false">
      <c r="A33" s="4" t="s">
        <v>684</v>
      </c>
      <c r="B33" s="52" t="n">
        <f aca="false">IF(Assumptions!$C$6=1,$B$24,"")</f>
        <v>56343.8260096595</v>
      </c>
      <c r="C33" s="64" t="str">
        <f aca="false">IF(Assumptions!$C$6=1,IF(($B$24)&lt;0,"−€","€")&amp;FIXED(ROUND(ABS($B$24),0),0),"")</f>
        <v>€56,344</v>
      </c>
      <c r="D33" s="42" t="s">
        <v>658</v>
      </c>
      <c r="E33" s="42"/>
      <c r="F33" s="42"/>
      <c r="G33" s="42"/>
      <c r="H33" s="42"/>
      <c r="I33" s="42"/>
    </row>
    <row r="34" customFormat="false" ht="15" hidden="false" customHeight="false" outlineLevel="0" collapsed="false">
      <c r="A34" s="4" t="s">
        <v>685</v>
      </c>
      <c r="B34" s="52" t="n">
        <f aca="false">INT((IF(Assumptions!$C$6=1,$B$24,$B$21))+0.5)</f>
        <v>56344</v>
      </c>
      <c r="C34" s="49" t="str">
        <f aca="false">$B$34&amp;""</f>
        <v>56344</v>
      </c>
      <c r="D34" s="42" t="s">
        <v>686</v>
      </c>
      <c r="E34" s="42"/>
      <c r="F34" s="42"/>
      <c r="G34" s="42"/>
      <c r="H34" s="42"/>
      <c r="I34" s="42"/>
    </row>
    <row r="35" customFormat="false" ht="15" hidden="false" customHeight="false" outlineLevel="0" collapsed="false">
      <c r="A35" s="4" t="s">
        <v>434</v>
      </c>
      <c r="B35" s="48" t="n">
        <f aca="false">$B$13</f>
        <v>20</v>
      </c>
      <c r="C35" s="49" t="str">
        <f aca="false">$B$35&amp;""</f>
        <v>20</v>
      </c>
      <c r="D35" s="42" t="s">
        <v>435</v>
      </c>
      <c r="E35" s="42"/>
      <c r="F35" s="42"/>
      <c r="G35" s="42"/>
      <c r="H35" s="42"/>
      <c r="I35" s="42"/>
    </row>
  </sheetData>
  <mergeCells count="19">
    <mergeCell ref="A3:I3"/>
    <mergeCell ref="A4:I4"/>
    <mergeCell ref="A5:I5"/>
    <mergeCell ref="D17:I17"/>
    <mergeCell ref="D18:I18"/>
    <mergeCell ref="D19:I19"/>
    <mergeCell ref="D20:I20"/>
    <mergeCell ref="D21:I21"/>
    <mergeCell ref="D22:I22"/>
    <mergeCell ref="D23:I23"/>
    <mergeCell ref="D24:I24"/>
    <mergeCell ref="D28:I28"/>
    <mergeCell ref="D29:I29"/>
    <mergeCell ref="D30:I30"/>
    <mergeCell ref="D31:I31"/>
    <mergeCell ref="D32:I32"/>
    <mergeCell ref="D33:I33"/>
    <mergeCell ref="D34:I34"/>
    <mergeCell ref="D35:I35"/>
  </mergeCells>
  <dataValidations count="4">
    <dataValidation allowBlank="false" error="The prototype accepts 0 to 2000000 here." errorStyle="stop" errorTitle="Outside the prototype range" operator="between" showDropDown="false" showErrorMessage="true" showInputMessage="false" sqref="B10" type="decimal">
      <formula1>0</formula1>
      <formula2>2000000</formula2>
    </dataValidation>
    <dataValidation allowBlank="false" error="The prototype accepts 0 to 30000 here." errorStyle="stop" errorTitle="Outside the prototype range" operator="between" showDropDown="false" showErrorMessage="true" showInputMessage="false" sqref="B11" type="decimal">
      <formula1>0</formula1>
      <formula2>30000</formula2>
    </dataValidation>
    <dataValidation allowBlank="false" error="The prototype accepts 0.0 to 0.08 here." errorStyle="stop" errorTitle="Outside the prototype range" operator="between" showDropDown="false" showErrorMessage="true" showInputMessage="false" sqref="B12" type="decimal">
      <formula1>0</formula1>
      <formula2>0.08</formula2>
    </dataValidation>
    <dataValidation allowBlank="false" error="The prototype accepts 1 to 40 here." errorStyle="stop" errorTitle="Outside the prototype range" operator="between" showDropDown="false" showErrorMessage="true" showInputMessage="false" sqref="B13" type="decimal">
      <formula1>1</formula1>
      <formula2>40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687</v>
      </c>
    </row>
    <row r="2" customFormat="false" ht="15" hidden="false" customHeight="false" outlineLevel="0" collapsed="false">
      <c r="A2" s="30" t="s">
        <v>688</v>
      </c>
    </row>
    <row r="3" customFormat="false" ht="37.5" hidden="false" customHeight="true" outlineLevel="0" collapsed="false">
      <c r="A3" s="31" t="s">
        <v>689</v>
      </c>
      <c r="B3" s="31"/>
      <c r="C3" s="31"/>
      <c r="D3" s="31"/>
      <c r="E3" s="31"/>
      <c r="F3" s="31"/>
      <c r="G3" s="31"/>
      <c r="H3" s="31"/>
      <c r="I3" s="31"/>
    </row>
    <row r="4" customFormat="false" ht="63.75" hidden="false" customHeight="true" outlineLevel="0" collapsed="false">
      <c r="A4" s="31" t="s">
        <v>690</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691</v>
      </c>
      <c r="B10" s="33" t="n">
        <v>10000</v>
      </c>
      <c r="C10" s="7" t="s">
        <v>257</v>
      </c>
      <c r="D10" s="34" t="n">
        <v>10000</v>
      </c>
      <c r="E10" s="34" t="n">
        <v>500</v>
      </c>
      <c r="F10" s="34" t="n">
        <v>500000</v>
      </c>
      <c r="G10" s="34" t="n">
        <v>5000000</v>
      </c>
      <c r="H10" s="34" t="n">
        <v>100</v>
      </c>
      <c r="I10" s="35" t="s">
        <v>692</v>
      </c>
    </row>
    <row r="11" customFormat="false" ht="15" hidden="false" customHeight="false" outlineLevel="0" collapsed="false">
      <c r="A11" s="7" t="s">
        <v>668</v>
      </c>
      <c r="B11" s="38" t="n">
        <v>0.04</v>
      </c>
      <c r="C11" s="7" t="s">
        <v>386</v>
      </c>
      <c r="D11" s="39" t="n">
        <v>0.04</v>
      </c>
      <c r="E11" s="39" t="n">
        <v>0</v>
      </c>
      <c r="F11" s="39" t="n">
        <v>0.08</v>
      </c>
      <c r="G11" s="39" t="n">
        <v>0.08</v>
      </c>
      <c r="H11" s="39" t="n">
        <v>0.005</v>
      </c>
      <c r="I11" s="35"/>
    </row>
    <row r="12" customFormat="false" ht="15" hidden="false" customHeight="false" outlineLevel="0" collapsed="false">
      <c r="A12" s="7" t="s">
        <v>603</v>
      </c>
      <c r="B12" s="36" t="n">
        <v>15</v>
      </c>
      <c r="C12" s="7" t="s">
        <v>388</v>
      </c>
      <c r="D12" s="37" t="n">
        <v>15</v>
      </c>
      <c r="E12" s="37" t="n">
        <v>1</v>
      </c>
      <c r="F12" s="37" t="n">
        <v>40</v>
      </c>
      <c r="G12" s="37" t="n">
        <v>40</v>
      </c>
      <c r="H12" s="37" t="n">
        <v>1</v>
      </c>
      <c r="I12" s="35"/>
    </row>
    <row r="13" customFormat="false" ht="15" hidden="false" customHeight="false" outlineLevel="0" collapsed="false">
      <c r="A13" s="7" t="s">
        <v>693</v>
      </c>
      <c r="B13" s="38" t="n">
        <v>0</v>
      </c>
      <c r="C13" s="7" t="s">
        <v>386</v>
      </c>
      <c r="D13" s="39" t="n">
        <v>0</v>
      </c>
      <c r="E13" s="39" t="n">
        <v>0</v>
      </c>
      <c r="F13" s="39" t="n">
        <v>0.03</v>
      </c>
      <c r="G13" s="39" t="n">
        <v>0.03</v>
      </c>
      <c r="H13" s="39" t="n">
        <v>0.0005</v>
      </c>
      <c r="I13" s="35"/>
    </row>
    <row r="15" customFormat="false" ht="15" hidden="false" customHeight="false" outlineLevel="0" collapsed="false">
      <c r="A15" s="15" t="s">
        <v>454</v>
      </c>
      <c r="B15" s="16"/>
      <c r="C15" s="16"/>
      <c r="D15" s="16"/>
      <c r="E15" s="16"/>
      <c r="F15" s="16"/>
      <c r="G15" s="16"/>
      <c r="H15" s="16"/>
      <c r="I15" s="16"/>
    </row>
    <row r="16" customFormat="false" ht="15" hidden="false" customHeight="false" outlineLevel="0" collapsed="false">
      <c r="A16" s="17" t="s">
        <v>30</v>
      </c>
      <c r="B16" s="17" t="s">
        <v>192</v>
      </c>
      <c r="C16" s="17" t="s">
        <v>193</v>
      </c>
      <c r="D16" s="17" t="s">
        <v>371</v>
      </c>
      <c r="E16" s="17" t="s">
        <v>372</v>
      </c>
      <c r="F16" s="17" t="s">
        <v>373</v>
      </c>
      <c r="G16" s="17" t="s">
        <v>374</v>
      </c>
      <c r="H16" s="17" t="s">
        <v>375</v>
      </c>
      <c r="I16" s="17" t="s">
        <v>376</v>
      </c>
    </row>
    <row r="17" customFormat="false" ht="15" hidden="false" customHeight="false" outlineLevel="0" collapsed="false">
      <c r="A17" s="7" t="s">
        <v>694</v>
      </c>
      <c r="B17" s="36" t="n">
        <v>0</v>
      </c>
      <c r="C17" s="7" t="s">
        <v>197</v>
      </c>
      <c r="D17" s="37" t="n">
        <v>0</v>
      </c>
      <c r="E17" s="37" t="n">
        <v>0</v>
      </c>
      <c r="F17" s="37" t="n">
        <v>1</v>
      </c>
      <c r="G17" s="37" t="n">
        <v>1</v>
      </c>
      <c r="H17" s="37" t="n">
        <v>1</v>
      </c>
      <c r="I17" s="35" t="s">
        <v>695</v>
      </c>
    </row>
    <row r="19" customFormat="false" ht="15" hidden="false" customHeight="false" outlineLevel="0" collapsed="false">
      <c r="A19" s="15" t="s">
        <v>391</v>
      </c>
      <c r="B19" s="16"/>
      <c r="C19" s="16"/>
      <c r="D19" s="16"/>
      <c r="E19" s="16"/>
      <c r="F19" s="16"/>
      <c r="G19" s="16"/>
      <c r="H19" s="16"/>
      <c r="I19" s="16"/>
    </row>
    <row r="20" customFormat="false" ht="15" hidden="false" customHeight="false" outlineLevel="0" collapsed="false">
      <c r="A20" s="17" t="s">
        <v>392</v>
      </c>
      <c r="B20" s="17" t="s">
        <v>192</v>
      </c>
      <c r="C20" s="17" t="s">
        <v>193</v>
      </c>
      <c r="D20" s="17" t="s">
        <v>393</v>
      </c>
    </row>
    <row r="21" customFormat="false" ht="15" hidden="false" customHeight="false" outlineLevel="0" collapsed="false">
      <c r="A21" s="7" t="s">
        <v>696</v>
      </c>
      <c r="B21" s="67" t="n">
        <f aca="false">(1+$B$11)*(1-$B$13)-1</f>
        <v>0.04</v>
      </c>
      <c r="C21" s="41" t="s">
        <v>407</v>
      </c>
      <c r="D21" s="42" t="s">
        <v>697</v>
      </c>
      <c r="E21" s="42"/>
      <c r="F21" s="42"/>
      <c r="G21" s="42"/>
      <c r="H21" s="42"/>
      <c r="I21" s="42"/>
    </row>
    <row r="22" customFormat="false" ht="15" hidden="false" customHeight="false" outlineLevel="0" collapsed="false">
      <c r="A22" s="7" t="s">
        <v>698</v>
      </c>
      <c r="B22" s="43" t="n">
        <f aca="false">$B$10*POWER(1+$B$11,$B$12)</f>
        <v>18009.4350550692</v>
      </c>
      <c r="C22" s="41" t="s">
        <v>257</v>
      </c>
      <c r="D22" s="42" t="s">
        <v>699</v>
      </c>
      <c r="E22" s="42"/>
      <c r="F22" s="42"/>
      <c r="G22" s="42"/>
      <c r="H22" s="42"/>
      <c r="I22" s="42"/>
    </row>
    <row r="23" customFormat="false" ht="15" hidden="false" customHeight="false" outlineLevel="0" collapsed="false">
      <c r="A23" s="7" t="s">
        <v>700</v>
      </c>
      <c r="B23" s="43" t="n">
        <f aca="false">$B$10*POWER(1+$B$21,$B$12)</f>
        <v>18009.4350550692</v>
      </c>
      <c r="C23" s="41" t="s">
        <v>257</v>
      </c>
      <c r="D23" s="42" t="s">
        <v>701</v>
      </c>
      <c r="E23" s="42"/>
      <c r="F23" s="42"/>
      <c r="G23" s="42"/>
      <c r="H23" s="42"/>
      <c r="I23" s="42"/>
    </row>
    <row r="24" customFormat="false" ht="15" hidden="false" customHeight="false" outlineLevel="0" collapsed="false">
      <c r="A24" s="7" t="s">
        <v>702</v>
      </c>
      <c r="B24" s="44" t="n">
        <f aca="false">$B$10*POWER(1+$B$21,MAX(0,$B$12-Assumptions!$C$48))</f>
        <v>14802.4428491834</v>
      </c>
      <c r="C24" s="41" t="s">
        <v>257</v>
      </c>
      <c r="D24" s="42" t="s">
        <v>703</v>
      </c>
      <c r="E24" s="42"/>
      <c r="F24" s="42"/>
      <c r="G24" s="42"/>
      <c r="H24" s="42"/>
      <c r="I24" s="42"/>
    </row>
    <row r="25" customFormat="false" ht="15" hidden="false" customHeight="false" outlineLevel="0" collapsed="false">
      <c r="A25" s="7" t="s">
        <v>704</v>
      </c>
      <c r="B25" s="60" t="n">
        <f aca="false">IF(AND($B$17=1,Assumptions!$C$6=1),1,0)</f>
        <v>0</v>
      </c>
      <c r="C25" s="41" t="s">
        <v>197</v>
      </c>
      <c r="D25" s="42" t="s">
        <v>705</v>
      </c>
      <c r="E25" s="42"/>
      <c r="F25" s="42"/>
      <c r="G25" s="42"/>
      <c r="H25" s="42"/>
      <c r="I25" s="42"/>
    </row>
    <row r="26" customFormat="false" ht="15" hidden="false" customHeight="false" outlineLevel="0" collapsed="false">
      <c r="A26" s="7" t="s">
        <v>706</v>
      </c>
      <c r="B26" s="66" t="n">
        <f aca="false">POWER(1+Assumptions!$C$14,$B$12)</f>
        <v>1.34586833832413</v>
      </c>
      <c r="C26" s="41" t="s">
        <v>507</v>
      </c>
      <c r="D26" s="42" t="s">
        <v>678</v>
      </c>
      <c r="E26" s="42"/>
      <c r="F26" s="42"/>
      <c r="G26" s="42"/>
      <c r="H26" s="42"/>
      <c r="I26" s="42"/>
    </row>
    <row r="27" customFormat="false" ht="15" hidden="false" customHeight="false" outlineLevel="0" collapsed="false">
      <c r="A27" s="7" t="s">
        <v>707</v>
      </c>
      <c r="B27" s="43" t="n">
        <f aca="false">$B$23/$B$26</f>
        <v>13381.275524688</v>
      </c>
      <c r="C27" s="41" t="s">
        <v>257</v>
      </c>
      <c r="D27" s="42" t="s">
        <v>708</v>
      </c>
      <c r="E27" s="42"/>
      <c r="F27" s="42"/>
      <c r="G27" s="42"/>
      <c r="H27" s="42"/>
      <c r="I27" s="42"/>
    </row>
    <row r="28" customFormat="false" ht="15" hidden="false" customHeight="false" outlineLevel="0" collapsed="false">
      <c r="A28" s="7" t="s">
        <v>709</v>
      </c>
      <c r="B28" s="43" t="n">
        <f aca="false">IF($B$25=1,($B$23-$B$24)/$B$26,$B$23-$B$24)</f>
        <v>3206.99220588572</v>
      </c>
      <c r="C28" s="41" t="s">
        <v>257</v>
      </c>
      <c r="D28" s="42" t="s">
        <v>710</v>
      </c>
      <c r="E28" s="42"/>
      <c r="F28" s="42"/>
      <c r="G28" s="42"/>
      <c r="H28" s="42"/>
      <c r="I28" s="42"/>
    </row>
    <row r="29" customFormat="false" ht="15" hidden="false" customHeight="false" outlineLevel="0" collapsed="false">
      <c r="A29" s="7" t="s">
        <v>711</v>
      </c>
      <c r="B29" s="68" t="n">
        <f aca="false">(1+$B$21)/(1+Assumptions!$C$14)-1</f>
        <v>0.0196078431372548</v>
      </c>
      <c r="C29" s="41" t="s">
        <v>407</v>
      </c>
      <c r="D29" s="42" t="s">
        <v>712</v>
      </c>
      <c r="E29" s="42"/>
      <c r="F29" s="42"/>
      <c r="G29" s="42"/>
      <c r="H29" s="42"/>
      <c r="I29" s="42"/>
    </row>
    <row r="31" customFormat="false" ht="15" hidden="false" customHeight="false" outlineLevel="0" collapsed="false">
      <c r="A31" s="15" t="s">
        <v>415</v>
      </c>
      <c r="B31" s="16"/>
      <c r="C31" s="16"/>
      <c r="D31" s="16"/>
      <c r="E31" s="16"/>
      <c r="F31" s="16"/>
      <c r="G31" s="16"/>
      <c r="H31" s="16"/>
      <c r="I31" s="16"/>
    </row>
    <row r="32" customFormat="false" ht="15" hidden="false" customHeight="false" outlineLevel="0" collapsed="false">
      <c r="A32" s="17" t="s">
        <v>416</v>
      </c>
      <c r="B32" s="17" t="s">
        <v>192</v>
      </c>
      <c r="C32" s="17" t="s">
        <v>417</v>
      </c>
      <c r="D32" s="17" t="s">
        <v>418</v>
      </c>
    </row>
    <row r="33" customFormat="false" ht="15" hidden="false" customHeight="false" outlineLevel="0" collapsed="false">
      <c r="A33" s="4" t="s">
        <v>419</v>
      </c>
      <c r="B33" s="48"/>
      <c r="C33" s="49" t="str">
        <f aca="false">IF($B$25=1,"In today's money"&amp;IF($B$13&lt;&gt;0," (after fees)",""),"Could grow to"&amp;IF($B$13&lt;&gt;0," (after fees)",""))</f>
        <v>Could grow to</v>
      </c>
      <c r="D33" s="42" t="s">
        <v>420</v>
      </c>
      <c r="E33" s="42"/>
      <c r="F33" s="42"/>
      <c r="G33" s="42"/>
      <c r="H33" s="42"/>
      <c r="I33" s="42"/>
    </row>
    <row r="34" customFormat="false" ht="15" hidden="false" customHeight="false" outlineLevel="0" collapsed="false">
      <c r="A34" s="4" t="s">
        <v>422</v>
      </c>
      <c r="B34" s="50" t="n">
        <f aca="false">IF($B$25=1,$B$27,$B$23)</f>
        <v>18009.4350550692</v>
      </c>
      <c r="C34" s="49" t="str">
        <f aca="false">IF((IF($B$25=1,$B$27,$B$23))&lt;0,"−€","€")&amp;FIXED(ROUND(ABS(IF($B$25=1,$B$27,$B$23)),0),0)</f>
        <v>€18,009</v>
      </c>
      <c r="D34" s="42" t="s">
        <v>713</v>
      </c>
      <c r="E34" s="42"/>
      <c r="F34" s="42"/>
      <c r="G34" s="42"/>
      <c r="H34" s="42"/>
      <c r="I34" s="42"/>
    </row>
    <row r="35" customFormat="false" ht="15" hidden="false" customHeight="false" outlineLevel="0" collapsed="false">
      <c r="A35" s="4" t="s">
        <v>714</v>
      </c>
      <c r="B35" s="69" t="str">
        <f aca="false">IF($B$25=1,$B$29,"")</f>
        <v/>
      </c>
      <c r="C35" s="49" t="str">
        <f aca="false">IF($B$25=1,FIXED($B$29*100,1,TRUE())&amp;"%","")</f>
        <v/>
      </c>
      <c r="D35" s="42" t="s">
        <v>715</v>
      </c>
      <c r="E35" s="42"/>
      <c r="F35" s="42"/>
      <c r="G35" s="42"/>
      <c r="H35" s="42"/>
      <c r="I35" s="42"/>
    </row>
    <row r="36" customFormat="false" ht="15" hidden="false" customHeight="false" outlineLevel="0" collapsed="false">
      <c r="A36" s="4" t="s">
        <v>716</v>
      </c>
      <c r="B36" s="62" t="str">
        <f aca="false">IF($B$25=1,$B$21,"")</f>
        <v/>
      </c>
      <c r="C36" s="49" t="str">
        <f aca="false">IF($B$25=1,ROUND($B$21*100,2)&amp;"%","")</f>
        <v/>
      </c>
      <c r="D36" s="42" t="s">
        <v>715</v>
      </c>
      <c r="E36" s="42"/>
      <c r="F36" s="42"/>
      <c r="G36" s="42"/>
      <c r="H36" s="42"/>
      <c r="I36" s="42"/>
    </row>
    <row r="37" customFormat="false" ht="15" hidden="false" customHeight="false" outlineLevel="0" collapsed="false">
      <c r="A37" s="4" t="s">
        <v>717</v>
      </c>
      <c r="B37" s="50" t="n">
        <f aca="false">$B$28</f>
        <v>3206.99220588572</v>
      </c>
      <c r="C37" s="49" t="str">
        <f aca="false">IF(($B$28)&lt;0,"−€","€")&amp;FIXED(ROUND(ABS($B$28),0),0)</f>
        <v>€3,207</v>
      </c>
      <c r="D37" s="42" t="s">
        <v>424</v>
      </c>
      <c r="E37" s="42"/>
      <c r="F37" s="42"/>
      <c r="G37" s="42"/>
      <c r="H37" s="42"/>
      <c r="I37" s="42"/>
    </row>
    <row r="38" customFormat="false" ht="15" hidden="false" customHeight="false" outlineLevel="0" collapsed="false">
      <c r="A38" s="4" t="s">
        <v>718</v>
      </c>
      <c r="B38" s="50" t="n">
        <f aca="false">$B$23</f>
        <v>18009.4350550692</v>
      </c>
      <c r="C38" s="49" t="str">
        <f aca="false">IF(($B$23)&lt;0,"−€","€")&amp;FIXED(ROUND(ABS($B$23),0),0)</f>
        <v>€18,009</v>
      </c>
      <c r="D38" s="42" t="s">
        <v>427</v>
      </c>
      <c r="E38" s="42"/>
      <c r="F38" s="42"/>
      <c r="G38" s="42"/>
      <c r="H38" s="42"/>
      <c r="I38" s="42"/>
    </row>
    <row r="39" customFormat="false" ht="15" hidden="false" customHeight="false" outlineLevel="0" collapsed="false">
      <c r="A39" s="4" t="s">
        <v>702</v>
      </c>
      <c r="B39" s="50" t="n">
        <f aca="false">$B$24</f>
        <v>14802.4428491834</v>
      </c>
      <c r="C39" s="49" t="str">
        <f aca="false">IF(($B$24)&lt;0,"−€","€")&amp;FIXED(ROUND(ABS($B$24),0),0)</f>
        <v>€14,802</v>
      </c>
      <c r="D39" s="42" t="s">
        <v>428</v>
      </c>
      <c r="E39" s="42"/>
      <c r="F39" s="42"/>
      <c r="G39" s="42"/>
      <c r="H39" s="42"/>
      <c r="I39" s="42"/>
    </row>
    <row r="40" customFormat="false" ht="15" hidden="false" customHeight="false" outlineLevel="0" collapsed="false">
      <c r="A40" s="4" t="s">
        <v>682</v>
      </c>
      <c r="B40" s="50" t="str">
        <f aca="false">IF($B$25=1,$B$27,"")</f>
        <v/>
      </c>
      <c r="C40" s="49" t="str">
        <f aca="false">IF($B$25=1,IF(($B$27)&lt;0,"−€","€")&amp;FIXED(ROUND(ABS($B$27),0),0),"")</f>
        <v/>
      </c>
      <c r="D40" s="42" t="s">
        <v>719</v>
      </c>
      <c r="E40" s="42"/>
      <c r="F40" s="42"/>
      <c r="G40" s="42"/>
      <c r="H40" s="42"/>
      <c r="I40" s="42"/>
    </row>
    <row r="41" customFormat="false" ht="15" hidden="false" customHeight="false" outlineLevel="0" collapsed="false">
      <c r="A41" s="4" t="s">
        <v>720</v>
      </c>
      <c r="B41" s="50" t="str">
        <f aca="false">IF($B$13&lt;&gt;0,$B$22-$B$23,"")</f>
        <v/>
      </c>
      <c r="C41" s="49" t="str">
        <f aca="false">IF($B$13&lt;&gt;0,IF(($B$22-$B$23)&lt;0,"−€","€")&amp;FIXED(ROUND(ABS($B$22-$B$23),0),0),"")</f>
        <v/>
      </c>
      <c r="D41" s="42" t="s">
        <v>721</v>
      </c>
      <c r="E41" s="42"/>
      <c r="F41" s="42"/>
      <c r="G41" s="42"/>
      <c r="H41" s="42"/>
      <c r="I41" s="42"/>
    </row>
    <row r="42" customFormat="false" ht="15" hidden="false" customHeight="false" outlineLevel="0" collapsed="false">
      <c r="A42" s="4" t="s">
        <v>685</v>
      </c>
      <c r="B42" s="52" t="n">
        <f aca="false">INT((IF(Assumptions!$C$6=1,$B$27,$B$23))+0.5)</f>
        <v>13381</v>
      </c>
      <c r="C42" s="49" t="str">
        <f aca="false">$B$42&amp;""</f>
        <v>13381</v>
      </c>
      <c r="D42" s="42" t="s">
        <v>722</v>
      </c>
      <c r="E42" s="42"/>
      <c r="F42" s="42"/>
      <c r="G42" s="42"/>
      <c r="H42" s="42"/>
      <c r="I42" s="42"/>
    </row>
    <row r="43" customFormat="false" ht="15" hidden="false" customHeight="false" outlineLevel="0" collapsed="false">
      <c r="A43" s="4" t="s">
        <v>434</v>
      </c>
      <c r="B43" s="48" t="n">
        <f aca="false">$B$12</f>
        <v>15</v>
      </c>
      <c r="C43" s="49" t="str">
        <f aca="false">$B$43&amp;""</f>
        <v>15</v>
      </c>
      <c r="D43" s="42" t="s">
        <v>435</v>
      </c>
      <c r="E43" s="42"/>
      <c r="F43" s="42"/>
      <c r="G43" s="42"/>
      <c r="H43" s="42"/>
      <c r="I43" s="42"/>
    </row>
  </sheetData>
  <mergeCells count="23">
    <mergeCell ref="A3:I3"/>
    <mergeCell ref="A4:I4"/>
    <mergeCell ref="A5:I5"/>
    <mergeCell ref="D21:I21"/>
    <mergeCell ref="D22:I22"/>
    <mergeCell ref="D23:I23"/>
    <mergeCell ref="D24:I24"/>
    <mergeCell ref="D25:I25"/>
    <mergeCell ref="D26:I26"/>
    <mergeCell ref="D27:I27"/>
    <mergeCell ref="D28:I28"/>
    <mergeCell ref="D29:I29"/>
    <mergeCell ref="D33:I33"/>
    <mergeCell ref="D34:I34"/>
    <mergeCell ref="D35:I35"/>
    <mergeCell ref="D36:I36"/>
    <mergeCell ref="D37:I37"/>
    <mergeCell ref="D38:I38"/>
    <mergeCell ref="D39:I39"/>
    <mergeCell ref="D40:I40"/>
    <mergeCell ref="D41:I41"/>
    <mergeCell ref="D42:I42"/>
    <mergeCell ref="D43:I43"/>
  </mergeCells>
  <dataValidations count="5">
    <dataValidation allowBlank="false" error="The prototype accepts 0 to 1 here." errorStyle="stop" errorTitle="Outside the prototype range" operator="between" showDropDown="false" showErrorMessage="true" showInputMessage="false" sqref="B17" type="whole">
      <formula1>0</formula1>
      <formula2>1</formula2>
    </dataValidation>
    <dataValidation allowBlank="false" error="The prototype accepts 500 to 5000000 here." errorStyle="stop" errorTitle="Outside the prototype range" operator="between" showDropDown="false" showErrorMessage="true" showInputMessage="false" sqref="B10" type="decimal">
      <formula1>500</formula1>
      <formula2>5000000</formula2>
    </dataValidation>
    <dataValidation allowBlank="false" error="The prototype accepts 0.0 to 0.08 here." errorStyle="stop" errorTitle="Outside the prototype range" operator="between" showDropDown="false" showErrorMessage="true" showInputMessage="false" sqref="B11" type="decimal">
      <formula1>0</formula1>
      <formula2>0.08</formula2>
    </dataValidation>
    <dataValidation allowBlank="false" error="The prototype accepts 1 to 40 here." errorStyle="stop" errorTitle="Outside the prototype range" operator="between" showDropDown="false" showErrorMessage="true" showInputMessage="false" sqref="B12" type="decimal">
      <formula1>1</formula1>
      <formula2>40</formula2>
    </dataValidation>
    <dataValidation allowBlank="false" error="The prototype accepts 0.0 to 0.03 here." errorStyle="stop" errorTitle="Outside the prototype range" operator="between" showDropDown="false" showErrorMessage="true" showInputMessage="false" sqref="B13" type="decimal">
      <formula1>0</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723</v>
      </c>
    </row>
    <row r="2" customFormat="false" ht="15" hidden="false" customHeight="false" outlineLevel="0" collapsed="false">
      <c r="A2" s="30" t="s">
        <v>724</v>
      </c>
    </row>
    <row r="3" customFormat="false" ht="37.5" hidden="false" customHeight="true" outlineLevel="0" collapsed="false">
      <c r="A3" s="31" t="s">
        <v>725</v>
      </c>
      <c r="B3" s="31"/>
      <c r="C3" s="31"/>
      <c r="D3" s="31"/>
      <c r="E3" s="31"/>
      <c r="F3" s="31"/>
      <c r="G3" s="31"/>
      <c r="H3" s="31"/>
      <c r="I3" s="31"/>
    </row>
    <row r="4" customFormat="false" ht="63.75" hidden="false" customHeight="true" outlineLevel="0" collapsed="false">
      <c r="A4" s="31" t="s">
        <v>726</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727</v>
      </c>
      <c r="B10" s="33" t="n">
        <v>2500</v>
      </c>
      <c r="C10" s="7" t="s">
        <v>257</v>
      </c>
      <c r="D10" s="34" t="n">
        <v>2500</v>
      </c>
      <c r="E10" s="34" t="n">
        <v>500</v>
      </c>
      <c r="F10" s="34" t="n">
        <v>10000</v>
      </c>
      <c r="G10" s="34" t="n">
        <v>100000</v>
      </c>
      <c r="H10" s="34" t="n">
        <v>100</v>
      </c>
      <c r="I10" s="35" t="s">
        <v>728</v>
      </c>
    </row>
    <row r="11" customFormat="false" ht="15" hidden="false" customHeight="false" outlineLevel="0" collapsed="false">
      <c r="A11" s="7" t="s">
        <v>729</v>
      </c>
      <c r="B11" s="36" t="n">
        <v>6</v>
      </c>
      <c r="C11" s="7" t="s">
        <v>730</v>
      </c>
      <c r="D11" s="37" t="n">
        <v>6</v>
      </c>
      <c r="E11" s="37" t="n">
        <v>1</v>
      </c>
      <c r="F11" s="37" t="n">
        <v>12</v>
      </c>
      <c r="G11" s="37" t="n">
        <v>12</v>
      </c>
      <c r="H11" s="37" t="n">
        <v>1</v>
      </c>
      <c r="I11" s="35"/>
    </row>
    <row r="12" customFormat="false" ht="15" hidden="false" customHeight="false" outlineLevel="0" collapsed="false">
      <c r="A12" s="7" t="s">
        <v>731</v>
      </c>
      <c r="B12" s="33" t="n">
        <v>6250</v>
      </c>
      <c r="C12" s="7" t="s">
        <v>257</v>
      </c>
      <c r="D12" s="34" t="n">
        <v>6250</v>
      </c>
      <c r="E12" s="34" t="n">
        <v>0</v>
      </c>
      <c r="F12" s="34" t="n">
        <v>100000</v>
      </c>
      <c r="G12" s="34" t="n">
        <v>1000000</v>
      </c>
      <c r="H12" s="34" t="n">
        <v>250</v>
      </c>
      <c r="I12" s="35" t="s">
        <v>732</v>
      </c>
    </row>
    <row r="14" customFormat="false" ht="15" hidden="false" customHeight="false" outlineLevel="0" collapsed="false">
      <c r="A14" s="15" t="s">
        <v>391</v>
      </c>
      <c r="B14" s="16"/>
      <c r="C14" s="16"/>
      <c r="D14" s="16"/>
      <c r="E14" s="16"/>
      <c r="F14" s="16"/>
      <c r="G14" s="16"/>
      <c r="H14" s="16"/>
      <c r="I14" s="16"/>
    </row>
    <row r="15" customFormat="false" ht="15" hidden="false" customHeight="false" outlineLevel="0" collapsed="false">
      <c r="A15" s="17" t="s">
        <v>392</v>
      </c>
      <c r="B15" s="17" t="s">
        <v>192</v>
      </c>
      <c r="C15" s="17" t="s">
        <v>193</v>
      </c>
      <c r="D15" s="17" t="s">
        <v>393</v>
      </c>
    </row>
    <row r="16" customFormat="false" ht="15" hidden="false" customHeight="false" outlineLevel="0" collapsed="false">
      <c r="A16" s="7" t="s">
        <v>733</v>
      </c>
      <c r="B16" s="43" t="n">
        <f aca="false">$B$10*$B$11</f>
        <v>15000</v>
      </c>
      <c r="C16" s="41" t="s">
        <v>257</v>
      </c>
      <c r="D16" s="42" t="s">
        <v>734</v>
      </c>
      <c r="E16" s="42"/>
      <c r="F16" s="42"/>
      <c r="G16" s="42"/>
      <c r="H16" s="42"/>
      <c r="I16" s="42"/>
    </row>
    <row r="17" customFormat="false" ht="15" hidden="false" customHeight="false" outlineLevel="0" collapsed="false">
      <c r="A17" s="7" t="s">
        <v>735</v>
      </c>
      <c r="B17" s="70" t="n">
        <f aca="false">IF($B$10=0,0,$B$12/$B$10)</f>
        <v>2.5</v>
      </c>
      <c r="C17" s="41" t="s">
        <v>507</v>
      </c>
      <c r="D17" s="42" t="s">
        <v>736</v>
      </c>
      <c r="E17" s="42"/>
      <c r="F17" s="42"/>
      <c r="G17" s="42"/>
      <c r="H17" s="42"/>
      <c r="I17" s="42"/>
    </row>
    <row r="18" customFormat="false" ht="15" hidden="false" customHeight="false" outlineLevel="0" collapsed="false">
      <c r="A18" s="7" t="s">
        <v>737</v>
      </c>
      <c r="B18" s="43" t="n">
        <f aca="false">MAX(0,$B$16-$B$12)</f>
        <v>8750</v>
      </c>
      <c r="C18" s="41" t="s">
        <v>257</v>
      </c>
      <c r="D18" s="42" t="s">
        <v>738</v>
      </c>
      <c r="E18" s="42"/>
      <c r="F18" s="42"/>
      <c r="G18" s="42"/>
      <c r="H18" s="42"/>
      <c r="I18" s="42"/>
    </row>
    <row r="20" customFormat="false" ht="15" hidden="false" customHeight="false" outlineLevel="0" collapsed="false">
      <c r="A20" s="15" t="s">
        <v>415</v>
      </c>
      <c r="B20" s="16"/>
      <c r="C20" s="16"/>
      <c r="D20" s="16"/>
      <c r="E20" s="16"/>
      <c r="F20" s="16"/>
      <c r="G20" s="16"/>
      <c r="H20" s="16"/>
      <c r="I20" s="16"/>
    </row>
    <row r="21" customFormat="false" ht="15" hidden="false" customHeight="false" outlineLevel="0" collapsed="false">
      <c r="A21" s="17" t="s">
        <v>416</v>
      </c>
      <c r="B21" s="17" t="s">
        <v>192</v>
      </c>
      <c r="C21" s="17" t="s">
        <v>417</v>
      </c>
      <c r="D21" s="17" t="s">
        <v>418</v>
      </c>
    </row>
    <row r="22" customFormat="false" ht="15" hidden="false" customHeight="false" outlineLevel="0" collapsed="false">
      <c r="A22" s="4" t="s">
        <v>419</v>
      </c>
      <c r="B22" s="48"/>
      <c r="C22" s="49" t="str">
        <f aca="false">"You currently have"</f>
        <v>You currently have</v>
      </c>
      <c r="D22" s="42" t="s">
        <v>420</v>
      </c>
      <c r="E22" s="42"/>
      <c r="F22" s="42"/>
      <c r="G22" s="42"/>
      <c r="H22" s="42"/>
      <c r="I22" s="42"/>
    </row>
    <row r="23" customFormat="false" ht="15" hidden="false" customHeight="false" outlineLevel="0" collapsed="false">
      <c r="A23" s="4" t="s">
        <v>739</v>
      </c>
      <c r="B23" s="71" t="n">
        <f aca="false">$B$17</f>
        <v>2.5</v>
      </c>
      <c r="C23" s="49" t="str">
        <f aca="false">FIXED($B$17,1,TRUE())&amp;" months"</f>
        <v>2.5 months</v>
      </c>
      <c r="D23" s="42" t="s">
        <v>512</v>
      </c>
      <c r="E23" s="42"/>
      <c r="F23" s="42"/>
      <c r="G23" s="42"/>
      <c r="H23" s="42"/>
      <c r="I23" s="42"/>
    </row>
    <row r="24" customFormat="false" ht="15" hidden="false" customHeight="false" outlineLevel="0" collapsed="false">
      <c r="A24" s="4" t="s">
        <v>740</v>
      </c>
      <c r="B24" s="50" t="n">
        <f aca="false">IF($B$18&gt;0,$B$16,"")</f>
        <v>15000</v>
      </c>
      <c r="C24" s="49" t="str">
        <f aca="false">IF($B$18&gt;0,IF(($B$16)&lt;0,"−€","€")&amp;FIXED(ROUND(ABS($B$16),0),0),"")</f>
        <v>€15,000</v>
      </c>
      <c r="D24" s="42" t="s">
        <v>741</v>
      </c>
      <c r="E24" s="42"/>
      <c r="F24" s="42"/>
      <c r="G24" s="42"/>
      <c r="H24" s="42"/>
      <c r="I24" s="42"/>
    </row>
    <row r="25" customFormat="false" ht="15" hidden="false" customHeight="false" outlineLevel="0" collapsed="false">
      <c r="A25" s="4" t="s">
        <v>742</v>
      </c>
      <c r="B25" s="50" t="n">
        <f aca="false">IF($B$18&gt;0,$B$18,"")</f>
        <v>8750</v>
      </c>
      <c r="C25" s="49" t="str">
        <f aca="false">IF($B$18&gt;0,IF(($B$18)&lt;0,"−€","€")&amp;FIXED(ROUND(ABS($B$18),0),0),"")</f>
        <v>€8,750</v>
      </c>
      <c r="D25" s="42" t="s">
        <v>741</v>
      </c>
      <c r="E25" s="42"/>
      <c r="F25" s="42"/>
      <c r="G25" s="42"/>
      <c r="H25" s="42"/>
      <c r="I25" s="42"/>
    </row>
    <row r="26" customFormat="false" ht="15" hidden="false" customHeight="false" outlineLevel="0" collapsed="false">
      <c r="A26" s="4" t="s">
        <v>733</v>
      </c>
      <c r="B26" s="50" t="n">
        <f aca="false">$B$16</f>
        <v>15000</v>
      </c>
      <c r="C26" s="49" t="str">
        <f aca="false">IF(($B$16)&lt;0,"−€","€")&amp;FIXED(ROUND(ABS($B$16),0),0)</f>
        <v>€15,000</v>
      </c>
      <c r="D26" s="42" t="s">
        <v>427</v>
      </c>
      <c r="E26" s="42"/>
      <c r="F26" s="42"/>
      <c r="G26" s="42"/>
      <c r="H26" s="42"/>
      <c r="I26" s="42"/>
    </row>
    <row r="27" customFormat="false" ht="15" hidden="false" customHeight="false" outlineLevel="0" collapsed="false">
      <c r="A27" s="4" t="s">
        <v>737</v>
      </c>
      <c r="B27" s="50" t="n">
        <f aca="false">$B$18</f>
        <v>8750</v>
      </c>
      <c r="C27" s="49" t="str">
        <f aca="false">IF(($B$18)&lt;0,"−€","€")&amp;FIXED(ROUND(ABS($B$18),0),0)</f>
        <v>€8,750</v>
      </c>
      <c r="D27" s="42" t="s">
        <v>428</v>
      </c>
      <c r="E27" s="42"/>
      <c r="F27" s="42"/>
      <c r="G27" s="42"/>
      <c r="H27" s="42"/>
      <c r="I27" s="42"/>
    </row>
    <row r="28" customFormat="false" ht="15" hidden="false" customHeight="false" outlineLevel="0" collapsed="false">
      <c r="A28" s="4" t="s">
        <v>743</v>
      </c>
      <c r="B28" s="50" t="n">
        <f aca="false">IF($B$18&gt;0,INT(($B$16)+0.5),"")</f>
        <v>15000</v>
      </c>
      <c r="C28" s="49" t="str">
        <f aca="false">$B$28&amp;""</f>
        <v>15000</v>
      </c>
      <c r="D28" s="42" t="s">
        <v>744</v>
      </c>
      <c r="E28" s="42"/>
      <c r="F28" s="42"/>
      <c r="G28" s="42"/>
      <c r="H28" s="42"/>
      <c r="I28" s="42"/>
    </row>
    <row r="29" customFormat="false" ht="15" hidden="false" customHeight="false" outlineLevel="0" collapsed="false">
      <c r="A29" s="4" t="s">
        <v>434</v>
      </c>
      <c r="B29" s="53" t="n">
        <f aca="false">IF($B$18&gt;0,Assumptions!$C$72,"")</f>
        <v>2</v>
      </c>
      <c r="C29" s="49" t="str">
        <f aca="false">$B$29&amp;""</f>
        <v>2</v>
      </c>
      <c r="D29" s="42" t="s">
        <v>744</v>
      </c>
      <c r="E29" s="42"/>
      <c r="F29" s="42"/>
      <c r="G29" s="42"/>
      <c r="H29" s="42"/>
      <c r="I29" s="42"/>
    </row>
  </sheetData>
  <mergeCells count="14">
    <mergeCell ref="A3:I3"/>
    <mergeCell ref="A4:I4"/>
    <mergeCell ref="A5:I5"/>
    <mergeCell ref="D16:I16"/>
    <mergeCell ref="D17:I17"/>
    <mergeCell ref="D18:I18"/>
    <mergeCell ref="D22:I22"/>
    <mergeCell ref="D23:I23"/>
    <mergeCell ref="D24:I24"/>
    <mergeCell ref="D25:I25"/>
    <mergeCell ref="D26:I26"/>
    <mergeCell ref="D27:I27"/>
    <mergeCell ref="D28:I28"/>
    <mergeCell ref="D29:I29"/>
  </mergeCells>
  <dataValidations count="3">
    <dataValidation allowBlank="false" error="The prototype accepts 500 to 100000 here." errorStyle="stop" errorTitle="Outside the prototype range" operator="between" showDropDown="false" showErrorMessage="true" showInputMessage="false" sqref="B10" type="decimal">
      <formula1>500</formula1>
      <formula2>100000</formula2>
    </dataValidation>
    <dataValidation allowBlank="false" error="The prototype accepts 1 to 12 here." errorStyle="stop" errorTitle="Outside the prototype range" operator="between" showDropDown="false" showErrorMessage="true" showInputMessage="false" sqref="B11" type="decimal">
      <formula1>1</formula1>
      <formula2>12</formula2>
    </dataValidation>
    <dataValidation allowBlank="false" error="The prototype accepts 0 to 1000000 here." errorStyle="stop" errorTitle="Outside the prototype range" operator="between" showDropDown="false" showErrorMessage="true" showInputMessage="false" sqref="B12" type="decimal">
      <formula1>0</formula1>
      <formula2>1000000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3" min="11" style="0" width="14"/>
  </cols>
  <sheetData>
    <row r="1" customFormat="false" ht="17.35" hidden="false" customHeight="false" outlineLevel="0" collapsed="false">
      <c r="A1" s="1" t="s">
        <v>745</v>
      </c>
    </row>
    <row r="2" customFormat="false" ht="15" hidden="false" customHeight="false" outlineLevel="0" collapsed="false">
      <c r="A2" s="30" t="s">
        <v>746</v>
      </c>
    </row>
    <row r="3" customFormat="false" ht="37.5" hidden="false" customHeight="true" outlineLevel="0" collapsed="false">
      <c r="A3" s="31" t="s">
        <v>747</v>
      </c>
      <c r="B3" s="31"/>
      <c r="C3" s="31"/>
      <c r="D3" s="31"/>
      <c r="E3" s="31"/>
      <c r="F3" s="31"/>
      <c r="G3" s="31"/>
      <c r="H3" s="31"/>
      <c r="I3" s="31"/>
    </row>
    <row r="4" customFormat="false" ht="63.75" hidden="false" customHeight="true" outlineLevel="0" collapsed="false">
      <c r="A4" s="31" t="s">
        <v>748</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749</v>
      </c>
    </row>
    <row r="6" customFormat="false" ht="15" hidden="false" customHeight="false" outlineLevel="0" collapsed="false">
      <c r="K6" s="9" t="s">
        <v>750</v>
      </c>
      <c r="L6" s="16"/>
      <c r="M6" s="16"/>
    </row>
    <row r="7" customFormat="false" ht="39.75" hidden="false" customHeight="true" outlineLevel="0" collapsed="false">
      <c r="K7" s="55" t="s">
        <v>751</v>
      </c>
      <c r="L7" s="55" t="s">
        <v>752</v>
      </c>
      <c r="M7" s="55" t="s">
        <v>753</v>
      </c>
    </row>
    <row r="8" customFormat="false" ht="15" hidden="false" customHeight="false" outlineLevel="0" collapsed="false">
      <c r="A8" s="15" t="s">
        <v>370</v>
      </c>
      <c r="B8" s="16"/>
      <c r="C8" s="16"/>
      <c r="D8" s="16"/>
      <c r="E8" s="16"/>
      <c r="F8" s="16"/>
      <c r="G8" s="16"/>
      <c r="H8" s="16"/>
      <c r="I8" s="16"/>
      <c r="K8" s="56" t="n">
        <v>0</v>
      </c>
      <c r="L8" s="56" t="n">
        <f aca="false">IF(K8&lt;$B$34,1,0)</f>
        <v>1</v>
      </c>
      <c r="M8" s="58" t="n">
        <f aca="false">IF(L8=1,$B$12*(1+$B$16)+$B$35*12*POWER(1+$B$36,K8),$B$12)</f>
        <v>68700</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1</v>
      </c>
      <c r="L9" s="56" t="n">
        <f aca="false">IF(K9&lt;$B$34,1,0)</f>
        <v>1</v>
      </c>
      <c r="M9" s="58" t="n">
        <f aca="false">IF(L9=1,M8*(1+$B$16)+$B$35*12*POWER(1+$B$36,K9),M8)</f>
        <v>77941.5</v>
      </c>
    </row>
    <row r="10" customFormat="false" ht="15" hidden="false" customHeight="false" outlineLevel="0" collapsed="false">
      <c r="A10" s="7" t="s">
        <v>754</v>
      </c>
      <c r="B10" s="36" t="n">
        <v>40</v>
      </c>
      <c r="C10" s="7" t="s">
        <v>755</v>
      </c>
      <c r="D10" s="37" t="n">
        <v>40</v>
      </c>
      <c r="E10" s="37" t="n">
        <v>20</v>
      </c>
      <c r="F10" s="37" t="n">
        <v>70</v>
      </c>
      <c r="G10" s="37" t="n">
        <v>70</v>
      </c>
      <c r="H10" s="37" t="n">
        <v>1</v>
      </c>
      <c r="I10" s="35" t="s">
        <v>756</v>
      </c>
      <c r="K10" s="56" t="n">
        <f aca="false">K9+1</f>
        <v>2</v>
      </c>
      <c r="L10" s="56" t="n">
        <f aca="false">IF(K10&lt;$B$34,1,0)</f>
        <v>1</v>
      </c>
      <c r="M10" s="58" t="n">
        <f aca="false">IF(L10=1,M9*(1+$B$16)+$B$35*12*POWER(1+$B$36,K10),M9)</f>
        <v>87752.6175</v>
      </c>
    </row>
    <row r="11" customFormat="false" ht="15" hidden="false" customHeight="false" outlineLevel="0" collapsed="false">
      <c r="A11" s="7" t="s">
        <v>757</v>
      </c>
      <c r="B11" s="36" t="n">
        <v>65</v>
      </c>
      <c r="C11" s="7" t="s">
        <v>755</v>
      </c>
      <c r="D11" s="37" t="n">
        <v>65</v>
      </c>
      <c r="E11" s="37" t="n">
        <v>50</v>
      </c>
      <c r="F11" s="37" t="n">
        <v>75</v>
      </c>
      <c r="G11" s="37" t="n">
        <v>75</v>
      </c>
      <c r="H11" s="37" t="n">
        <v>1</v>
      </c>
      <c r="I11" s="35" t="s">
        <v>758</v>
      </c>
      <c r="K11" s="56" t="n">
        <f aca="false">K10+1</f>
        <v>3</v>
      </c>
      <c r="L11" s="56" t="n">
        <f aca="false">IF(K11&lt;$B$34,1,0)</f>
        <v>1</v>
      </c>
      <c r="M11" s="58" t="n">
        <f aca="false">IF(L11=1,M10*(1+$B$16)+$B$35*12*POWER(1+$B$36,K11),M10)</f>
        <v>98162.8290375</v>
      </c>
    </row>
    <row r="12" customFormat="false" ht="15" hidden="false" customHeight="false" outlineLevel="0" collapsed="false">
      <c r="A12" s="7" t="s">
        <v>759</v>
      </c>
      <c r="B12" s="33" t="n">
        <v>60000</v>
      </c>
      <c r="C12" s="7" t="s">
        <v>257</v>
      </c>
      <c r="D12" s="34" t="n">
        <v>60000</v>
      </c>
      <c r="E12" s="34" t="n">
        <v>0</v>
      </c>
      <c r="F12" s="34" t="n">
        <v>1500000</v>
      </c>
      <c r="G12" s="34" t="n">
        <v>15000000</v>
      </c>
      <c r="H12" s="34" t="n">
        <v>1000</v>
      </c>
      <c r="I12" s="35" t="s">
        <v>760</v>
      </c>
      <c r="K12" s="56" t="n">
        <f aca="false">K11+1</f>
        <v>4</v>
      </c>
      <c r="L12" s="56" t="n">
        <f aca="false">IF(K12&lt;$B$34,1,0)</f>
        <v>1</v>
      </c>
      <c r="M12" s="58" t="n">
        <f aca="false">IF(L12=1,M11*(1+$B$16)+$B$35*12*POWER(1+$B$36,K12),M11)</f>
        <v>109203.033687937</v>
      </c>
    </row>
    <row r="13" customFormat="false" ht="15" hidden="false" customHeight="false" outlineLevel="0" collapsed="false">
      <c r="A13" s="7" t="s">
        <v>761</v>
      </c>
      <c r="B13" s="33" t="n">
        <v>500</v>
      </c>
      <c r="C13" s="7" t="s">
        <v>257</v>
      </c>
      <c r="D13" s="34" t="n">
        <v>500</v>
      </c>
      <c r="E13" s="34" t="n">
        <v>0</v>
      </c>
      <c r="F13" s="34" t="n">
        <v>5000</v>
      </c>
      <c r="G13" s="34" t="n">
        <v>50000</v>
      </c>
      <c r="H13" s="34" t="n">
        <v>10</v>
      </c>
      <c r="I13" s="35" t="s">
        <v>762</v>
      </c>
      <c r="K13" s="56" t="n">
        <f aca="false">K12+1</f>
        <v>5</v>
      </c>
      <c r="L13" s="56" t="n">
        <f aca="false">IF(K13&lt;$B$34,1,0)</f>
        <v>1</v>
      </c>
      <c r="M13" s="58" t="n">
        <f aca="false">IF(L13=1,M12*(1+$B$16)+$B$35*12*POWER(1+$B$36,K13),M12)</f>
        <v>120905.619481238</v>
      </c>
    </row>
    <row r="14" customFormat="false" ht="15" hidden="false" customHeight="false" outlineLevel="0" collapsed="false">
      <c r="A14" s="7" t="s">
        <v>763</v>
      </c>
      <c r="B14" s="33" t="n">
        <v>40000</v>
      </c>
      <c r="C14" s="7" t="s">
        <v>257</v>
      </c>
      <c r="D14" s="34" t="n">
        <v>40000</v>
      </c>
      <c r="E14" s="34" t="n">
        <v>10000</v>
      </c>
      <c r="F14" s="34" t="n">
        <v>150000</v>
      </c>
      <c r="G14" s="34" t="n">
        <v>1500000</v>
      </c>
      <c r="H14" s="34" t="n">
        <v>1000</v>
      </c>
      <c r="I14" s="35" t="s">
        <v>764</v>
      </c>
      <c r="K14" s="56" t="n">
        <f aca="false">K13+1</f>
        <v>6</v>
      </c>
      <c r="L14" s="56" t="n">
        <f aca="false">IF(K14&lt;$B$34,1,0)</f>
        <v>1</v>
      </c>
      <c r="M14" s="58" t="n">
        <f aca="false">IF(L14=1,M13*(1+$B$16)+$B$35*12*POWER(1+$B$36,K14),M13)</f>
        <v>133304.532867171</v>
      </c>
    </row>
    <row r="15" customFormat="false" ht="15" hidden="false" customHeight="false" outlineLevel="0" collapsed="false">
      <c r="A15" s="7" t="s">
        <v>765</v>
      </c>
      <c r="B15" s="33" t="n">
        <v>15000</v>
      </c>
      <c r="C15" s="7" t="s">
        <v>257</v>
      </c>
      <c r="D15" s="34" t="n">
        <v>15000</v>
      </c>
      <c r="E15" s="34" t="n">
        <v>0</v>
      </c>
      <c r="F15" s="34" t="n">
        <v>50000</v>
      </c>
      <c r="G15" s="34" t="n">
        <v>500000</v>
      </c>
      <c r="H15" s="34" t="n">
        <v>500</v>
      </c>
      <c r="I15" s="35" t="s">
        <v>766</v>
      </c>
      <c r="K15" s="56" t="n">
        <f aca="false">K14+1</f>
        <v>7</v>
      </c>
      <c r="L15" s="56" t="n">
        <f aca="false">IF(K15&lt;$B$34,1,0)</f>
        <v>1</v>
      </c>
      <c r="M15" s="58" t="n">
        <f aca="false">IF(L15=1,M14*(1+$B$16)+$B$35*12*POWER(1+$B$36,K15),M14)</f>
        <v>146435.351368203</v>
      </c>
    </row>
    <row r="16" customFormat="false" ht="22.35" hidden="false" customHeight="false" outlineLevel="0" collapsed="false">
      <c r="A16" s="7" t="s">
        <v>767</v>
      </c>
      <c r="B16" s="38" t="n">
        <v>0.045</v>
      </c>
      <c r="C16" s="7" t="s">
        <v>386</v>
      </c>
      <c r="D16" s="39" t="n">
        <v>0.045</v>
      </c>
      <c r="E16" s="39" t="n">
        <v>0.01</v>
      </c>
      <c r="F16" s="39" t="n">
        <v>0.07</v>
      </c>
      <c r="G16" s="39" t="n">
        <v>0.07</v>
      </c>
      <c r="H16" s="39" t="n">
        <v>0.0025</v>
      </c>
      <c r="I16" s="35" t="s">
        <v>768</v>
      </c>
      <c r="K16" s="56" t="n">
        <f aca="false">K15+1</f>
        <v>8</v>
      </c>
      <c r="L16" s="56" t="n">
        <f aca="false">IF(K16&lt;$B$34,1,0)</f>
        <v>1</v>
      </c>
      <c r="M16" s="58" t="n">
        <f aca="false">IF(L16=1,M15*(1+$B$16)+$B$35*12*POWER(1+$B$36,K16),M15)</f>
        <v>160335.359564832</v>
      </c>
    </row>
    <row r="17" customFormat="false" ht="15" hidden="false" customHeight="false" outlineLevel="0" collapsed="false">
      <c r="K17" s="56" t="n">
        <f aca="false">K16+1</f>
        <v>9</v>
      </c>
      <c r="L17" s="56" t="n">
        <f aca="false">IF(K17&lt;$B$34,1,0)</f>
        <v>1</v>
      </c>
      <c r="M17" s="58" t="n">
        <f aca="false">IF(L17=1,M16*(1+$B$16)+$B$35*12*POWER(1+$B$36,K17),M16)</f>
        <v>175043.628564936</v>
      </c>
    </row>
    <row r="18" customFormat="false" ht="15" hidden="false" customHeight="false" outlineLevel="0" collapsed="false">
      <c r="A18" s="15" t="s">
        <v>389</v>
      </c>
      <c r="B18" s="16"/>
      <c r="C18" s="16"/>
      <c r="D18" s="16"/>
      <c r="E18" s="16"/>
      <c r="F18" s="16"/>
      <c r="G18" s="16"/>
      <c r="H18" s="16"/>
      <c r="I18" s="16"/>
      <c r="K18" s="56" t="n">
        <f aca="false">K17+1</f>
        <v>10</v>
      </c>
      <c r="L18" s="56" t="n">
        <f aca="false">IF(K18&lt;$B$34,1,0)</f>
        <v>1</v>
      </c>
      <c r="M18" s="58" t="n">
        <f aca="false">IF(L18=1,M17*(1+$B$16)+$B$35*12*POWER(1+$B$36,K18),M17)</f>
        <v>190601.099115536</v>
      </c>
    </row>
    <row r="19" customFormat="false" ht="15" hidden="false" customHeight="false" outlineLevel="0" collapsed="false">
      <c r="A19" s="17" t="s">
        <v>30</v>
      </c>
      <c r="B19" s="17" t="s">
        <v>192</v>
      </c>
      <c r="C19" s="17" t="s">
        <v>193</v>
      </c>
      <c r="D19" s="17" t="s">
        <v>371</v>
      </c>
      <c r="E19" s="17" t="s">
        <v>372</v>
      </c>
      <c r="F19" s="17" t="s">
        <v>373</v>
      </c>
      <c r="G19" s="17" t="s">
        <v>374</v>
      </c>
      <c r="H19" s="17" t="s">
        <v>375</v>
      </c>
      <c r="I19" s="17" t="s">
        <v>376</v>
      </c>
      <c r="K19" s="56" t="n">
        <f aca="false">K18+1</f>
        <v>11</v>
      </c>
      <c r="L19" s="56" t="n">
        <f aca="false">IF(K19&lt;$B$34,1,0)</f>
        <v>1</v>
      </c>
      <c r="M19" s="58" t="n">
        <f aca="false">IF(L19=1,M18*(1+$B$16)+$B$35*12*POWER(1+$B$36,K19),M18)</f>
        <v>207050.668522542</v>
      </c>
    </row>
    <row r="20" customFormat="false" ht="15" hidden="false" customHeight="false" outlineLevel="0" collapsed="false">
      <c r="A20" s="7" t="s">
        <v>769</v>
      </c>
      <c r="B20" s="36" t="n">
        <v>0</v>
      </c>
      <c r="C20" s="7" t="s">
        <v>388</v>
      </c>
      <c r="D20" s="37" t="n">
        <v>0</v>
      </c>
      <c r="E20" s="37" t="n">
        <v>0</v>
      </c>
      <c r="F20" s="37" t="n">
        <v>5</v>
      </c>
      <c r="G20" s="37" t="n">
        <v>5</v>
      </c>
      <c r="H20" s="37" t="n">
        <v>1</v>
      </c>
      <c r="I20" s="35"/>
      <c r="K20" s="56" t="n">
        <f aca="false">K19+1</f>
        <v>12</v>
      </c>
      <c r="L20" s="56" t="n">
        <f aca="false">IF(K20&lt;$B$34,1,0)</f>
        <v>1</v>
      </c>
      <c r="M20" s="58" t="n">
        <f aca="false">IF(L20=1,M19*(1+$B$16)+$B$35*12*POWER(1+$B$36,K20),M19)</f>
        <v>224437.281551535</v>
      </c>
    </row>
    <row r="21" customFormat="false" ht="15" hidden="false" customHeight="false" outlineLevel="0" collapsed="false">
      <c r="A21" s="7" t="s">
        <v>770</v>
      </c>
      <c r="B21" s="33" t="n">
        <v>0</v>
      </c>
      <c r="C21" s="7" t="s">
        <v>257</v>
      </c>
      <c r="D21" s="34" t="n">
        <v>0</v>
      </c>
      <c r="E21" s="34" t="n">
        <v>0</v>
      </c>
      <c r="F21" s="34" t="n">
        <v>1500</v>
      </c>
      <c r="G21" s="34" t="n">
        <v>15000</v>
      </c>
      <c r="H21" s="34" t="n">
        <v>50</v>
      </c>
      <c r="I21" s="35"/>
      <c r="K21" s="56" t="n">
        <f aca="false">K20+1</f>
        <v>13</v>
      </c>
      <c r="L21" s="56" t="n">
        <f aca="false">IF(K21&lt;$B$34,1,0)</f>
        <v>1</v>
      </c>
      <c r="M21" s="58" t="n">
        <f aca="false">IF(L21=1,M20*(1+$B$16)+$B$35*12*POWER(1+$B$36,K21),M20)</f>
        <v>242808.025490468</v>
      </c>
    </row>
    <row r="22" customFormat="false" ht="15" hidden="false" customHeight="false" outlineLevel="0" collapsed="false">
      <c r="A22" s="7" t="s">
        <v>771</v>
      </c>
      <c r="B22" s="33" t="n">
        <v>0</v>
      </c>
      <c r="C22" s="7" t="s">
        <v>257</v>
      </c>
      <c r="D22" s="34" t="n">
        <v>0</v>
      </c>
      <c r="E22" s="34" t="n">
        <v>0</v>
      </c>
      <c r="F22" s="34" t="n">
        <v>20000</v>
      </c>
      <c r="G22" s="34" t="n">
        <v>200000</v>
      </c>
      <c r="H22" s="34" t="n">
        <v>500</v>
      </c>
      <c r="I22" s="35"/>
      <c r="K22" s="56" t="n">
        <f aca="false">K21+1</f>
        <v>14</v>
      </c>
      <c r="L22" s="56" t="n">
        <f aca="false">IF(K22&lt;$B$34,1,0)</f>
        <v>1</v>
      </c>
      <c r="M22" s="58" t="n">
        <f aca="false">IF(L22=1,M21*(1+$B$16)+$B$35*12*POWER(1+$B$36,K22),M21)</f>
        <v>262212.229563382</v>
      </c>
    </row>
    <row r="23" customFormat="false" ht="15" hidden="false" customHeight="false" outlineLevel="0" collapsed="false">
      <c r="K23" s="56" t="n">
        <f aca="false">K22+1</f>
        <v>15</v>
      </c>
      <c r="L23" s="56" t="n">
        <f aca="false">IF(K23&lt;$B$34,1,0)</f>
        <v>1</v>
      </c>
      <c r="M23" s="58" t="n">
        <f aca="false">IF(L23=1,M22*(1+$B$16)+$B$35*12*POWER(1+$B$36,K23),M22)</f>
        <v>282701.568892723</v>
      </c>
    </row>
    <row r="24" customFormat="false" ht="15" hidden="false" customHeight="false" outlineLevel="0" collapsed="false">
      <c r="A24" s="15" t="s">
        <v>454</v>
      </c>
      <c r="B24" s="16"/>
      <c r="C24" s="16"/>
      <c r="D24" s="16"/>
      <c r="E24" s="16"/>
      <c r="F24" s="16"/>
      <c r="G24" s="16"/>
      <c r="H24" s="16"/>
      <c r="I24" s="16"/>
      <c r="K24" s="56" t="n">
        <f aca="false">K23+1</f>
        <v>16</v>
      </c>
      <c r="L24" s="56" t="n">
        <f aca="false">IF(K24&lt;$B$34,1,0)</f>
        <v>1</v>
      </c>
      <c r="M24" s="58" t="n">
        <f aca="false">IF(L24=1,M23*(1+$B$16)+$B$35*12*POWER(1+$B$36,K24),M23)</f>
        <v>304330.173216859</v>
      </c>
    </row>
    <row r="25" customFormat="false" ht="15" hidden="false" customHeight="false" outlineLevel="0" collapsed="false">
      <c r="A25" s="17" t="s">
        <v>30</v>
      </c>
      <c r="B25" s="17" t="s">
        <v>192</v>
      </c>
      <c r="C25" s="17" t="s">
        <v>193</v>
      </c>
      <c r="D25" s="17" t="s">
        <v>371</v>
      </c>
      <c r="E25" s="17" t="s">
        <v>372</v>
      </c>
      <c r="F25" s="17" t="s">
        <v>373</v>
      </c>
      <c r="G25" s="17" t="s">
        <v>374</v>
      </c>
      <c r="H25" s="17" t="s">
        <v>375</v>
      </c>
      <c r="I25" s="17" t="s">
        <v>376</v>
      </c>
      <c r="K25" s="56" t="n">
        <f aca="false">K24+1</f>
        <v>17</v>
      </c>
      <c r="L25" s="56" t="n">
        <f aca="false">IF(K25&lt;$B$34,1,0)</f>
        <v>1</v>
      </c>
      <c r="M25" s="58" t="n">
        <f aca="false">IF(L25=1,M24*(1+$B$16)+$B$35*12*POWER(1+$B$36,K25),M24)</f>
        <v>327154.74057868</v>
      </c>
    </row>
    <row r="26" customFormat="false" ht="15" hidden="false" customHeight="false" outlineLevel="0" collapsed="false">
      <c r="A26" s="7" t="s">
        <v>772</v>
      </c>
      <c r="B26" s="36" t="n">
        <v>0</v>
      </c>
      <c r="C26" s="7" t="s">
        <v>197</v>
      </c>
      <c r="D26" s="37" t="n">
        <v>0</v>
      </c>
      <c r="E26" s="37" t="n">
        <v>0</v>
      </c>
      <c r="F26" s="37" t="n">
        <v>1</v>
      </c>
      <c r="G26" s="37" t="n">
        <v>1</v>
      </c>
      <c r="H26" s="37" t="n">
        <v>1</v>
      </c>
      <c r="I26" s="35" t="s">
        <v>773</v>
      </c>
      <c r="K26" s="56" t="n">
        <f aca="false">K25+1</f>
        <v>18</v>
      </c>
      <c r="L26" s="56" t="n">
        <f aca="false">IF(K26&lt;$B$34,1,0)</f>
        <v>1</v>
      </c>
      <c r="M26" s="58" t="n">
        <f aca="false">IF(L26=1,M25*(1+$B$16)+$B$35*12*POWER(1+$B$36,K26),M25)</f>
        <v>351234.656210959</v>
      </c>
    </row>
    <row r="27" customFormat="false" ht="15" hidden="false" customHeight="false" outlineLevel="0" collapsed="false">
      <c r="A27" s="7" t="s">
        <v>774</v>
      </c>
      <c r="B27" s="33" t="n">
        <v>0</v>
      </c>
      <c r="C27" s="7" t="s">
        <v>257</v>
      </c>
      <c r="D27" s="34" t="n">
        <v>0</v>
      </c>
      <c r="E27" s="34" t="n">
        <v>0</v>
      </c>
      <c r="F27" s="34" t="n">
        <v>100000000</v>
      </c>
      <c r="G27" s="34" t="n">
        <v>100000000</v>
      </c>
      <c r="H27" s="34"/>
      <c r="I27" s="35" t="s">
        <v>775</v>
      </c>
      <c r="K27" s="56" t="n">
        <f aca="false">K26+1</f>
        <v>19</v>
      </c>
      <c r="L27" s="56" t="n">
        <f aca="false">IF(K27&lt;$B$34,1,0)</f>
        <v>1</v>
      </c>
      <c r="M27" s="58" t="n">
        <f aca="false">IF(L27=1,M26*(1+$B$16)+$B$35*12*POWER(1+$B$36,K27),M26)</f>
        <v>376632.116854347</v>
      </c>
    </row>
    <row r="28" customFormat="false" ht="15" hidden="false" customHeight="false" outlineLevel="0" collapsed="false">
      <c r="A28" s="7" t="s">
        <v>776</v>
      </c>
      <c r="B28" s="36" t="n">
        <v>66</v>
      </c>
      <c r="C28" s="7" t="s">
        <v>755</v>
      </c>
      <c r="D28" s="37" t="n">
        <v>66</v>
      </c>
      <c r="E28" s="37" t="n">
        <v>18</v>
      </c>
      <c r="F28" s="37" t="n">
        <v>100</v>
      </c>
      <c r="G28" s="37" t="n">
        <v>100</v>
      </c>
      <c r="H28" s="37"/>
      <c r="I28" s="35" t="s">
        <v>775</v>
      </c>
      <c r="K28" s="56" t="n">
        <f aca="false">K27+1</f>
        <v>20</v>
      </c>
      <c r="L28" s="56" t="n">
        <f aca="false">IF(K28&lt;$B$34,1,0)</f>
        <v>1</v>
      </c>
      <c r="M28" s="58" t="n">
        <f aca="false">IF(L28=1,M27*(1+$B$16)+$B$35*12*POWER(1+$B$36,K28),M27)</f>
        <v>403412.260754535</v>
      </c>
    </row>
    <row r="29" customFormat="false" ht="22.35" hidden="false" customHeight="false" outlineLevel="0" collapsed="false">
      <c r="A29" s="7" t="s">
        <v>777</v>
      </c>
      <c r="B29" s="36" t="n">
        <v>1</v>
      </c>
      <c r="C29" s="7" t="s">
        <v>197</v>
      </c>
      <c r="D29" s="37" t="n">
        <v>1</v>
      </c>
      <c r="E29" s="37" t="n">
        <v>0</v>
      </c>
      <c r="F29" s="37" t="n">
        <v>1</v>
      </c>
      <c r="G29" s="37" t="n">
        <v>1</v>
      </c>
      <c r="H29" s="37" t="n">
        <v>1</v>
      </c>
      <c r="I29" s="35" t="s">
        <v>458</v>
      </c>
      <c r="K29" s="56" t="n">
        <f aca="false">K28+1</f>
        <v>21</v>
      </c>
      <c r="L29" s="56" t="n">
        <f aca="false">IF(K29&lt;$B$34,1,0)</f>
        <v>1</v>
      </c>
      <c r="M29" s="58" t="n">
        <f aca="false">IF(L29=1,M28*(1+$B$16)+$B$35*12*POWER(1+$B$36,K29),M28)</f>
        <v>431643.303596275</v>
      </c>
    </row>
    <row r="30" customFormat="false" ht="15" hidden="false" customHeight="false" outlineLevel="0" collapsed="false">
      <c r="K30" s="56" t="n">
        <f aca="false">K29+1</f>
        <v>22</v>
      </c>
      <c r="L30" s="56" t="n">
        <f aca="false">IF(K30&lt;$B$34,1,0)</f>
        <v>1</v>
      </c>
      <c r="M30" s="58" t="n">
        <f aca="false">IF(L30=1,M29*(1+$B$16)+$B$35*12*POWER(1+$B$36,K30),M29)</f>
        <v>461396.680643588</v>
      </c>
    </row>
    <row r="31" customFormat="false" ht="15" hidden="false" customHeight="false" outlineLevel="0" collapsed="false">
      <c r="A31" s="15" t="s">
        <v>391</v>
      </c>
      <c r="B31" s="16"/>
      <c r="C31" s="16"/>
      <c r="D31" s="16"/>
      <c r="E31" s="16"/>
      <c r="F31" s="16"/>
      <c r="G31" s="16"/>
      <c r="H31" s="16"/>
      <c r="I31" s="16"/>
      <c r="K31" s="56" t="n">
        <f aca="false">K30+1</f>
        <v>23</v>
      </c>
      <c r="L31" s="56" t="n">
        <f aca="false">IF(K31&lt;$B$34,1,0)</f>
        <v>1</v>
      </c>
      <c r="M31" s="58" t="n">
        <f aca="false">IF(L31=1,M30*(1+$B$16)+$B$35*12*POWER(1+$B$36,K31),M30)</f>
        <v>492747.195367667</v>
      </c>
    </row>
    <row r="32" customFormat="false" ht="15" hidden="false" customHeight="false" outlineLevel="0" collapsed="false">
      <c r="A32" s="17" t="s">
        <v>392</v>
      </c>
      <c r="B32" s="17" t="s">
        <v>192</v>
      </c>
      <c r="C32" s="17" t="s">
        <v>193</v>
      </c>
      <c r="D32" s="17" t="s">
        <v>393</v>
      </c>
      <c r="K32" s="56" t="n">
        <f aca="false">K31+1</f>
        <v>24</v>
      </c>
      <c r="L32" s="56" t="n">
        <f aca="false">IF(K32&lt;$B$34,1,0)</f>
        <v>1</v>
      </c>
      <c r="M32" s="58" t="n">
        <f aca="false">IF(L32=1,M31*(1+$B$16)+$B$35*12*POWER(1+$B$36,K32),M31)</f>
        <v>525773.174856708</v>
      </c>
    </row>
    <row r="33" customFormat="false" ht="15" hidden="false" customHeight="false" outlineLevel="0" collapsed="false">
      <c r="A33" s="7" t="s">
        <v>778</v>
      </c>
      <c r="B33" s="46" t="n">
        <f aca="false">$B$11+$B$20</f>
        <v>65</v>
      </c>
      <c r="C33" s="41" t="s">
        <v>755</v>
      </c>
      <c r="D33" s="42" t="s">
        <v>779</v>
      </c>
      <c r="E33" s="42"/>
      <c r="F33" s="42"/>
      <c r="G33" s="42"/>
      <c r="H33" s="42"/>
      <c r="I33" s="42"/>
      <c r="K33" s="56" t="n">
        <f aca="false">K32+1</f>
        <v>25</v>
      </c>
      <c r="L33" s="56" t="n">
        <f aca="false">IF(K33&lt;$B$34,1,0)</f>
        <v>0</v>
      </c>
      <c r="M33" s="58" t="n">
        <f aca="false">IF(L33=1,M32*(1+$B$16)+$B$35*12*POWER(1+$B$36,K33),M32)</f>
        <v>525773.174856708</v>
      </c>
    </row>
    <row r="34" customFormat="false" ht="15" hidden="false" customHeight="false" outlineLevel="0" collapsed="false">
      <c r="A34" s="7" t="s">
        <v>780</v>
      </c>
      <c r="B34" s="46" t="n">
        <f aca="false">MAX(1,$B$33-$B$10)</f>
        <v>25</v>
      </c>
      <c r="C34" s="41" t="s">
        <v>240</v>
      </c>
      <c r="D34" s="42" t="s">
        <v>781</v>
      </c>
      <c r="E34" s="42"/>
      <c r="F34" s="42"/>
      <c r="G34" s="42"/>
      <c r="H34" s="42"/>
      <c r="I34" s="42"/>
      <c r="K34" s="56" t="n">
        <f aca="false">K33+1</f>
        <v>26</v>
      </c>
      <c r="L34" s="56" t="n">
        <f aca="false">IF(K34&lt;$B$34,1,0)</f>
        <v>0</v>
      </c>
      <c r="M34" s="58" t="n">
        <f aca="false">IF(L34=1,M33*(1+$B$16)+$B$35*12*POWER(1+$B$36,K34),M33)</f>
        <v>525773.174856708</v>
      </c>
    </row>
    <row r="35" customFormat="false" ht="15" hidden="false" customHeight="false" outlineLevel="0" collapsed="false">
      <c r="A35" s="7" t="s">
        <v>782</v>
      </c>
      <c r="B35" s="43" t="n">
        <f aca="false">$B$13+$B$21</f>
        <v>500</v>
      </c>
      <c r="C35" s="41" t="s">
        <v>257</v>
      </c>
      <c r="D35" s="42" t="s">
        <v>783</v>
      </c>
      <c r="E35" s="42"/>
      <c r="F35" s="42"/>
      <c r="G35" s="42"/>
      <c r="H35" s="42"/>
      <c r="I35" s="42"/>
      <c r="K35" s="56" t="n">
        <f aca="false">K34+1</f>
        <v>27</v>
      </c>
      <c r="L35" s="56" t="n">
        <f aca="false">IF(K35&lt;$B$34,1,0)</f>
        <v>0</v>
      </c>
      <c r="M35" s="58" t="n">
        <f aca="false">IF(L35=1,M34*(1+$B$16)+$B$35*12*POWER(1+$B$36,K35),M34)</f>
        <v>525773.174856708</v>
      </c>
    </row>
    <row r="36" customFormat="false" ht="15" hidden="false" customHeight="false" outlineLevel="0" collapsed="false">
      <c r="A36" s="7" t="s">
        <v>784</v>
      </c>
      <c r="B36" s="72" t="n">
        <f aca="false">Assumptions!$E$18</f>
        <v>0.025</v>
      </c>
      <c r="C36" s="41" t="s">
        <v>407</v>
      </c>
      <c r="D36" s="42" t="s">
        <v>785</v>
      </c>
      <c r="E36" s="42"/>
      <c r="F36" s="42"/>
      <c r="G36" s="42"/>
      <c r="H36" s="42"/>
      <c r="I36" s="42"/>
      <c r="K36" s="56" t="n">
        <f aca="false">K35+1</f>
        <v>28</v>
      </c>
      <c r="L36" s="56" t="n">
        <f aca="false">IF(K36&lt;$B$34,1,0)</f>
        <v>0</v>
      </c>
      <c r="M36" s="58" t="n">
        <f aca="false">IF(L36=1,M35*(1+$B$16)+$B$35*12*POWER(1+$B$36,K36),M35)</f>
        <v>525773.174856708</v>
      </c>
    </row>
    <row r="37" customFormat="false" ht="15" hidden="false" customHeight="false" outlineLevel="0" collapsed="false">
      <c r="A37" s="7" t="s">
        <v>786</v>
      </c>
      <c r="B37" s="43" t="n">
        <f aca="false">$M$107</f>
        <v>525773.174856708</v>
      </c>
      <c r="C37" s="41" t="s">
        <v>257</v>
      </c>
      <c r="D37" s="42" t="s">
        <v>787</v>
      </c>
      <c r="E37" s="42"/>
      <c r="F37" s="42"/>
      <c r="G37" s="42"/>
      <c r="H37" s="42"/>
      <c r="I37" s="42"/>
      <c r="K37" s="56" t="n">
        <f aca="false">K36+1</f>
        <v>29</v>
      </c>
      <c r="L37" s="56" t="n">
        <f aca="false">IF(K37&lt;$B$34,1,0)</f>
        <v>0</v>
      </c>
      <c r="M37" s="58" t="n">
        <f aca="false">IF(L37=1,M36*(1+$B$16)+$B$35*12*POWER(1+$B$36,K37),M36)</f>
        <v>525773.174856708</v>
      </c>
    </row>
    <row r="38" customFormat="false" ht="15" hidden="false" customHeight="false" outlineLevel="0" collapsed="false">
      <c r="A38" s="7" t="s">
        <v>788</v>
      </c>
      <c r="B38" s="46" t="n">
        <f aca="false">IF(AND($B$26=1,$B$33=$B$28,$B$21=0,$B$29=1),1,0)</f>
        <v>0</v>
      </c>
      <c r="C38" s="41" t="s">
        <v>197</v>
      </c>
      <c r="D38" s="42" t="s">
        <v>789</v>
      </c>
      <c r="E38" s="42"/>
      <c r="F38" s="42"/>
      <c r="G38" s="42"/>
      <c r="H38" s="42"/>
      <c r="I38" s="42"/>
      <c r="K38" s="56" t="n">
        <f aca="false">K37+1</f>
        <v>30</v>
      </c>
      <c r="L38" s="56" t="n">
        <f aca="false">IF(K38&lt;$B$34,1,0)</f>
        <v>0</v>
      </c>
      <c r="M38" s="58" t="n">
        <f aca="false">IF(L38=1,M37*(1+$B$16)+$B$35*12*POWER(1+$B$36,K38),M37)</f>
        <v>525773.174856708</v>
      </c>
    </row>
    <row r="39" customFormat="false" ht="15" hidden="false" customHeight="false" outlineLevel="0" collapsed="false">
      <c r="A39" s="7" t="s">
        <v>790</v>
      </c>
      <c r="B39" s="43" t="n">
        <f aca="false">IF($B$38=1,$B$27,$B$37)</f>
        <v>525773.174856708</v>
      </c>
      <c r="C39" s="41" t="s">
        <v>257</v>
      </c>
      <c r="D39" s="42" t="s">
        <v>791</v>
      </c>
      <c r="E39" s="42"/>
      <c r="F39" s="42"/>
      <c r="G39" s="42"/>
      <c r="H39" s="42"/>
      <c r="I39" s="42"/>
      <c r="K39" s="56" t="n">
        <f aca="false">K38+1</f>
        <v>31</v>
      </c>
      <c r="L39" s="56" t="n">
        <f aca="false">IF(K39&lt;$B$34,1,0)</f>
        <v>0</v>
      </c>
      <c r="M39" s="58" t="n">
        <f aca="false">IF(L39=1,M38*(1+$B$16)+$B$35*12*POWER(1+$B$36,K39),M38)</f>
        <v>525773.174856708</v>
      </c>
    </row>
    <row r="40" customFormat="false" ht="15" hidden="false" customHeight="false" outlineLevel="0" collapsed="false">
      <c r="A40" s="7" t="s">
        <v>792</v>
      </c>
      <c r="B40" s="44" t="n">
        <f aca="false">MAX(0,$B$14-$B$22-$B$15)*Assumptions!$C$49</f>
        <v>625000</v>
      </c>
      <c r="C40" s="41" t="s">
        <v>257</v>
      </c>
      <c r="D40" s="42" t="s">
        <v>793</v>
      </c>
      <c r="E40" s="42"/>
      <c r="F40" s="42"/>
      <c r="G40" s="42"/>
      <c r="H40" s="42"/>
      <c r="I40" s="42"/>
      <c r="K40" s="56" t="n">
        <f aca="false">K39+1</f>
        <v>32</v>
      </c>
      <c r="L40" s="56" t="n">
        <f aca="false">IF(K40&lt;$B$34,1,0)</f>
        <v>0</v>
      </c>
      <c r="M40" s="58" t="n">
        <f aca="false">IF(L40=1,M39*(1+$B$16)+$B$35*12*POWER(1+$B$36,K40),M39)</f>
        <v>525773.174856708</v>
      </c>
    </row>
    <row r="41" customFormat="false" ht="15" hidden="false" customHeight="false" outlineLevel="0" collapsed="false">
      <c r="A41" s="7" t="s">
        <v>794</v>
      </c>
      <c r="B41" s="43" t="n">
        <f aca="false">$B$40-$B$39</f>
        <v>99226.8251432921</v>
      </c>
      <c r="C41" s="41" t="s">
        <v>257</v>
      </c>
      <c r="D41" s="42" t="s">
        <v>795</v>
      </c>
      <c r="E41" s="42"/>
      <c r="F41" s="42"/>
      <c r="G41" s="42"/>
      <c r="H41" s="42"/>
      <c r="I41" s="42"/>
      <c r="K41" s="56" t="n">
        <f aca="false">K40+1</f>
        <v>33</v>
      </c>
      <c r="L41" s="56" t="n">
        <f aca="false">IF(K41&lt;$B$34,1,0)</f>
        <v>0</v>
      </c>
      <c r="M41" s="58" t="n">
        <f aca="false">IF(L41=1,M40*(1+$B$16)+$B$35*12*POWER(1+$B$36,K41),M40)</f>
        <v>525773.174856708</v>
      </c>
    </row>
    <row r="42" customFormat="false" ht="15" hidden="false" customHeight="false" outlineLevel="0" collapsed="false">
      <c r="A42" s="7" t="s">
        <v>677</v>
      </c>
      <c r="B42" s="66" t="n">
        <f aca="false">POWER(1+Assumptions!$C$14,$B$34)</f>
        <v>1.64060599446473</v>
      </c>
      <c r="C42" s="41" t="s">
        <v>507</v>
      </c>
      <c r="D42" s="42" t="s">
        <v>678</v>
      </c>
      <c r="E42" s="42"/>
      <c r="F42" s="42"/>
      <c r="G42" s="42"/>
      <c r="H42" s="42"/>
      <c r="I42" s="42"/>
      <c r="K42" s="56" t="n">
        <f aca="false">K41+1</f>
        <v>34</v>
      </c>
      <c r="L42" s="56" t="n">
        <f aca="false">IF(K42&lt;$B$34,1,0)</f>
        <v>0</v>
      </c>
      <c r="M42" s="58" t="n">
        <f aca="false">IF(L42=1,M41*(1+$B$16)+$B$35*12*POWER(1+$B$36,K42),M41)</f>
        <v>525773.174856708</v>
      </c>
    </row>
    <row r="43" customFormat="false" ht="15" hidden="false" customHeight="false" outlineLevel="0" collapsed="false">
      <c r="A43" s="7" t="s">
        <v>679</v>
      </c>
      <c r="B43" s="43" t="n">
        <f aca="false">$B$39/$B$42</f>
        <v>320474.980970826</v>
      </c>
      <c r="C43" s="41" t="s">
        <v>257</v>
      </c>
      <c r="D43" s="42" t="s">
        <v>680</v>
      </c>
      <c r="E43" s="42"/>
      <c r="F43" s="42"/>
      <c r="G43" s="42"/>
      <c r="H43" s="42"/>
      <c r="I43" s="42"/>
      <c r="K43" s="56" t="n">
        <f aca="false">K42+1</f>
        <v>35</v>
      </c>
      <c r="L43" s="56" t="n">
        <f aca="false">IF(K43&lt;$B$34,1,0)</f>
        <v>0</v>
      </c>
      <c r="M43" s="58" t="n">
        <f aca="false">IF(L43=1,M42*(1+$B$16)+$B$35*12*POWER(1+$B$36,K43),M42)</f>
        <v>525773.174856708</v>
      </c>
    </row>
    <row r="44" customFormat="false" ht="15" hidden="false" customHeight="false" outlineLevel="0" collapsed="false">
      <c r="K44" s="56" t="n">
        <f aca="false">K43+1</f>
        <v>36</v>
      </c>
      <c r="L44" s="56" t="n">
        <f aca="false">IF(K44&lt;$B$34,1,0)</f>
        <v>0</v>
      </c>
      <c r="M44" s="58" t="n">
        <f aca="false">IF(L44=1,M43*(1+$B$16)+$B$35*12*POWER(1+$B$36,K44),M43)</f>
        <v>525773.174856708</v>
      </c>
    </row>
    <row r="45" customFormat="false" ht="15" hidden="false" customHeight="false" outlineLevel="0" collapsed="false">
      <c r="A45" s="15" t="s">
        <v>415</v>
      </c>
      <c r="B45" s="16"/>
      <c r="C45" s="16"/>
      <c r="D45" s="16"/>
      <c r="E45" s="16"/>
      <c r="F45" s="16"/>
      <c r="G45" s="16"/>
      <c r="H45" s="16"/>
      <c r="I45" s="16"/>
      <c r="K45" s="56" t="n">
        <f aca="false">K44+1</f>
        <v>37</v>
      </c>
      <c r="L45" s="56" t="n">
        <f aca="false">IF(K45&lt;$B$34,1,0)</f>
        <v>0</v>
      </c>
      <c r="M45" s="58" t="n">
        <f aca="false">IF(L45=1,M44*(1+$B$16)+$B$35*12*POWER(1+$B$36,K45),M44)</f>
        <v>525773.174856708</v>
      </c>
    </row>
    <row r="46" customFormat="false" ht="15" hidden="false" customHeight="false" outlineLevel="0" collapsed="false">
      <c r="A46" s="17" t="s">
        <v>416</v>
      </c>
      <c r="B46" s="17" t="s">
        <v>192</v>
      </c>
      <c r="C46" s="17" t="s">
        <v>417</v>
      </c>
      <c r="D46" s="17" t="s">
        <v>418</v>
      </c>
      <c r="K46" s="56" t="n">
        <f aca="false">K45+1</f>
        <v>38</v>
      </c>
      <c r="L46" s="56" t="n">
        <f aca="false">IF(K46&lt;$B$34,1,0)</f>
        <v>0</v>
      </c>
      <c r="M46" s="58" t="n">
        <f aca="false">IF(L46=1,M45*(1+$B$16)+$B$35*12*POWER(1+$B$36,K46),M45)</f>
        <v>525773.174856708</v>
      </c>
    </row>
    <row r="47" customFormat="false" ht="15" hidden="false" customHeight="false" outlineLevel="0" collapsed="false">
      <c r="A47" s="4" t="s">
        <v>419</v>
      </c>
      <c r="B47" s="48"/>
      <c r="C47" s="49" t="str">
        <f aca="false">IF($B$38=1,"Projected fund (from your statement)","Projected fund")</f>
        <v>Projected fund</v>
      </c>
      <c r="D47" s="42" t="s">
        <v>420</v>
      </c>
      <c r="E47" s="42"/>
      <c r="F47" s="42"/>
      <c r="G47" s="42"/>
      <c r="H47" s="42"/>
      <c r="I47" s="42"/>
      <c r="K47" s="56" t="n">
        <f aca="false">K46+1</f>
        <v>39</v>
      </c>
      <c r="L47" s="56" t="n">
        <f aca="false">IF(K47&lt;$B$34,1,0)</f>
        <v>0</v>
      </c>
      <c r="M47" s="58" t="n">
        <f aca="false">IF(L47=1,M46*(1+$B$16)+$B$35*12*POWER(1+$B$36,K47),M46)</f>
        <v>525773.174856708</v>
      </c>
    </row>
    <row r="48" customFormat="false" ht="15" hidden="false" customHeight="false" outlineLevel="0" collapsed="false">
      <c r="A48" s="4" t="s">
        <v>796</v>
      </c>
      <c r="B48" s="50" t="n">
        <f aca="false">$B$39</f>
        <v>525773.174856708</v>
      </c>
      <c r="C48" s="49" t="str">
        <f aca="false">IF(($B$39)&lt;0,"−€","€")&amp;FIXED(ROUND(ABS($B$39),0),0)</f>
        <v>€525,773</v>
      </c>
      <c r="D48" s="42" t="s">
        <v>512</v>
      </c>
      <c r="E48" s="42"/>
      <c r="F48" s="42"/>
      <c r="G48" s="42"/>
      <c r="H48" s="42"/>
      <c r="I48" s="42"/>
      <c r="K48" s="56" t="n">
        <f aca="false">K47+1</f>
        <v>40</v>
      </c>
      <c r="L48" s="56" t="n">
        <f aca="false">IF(K48&lt;$B$34,1,0)</f>
        <v>0</v>
      </c>
      <c r="M48" s="58" t="n">
        <f aca="false">IF(L48=1,M47*(1+$B$16)+$B$35*12*POWER(1+$B$36,K48),M47)</f>
        <v>525773.174856708</v>
      </c>
    </row>
    <row r="49" customFormat="false" ht="15" hidden="false" customHeight="false" outlineLevel="0" collapsed="false">
      <c r="A49" s="4" t="s">
        <v>797</v>
      </c>
      <c r="B49" s="50" t="n">
        <f aca="false">IF($B$41&gt;0,$B$41,"")</f>
        <v>99226.8251432921</v>
      </c>
      <c r="C49" s="49" t="str">
        <f aca="false">IF($B$41&gt;0,IF(($B$41)&lt;0,"−€","€")&amp;FIXED(ROUND(ABS($B$41),0),0),"")</f>
        <v>€99,227</v>
      </c>
      <c r="D49" s="42" t="s">
        <v>741</v>
      </c>
      <c r="E49" s="42"/>
      <c r="F49" s="42"/>
      <c r="G49" s="42"/>
      <c r="H49" s="42"/>
      <c r="I49" s="42"/>
      <c r="K49" s="56" t="n">
        <f aca="false">K48+1</f>
        <v>41</v>
      </c>
      <c r="L49" s="56" t="n">
        <f aca="false">IF(K49&lt;$B$34,1,0)</f>
        <v>0</v>
      </c>
      <c r="M49" s="58" t="n">
        <f aca="false">IF(L49=1,M48*(1+$B$16)+$B$35*12*POWER(1+$B$36,K49),M48)</f>
        <v>525773.174856708</v>
      </c>
    </row>
    <row r="50" customFormat="false" ht="15" hidden="false" customHeight="false" outlineLevel="0" collapsed="false">
      <c r="A50" s="4" t="s">
        <v>798</v>
      </c>
      <c r="B50" s="62" t="n">
        <f aca="false">$B$36</f>
        <v>0.025</v>
      </c>
      <c r="C50" s="49" t="str">
        <f aca="false">ROUND(($B$36)*100,2)&amp;"%"</f>
        <v>2.5%</v>
      </c>
      <c r="D50" s="42" t="s">
        <v>424</v>
      </c>
      <c r="E50" s="42"/>
      <c r="F50" s="42"/>
      <c r="G50" s="42"/>
      <c r="H50" s="42"/>
      <c r="I50" s="42"/>
      <c r="K50" s="56" t="n">
        <f aca="false">K49+1</f>
        <v>42</v>
      </c>
      <c r="L50" s="56" t="n">
        <f aca="false">IF(K50&lt;$B$34,1,0)</f>
        <v>0</v>
      </c>
      <c r="M50" s="58" t="n">
        <f aca="false">IF(L50=1,M49*(1+$B$16)+$B$35*12*POWER(1+$B$36,K50),M49)</f>
        <v>525773.174856708</v>
      </c>
    </row>
    <row r="51" customFormat="false" ht="15" hidden="false" customHeight="false" outlineLevel="0" collapsed="false">
      <c r="A51" s="4" t="s">
        <v>799</v>
      </c>
      <c r="B51" s="50" t="n">
        <f aca="false">$B$40</f>
        <v>625000</v>
      </c>
      <c r="C51" s="49" t="str">
        <f aca="false">IF(($B$40)&lt;0,"−€","€")&amp;FIXED(ROUND(ABS($B$40),0),0)</f>
        <v>€625,000</v>
      </c>
      <c r="D51" s="42" t="s">
        <v>427</v>
      </c>
      <c r="E51" s="42"/>
      <c r="F51" s="42"/>
      <c r="G51" s="42"/>
      <c r="H51" s="42"/>
      <c r="I51" s="42"/>
      <c r="K51" s="56" t="n">
        <f aca="false">K50+1</f>
        <v>43</v>
      </c>
      <c r="L51" s="56" t="n">
        <f aca="false">IF(K51&lt;$B$34,1,0)</f>
        <v>0</v>
      </c>
      <c r="M51" s="58" t="n">
        <f aca="false">IF(L51=1,M50*(1+$B$16)+$B$35*12*POWER(1+$B$36,K51),M50)</f>
        <v>525773.174856708</v>
      </c>
    </row>
    <row r="52" customFormat="false" ht="15" hidden="false" customHeight="false" outlineLevel="0" collapsed="false">
      <c r="A52" s="4" t="s">
        <v>794</v>
      </c>
      <c r="B52" s="50" t="n">
        <f aca="false">IF($B$41&gt;0,$B$41,"None")</f>
        <v>99226.8251432921</v>
      </c>
      <c r="C52" s="49" t="str">
        <f aca="false">IF($B$41&gt;0,IF(($B$41)&lt;0,"−€","€")&amp;FIXED(ROUND(ABS($B$41),0),0),"None")</f>
        <v>€99,227</v>
      </c>
      <c r="D52" s="42" t="s">
        <v>428</v>
      </c>
      <c r="E52" s="42"/>
      <c r="F52" s="42"/>
      <c r="G52" s="42"/>
      <c r="H52" s="42"/>
      <c r="I52" s="42"/>
      <c r="K52" s="56" t="n">
        <f aca="false">K51+1</f>
        <v>44</v>
      </c>
      <c r="L52" s="56" t="n">
        <f aca="false">IF(K52&lt;$B$34,1,0)</f>
        <v>0</v>
      </c>
      <c r="M52" s="58" t="n">
        <f aca="false">IF(L52=1,M51*(1+$B$16)+$B$35*12*POWER(1+$B$36,K52),M51)</f>
        <v>525773.174856708</v>
      </c>
    </row>
    <row r="53" customFormat="false" ht="15" hidden="false" customHeight="false" outlineLevel="0" collapsed="false">
      <c r="A53" s="4" t="s">
        <v>778</v>
      </c>
      <c r="B53" s="48" t="n">
        <f aca="false">$B$33</f>
        <v>65</v>
      </c>
      <c r="C53" s="49" t="str">
        <f aca="false">$B$33&amp;""</f>
        <v>65</v>
      </c>
      <c r="D53" s="42" t="s">
        <v>430</v>
      </c>
      <c r="E53" s="42"/>
      <c r="F53" s="42"/>
      <c r="G53" s="42"/>
      <c r="H53" s="42"/>
      <c r="I53" s="42"/>
      <c r="K53" s="56" t="n">
        <f aca="false">K52+1</f>
        <v>45</v>
      </c>
      <c r="L53" s="56" t="n">
        <f aca="false">IF(K53&lt;$B$34,1,0)</f>
        <v>0</v>
      </c>
      <c r="M53" s="58" t="n">
        <f aca="false">IF(L53=1,M52*(1+$B$16)+$B$35*12*POWER(1+$B$36,K53),M52)</f>
        <v>525773.174856708</v>
      </c>
    </row>
    <row r="54" customFormat="false" ht="15" hidden="false" customHeight="false" outlineLevel="0" collapsed="false">
      <c r="A54" s="4" t="s">
        <v>682</v>
      </c>
      <c r="B54" s="52" t="n">
        <f aca="false">IF(Assumptions!$C$6=1,$B$43,"")</f>
        <v>320474.980970826</v>
      </c>
      <c r="C54" s="64" t="str">
        <f aca="false">IF(Assumptions!$C$6=1,IF(($B$43)&lt;0,"−€","€")&amp;FIXED(ROUND(ABS($B$43),0),0),"")</f>
        <v>€320,475</v>
      </c>
      <c r="D54" s="42" t="s">
        <v>683</v>
      </c>
      <c r="E54" s="42"/>
      <c r="F54" s="42"/>
      <c r="G54" s="42"/>
      <c r="H54" s="42"/>
      <c r="I54" s="42"/>
      <c r="K54" s="56" t="n">
        <f aca="false">K53+1</f>
        <v>46</v>
      </c>
      <c r="L54" s="56" t="n">
        <f aca="false">IF(K54&lt;$B$34,1,0)</f>
        <v>0</v>
      </c>
      <c r="M54" s="58" t="n">
        <f aca="false">IF(L54=1,M53*(1+$B$16)+$B$35*12*POWER(1+$B$36,K54),M53)</f>
        <v>525773.174856708</v>
      </c>
    </row>
    <row r="55" customFormat="false" ht="15" hidden="false" customHeight="false" outlineLevel="0" collapsed="false">
      <c r="A55" s="4" t="s">
        <v>800</v>
      </c>
      <c r="B55" s="50" t="str">
        <f aca="false">IF($B$26=1,$B$27,"")</f>
        <v/>
      </c>
      <c r="C55" s="49" t="str">
        <f aca="false">IF($B$26=1,IF(($B$27)&lt;0,"−€","€")&amp;FIXED(ROUND(ABS($B$27),0),0),"")</f>
        <v/>
      </c>
      <c r="D55" s="42" t="s">
        <v>801</v>
      </c>
      <c r="E55" s="42"/>
      <c r="F55" s="42"/>
      <c r="G55" s="42"/>
      <c r="H55" s="42"/>
      <c r="I55" s="42"/>
      <c r="K55" s="56" t="n">
        <f aca="false">K54+1</f>
        <v>47</v>
      </c>
      <c r="L55" s="56" t="n">
        <f aca="false">IF(K55&lt;$B$34,1,0)</f>
        <v>0</v>
      </c>
      <c r="M55" s="58" t="n">
        <f aca="false">IF(L55=1,M54*(1+$B$16)+$B$35*12*POWER(1+$B$36,K55),M54)</f>
        <v>525773.174856708</v>
      </c>
    </row>
    <row r="56" customFormat="false" ht="15" hidden="false" customHeight="false" outlineLevel="0" collapsed="false">
      <c r="A56" s="4" t="s">
        <v>802</v>
      </c>
      <c r="B56" s="50" t="str">
        <f aca="false">IF($B$26=1,$B$37,"")</f>
        <v/>
      </c>
      <c r="C56" s="49" t="str">
        <f aca="false">IF($B$26=1,IF(($B$37)&lt;0,"−€","€")&amp;FIXED(ROUND(ABS($B$37),0),0),"")</f>
        <v/>
      </c>
      <c r="D56" s="42" t="s">
        <v>801</v>
      </c>
      <c r="E56" s="42"/>
      <c r="F56" s="42"/>
      <c r="G56" s="42"/>
      <c r="H56" s="42"/>
      <c r="I56" s="42"/>
      <c r="K56" s="56" t="n">
        <f aca="false">K55+1</f>
        <v>48</v>
      </c>
      <c r="L56" s="56" t="n">
        <f aca="false">IF(K56&lt;$B$34,1,0)</f>
        <v>0</v>
      </c>
      <c r="M56" s="58" t="n">
        <f aca="false">IF(L56=1,M55*(1+$B$16)+$B$35*12*POWER(1+$B$36,K56),M55)</f>
        <v>525773.174856708</v>
      </c>
    </row>
    <row r="57" customFormat="false" ht="15" hidden="false" customHeight="false" outlineLevel="0" collapsed="false">
      <c r="A57" s="4" t="s">
        <v>803</v>
      </c>
      <c r="B57" s="50" t="n">
        <f aca="false">INT(($B$40)+0.5)</f>
        <v>625000</v>
      </c>
      <c r="C57" s="49" t="str">
        <f aca="false">$B$57&amp;""</f>
        <v>625000</v>
      </c>
      <c r="D57" s="42" t="s">
        <v>435</v>
      </c>
      <c r="E57" s="42"/>
      <c r="F57" s="42"/>
      <c r="G57" s="42"/>
      <c r="H57" s="42"/>
      <c r="I57" s="42"/>
      <c r="K57" s="56" t="n">
        <f aca="false">K56+1</f>
        <v>49</v>
      </c>
      <c r="L57" s="56" t="n">
        <f aca="false">IF(K57&lt;$B$34,1,0)</f>
        <v>0</v>
      </c>
      <c r="M57" s="58" t="n">
        <f aca="false">IF(L57=1,M56*(1+$B$16)+$B$35*12*POWER(1+$B$36,K57),M56)</f>
        <v>525773.174856708</v>
      </c>
    </row>
    <row r="58" customFormat="false" ht="15" hidden="false" customHeight="false" outlineLevel="0" collapsed="false">
      <c r="A58" s="4" t="s">
        <v>434</v>
      </c>
      <c r="B58" s="48" t="n">
        <f aca="false">$B$34</f>
        <v>25</v>
      </c>
      <c r="C58" s="49" t="str">
        <f aca="false">$B$58&amp;""</f>
        <v>25</v>
      </c>
      <c r="D58" s="42" t="s">
        <v>435</v>
      </c>
      <c r="E58" s="42"/>
      <c r="F58" s="42"/>
      <c r="G58" s="42"/>
      <c r="H58" s="42"/>
      <c r="I58" s="42"/>
      <c r="K58" s="56" t="n">
        <f aca="false">K57+1</f>
        <v>50</v>
      </c>
      <c r="L58" s="56" t="n">
        <f aca="false">IF(K58&lt;$B$34,1,0)</f>
        <v>0</v>
      </c>
      <c r="M58" s="58" t="n">
        <f aca="false">IF(L58=1,M57*(1+$B$16)+$B$35*12*POWER(1+$B$36,K58),M57)</f>
        <v>525773.174856708</v>
      </c>
    </row>
    <row r="59" customFormat="false" ht="15" hidden="false" customHeight="false" outlineLevel="0" collapsed="false">
      <c r="K59" s="56" t="n">
        <f aca="false">K58+1</f>
        <v>51</v>
      </c>
      <c r="L59" s="56" t="n">
        <f aca="false">IF(K59&lt;$B$34,1,0)</f>
        <v>0</v>
      </c>
      <c r="M59" s="58" t="n">
        <f aca="false">IF(L59=1,M58*(1+$B$16)+$B$35*12*POWER(1+$B$36,K59),M58)</f>
        <v>525773.174856708</v>
      </c>
    </row>
    <row r="60" customFormat="false" ht="15" hidden="false" customHeight="false" outlineLevel="0" collapsed="false">
      <c r="K60" s="56" t="n">
        <f aca="false">K59+1</f>
        <v>52</v>
      </c>
      <c r="L60" s="56" t="n">
        <f aca="false">IF(K60&lt;$B$34,1,0)</f>
        <v>0</v>
      </c>
      <c r="M60" s="58" t="n">
        <f aca="false">IF(L60=1,M59*(1+$B$16)+$B$35*12*POWER(1+$B$36,K60),M59)</f>
        <v>525773.174856708</v>
      </c>
    </row>
    <row r="61" customFormat="false" ht="15" hidden="false" customHeight="false" outlineLevel="0" collapsed="false">
      <c r="K61" s="56" t="n">
        <f aca="false">K60+1</f>
        <v>53</v>
      </c>
      <c r="L61" s="56" t="n">
        <f aca="false">IF(K61&lt;$B$34,1,0)</f>
        <v>0</v>
      </c>
      <c r="M61" s="58" t="n">
        <f aca="false">IF(L61=1,M60*(1+$B$16)+$B$35*12*POWER(1+$B$36,K61),M60)</f>
        <v>525773.174856708</v>
      </c>
    </row>
    <row r="62" customFormat="false" ht="15" hidden="false" customHeight="false" outlineLevel="0" collapsed="false">
      <c r="K62" s="56" t="n">
        <f aca="false">K61+1</f>
        <v>54</v>
      </c>
      <c r="L62" s="56" t="n">
        <f aca="false">IF(K62&lt;$B$34,1,0)</f>
        <v>0</v>
      </c>
      <c r="M62" s="58" t="n">
        <f aca="false">IF(L62=1,M61*(1+$B$16)+$B$35*12*POWER(1+$B$36,K62),M61)</f>
        <v>525773.174856708</v>
      </c>
    </row>
    <row r="63" customFormat="false" ht="15" hidden="false" customHeight="false" outlineLevel="0" collapsed="false">
      <c r="K63" s="56" t="n">
        <f aca="false">K62+1</f>
        <v>55</v>
      </c>
      <c r="L63" s="56" t="n">
        <f aca="false">IF(K63&lt;$B$34,1,0)</f>
        <v>0</v>
      </c>
      <c r="M63" s="58" t="n">
        <f aca="false">IF(L63=1,M62*(1+$B$16)+$B$35*12*POWER(1+$B$36,K63),M62)</f>
        <v>525773.174856708</v>
      </c>
    </row>
    <row r="64" customFormat="false" ht="15" hidden="false" customHeight="false" outlineLevel="0" collapsed="false">
      <c r="K64" s="56" t="n">
        <f aca="false">K63+1</f>
        <v>56</v>
      </c>
      <c r="L64" s="56" t="n">
        <f aca="false">IF(K64&lt;$B$34,1,0)</f>
        <v>0</v>
      </c>
      <c r="M64" s="58" t="n">
        <f aca="false">IF(L64=1,M63*(1+$B$16)+$B$35*12*POWER(1+$B$36,K64),M63)</f>
        <v>525773.174856708</v>
      </c>
    </row>
    <row r="65" customFormat="false" ht="15" hidden="false" customHeight="false" outlineLevel="0" collapsed="false">
      <c r="K65" s="56" t="n">
        <f aca="false">K64+1</f>
        <v>57</v>
      </c>
      <c r="L65" s="56" t="n">
        <f aca="false">IF(K65&lt;$B$34,1,0)</f>
        <v>0</v>
      </c>
      <c r="M65" s="58" t="n">
        <f aca="false">IF(L65=1,M64*(1+$B$16)+$B$35*12*POWER(1+$B$36,K65),M64)</f>
        <v>525773.174856708</v>
      </c>
    </row>
    <row r="66" customFormat="false" ht="15" hidden="false" customHeight="false" outlineLevel="0" collapsed="false">
      <c r="K66" s="56" t="n">
        <f aca="false">K65+1</f>
        <v>58</v>
      </c>
      <c r="L66" s="56" t="n">
        <f aca="false">IF(K66&lt;$B$34,1,0)</f>
        <v>0</v>
      </c>
      <c r="M66" s="58" t="n">
        <f aca="false">IF(L66=1,M65*(1+$B$16)+$B$35*12*POWER(1+$B$36,K66),M65)</f>
        <v>525773.174856708</v>
      </c>
    </row>
    <row r="67" customFormat="false" ht="15" hidden="false" customHeight="false" outlineLevel="0" collapsed="false">
      <c r="K67" s="56" t="n">
        <f aca="false">K66+1</f>
        <v>59</v>
      </c>
      <c r="L67" s="56" t="n">
        <f aca="false">IF(K67&lt;$B$34,1,0)</f>
        <v>0</v>
      </c>
      <c r="M67" s="58" t="n">
        <f aca="false">IF(L67=1,M66*(1+$B$16)+$B$35*12*POWER(1+$B$36,K67),M66)</f>
        <v>525773.174856708</v>
      </c>
    </row>
    <row r="68" customFormat="false" ht="15" hidden="false" customHeight="false" outlineLevel="0" collapsed="false">
      <c r="K68" s="56" t="n">
        <f aca="false">K67+1</f>
        <v>60</v>
      </c>
      <c r="L68" s="56" t="n">
        <f aca="false">IF(K68&lt;$B$34,1,0)</f>
        <v>0</v>
      </c>
      <c r="M68" s="58" t="n">
        <f aca="false">IF(L68=1,M67*(1+$B$16)+$B$35*12*POWER(1+$B$36,K68),M67)</f>
        <v>525773.174856708</v>
      </c>
    </row>
    <row r="69" customFormat="false" ht="15" hidden="false" customHeight="false" outlineLevel="0" collapsed="false">
      <c r="K69" s="56" t="n">
        <f aca="false">K68+1</f>
        <v>61</v>
      </c>
      <c r="L69" s="56" t="n">
        <f aca="false">IF(K69&lt;$B$34,1,0)</f>
        <v>0</v>
      </c>
      <c r="M69" s="58" t="n">
        <f aca="false">IF(L69=1,M68*(1+$B$16)+$B$35*12*POWER(1+$B$36,K69),M68)</f>
        <v>525773.174856708</v>
      </c>
    </row>
    <row r="70" customFormat="false" ht="15" hidden="false" customHeight="false" outlineLevel="0" collapsed="false">
      <c r="K70" s="56" t="n">
        <f aca="false">K69+1</f>
        <v>62</v>
      </c>
      <c r="L70" s="56" t="n">
        <f aca="false">IF(K70&lt;$B$34,1,0)</f>
        <v>0</v>
      </c>
      <c r="M70" s="58" t="n">
        <f aca="false">IF(L70=1,M69*(1+$B$16)+$B$35*12*POWER(1+$B$36,K70),M69)</f>
        <v>525773.174856708</v>
      </c>
    </row>
    <row r="71" customFormat="false" ht="15" hidden="false" customHeight="false" outlineLevel="0" collapsed="false">
      <c r="K71" s="56" t="n">
        <f aca="false">K70+1</f>
        <v>63</v>
      </c>
      <c r="L71" s="56" t="n">
        <f aca="false">IF(K71&lt;$B$34,1,0)</f>
        <v>0</v>
      </c>
      <c r="M71" s="58" t="n">
        <f aca="false">IF(L71=1,M70*(1+$B$16)+$B$35*12*POWER(1+$B$36,K71),M70)</f>
        <v>525773.174856708</v>
      </c>
    </row>
    <row r="72" customFormat="false" ht="15" hidden="false" customHeight="false" outlineLevel="0" collapsed="false">
      <c r="K72" s="56" t="n">
        <f aca="false">K71+1</f>
        <v>64</v>
      </c>
      <c r="L72" s="56" t="n">
        <f aca="false">IF(K72&lt;$B$34,1,0)</f>
        <v>0</v>
      </c>
      <c r="M72" s="58" t="n">
        <f aca="false">IF(L72=1,M71*(1+$B$16)+$B$35*12*POWER(1+$B$36,K72),M71)</f>
        <v>525773.174856708</v>
      </c>
    </row>
    <row r="73" customFormat="false" ht="15" hidden="false" customHeight="false" outlineLevel="0" collapsed="false">
      <c r="K73" s="56" t="n">
        <f aca="false">K72+1</f>
        <v>65</v>
      </c>
      <c r="L73" s="56" t="n">
        <f aca="false">IF(K73&lt;$B$34,1,0)</f>
        <v>0</v>
      </c>
      <c r="M73" s="58" t="n">
        <f aca="false">IF(L73=1,M72*(1+$B$16)+$B$35*12*POWER(1+$B$36,K73),M72)</f>
        <v>525773.174856708</v>
      </c>
    </row>
    <row r="74" customFormat="false" ht="15" hidden="false" customHeight="false" outlineLevel="0" collapsed="false">
      <c r="K74" s="56" t="n">
        <f aca="false">K73+1</f>
        <v>66</v>
      </c>
      <c r="L74" s="56" t="n">
        <f aca="false">IF(K74&lt;$B$34,1,0)</f>
        <v>0</v>
      </c>
      <c r="M74" s="58" t="n">
        <f aca="false">IF(L74=1,M73*(1+$B$16)+$B$35*12*POWER(1+$B$36,K74),M73)</f>
        <v>525773.174856708</v>
      </c>
    </row>
    <row r="75" customFormat="false" ht="15" hidden="false" customHeight="false" outlineLevel="0" collapsed="false">
      <c r="K75" s="56" t="n">
        <f aca="false">K74+1</f>
        <v>67</v>
      </c>
      <c r="L75" s="56" t="n">
        <f aca="false">IF(K75&lt;$B$34,1,0)</f>
        <v>0</v>
      </c>
      <c r="M75" s="58" t="n">
        <f aca="false">IF(L75=1,M74*(1+$B$16)+$B$35*12*POWER(1+$B$36,K75),M74)</f>
        <v>525773.174856708</v>
      </c>
    </row>
    <row r="76" customFormat="false" ht="15" hidden="false" customHeight="false" outlineLevel="0" collapsed="false">
      <c r="K76" s="56" t="n">
        <f aca="false">K75+1</f>
        <v>68</v>
      </c>
      <c r="L76" s="56" t="n">
        <f aca="false">IF(K76&lt;$B$34,1,0)</f>
        <v>0</v>
      </c>
      <c r="M76" s="58" t="n">
        <f aca="false">IF(L76=1,M75*(1+$B$16)+$B$35*12*POWER(1+$B$36,K76),M75)</f>
        <v>525773.174856708</v>
      </c>
    </row>
    <row r="77" customFormat="false" ht="15" hidden="false" customHeight="false" outlineLevel="0" collapsed="false">
      <c r="K77" s="56" t="n">
        <f aca="false">K76+1</f>
        <v>69</v>
      </c>
      <c r="L77" s="56" t="n">
        <f aca="false">IF(K77&lt;$B$34,1,0)</f>
        <v>0</v>
      </c>
      <c r="M77" s="58" t="n">
        <f aca="false">IF(L77=1,M76*(1+$B$16)+$B$35*12*POWER(1+$B$36,K77),M76)</f>
        <v>525773.174856708</v>
      </c>
    </row>
    <row r="78" customFormat="false" ht="15" hidden="false" customHeight="false" outlineLevel="0" collapsed="false">
      <c r="K78" s="56" t="n">
        <f aca="false">K77+1</f>
        <v>70</v>
      </c>
      <c r="L78" s="56" t="n">
        <f aca="false">IF(K78&lt;$B$34,1,0)</f>
        <v>0</v>
      </c>
      <c r="M78" s="58" t="n">
        <f aca="false">IF(L78=1,M77*(1+$B$16)+$B$35*12*POWER(1+$B$36,K78),M77)</f>
        <v>525773.174856708</v>
      </c>
    </row>
    <row r="79" customFormat="false" ht="15" hidden="false" customHeight="false" outlineLevel="0" collapsed="false">
      <c r="K79" s="56" t="n">
        <f aca="false">K78+1</f>
        <v>71</v>
      </c>
      <c r="L79" s="56" t="n">
        <f aca="false">IF(K79&lt;$B$34,1,0)</f>
        <v>0</v>
      </c>
      <c r="M79" s="58" t="n">
        <f aca="false">IF(L79=1,M78*(1+$B$16)+$B$35*12*POWER(1+$B$36,K79),M78)</f>
        <v>525773.174856708</v>
      </c>
    </row>
    <row r="80" customFormat="false" ht="15" hidden="false" customHeight="false" outlineLevel="0" collapsed="false">
      <c r="K80" s="56" t="n">
        <f aca="false">K79+1</f>
        <v>72</v>
      </c>
      <c r="L80" s="56" t="n">
        <f aca="false">IF(K80&lt;$B$34,1,0)</f>
        <v>0</v>
      </c>
      <c r="M80" s="58" t="n">
        <f aca="false">IF(L80=1,M79*(1+$B$16)+$B$35*12*POWER(1+$B$36,K80),M79)</f>
        <v>525773.174856708</v>
      </c>
    </row>
    <row r="81" customFormat="false" ht="15" hidden="false" customHeight="false" outlineLevel="0" collapsed="false">
      <c r="K81" s="56" t="n">
        <f aca="false">K80+1</f>
        <v>73</v>
      </c>
      <c r="L81" s="56" t="n">
        <f aca="false">IF(K81&lt;$B$34,1,0)</f>
        <v>0</v>
      </c>
      <c r="M81" s="58" t="n">
        <f aca="false">IF(L81=1,M80*(1+$B$16)+$B$35*12*POWER(1+$B$36,K81),M80)</f>
        <v>525773.174856708</v>
      </c>
    </row>
    <row r="82" customFormat="false" ht="15" hidden="false" customHeight="false" outlineLevel="0" collapsed="false">
      <c r="K82" s="56" t="n">
        <f aca="false">K81+1</f>
        <v>74</v>
      </c>
      <c r="L82" s="56" t="n">
        <f aca="false">IF(K82&lt;$B$34,1,0)</f>
        <v>0</v>
      </c>
      <c r="M82" s="58" t="n">
        <f aca="false">IF(L82=1,M81*(1+$B$16)+$B$35*12*POWER(1+$B$36,K82),M81)</f>
        <v>525773.174856708</v>
      </c>
    </row>
    <row r="83" customFormat="false" ht="15" hidden="false" customHeight="false" outlineLevel="0" collapsed="false">
      <c r="K83" s="56" t="n">
        <f aca="false">K82+1</f>
        <v>75</v>
      </c>
      <c r="L83" s="56" t="n">
        <f aca="false">IF(K83&lt;$B$34,1,0)</f>
        <v>0</v>
      </c>
      <c r="M83" s="58" t="n">
        <f aca="false">IF(L83=1,M82*(1+$B$16)+$B$35*12*POWER(1+$B$36,K83),M82)</f>
        <v>525773.174856708</v>
      </c>
    </row>
    <row r="84" customFormat="false" ht="15" hidden="false" customHeight="false" outlineLevel="0" collapsed="false">
      <c r="K84" s="56" t="n">
        <f aca="false">K83+1</f>
        <v>76</v>
      </c>
      <c r="L84" s="56" t="n">
        <f aca="false">IF(K84&lt;$B$34,1,0)</f>
        <v>0</v>
      </c>
      <c r="M84" s="58" t="n">
        <f aca="false">IF(L84=1,M83*(1+$B$16)+$B$35*12*POWER(1+$B$36,K84),M83)</f>
        <v>525773.174856708</v>
      </c>
    </row>
    <row r="85" customFormat="false" ht="15" hidden="false" customHeight="false" outlineLevel="0" collapsed="false">
      <c r="K85" s="56" t="n">
        <f aca="false">K84+1</f>
        <v>77</v>
      </c>
      <c r="L85" s="56" t="n">
        <f aca="false">IF(K85&lt;$B$34,1,0)</f>
        <v>0</v>
      </c>
      <c r="M85" s="58" t="n">
        <f aca="false">IF(L85=1,M84*(1+$B$16)+$B$35*12*POWER(1+$B$36,K85),M84)</f>
        <v>525773.174856708</v>
      </c>
    </row>
    <row r="86" customFormat="false" ht="15" hidden="false" customHeight="false" outlineLevel="0" collapsed="false">
      <c r="K86" s="56" t="n">
        <f aca="false">K85+1</f>
        <v>78</v>
      </c>
      <c r="L86" s="56" t="n">
        <f aca="false">IF(K86&lt;$B$34,1,0)</f>
        <v>0</v>
      </c>
      <c r="M86" s="58" t="n">
        <f aca="false">IF(L86=1,M85*(1+$B$16)+$B$35*12*POWER(1+$B$36,K86),M85)</f>
        <v>525773.174856708</v>
      </c>
    </row>
    <row r="87" customFormat="false" ht="15" hidden="false" customHeight="false" outlineLevel="0" collapsed="false">
      <c r="K87" s="56" t="n">
        <f aca="false">K86+1</f>
        <v>79</v>
      </c>
      <c r="L87" s="56" t="n">
        <f aca="false">IF(K87&lt;$B$34,1,0)</f>
        <v>0</v>
      </c>
      <c r="M87" s="58" t="n">
        <f aca="false">IF(L87=1,M86*(1+$B$16)+$B$35*12*POWER(1+$B$36,K87),M86)</f>
        <v>525773.174856708</v>
      </c>
    </row>
    <row r="88" customFormat="false" ht="15" hidden="false" customHeight="false" outlineLevel="0" collapsed="false">
      <c r="K88" s="56" t="n">
        <f aca="false">K87+1</f>
        <v>80</v>
      </c>
      <c r="L88" s="56" t="n">
        <f aca="false">IF(K88&lt;$B$34,1,0)</f>
        <v>0</v>
      </c>
      <c r="M88" s="58" t="n">
        <f aca="false">IF(L88=1,M87*(1+$B$16)+$B$35*12*POWER(1+$B$36,K88),M87)</f>
        <v>525773.174856708</v>
      </c>
    </row>
    <row r="89" customFormat="false" ht="15" hidden="false" customHeight="false" outlineLevel="0" collapsed="false">
      <c r="K89" s="56" t="n">
        <f aca="false">K88+1</f>
        <v>81</v>
      </c>
      <c r="L89" s="56" t="n">
        <f aca="false">IF(K89&lt;$B$34,1,0)</f>
        <v>0</v>
      </c>
      <c r="M89" s="58" t="n">
        <f aca="false">IF(L89=1,M88*(1+$B$16)+$B$35*12*POWER(1+$B$36,K89),M88)</f>
        <v>525773.174856708</v>
      </c>
    </row>
    <row r="90" customFormat="false" ht="15" hidden="false" customHeight="false" outlineLevel="0" collapsed="false">
      <c r="K90" s="56" t="n">
        <f aca="false">K89+1</f>
        <v>82</v>
      </c>
      <c r="L90" s="56" t="n">
        <f aca="false">IF(K90&lt;$B$34,1,0)</f>
        <v>0</v>
      </c>
      <c r="M90" s="58" t="n">
        <f aca="false">IF(L90=1,M89*(1+$B$16)+$B$35*12*POWER(1+$B$36,K90),M89)</f>
        <v>525773.174856708</v>
      </c>
    </row>
    <row r="91" customFormat="false" ht="15" hidden="false" customHeight="false" outlineLevel="0" collapsed="false">
      <c r="K91" s="56" t="n">
        <f aca="false">K90+1</f>
        <v>83</v>
      </c>
      <c r="L91" s="56" t="n">
        <f aca="false">IF(K91&lt;$B$34,1,0)</f>
        <v>0</v>
      </c>
      <c r="M91" s="58" t="n">
        <f aca="false">IF(L91=1,M90*(1+$B$16)+$B$35*12*POWER(1+$B$36,K91),M90)</f>
        <v>525773.174856708</v>
      </c>
    </row>
    <row r="92" customFormat="false" ht="15" hidden="false" customHeight="false" outlineLevel="0" collapsed="false">
      <c r="K92" s="56" t="n">
        <f aca="false">K91+1</f>
        <v>84</v>
      </c>
      <c r="L92" s="56" t="n">
        <f aca="false">IF(K92&lt;$B$34,1,0)</f>
        <v>0</v>
      </c>
      <c r="M92" s="58" t="n">
        <f aca="false">IF(L92=1,M91*(1+$B$16)+$B$35*12*POWER(1+$B$36,K92),M91)</f>
        <v>525773.174856708</v>
      </c>
    </row>
    <row r="93" customFormat="false" ht="15" hidden="false" customHeight="false" outlineLevel="0" collapsed="false">
      <c r="K93" s="56" t="n">
        <f aca="false">K92+1</f>
        <v>85</v>
      </c>
      <c r="L93" s="56" t="n">
        <f aca="false">IF(K93&lt;$B$34,1,0)</f>
        <v>0</v>
      </c>
      <c r="M93" s="58" t="n">
        <f aca="false">IF(L93=1,M92*(1+$B$16)+$B$35*12*POWER(1+$B$36,K93),M92)</f>
        <v>525773.174856708</v>
      </c>
    </row>
    <row r="94" customFormat="false" ht="15" hidden="false" customHeight="false" outlineLevel="0" collapsed="false">
      <c r="K94" s="56" t="n">
        <f aca="false">K93+1</f>
        <v>86</v>
      </c>
      <c r="L94" s="56" t="n">
        <f aca="false">IF(K94&lt;$B$34,1,0)</f>
        <v>0</v>
      </c>
      <c r="M94" s="58" t="n">
        <f aca="false">IF(L94=1,M93*(1+$B$16)+$B$35*12*POWER(1+$B$36,K94),M93)</f>
        <v>525773.174856708</v>
      </c>
    </row>
    <row r="95" customFormat="false" ht="15" hidden="false" customHeight="false" outlineLevel="0" collapsed="false">
      <c r="K95" s="56" t="n">
        <f aca="false">K94+1</f>
        <v>87</v>
      </c>
      <c r="L95" s="56" t="n">
        <f aca="false">IF(K95&lt;$B$34,1,0)</f>
        <v>0</v>
      </c>
      <c r="M95" s="58" t="n">
        <f aca="false">IF(L95=1,M94*(1+$B$16)+$B$35*12*POWER(1+$B$36,K95),M94)</f>
        <v>525773.174856708</v>
      </c>
    </row>
    <row r="96" customFormat="false" ht="15" hidden="false" customHeight="false" outlineLevel="0" collapsed="false">
      <c r="K96" s="56" t="n">
        <f aca="false">K95+1</f>
        <v>88</v>
      </c>
      <c r="L96" s="56" t="n">
        <f aca="false">IF(K96&lt;$B$34,1,0)</f>
        <v>0</v>
      </c>
      <c r="M96" s="58" t="n">
        <f aca="false">IF(L96=1,M95*(1+$B$16)+$B$35*12*POWER(1+$B$36,K96),M95)</f>
        <v>525773.174856708</v>
      </c>
    </row>
    <row r="97" customFormat="false" ht="15" hidden="false" customHeight="false" outlineLevel="0" collapsed="false">
      <c r="K97" s="56" t="n">
        <f aca="false">K96+1</f>
        <v>89</v>
      </c>
      <c r="L97" s="56" t="n">
        <f aca="false">IF(K97&lt;$B$34,1,0)</f>
        <v>0</v>
      </c>
      <c r="M97" s="58" t="n">
        <f aca="false">IF(L97=1,M96*(1+$B$16)+$B$35*12*POWER(1+$B$36,K97),M96)</f>
        <v>525773.174856708</v>
      </c>
    </row>
    <row r="98" customFormat="false" ht="15" hidden="false" customHeight="false" outlineLevel="0" collapsed="false">
      <c r="K98" s="56" t="n">
        <f aca="false">K97+1</f>
        <v>90</v>
      </c>
      <c r="L98" s="56" t="n">
        <f aca="false">IF(K98&lt;$B$34,1,0)</f>
        <v>0</v>
      </c>
      <c r="M98" s="58" t="n">
        <f aca="false">IF(L98=1,M97*(1+$B$16)+$B$35*12*POWER(1+$B$36,K98),M97)</f>
        <v>525773.174856708</v>
      </c>
    </row>
    <row r="99" customFormat="false" ht="15" hidden="false" customHeight="false" outlineLevel="0" collapsed="false">
      <c r="K99" s="56" t="n">
        <f aca="false">K98+1</f>
        <v>91</v>
      </c>
      <c r="L99" s="56" t="n">
        <f aca="false">IF(K99&lt;$B$34,1,0)</f>
        <v>0</v>
      </c>
      <c r="M99" s="58" t="n">
        <f aca="false">IF(L99=1,M98*(1+$B$16)+$B$35*12*POWER(1+$B$36,K99),M98)</f>
        <v>525773.174856708</v>
      </c>
    </row>
    <row r="100" customFormat="false" ht="15" hidden="false" customHeight="false" outlineLevel="0" collapsed="false">
      <c r="K100" s="56" t="n">
        <f aca="false">K99+1</f>
        <v>92</v>
      </c>
      <c r="L100" s="56" t="n">
        <f aca="false">IF(K100&lt;$B$34,1,0)</f>
        <v>0</v>
      </c>
      <c r="M100" s="58" t="n">
        <f aca="false">IF(L100=1,M99*(1+$B$16)+$B$35*12*POWER(1+$B$36,K100),M99)</f>
        <v>525773.174856708</v>
      </c>
    </row>
    <row r="101" customFormat="false" ht="15" hidden="false" customHeight="false" outlineLevel="0" collapsed="false">
      <c r="K101" s="56" t="n">
        <f aca="false">K100+1</f>
        <v>93</v>
      </c>
      <c r="L101" s="56" t="n">
        <f aca="false">IF(K101&lt;$B$34,1,0)</f>
        <v>0</v>
      </c>
      <c r="M101" s="58" t="n">
        <f aca="false">IF(L101=1,M100*(1+$B$16)+$B$35*12*POWER(1+$B$36,K101),M100)</f>
        <v>525773.174856708</v>
      </c>
    </row>
    <row r="102" customFormat="false" ht="15" hidden="false" customHeight="false" outlineLevel="0" collapsed="false">
      <c r="K102" s="56" t="n">
        <f aca="false">K101+1</f>
        <v>94</v>
      </c>
      <c r="L102" s="56" t="n">
        <f aca="false">IF(K102&lt;$B$34,1,0)</f>
        <v>0</v>
      </c>
      <c r="M102" s="58" t="n">
        <f aca="false">IF(L102=1,M101*(1+$B$16)+$B$35*12*POWER(1+$B$36,K102),M101)</f>
        <v>525773.174856708</v>
      </c>
    </row>
    <row r="103" customFormat="false" ht="15" hidden="false" customHeight="false" outlineLevel="0" collapsed="false">
      <c r="K103" s="56" t="n">
        <f aca="false">K102+1</f>
        <v>95</v>
      </c>
      <c r="L103" s="56" t="n">
        <f aca="false">IF(K103&lt;$B$34,1,0)</f>
        <v>0</v>
      </c>
      <c r="M103" s="58" t="n">
        <f aca="false">IF(L103=1,M102*(1+$B$16)+$B$35*12*POWER(1+$B$36,K103),M102)</f>
        <v>525773.174856708</v>
      </c>
    </row>
    <row r="104" customFormat="false" ht="15" hidden="false" customHeight="false" outlineLevel="0" collapsed="false">
      <c r="K104" s="56" t="n">
        <f aca="false">K103+1</f>
        <v>96</v>
      </c>
      <c r="L104" s="56" t="n">
        <f aca="false">IF(K104&lt;$B$34,1,0)</f>
        <v>0</v>
      </c>
      <c r="M104" s="58" t="n">
        <f aca="false">IF(L104=1,M103*(1+$B$16)+$B$35*12*POWER(1+$B$36,K104),M103)</f>
        <v>525773.174856708</v>
      </c>
    </row>
    <row r="105" customFormat="false" ht="15" hidden="false" customHeight="false" outlineLevel="0" collapsed="false">
      <c r="K105" s="56" t="n">
        <f aca="false">K104+1</f>
        <v>97</v>
      </c>
      <c r="L105" s="56" t="n">
        <f aca="false">IF(K105&lt;$B$34,1,0)</f>
        <v>0</v>
      </c>
      <c r="M105" s="58" t="n">
        <f aca="false">IF(L105=1,M104*(1+$B$16)+$B$35*12*POWER(1+$B$36,K105),M104)</f>
        <v>525773.174856708</v>
      </c>
    </row>
    <row r="106" customFormat="false" ht="15" hidden="false" customHeight="false" outlineLevel="0" collapsed="false">
      <c r="K106" s="56" t="n">
        <f aca="false">K105+1</f>
        <v>98</v>
      </c>
      <c r="L106" s="56" t="n">
        <f aca="false">IF(K106&lt;$B$34,1,0)</f>
        <v>0</v>
      </c>
      <c r="M106" s="58" t="n">
        <f aca="false">IF(L106=1,M105*(1+$B$16)+$B$35*12*POWER(1+$B$36,K106),M105)</f>
        <v>525773.174856708</v>
      </c>
    </row>
    <row r="107" customFormat="false" ht="15" hidden="false" customHeight="false" outlineLevel="0" collapsed="false">
      <c r="K107" s="56" t="n">
        <f aca="false">K106+1</f>
        <v>99</v>
      </c>
      <c r="L107" s="56" t="n">
        <f aca="false">IF(K107&lt;$B$34,1,0)</f>
        <v>0</v>
      </c>
      <c r="M107" s="58" t="n">
        <f aca="false">IF(L107=1,M106*(1+$B$16)+$B$35*12*POWER(1+$B$36,K107),M106)</f>
        <v>525773.174856708</v>
      </c>
    </row>
  </sheetData>
  <mergeCells count="26">
    <mergeCell ref="A3:I3"/>
    <mergeCell ref="A4:I4"/>
    <mergeCell ref="A5:I5"/>
    <mergeCell ref="D33:I33"/>
    <mergeCell ref="D34:I34"/>
    <mergeCell ref="D35:I35"/>
    <mergeCell ref="D36:I36"/>
    <mergeCell ref="D37:I37"/>
    <mergeCell ref="D38:I38"/>
    <mergeCell ref="D39:I39"/>
    <mergeCell ref="D40:I40"/>
    <mergeCell ref="D41:I41"/>
    <mergeCell ref="D42:I42"/>
    <mergeCell ref="D43:I43"/>
    <mergeCell ref="D47:I47"/>
    <mergeCell ref="D48:I48"/>
    <mergeCell ref="D49:I49"/>
    <mergeCell ref="D50:I50"/>
    <mergeCell ref="D51:I51"/>
    <mergeCell ref="D52:I52"/>
    <mergeCell ref="D53:I53"/>
    <mergeCell ref="D54:I54"/>
    <mergeCell ref="D55:I55"/>
    <mergeCell ref="D56:I56"/>
    <mergeCell ref="D57:I57"/>
    <mergeCell ref="D58:I58"/>
  </mergeCells>
  <dataValidations count="13">
    <dataValidation allowBlank="false" error="The prototype accepts 0 to 1 here." errorStyle="stop" errorTitle="Outside the prototype range" operator="between" showDropDown="false" showErrorMessage="true" showInputMessage="false" sqref="B26 B29" type="whole">
      <formula1>0</formula1>
      <formula2>1</formula2>
    </dataValidation>
    <dataValidation allowBlank="false" error="The prototype accepts 0 to 500000 here." errorStyle="stop" errorTitle="Outside the prototype range" operator="between" showDropDown="false" showErrorMessage="true" showInputMessage="false" sqref="B15" type="decimal">
      <formula1>0</formula1>
      <formula2>500000</formula2>
    </dataValidation>
    <dataValidation allowBlank="false" error="The prototype accepts 0 to 15000 here." errorStyle="stop" errorTitle="Outside the prototype range" operator="between" showDropDown="false" showErrorMessage="true" showInputMessage="false" sqref="B21" type="decimal">
      <formula1>0</formula1>
      <formula2>15000</formula2>
    </dataValidation>
    <dataValidation allowBlank="false" error="The prototype accepts 20 to 70 here." errorStyle="stop" errorTitle="Outside the prototype range" operator="between" showDropDown="false" showErrorMessage="true" showInputMessage="false" sqref="B10" type="decimal">
      <formula1>20</formula1>
      <formula2>70</formula2>
    </dataValidation>
    <dataValidation allowBlank="false" error="The prototype accepts 50 to 75 here." errorStyle="stop" errorTitle="Outside the prototype range" operator="between" showDropDown="false" showErrorMessage="true" showInputMessage="false" sqref="B11" type="decimal">
      <formula1>50</formula1>
      <formula2>75</formula2>
    </dataValidation>
    <dataValidation allowBlank="false" error="The prototype accepts 0 to 15000000 here." errorStyle="stop" errorTitle="Outside the prototype range" operator="between" showDropDown="false" showErrorMessage="true" showInputMessage="false" sqref="B12" type="decimal">
      <formula1>0</formula1>
      <formula2>15000000</formula2>
    </dataValidation>
    <dataValidation allowBlank="false" error="The prototype accepts 0 to 50000 here." errorStyle="stop" errorTitle="Outside the prototype range" operator="between" showDropDown="false" showErrorMessage="true" showInputMessage="false" sqref="B13" type="decimal">
      <formula1>0</formula1>
      <formula2>50000</formula2>
    </dataValidation>
    <dataValidation allowBlank="false" error="The prototype accepts 10000 to 1500000 here." errorStyle="stop" errorTitle="Outside the prototype range" operator="between" showDropDown="false" showErrorMessage="true" showInputMessage="false" sqref="B14" type="decimal">
      <formula1>10000</formula1>
      <formula2>1500000</formula2>
    </dataValidation>
    <dataValidation allowBlank="false" error="The prototype accepts 0.01 to 0.07 here." errorStyle="stop" errorTitle="Outside the prototype range" operator="between" showDropDown="false" showErrorMessage="true" showInputMessage="false" sqref="B16" type="decimal">
      <formula1>0.01</formula1>
      <formula2>0.07</formula2>
    </dataValidation>
    <dataValidation allowBlank="false" error="The prototype accepts 0 to 5 here." errorStyle="stop" errorTitle="Outside the prototype range" operator="between" showDropDown="false" showErrorMessage="true" showInputMessage="false" sqref="B20" type="decimal">
      <formula1>0</formula1>
      <formula2>5</formula2>
    </dataValidation>
    <dataValidation allowBlank="false" error="The prototype accepts 0 to 200000 here." errorStyle="stop" errorTitle="Outside the prototype range" operator="between" showDropDown="false" showErrorMessage="true" showInputMessage="false" sqref="B22" type="decimal">
      <formula1>0</formula1>
      <formula2>200000</formula2>
    </dataValidation>
    <dataValidation allowBlank="false" error="The prototype accepts 0 to 100000000 here." errorStyle="stop" errorTitle="Outside the prototype range" operator="between" showDropDown="false" showErrorMessage="true" showInputMessage="false" sqref="B27" type="decimal">
      <formula1>0</formula1>
      <formula2>100000000</formula2>
    </dataValidation>
    <dataValidation allowBlank="false" error="The prototype accepts 18 to 100 here." errorStyle="stop" errorTitle="Outside the prototype range" operator="between" showDropDown="false" showErrorMessage="true" showInputMessage="false" sqref="B28" type="decimal">
      <formula1>18</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804</v>
      </c>
    </row>
    <row r="2" customFormat="false" ht="15" hidden="false" customHeight="false" outlineLevel="0" collapsed="false">
      <c r="A2" s="30" t="s">
        <v>805</v>
      </c>
    </row>
    <row r="3" customFormat="false" ht="37.5" hidden="false" customHeight="true" outlineLevel="0" collapsed="false">
      <c r="A3" s="31" t="s">
        <v>806</v>
      </c>
      <c r="B3" s="31"/>
      <c r="C3" s="31"/>
      <c r="D3" s="31"/>
      <c r="E3" s="31"/>
      <c r="F3" s="31"/>
      <c r="G3" s="31"/>
      <c r="H3" s="31"/>
      <c r="I3" s="31"/>
    </row>
    <row r="4" customFormat="false" ht="63.75" hidden="false" customHeight="true" outlineLevel="0" collapsed="false">
      <c r="A4" s="31" t="s">
        <v>807</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808</v>
      </c>
      <c r="B10" s="33" t="n">
        <v>60000</v>
      </c>
      <c r="C10" s="7" t="s">
        <v>257</v>
      </c>
      <c r="D10" s="34" t="n">
        <v>60000</v>
      </c>
      <c r="E10" s="34" t="n">
        <v>15000</v>
      </c>
      <c r="F10" s="34" t="n">
        <v>250000</v>
      </c>
      <c r="G10" s="34" t="n">
        <v>2500000</v>
      </c>
      <c r="H10" s="34" t="n">
        <v>1000</v>
      </c>
      <c r="I10" s="35" t="s">
        <v>809</v>
      </c>
    </row>
    <row r="11" customFormat="false" ht="15" hidden="false" customHeight="false" outlineLevel="0" collapsed="false">
      <c r="A11" s="7" t="s">
        <v>810</v>
      </c>
      <c r="B11" s="38" t="n">
        <v>0.02</v>
      </c>
      <c r="C11" s="7" t="s">
        <v>386</v>
      </c>
      <c r="D11" s="39" t="n">
        <v>0.02</v>
      </c>
      <c r="E11" s="39" t="n">
        <v>0.005</v>
      </c>
      <c r="F11" s="39" t="n">
        <v>0.1</v>
      </c>
      <c r="G11" s="39" t="n">
        <v>0.1</v>
      </c>
      <c r="H11" s="39" t="n">
        <v>0.005</v>
      </c>
      <c r="I11" s="35"/>
    </row>
    <row r="12" customFormat="false" ht="15" hidden="false" customHeight="false" outlineLevel="0" collapsed="false">
      <c r="A12" s="7" t="s">
        <v>780</v>
      </c>
      <c r="B12" s="36" t="n">
        <v>25</v>
      </c>
      <c r="C12" s="7" t="s">
        <v>388</v>
      </c>
      <c r="D12" s="37" t="n">
        <v>25</v>
      </c>
      <c r="E12" s="37" t="n">
        <v>1</v>
      </c>
      <c r="F12" s="37" t="n">
        <v>45</v>
      </c>
      <c r="G12" s="37" t="n">
        <v>45</v>
      </c>
      <c r="H12" s="37" t="n">
        <v>1</v>
      </c>
      <c r="I12" s="35" t="s">
        <v>811</v>
      </c>
    </row>
    <row r="13" customFormat="false" ht="15" hidden="false" customHeight="false" outlineLevel="0" collapsed="false">
      <c r="A13" s="7" t="s">
        <v>812</v>
      </c>
      <c r="B13" s="38" t="n">
        <v>0.045</v>
      </c>
      <c r="C13" s="7" t="s">
        <v>386</v>
      </c>
      <c r="D13" s="39" t="n">
        <v>0.045</v>
      </c>
      <c r="E13" s="39" t="n">
        <v>0.01</v>
      </c>
      <c r="F13" s="39" t="n">
        <v>0.07</v>
      </c>
      <c r="G13" s="39" t="n">
        <v>0.07</v>
      </c>
      <c r="H13" s="39" t="n">
        <v>0.005</v>
      </c>
      <c r="I13" s="35" t="s">
        <v>813</v>
      </c>
    </row>
    <row r="14" customFormat="false" ht="15" hidden="false" customHeight="false" outlineLevel="0" collapsed="false">
      <c r="A14" s="7" t="s">
        <v>814</v>
      </c>
      <c r="B14" s="38" t="n">
        <v>0.4</v>
      </c>
      <c r="C14" s="7" t="s">
        <v>386</v>
      </c>
      <c r="D14" s="39" t="n">
        <v>0.4</v>
      </c>
      <c r="E14" s="39" t="n">
        <v>0.2</v>
      </c>
      <c r="F14" s="39" t="n">
        <v>0.4</v>
      </c>
      <c r="G14" s="39" t="n">
        <v>0.4</v>
      </c>
      <c r="H14" s="39" t="n">
        <v>0.2</v>
      </c>
      <c r="I14" s="35" t="s">
        <v>815</v>
      </c>
    </row>
    <row r="16" customFormat="false" ht="15" hidden="false" customHeight="false" outlineLevel="0" collapsed="false">
      <c r="A16" s="15" t="s">
        <v>391</v>
      </c>
      <c r="B16" s="16"/>
      <c r="C16" s="16"/>
      <c r="D16" s="16"/>
      <c r="E16" s="16"/>
      <c r="F16" s="16"/>
      <c r="G16" s="16"/>
      <c r="H16" s="16"/>
      <c r="I16" s="16"/>
    </row>
    <row r="17" customFormat="false" ht="15" hidden="false" customHeight="false" outlineLevel="0" collapsed="false">
      <c r="A17" s="17" t="s">
        <v>392</v>
      </c>
      <c r="B17" s="17" t="s">
        <v>192</v>
      </c>
      <c r="C17" s="17" t="s">
        <v>193</v>
      </c>
      <c r="D17" s="17" t="s">
        <v>393</v>
      </c>
    </row>
    <row r="18" customFormat="false" ht="15" hidden="false" customHeight="false" outlineLevel="0" collapsed="false">
      <c r="A18" s="7" t="s">
        <v>816</v>
      </c>
      <c r="B18" s="43" t="n">
        <f aca="false">$B$10*$B$11/12</f>
        <v>100</v>
      </c>
      <c r="C18" s="41" t="s">
        <v>257</v>
      </c>
      <c r="D18" s="42" t="s">
        <v>817</v>
      </c>
      <c r="E18" s="42"/>
      <c r="F18" s="42"/>
      <c r="G18" s="42"/>
      <c r="H18" s="42"/>
      <c r="I18" s="42"/>
    </row>
    <row r="19" customFormat="false" ht="15" hidden="false" customHeight="false" outlineLevel="0" collapsed="false">
      <c r="A19" s="7" t="s">
        <v>645</v>
      </c>
      <c r="B19" s="45" t="n">
        <f aca="false">POWER(1+$B$13,1/12)-1</f>
        <v>0.00367480940043685</v>
      </c>
      <c r="C19" s="41" t="s">
        <v>407</v>
      </c>
      <c r="D19" s="42" t="s">
        <v>818</v>
      </c>
      <c r="E19" s="42"/>
      <c r="F19" s="42"/>
      <c r="G19" s="42"/>
      <c r="H19" s="42"/>
      <c r="I19" s="42"/>
    </row>
    <row r="20" customFormat="false" ht="15" hidden="false" customHeight="false" outlineLevel="0" collapsed="false">
      <c r="A20" s="7" t="s">
        <v>647</v>
      </c>
      <c r="B20" s="46" t="n">
        <f aca="false">$B$12*12</f>
        <v>300</v>
      </c>
      <c r="C20" s="41" t="s">
        <v>240</v>
      </c>
      <c r="D20" s="42" t="s">
        <v>410</v>
      </c>
      <c r="E20" s="42"/>
      <c r="F20" s="42"/>
      <c r="G20" s="42"/>
      <c r="H20" s="42"/>
      <c r="I20" s="42"/>
    </row>
    <row r="21" customFormat="false" ht="15" hidden="false" customHeight="false" outlineLevel="0" collapsed="false">
      <c r="A21" s="7" t="s">
        <v>819</v>
      </c>
      <c r="B21" s="43" t="n">
        <f aca="false">IF($B$19&lt;&gt;0,$B$18*(POWER(1+$B$19,$B$20)-1)/$B$19,$B$18*$B$20)</f>
        <v>54572.4754132493</v>
      </c>
      <c r="C21" s="41" t="s">
        <v>257</v>
      </c>
      <c r="D21" s="42" t="s">
        <v>820</v>
      </c>
      <c r="E21" s="42"/>
      <c r="F21" s="42"/>
      <c r="G21" s="42"/>
      <c r="H21" s="42"/>
      <c r="I21" s="42"/>
    </row>
    <row r="22" customFormat="false" ht="15" hidden="false" customHeight="false" outlineLevel="0" collapsed="false">
      <c r="A22" s="7" t="s">
        <v>821</v>
      </c>
      <c r="B22" s="43" t="n">
        <f aca="false">$B$18*(1-$B$14)</f>
        <v>60</v>
      </c>
      <c r="C22" s="41" t="s">
        <v>257</v>
      </c>
      <c r="D22" s="42" t="s">
        <v>822</v>
      </c>
      <c r="E22" s="42"/>
      <c r="F22" s="42"/>
      <c r="G22" s="42"/>
      <c r="H22" s="42"/>
      <c r="I22" s="42"/>
    </row>
    <row r="23" customFormat="false" ht="15" hidden="false" customHeight="false" outlineLevel="0" collapsed="false">
      <c r="A23" s="7" t="s">
        <v>677</v>
      </c>
      <c r="B23" s="66" t="n">
        <f aca="false">POWER(1+Assumptions!$C$14,$B$12)</f>
        <v>1.64060599446473</v>
      </c>
      <c r="C23" s="41" t="s">
        <v>507</v>
      </c>
      <c r="D23" s="42" t="s">
        <v>678</v>
      </c>
      <c r="E23" s="42"/>
      <c r="F23" s="42"/>
      <c r="G23" s="42"/>
      <c r="H23" s="42"/>
      <c r="I23" s="42"/>
    </row>
    <row r="24" customFormat="false" ht="15" hidden="false" customHeight="false" outlineLevel="0" collapsed="false">
      <c r="A24" s="7" t="s">
        <v>679</v>
      </c>
      <c r="B24" s="43" t="n">
        <f aca="false">$B$21/$B$23</f>
        <v>33263.608445521</v>
      </c>
      <c r="C24" s="41" t="s">
        <v>257</v>
      </c>
      <c r="D24" s="42" t="s">
        <v>680</v>
      </c>
      <c r="E24" s="42"/>
      <c r="F24" s="42"/>
      <c r="G24" s="42"/>
      <c r="H24" s="42"/>
      <c r="I24" s="42"/>
    </row>
    <row r="26" customFormat="false" ht="15" hidden="false" customHeight="false" outlineLevel="0" collapsed="false">
      <c r="A26" s="15" t="s">
        <v>415</v>
      </c>
      <c r="B26" s="16"/>
      <c r="C26" s="16"/>
      <c r="D26" s="16"/>
      <c r="E26" s="16"/>
      <c r="F26" s="16"/>
      <c r="G26" s="16"/>
      <c r="H26" s="16"/>
      <c r="I26" s="16"/>
    </row>
    <row r="27" customFormat="false" ht="15" hidden="false" customHeight="false" outlineLevel="0" collapsed="false">
      <c r="A27" s="17" t="s">
        <v>416</v>
      </c>
      <c r="B27" s="17" t="s">
        <v>192</v>
      </c>
      <c r="C27" s="17" t="s">
        <v>417</v>
      </c>
      <c r="D27" s="17" t="s">
        <v>418</v>
      </c>
    </row>
    <row r="28" customFormat="false" ht="15" hidden="false" customHeight="false" outlineLevel="0" collapsed="false">
      <c r="A28" s="4" t="s">
        <v>419</v>
      </c>
      <c r="B28" s="48"/>
      <c r="C28" s="49" t="str">
        <f aca="false">"Could add to your pension"</f>
        <v>Could add to your pension</v>
      </c>
      <c r="D28" s="42" t="s">
        <v>420</v>
      </c>
      <c r="E28" s="42"/>
      <c r="F28" s="42"/>
      <c r="G28" s="42"/>
      <c r="H28" s="42"/>
      <c r="I28" s="42"/>
    </row>
    <row r="29" customFormat="false" ht="15" hidden="false" customHeight="false" outlineLevel="0" collapsed="false">
      <c r="A29" s="4" t="s">
        <v>819</v>
      </c>
      <c r="B29" s="50" t="n">
        <f aca="false">$B$21</f>
        <v>54572.4754132493</v>
      </c>
      <c r="C29" s="49" t="str">
        <f aca="false">IF(($B$21)&lt;0,"−€","€")&amp;FIXED(ROUND(ABS($B$21),0),0)</f>
        <v>€54,572</v>
      </c>
      <c r="D29" s="42" t="s">
        <v>512</v>
      </c>
      <c r="E29" s="42"/>
      <c r="F29" s="42"/>
      <c r="G29" s="42"/>
      <c r="H29" s="42"/>
      <c r="I29" s="42"/>
    </row>
    <row r="30" customFormat="false" ht="15" hidden="false" customHeight="false" outlineLevel="0" collapsed="false">
      <c r="A30" s="4" t="s">
        <v>816</v>
      </c>
      <c r="B30" s="50" t="n">
        <f aca="false">$B$18</f>
        <v>100</v>
      </c>
      <c r="C30" s="49" t="str">
        <f aca="false">IF(($B$18)&lt;0,"−€","€")&amp;FIXED(ROUND(ABS($B$18),0),0)</f>
        <v>€100</v>
      </c>
      <c r="D30" s="42" t="s">
        <v>628</v>
      </c>
      <c r="E30" s="42"/>
      <c r="F30" s="42"/>
      <c r="G30" s="42"/>
      <c r="H30" s="42"/>
      <c r="I30" s="42"/>
    </row>
    <row r="31" customFormat="false" ht="15" hidden="false" customHeight="false" outlineLevel="0" collapsed="false">
      <c r="A31" s="4" t="s">
        <v>821</v>
      </c>
      <c r="B31" s="50" t="n">
        <f aca="false">$B$22</f>
        <v>60</v>
      </c>
      <c r="C31" s="49" t="str">
        <f aca="false">IF(($B$22)&lt;0,"−€","€")&amp;FIXED(ROUND(ABS($B$22),0),0)</f>
        <v>€60</v>
      </c>
      <c r="D31" s="42" t="s">
        <v>630</v>
      </c>
      <c r="E31" s="42"/>
      <c r="F31" s="42"/>
      <c r="G31" s="42"/>
      <c r="H31" s="42"/>
      <c r="I31" s="42"/>
    </row>
    <row r="32" customFormat="false" ht="15" hidden="false" customHeight="false" outlineLevel="0" collapsed="false">
      <c r="A32" s="4" t="s">
        <v>682</v>
      </c>
      <c r="B32" s="52" t="n">
        <f aca="false">IF(Assumptions!$C$6=1,$B$24,"")</f>
        <v>33263.608445521</v>
      </c>
      <c r="C32" s="64" t="str">
        <f aca="false">IF(Assumptions!$C$6=1,IF(($B$24)&lt;0,"−€","€")&amp;FIXED(ROUND(ABS($B$24),0),0),"")</f>
        <v>€33,264</v>
      </c>
      <c r="D32" s="42" t="s">
        <v>683</v>
      </c>
      <c r="E32" s="42"/>
      <c r="F32" s="42"/>
      <c r="G32" s="42"/>
      <c r="H32" s="42"/>
      <c r="I32" s="42"/>
    </row>
    <row r="33" customFormat="false" ht="15" hidden="false" customHeight="false" outlineLevel="0" collapsed="false">
      <c r="A33" s="4" t="s">
        <v>823</v>
      </c>
      <c r="B33" s="50" t="n">
        <f aca="false">INT(($B$21)+0.5)</f>
        <v>54572</v>
      </c>
      <c r="C33" s="49" t="str">
        <f aca="false">$B$33&amp;""</f>
        <v>54572</v>
      </c>
      <c r="D33" s="42" t="s">
        <v>435</v>
      </c>
      <c r="E33" s="42"/>
      <c r="F33" s="42"/>
      <c r="G33" s="42"/>
      <c r="H33" s="42"/>
      <c r="I33" s="42"/>
    </row>
    <row r="34" customFormat="false" ht="15" hidden="false" customHeight="false" outlineLevel="0" collapsed="false">
      <c r="A34" s="4" t="s">
        <v>434</v>
      </c>
      <c r="B34" s="48" t="n">
        <f aca="false">$B$12</f>
        <v>25</v>
      </c>
      <c r="C34" s="49" t="str">
        <f aca="false">$B$34&amp;""</f>
        <v>25</v>
      </c>
      <c r="D34" s="42" t="s">
        <v>435</v>
      </c>
      <c r="E34" s="42"/>
      <c r="F34" s="42"/>
      <c r="G34" s="42"/>
      <c r="H34" s="42"/>
      <c r="I34" s="42"/>
    </row>
  </sheetData>
  <mergeCells count="17">
    <mergeCell ref="A3:I3"/>
    <mergeCell ref="A4:I4"/>
    <mergeCell ref="A5:I5"/>
    <mergeCell ref="D18:I18"/>
    <mergeCell ref="D19:I19"/>
    <mergeCell ref="D20:I20"/>
    <mergeCell ref="D21:I21"/>
    <mergeCell ref="D22:I22"/>
    <mergeCell ref="D23:I23"/>
    <mergeCell ref="D24:I24"/>
    <mergeCell ref="D28:I28"/>
    <mergeCell ref="D29:I29"/>
    <mergeCell ref="D30:I30"/>
    <mergeCell ref="D31:I31"/>
    <mergeCell ref="D32:I32"/>
    <mergeCell ref="D33:I33"/>
    <mergeCell ref="D34:I34"/>
  </mergeCells>
  <dataValidations count="5">
    <dataValidation allowBlank="false" error="The prototype accepts 15000 to 2500000 here." errorStyle="stop" errorTitle="Outside the prototype range" operator="between" showDropDown="false" showErrorMessage="true" showInputMessage="false" sqref="B10" type="decimal">
      <formula1>15000</formula1>
      <formula2>2500000</formula2>
    </dataValidation>
    <dataValidation allowBlank="false" error="The prototype accepts 0.01 to 0.07 here." errorStyle="stop" errorTitle="Outside the prototype range" operator="between" showDropDown="false" showErrorMessage="true" showInputMessage="false" sqref="B13" type="decimal">
      <formula1>0.01</formula1>
      <formula2>0.07</formula2>
    </dataValidation>
    <dataValidation allowBlank="false" error="The prototype accepts 0.005 to 0.1 here." errorStyle="stop" errorTitle="Outside the prototype range" operator="between" showDropDown="false" showErrorMessage="true" showInputMessage="false" sqref="B11" type="decimal">
      <formula1>0.005</formula1>
      <formula2>0.1</formula2>
    </dataValidation>
    <dataValidation allowBlank="false" error="The prototype accepts 1 to 45 here." errorStyle="stop" errorTitle="Outside the prototype range" operator="between" showDropDown="false" showErrorMessage="true" showInputMessage="false" sqref="B12" type="decimal">
      <formula1>1</formula1>
      <formula2>45</formula2>
    </dataValidation>
    <dataValidation allowBlank="false" error="The prototype accepts 0.2 to 0.4 here." errorStyle="stop" errorTitle="Outside the prototype range" operator="between" showDropDown="false" showErrorMessage="true" showInputMessage="false" sqref="B14" type="decimal">
      <formula1>0.2</formula1>
      <formula2>0.4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824</v>
      </c>
    </row>
    <row r="2" customFormat="false" ht="15" hidden="false" customHeight="false" outlineLevel="0" collapsed="false">
      <c r="A2" s="30" t="s">
        <v>825</v>
      </c>
    </row>
    <row r="3" customFormat="false" ht="37.5" hidden="false" customHeight="true" outlineLevel="0" collapsed="false">
      <c r="A3" s="31" t="s">
        <v>826</v>
      </c>
      <c r="B3" s="31"/>
      <c r="C3" s="31"/>
      <c r="D3" s="31"/>
      <c r="E3" s="31"/>
      <c r="F3" s="31"/>
      <c r="G3" s="31"/>
      <c r="H3" s="31"/>
      <c r="I3" s="31"/>
    </row>
    <row r="4" customFormat="false" ht="63.75" hidden="false" customHeight="true" outlineLevel="0" collapsed="false">
      <c r="A4" s="31" t="s">
        <v>827</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828</v>
      </c>
      <c r="B10" s="33" t="n">
        <v>200</v>
      </c>
      <c r="C10" s="7" t="s">
        <v>257</v>
      </c>
      <c r="D10" s="34" t="n">
        <v>200</v>
      </c>
      <c r="E10" s="34" t="n">
        <v>25</v>
      </c>
      <c r="F10" s="34" t="n">
        <v>2000</v>
      </c>
      <c r="G10" s="34" t="n">
        <v>20000</v>
      </c>
      <c r="H10" s="34" t="n">
        <v>25</v>
      </c>
      <c r="I10" s="35"/>
    </row>
    <row r="11" customFormat="false" ht="15" hidden="false" customHeight="false" outlineLevel="0" collapsed="false">
      <c r="A11" s="7" t="s">
        <v>780</v>
      </c>
      <c r="B11" s="36" t="n">
        <v>15</v>
      </c>
      <c r="C11" s="7" t="s">
        <v>388</v>
      </c>
      <c r="D11" s="37" t="n">
        <v>15</v>
      </c>
      <c r="E11" s="37" t="n">
        <v>1</v>
      </c>
      <c r="F11" s="37" t="n">
        <v>40</v>
      </c>
      <c r="G11" s="37" t="n">
        <v>40</v>
      </c>
      <c r="H11" s="37" t="n">
        <v>1</v>
      </c>
      <c r="I11" s="35" t="s">
        <v>811</v>
      </c>
    </row>
    <row r="12" customFormat="false" ht="15" hidden="false" customHeight="false" outlineLevel="0" collapsed="false">
      <c r="A12" s="7" t="s">
        <v>812</v>
      </c>
      <c r="B12" s="38" t="n">
        <v>0.045</v>
      </c>
      <c r="C12" s="7" t="s">
        <v>386</v>
      </c>
      <c r="D12" s="39" t="n">
        <v>0.045</v>
      </c>
      <c r="E12" s="39" t="n">
        <v>0.01</v>
      </c>
      <c r="F12" s="39" t="n">
        <v>0.07</v>
      </c>
      <c r="G12" s="39" t="n">
        <v>0.07</v>
      </c>
      <c r="H12" s="39" t="n">
        <v>0.005</v>
      </c>
      <c r="I12" s="35" t="s">
        <v>813</v>
      </c>
    </row>
    <row r="13" customFormat="false" ht="15" hidden="false" customHeight="false" outlineLevel="0" collapsed="false">
      <c r="A13" s="7" t="s">
        <v>814</v>
      </c>
      <c r="B13" s="38" t="n">
        <v>0.4</v>
      </c>
      <c r="C13" s="7" t="s">
        <v>386</v>
      </c>
      <c r="D13" s="39" t="n">
        <v>0.4</v>
      </c>
      <c r="E13" s="39" t="n">
        <v>0.2</v>
      </c>
      <c r="F13" s="39" t="n">
        <v>0.4</v>
      </c>
      <c r="G13" s="39" t="n">
        <v>0.4</v>
      </c>
      <c r="H13" s="39" t="n">
        <v>0.2</v>
      </c>
      <c r="I13" s="35" t="s">
        <v>815</v>
      </c>
    </row>
    <row r="15" customFormat="false" ht="15" hidden="false" customHeight="false" outlineLevel="0" collapsed="false">
      <c r="A15" s="15" t="s">
        <v>391</v>
      </c>
      <c r="B15" s="16"/>
      <c r="C15" s="16"/>
      <c r="D15" s="16"/>
      <c r="E15" s="16"/>
      <c r="F15" s="16"/>
      <c r="G15" s="16"/>
      <c r="H15" s="16"/>
      <c r="I15" s="16"/>
    </row>
    <row r="16" customFormat="false" ht="15" hidden="false" customHeight="false" outlineLevel="0" collapsed="false">
      <c r="A16" s="17" t="s">
        <v>392</v>
      </c>
      <c r="B16" s="17" t="s">
        <v>192</v>
      </c>
      <c r="C16" s="17" t="s">
        <v>193</v>
      </c>
      <c r="D16" s="17" t="s">
        <v>393</v>
      </c>
    </row>
    <row r="17" customFormat="false" ht="15" hidden="false" customHeight="false" outlineLevel="0" collapsed="false">
      <c r="A17" s="7" t="s">
        <v>645</v>
      </c>
      <c r="B17" s="45" t="n">
        <f aca="false">POWER(1+$B$12,1/12)-1</f>
        <v>0.00367480940043685</v>
      </c>
      <c r="C17" s="41" t="s">
        <v>407</v>
      </c>
      <c r="D17" s="42" t="s">
        <v>818</v>
      </c>
      <c r="E17" s="42"/>
      <c r="F17" s="42"/>
      <c r="G17" s="42"/>
      <c r="H17" s="42"/>
      <c r="I17" s="42"/>
    </row>
    <row r="18" customFormat="false" ht="15" hidden="false" customHeight="false" outlineLevel="0" collapsed="false">
      <c r="A18" s="7" t="s">
        <v>647</v>
      </c>
      <c r="B18" s="46" t="n">
        <f aca="false">$B$11*12</f>
        <v>180</v>
      </c>
      <c r="C18" s="41" t="s">
        <v>240</v>
      </c>
      <c r="D18" s="42" t="s">
        <v>410</v>
      </c>
      <c r="E18" s="42"/>
      <c r="F18" s="42"/>
      <c r="G18" s="42"/>
      <c r="H18" s="42"/>
      <c r="I18" s="42"/>
    </row>
    <row r="19" customFormat="false" ht="15" hidden="false" customHeight="false" outlineLevel="0" collapsed="false">
      <c r="A19" s="7" t="s">
        <v>829</v>
      </c>
      <c r="B19" s="43" t="n">
        <f aca="false">IF($B$17&lt;&gt;0,$B$10*(POWER(1+$B$17,$B$18)-1)/$B$17,$B$10*$B$18)</f>
        <v>50902.3647855043</v>
      </c>
      <c r="C19" s="41" t="s">
        <v>257</v>
      </c>
      <c r="D19" s="42" t="s">
        <v>830</v>
      </c>
      <c r="E19" s="42"/>
      <c r="F19" s="42"/>
      <c r="G19" s="42"/>
      <c r="H19" s="42"/>
      <c r="I19" s="42"/>
    </row>
    <row r="20" customFormat="false" ht="15" hidden="false" customHeight="false" outlineLevel="0" collapsed="false">
      <c r="A20" s="7" t="s">
        <v>831</v>
      </c>
      <c r="B20" s="43" t="n">
        <f aca="false">$B$10*(1-$B$13)</f>
        <v>120</v>
      </c>
      <c r="C20" s="41" t="s">
        <v>257</v>
      </c>
      <c r="D20" s="42" t="s">
        <v>832</v>
      </c>
      <c r="E20" s="42"/>
      <c r="F20" s="42"/>
      <c r="G20" s="42"/>
      <c r="H20" s="42"/>
      <c r="I20" s="42"/>
    </row>
    <row r="21" customFormat="false" ht="15" hidden="false" customHeight="false" outlineLevel="0" collapsed="false">
      <c r="A21" s="7" t="s">
        <v>675</v>
      </c>
      <c r="B21" s="43" t="n">
        <f aca="false">$B$10*12*$B$11</f>
        <v>36000</v>
      </c>
      <c r="C21" s="41" t="s">
        <v>257</v>
      </c>
      <c r="D21" s="42" t="s">
        <v>833</v>
      </c>
      <c r="E21" s="42"/>
      <c r="F21" s="42"/>
      <c r="G21" s="42"/>
      <c r="H21" s="42"/>
      <c r="I21" s="42"/>
    </row>
    <row r="22" customFormat="false" ht="15" hidden="false" customHeight="false" outlineLevel="0" collapsed="false">
      <c r="A22" s="7" t="s">
        <v>834</v>
      </c>
      <c r="B22" s="43" t="n">
        <f aca="false">$B$10*(1-$B$13)*12*$B$11</f>
        <v>21600</v>
      </c>
      <c r="C22" s="41" t="s">
        <v>257</v>
      </c>
      <c r="D22" s="42" t="s">
        <v>835</v>
      </c>
      <c r="E22" s="42"/>
      <c r="F22" s="42"/>
      <c r="G22" s="42"/>
      <c r="H22" s="42"/>
      <c r="I22" s="42"/>
    </row>
    <row r="23" customFormat="false" ht="15" hidden="false" customHeight="false" outlineLevel="0" collapsed="false">
      <c r="A23" s="7" t="s">
        <v>677</v>
      </c>
      <c r="B23" s="66" t="n">
        <f aca="false">POWER(1+Assumptions!$C$14,$B$11)</f>
        <v>1.34586833832413</v>
      </c>
      <c r="C23" s="41" t="s">
        <v>507</v>
      </c>
      <c r="D23" s="42" t="s">
        <v>678</v>
      </c>
      <c r="E23" s="42"/>
      <c r="F23" s="42"/>
      <c r="G23" s="42"/>
      <c r="H23" s="42"/>
      <c r="I23" s="42"/>
    </row>
    <row r="24" customFormat="false" ht="15" hidden="false" customHeight="false" outlineLevel="0" collapsed="false">
      <c r="A24" s="7" t="s">
        <v>679</v>
      </c>
      <c r="B24" s="43" t="n">
        <f aca="false">$B$19/$B$23</f>
        <v>37821.2068268785</v>
      </c>
      <c r="C24" s="41" t="s">
        <v>257</v>
      </c>
      <c r="D24" s="42" t="s">
        <v>680</v>
      </c>
      <c r="E24" s="42"/>
      <c r="F24" s="42"/>
      <c r="G24" s="42"/>
      <c r="H24" s="42"/>
      <c r="I24" s="42"/>
    </row>
    <row r="26" customFormat="false" ht="15" hidden="false" customHeight="false" outlineLevel="0" collapsed="false">
      <c r="A26" s="15" t="s">
        <v>415</v>
      </c>
      <c r="B26" s="16"/>
      <c r="C26" s="16"/>
      <c r="D26" s="16"/>
      <c r="E26" s="16"/>
      <c r="F26" s="16"/>
      <c r="G26" s="16"/>
      <c r="H26" s="16"/>
      <c r="I26" s="16"/>
    </row>
    <row r="27" customFormat="false" ht="15" hidden="false" customHeight="false" outlineLevel="0" collapsed="false">
      <c r="A27" s="17" t="s">
        <v>416</v>
      </c>
      <c r="B27" s="17" t="s">
        <v>192</v>
      </c>
      <c r="C27" s="17" t="s">
        <v>417</v>
      </c>
      <c r="D27" s="17" t="s">
        <v>418</v>
      </c>
    </row>
    <row r="28" customFormat="false" ht="15" hidden="false" customHeight="false" outlineLevel="0" collapsed="false">
      <c r="A28" s="4" t="s">
        <v>419</v>
      </c>
      <c r="B28" s="48"/>
      <c r="C28" s="49" t="str">
        <f aca="false">"Could add"</f>
        <v>Could add</v>
      </c>
      <c r="D28" s="42" t="s">
        <v>420</v>
      </c>
      <c r="E28" s="42"/>
      <c r="F28" s="42"/>
      <c r="G28" s="42"/>
      <c r="H28" s="42"/>
      <c r="I28" s="42"/>
    </row>
    <row r="29" customFormat="false" ht="15" hidden="false" customHeight="false" outlineLevel="0" collapsed="false">
      <c r="A29" s="4" t="s">
        <v>829</v>
      </c>
      <c r="B29" s="50" t="n">
        <f aca="false">$B$19</f>
        <v>50902.3647855043</v>
      </c>
      <c r="C29" s="49" t="str">
        <f aca="false">IF(($B$19)&lt;0,"−€","€")&amp;FIXED(ROUND(ABS($B$19),0),0)</f>
        <v>€50,902</v>
      </c>
      <c r="D29" s="42" t="s">
        <v>512</v>
      </c>
      <c r="E29" s="42"/>
      <c r="F29" s="42"/>
      <c r="G29" s="42"/>
      <c r="H29" s="42"/>
      <c r="I29" s="42"/>
    </row>
    <row r="30" customFormat="false" ht="15" hidden="false" customHeight="false" outlineLevel="0" collapsed="false">
      <c r="A30" s="4" t="s">
        <v>836</v>
      </c>
      <c r="B30" s="50" t="n">
        <f aca="false">$B$20</f>
        <v>120</v>
      </c>
      <c r="C30" s="49" t="str">
        <f aca="false">IF(($B$20)&lt;0,"−€","€")&amp;FIXED(ROUND(ABS($B$20),0),0)</f>
        <v>€120</v>
      </c>
      <c r="D30" s="42" t="s">
        <v>424</v>
      </c>
      <c r="E30" s="42"/>
      <c r="F30" s="42"/>
      <c r="G30" s="42"/>
      <c r="H30" s="42"/>
      <c r="I30" s="42"/>
    </row>
    <row r="31" customFormat="false" ht="15" hidden="false" customHeight="false" outlineLevel="0" collapsed="false">
      <c r="A31" s="4" t="s">
        <v>675</v>
      </c>
      <c r="B31" s="50" t="n">
        <f aca="false">$B$21</f>
        <v>36000</v>
      </c>
      <c r="C31" s="49" t="str">
        <f aca="false">IF(($B$21)&lt;0,"−€","€")&amp;FIXED(ROUND(ABS($B$21),0),0)</f>
        <v>€36,000</v>
      </c>
      <c r="D31" s="42" t="s">
        <v>427</v>
      </c>
      <c r="E31" s="42"/>
      <c r="F31" s="42"/>
      <c r="G31" s="42"/>
      <c r="H31" s="42"/>
      <c r="I31" s="42"/>
    </row>
    <row r="32" customFormat="false" ht="15" hidden="false" customHeight="false" outlineLevel="0" collapsed="false">
      <c r="A32" s="4" t="s">
        <v>834</v>
      </c>
      <c r="B32" s="50" t="n">
        <f aca="false">$B$22</f>
        <v>21600</v>
      </c>
      <c r="C32" s="49" t="str">
        <f aca="false">IF(($B$22)&lt;0,"−€","€")&amp;FIXED(ROUND(ABS($B$22),0),0)</f>
        <v>€21,600</v>
      </c>
      <c r="D32" s="42" t="s">
        <v>428</v>
      </c>
      <c r="E32" s="42"/>
      <c r="F32" s="42"/>
      <c r="G32" s="42"/>
      <c r="H32" s="42"/>
      <c r="I32" s="42"/>
    </row>
    <row r="33" customFormat="false" ht="15" hidden="false" customHeight="false" outlineLevel="0" collapsed="false">
      <c r="A33" s="4" t="s">
        <v>682</v>
      </c>
      <c r="B33" s="52" t="n">
        <f aca="false">IF(Assumptions!$C$6=1,$B$24,"")</f>
        <v>37821.2068268785</v>
      </c>
      <c r="C33" s="64" t="str">
        <f aca="false">IF(Assumptions!$C$6=1,IF(($B$24)&lt;0,"−€","€")&amp;FIXED(ROUND(ABS($B$24),0),0),"")</f>
        <v>€37,821</v>
      </c>
      <c r="D33" s="42" t="s">
        <v>683</v>
      </c>
      <c r="E33" s="42"/>
      <c r="F33" s="42"/>
      <c r="G33" s="42"/>
      <c r="H33" s="42"/>
      <c r="I33" s="42"/>
    </row>
    <row r="34" customFormat="false" ht="15" hidden="false" customHeight="false" outlineLevel="0" collapsed="false">
      <c r="A34" s="4" t="s">
        <v>823</v>
      </c>
      <c r="B34" s="50" t="n">
        <f aca="false">INT(($B$19)+0.5)</f>
        <v>50902</v>
      </c>
      <c r="C34" s="49" t="str">
        <f aca="false">$B$34&amp;""</f>
        <v>50902</v>
      </c>
      <c r="D34" s="42" t="s">
        <v>435</v>
      </c>
      <c r="E34" s="42"/>
      <c r="F34" s="42"/>
      <c r="G34" s="42"/>
      <c r="H34" s="42"/>
      <c r="I34" s="42"/>
    </row>
    <row r="35" customFormat="false" ht="15" hidden="false" customHeight="false" outlineLevel="0" collapsed="false">
      <c r="A35" s="4" t="s">
        <v>434</v>
      </c>
      <c r="B35" s="48" t="n">
        <f aca="false">$B$11</f>
        <v>15</v>
      </c>
      <c r="C35" s="49" t="str">
        <f aca="false">$B$35&amp;""</f>
        <v>15</v>
      </c>
      <c r="D35" s="42" t="s">
        <v>435</v>
      </c>
      <c r="E35" s="42"/>
      <c r="F35" s="42"/>
      <c r="G35" s="42"/>
      <c r="H35" s="42"/>
      <c r="I35" s="42"/>
    </row>
  </sheetData>
  <mergeCells count="19">
    <mergeCell ref="A3:I3"/>
    <mergeCell ref="A4:I4"/>
    <mergeCell ref="A5:I5"/>
    <mergeCell ref="D17:I17"/>
    <mergeCell ref="D18:I18"/>
    <mergeCell ref="D19:I19"/>
    <mergeCell ref="D20:I20"/>
    <mergeCell ref="D21:I21"/>
    <mergeCell ref="D22:I22"/>
    <mergeCell ref="D23:I23"/>
    <mergeCell ref="D24:I24"/>
    <mergeCell ref="D28:I28"/>
    <mergeCell ref="D29:I29"/>
    <mergeCell ref="D30:I30"/>
    <mergeCell ref="D31:I31"/>
    <mergeCell ref="D32:I32"/>
    <mergeCell ref="D33:I33"/>
    <mergeCell ref="D34:I34"/>
    <mergeCell ref="D35:I35"/>
  </mergeCells>
  <dataValidations count="4">
    <dataValidation allowBlank="false" error="The prototype accepts 1 to 40 here." errorStyle="stop" errorTitle="Outside the prototype range" operator="between" showDropDown="false" showErrorMessage="true" showInputMessage="false" sqref="B11" type="decimal">
      <formula1>1</formula1>
      <formula2>40</formula2>
    </dataValidation>
    <dataValidation allowBlank="false" error="The prototype accepts 0.01 to 0.07 here." errorStyle="stop" errorTitle="Outside the prototype range" operator="between" showDropDown="false" showErrorMessage="true" showInputMessage="false" sqref="B12" type="decimal">
      <formula1>0.01</formula1>
      <formula2>0.07</formula2>
    </dataValidation>
    <dataValidation allowBlank="false" error="The prototype accepts 0.2 to 0.4 here." errorStyle="stop" errorTitle="Outside the prototype range" operator="between" showDropDown="false" showErrorMessage="true" showInputMessage="false" sqref="B13" type="decimal">
      <formula1>0.2</formula1>
      <formula2>0.4</formula2>
    </dataValidation>
    <dataValidation allowBlank="false" error="The prototype accepts 25 to 20000 here." errorStyle="stop" errorTitle="Outside the prototype range" operator="between" showDropDown="false" showErrorMessage="true" showInputMessage="false" sqref="B10" type="decimal">
      <formula1>25</formula1>
      <formula2>20000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5" min="11" style="0" width="14"/>
  </cols>
  <sheetData>
    <row r="1" customFormat="false" ht="17.35" hidden="false" customHeight="false" outlineLevel="0" collapsed="false">
      <c r="A1" s="1" t="s">
        <v>837</v>
      </c>
    </row>
    <row r="2" customFormat="false" ht="15" hidden="false" customHeight="false" outlineLevel="0" collapsed="false">
      <c r="A2" s="30" t="s">
        <v>838</v>
      </c>
    </row>
    <row r="3" customFormat="false" ht="37.5" hidden="false" customHeight="true" outlineLevel="0" collapsed="false">
      <c r="A3" s="31" t="s">
        <v>839</v>
      </c>
      <c r="B3" s="31"/>
      <c r="C3" s="31"/>
      <c r="D3" s="31"/>
      <c r="E3" s="31"/>
      <c r="F3" s="31"/>
      <c r="G3" s="31"/>
      <c r="H3" s="31"/>
      <c r="I3" s="31"/>
    </row>
    <row r="4" customFormat="false" ht="63.75" hidden="false" customHeight="true" outlineLevel="0" collapsed="false">
      <c r="A4" s="31" t="s">
        <v>840</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841</v>
      </c>
    </row>
    <row r="6" customFormat="false" ht="15" hidden="false" customHeight="false" outlineLevel="0" collapsed="false">
      <c r="K6" s="9" t="s">
        <v>842</v>
      </c>
      <c r="L6" s="16"/>
      <c r="M6" s="16"/>
      <c r="N6" s="16"/>
      <c r="O6" s="16"/>
    </row>
    <row r="7" customFormat="false" ht="39.75" hidden="false" customHeight="true" outlineLevel="0" collapsed="false">
      <c r="K7" s="55" t="s">
        <v>843</v>
      </c>
      <c r="L7" s="55" t="s">
        <v>844</v>
      </c>
      <c r="M7" s="55" t="s">
        <v>845</v>
      </c>
      <c r="N7" s="55" t="s">
        <v>846</v>
      </c>
      <c r="O7" s="55" t="s">
        <v>847</v>
      </c>
    </row>
    <row r="8" customFormat="false" ht="15" hidden="false" customHeight="false" outlineLevel="0" collapsed="false">
      <c r="A8" s="15" t="s">
        <v>370</v>
      </c>
      <c r="B8" s="16"/>
      <c r="C8" s="16"/>
      <c r="D8" s="16"/>
      <c r="E8" s="16"/>
      <c r="F8" s="16"/>
      <c r="G8" s="16"/>
      <c r="H8" s="16"/>
      <c r="I8" s="16"/>
      <c r="K8" s="56" t="n">
        <v>1</v>
      </c>
      <c r="L8" s="57" t="n">
        <f aca="false">IF(K8&lt;=Assumptions!$C$44,1,0)</f>
        <v>1</v>
      </c>
      <c r="M8" s="58" t="n">
        <f aca="false">$B$11</f>
        <v>24000</v>
      </c>
      <c r="N8" s="58" t="n">
        <f aca="false">IF(L8=1,$B$10*(1+$B$12)-M8,$B$10)</f>
        <v>388000</v>
      </c>
      <c r="O8" s="56" t="n">
        <f aca="false">IF(AND(L8=1,N8&gt;=0),1,0)</f>
        <v>1</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2</v>
      </c>
      <c r="L9" s="57" t="n">
        <f aca="false">IF(AND(K9&lt;=Assumptions!$C$44,O8=1),1,0)</f>
        <v>1</v>
      </c>
      <c r="M9" s="58" t="n">
        <f aca="false">IF(L9=1,M8*(1+$B$16),M8)</f>
        <v>24480</v>
      </c>
      <c r="N9" s="58" t="n">
        <f aca="false">IF(L9=1,N8*(1+$B$12)-M9,N8)</f>
        <v>375160</v>
      </c>
      <c r="O9" s="56" t="n">
        <f aca="false">IF(AND(L9=1,N9&gt;=0),1,0)</f>
        <v>1</v>
      </c>
    </row>
    <row r="10" customFormat="false" ht="22.35" hidden="false" customHeight="false" outlineLevel="0" collapsed="false">
      <c r="A10" s="7" t="s">
        <v>848</v>
      </c>
      <c r="B10" s="33" t="n">
        <v>400000</v>
      </c>
      <c r="C10" s="7" t="s">
        <v>257</v>
      </c>
      <c r="D10" s="34" t="n">
        <v>400000</v>
      </c>
      <c r="E10" s="34" t="n">
        <v>10000</v>
      </c>
      <c r="F10" s="34" t="n">
        <v>3000000</v>
      </c>
      <c r="G10" s="34" t="n">
        <v>30000000</v>
      </c>
      <c r="H10" s="34" t="n">
        <v>10000</v>
      </c>
      <c r="I10" s="35" t="s">
        <v>849</v>
      </c>
      <c r="K10" s="56" t="n">
        <f aca="false">K9+1</f>
        <v>3</v>
      </c>
      <c r="L10" s="57" t="n">
        <f aca="false">IF(AND(K10&lt;=Assumptions!$C$44,O9=1),1,0)</f>
        <v>1</v>
      </c>
      <c r="M10" s="58" t="n">
        <f aca="false">IF(L10=1,M9*(1+$B$16),M9)</f>
        <v>24969.6</v>
      </c>
      <c r="N10" s="58" t="n">
        <f aca="false">IF(L10=1,N9*(1+$B$12)-M10,N9)</f>
        <v>361445.2</v>
      </c>
      <c r="O10" s="56" t="n">
        <f aca="false">IF(AND(L10=1,N10&gt;=0),1,0)</f>
        <v>1</v>
      </c>
    </row>
    <row r="11" customFormat="false" ht="15" hidden="false" customHeight="false" outlineLevel="0" collapsed="false">
      <c r="A11" s="7" t="s">
        <v>850</v>
      </c>
      <c r="B11" s="33" t="n">
        <v>24000</v>
      </c>
      <c r="C11" s="7" t="s">
        <v>257</v>
      </c>
      <c r="D11" s="34" t="n">
        <v>24000</v>
      </c>
      <c r="E11" s="34" t="n">
        <v>1000</v>
      </c>
      <c r="F11" s="34" t="n">
        <v>200000</v>
      </c>
      <c r="G11" s="34" t="n">
        <v>2000000</v>
      </c>
      <c r="H11" s="34" t="n">
        <v>1000</v>
      </c>
      <c r="I11" s="35"/>
      <c r="K11" s="56" t="n">
        <f aca="false">K10+1</f>
        <v>4</v>
      </c>
      <c r="L11" s="57" t="n">
        <f aca="false">IF(AND(K11&lt;=Assumptions!$C$44,O10=1),1,0)</f>
        <v>1</v>
      </c>
      <c r="M11" s="58" t="n">
        <f aca="false">IF(L11=1,M10*(1+$B$16),M10)</f>
        <v>25468.992</v>
      </c>
      <c r="N11" s="58" t="n">
        <f aca="false">IF(L11=1,N10*(1+$B$12)-M11,N10)</f>
        <v>346819.564</v>
      </c>
      <c r="O11" s="56" t="n">
        <f aca="false">IF(AND(L11=1,N11&gt;=0),1,0)</f>
        <v>1</v>
      </c>
    </row>
    <row r="12" customFormat="false" ht="22.35" hidden="false" customHeight="false" outlineLevel="0" collapsed="false">
      <c r="A12" s="7" t="s">
        <v>812</v>
      </c>
      <c r="B12" s="38" t="n">
        <v>0.03</v>
      </c>
      <c r="C12" s="7" t="s">
        <v>386</v>
      </c>
      <c r="D12" s="39" t="n">
        <v>0.03</v>
      </c>
      <c r="E12" s="39" t="n">
        <v>0</v>
      </c>
      <c r="F12" s="39" t="n">
        <v>0.07</v>
      </c>
      <c r="G12" s="39" t="n">
        <v>0.07</v>
      </c>
      <c r="H12" s="39" t="n">
        <v>0.005</v>
      </c>
      <c r="I12" s="35" t="s">
        <v>851</v>
      </c>
      <c r="K12" s="56" t="n">
        <f aca="false">K11+1</f>
        <v>5</v>
      </c>
      <c r="L12" s="57" t="n">
        <f aca="false">IF(AND(K12&lt;=Assumptions!$C$44,O11=1),1,0)</f>
        <v>1</v>
      </c>
      <c r="M12" s="58" t="n">
        <f aca="false">IF(L12=1,M11*(1+$B$16),M11)</f>
        <v>25978.37184</v>
      </c>
      <c r="N12" s="58" t="n">
        <f aca="false">IF(L12=1,N11*(1+$B$12)-M12,N11)</f>
        <v>331245.77908</v>
      </c>
      <c r="O12" s="56" t="n">
        <f aca="false">IF(AND(L12=1,N12&gt;=0),1,0)</f>
        <v>1</v>
      </c>
    </row>
    <row r="13" customFormat="false" ht="15" hidden="false" customHeight="false" outlineLevel="0" collapsed="false">
      <c r="K13" s="56" t="n">
        <f aca="false">K12+1</f>
        <v>6</v>
      </c>
      <c r="L13" s="57" t="n">
        <f aca="false">IF(AND(K13&lt;=Assumptions!$C$44,O12=1),1,0)</f>
        <v>1</v>
      </c>
      <c r="M13" s="58" t="n">
        <f aca="false">IF(L13=1,M12*(1+$B$16),M12)</f>
        <v>26497.9392768</v>
      </c>
      <c r="N13" s="58" t="n">
        <f aca="false">IF(L13=1,N12*(1+$B$12)-M13,N12)</f>
        <v>314685.2131756</v>
      </c>
      <c r="O13" s="56" t="n">
        <f aca="false">IF(AND(L13=1,N13&gt;=0),1,0)</f>
        <v>1</v>
      </c>
    </row>
    <row r="14" customFormat="false" ht="15" hidden="false" customHeight="false" outlineLevel="0" collapsed="false">
      <c r="A14" s="15" t="s">
        <v>391</v>
      </c>
      <c r="B14" s="16"/>
      <c r="C14" s="16"/>
      <c r="D14" s="16"/>
      <c r="E14" s="16"/>
      <c r="F14" s="16"/>
      <c r="G14" s="16"/>
      <c r="H14" s="16"/>
      <c r="I14" s="16"/>
      <c r="K14" s="56" t="n">
        <f aca="false">K13+1</f>
        <v>7</v>
      </c>
      <c r="L14" s="57" t="n">
        <f aca="false">IF(AND(K14&lt;=Assumptions!$C$44,O13=1),1,0)</f>
        <v>1</v>
      </c>
      <c r="M14" s="58" t="n">
        <f aca="false">IF(L14=1,M13*(1+$B$16),M13)</f>
        <v>27027.898062336</v>
      </c>
      <c r="N14" s="58" t="n">
        <f aca="false">IF(L14=1,N13*(1+$B$12)-M14,N13)</f>
        <v>297097.871508532</v>
      </c>
      <c r="O14" s="56" t="n">
        <f aca="false">IF(AND(L14=1,N14&gt;=0),1,0)</f>
        <v>1</v>
      </c>
    </row>
    <row r="15" customFormat="false" ht="15" hidden="false" customHeight="false" outlineLevel="0" collapsed="false">
      <c r="A15" s="17" t="s">
        <v>392</v>
      </c>
      <c r="B15" s="17" t="s">
        <v>192</v>
      </c>
      <c r="C15" s="17" t="s">
        <v>193</v>
      </c>
      <c r="D15" s="17" t="s">
        <v>393</v>
      </c>
      <c r="K15" s="56" t="n">
        <f aca="false">K14+1</f>
        <v>8</v>
      </c>
      <c r="L15" s="57" t="n">
        <f aca="false">IF(AND(K15&lt;=Assumptions!$C$44,O14=1),1,0)</f>
        <v>1</v>
      </c>
      <c r="M15" s="58" t="n">
        <f aca="false">IF(L15=1,M14*(1+$B$16),M14)</f>
        <v>27568.4560235827</v>
      </c>
      <c r="N15" s="58" t="n">
        <f aca="false">IF(L15=1,N14*(1+$B$12)-M15,N14)</f>
        <v>278442.351630205</v>
      </c>
      <c r="O15" s="56" t="n">
        <f aca="false">IF(AND(L15=1,N15&gt;=0),1,0)</f>
        <v>1</v>
      </c>
    </row>
    <row r="16" customFormat="false" ht="15" hidden="false" customHeight="false" outlineLevel="0" collapsed="false">
      <c r="A16" s="7" t="s">
        <v>852</v>
      </c>
      <c r="B16" s="72" t="n">
        <f aca="false">IF(Assumptions!$C$6=1,Assumptions!$C$14,0)</f>
        <v>0.02</v>
      </c>
      <c r="C16" s="41" t="s">
        <v>407</v>
      </c>
      <c r="D16" s="42" t="s">
        <v>853</v>
      </c>
      <c r="E16" s="42"/>
      <c r="F16" s="42"/>
      <c r="G16" s="42"/>
      <c r="H16" s="42"/>
      <c r="I16" s="42"/>
      <c r="K16" s="56" t="n">
        <f aca="false">K15+1</f>
        <v>9</v>
      </c>
      <c r="L16" s="57" t="n">
        <f aca="false">IF(AND(K16&lt;=Assumptions!$C$44,O15=1),1,0)</f>
        <v>1</v>
      </c>
      <c r="M16" s="58" t="n">
        <f aca="false">IF(L16=1,M15*(1+$B$16),M15)</f>
        <v>28119.8251440544</v>
      </c>
      <c r="N16" s="58" t="n">
        <f aca="false">IF(L16=1,N15*(1+$B$12)-M16,N15)</f>
        <v>258675.797035057</v>
      </c>
      <c r="O16" s="56" t="n">
        <f aca="false">IF(AND(L16=1,N16&gt;=0),1,0)</f>
        <v>1</v>
      </c>
    </row>
    <row r="17" customFormat="false" ht="15" hidden="false" customHeight="false" outlineLevel="0" collapsed="false">
      <c r="A17" s="7" t="s">
        <v>854</v>
      </c>
      <c r="B17" s="46" t="n">
        <f aca="false">SUM($O$8:$O$67)</f>
        <v>18</v>
      </c>
      <c r="C17" s="41" t="s">
        <v>240</v>
      </c>
      <c r="D17" s="42" t="s">
        <v>855</v>
      </c>
      <c r="E17" s="42"/>
      <c r="F17" s="42"/>
      <c r="G17" s="42"/>
      <c r="H17" s="42"/>
      <c r="I17" s="42"/>
      <c r="K17" s="56" t="n">
        <f aca="false">K16+1</f>
        <v>10</v>
      </c>
      <c r="L17" s="57" t="n">
        <f aca="false">IF(AND(K17&lt;=Assumptions!$C$44,O16=1),1,0)</f>
        <v>1</v>
      </c>
      <c r="M17" s="58" t="n">
        <f aca="false">IF(L17=1,M16*(1+$B$16),M16)</f>
        <v>28682.2216469355</v>
      </c>
      <c r="N17" s="58" t="n">
        <f aca="false">IF(L17=1,N16*(1+$B$12)-M17,N16)</f>
        <v>237753.849299173</v>
      </c>
      <c r="O17" s="56" t="n">
        <f aca="false">IF(AND(L17=1,N17&gt;=0),1,0)</f>
        <v>1</v>
      </c>
    </row>
    <row r="18" customFormat="false" ht="15" hidden="false" customHeight="false" outlineLevel="0" collapsed="false">
      <c r="A18" s="7" t="s">
        <v>856</v>
      </c>
      <c r="B18" s="67" t="n">
        <f aca="false">IF($B$10=0,0,$B$11/$B$10)</f>
        <v>0.06</v>
      </c>
      <c r="C18" s="41" t="s">
        <v>407</v>
      </c>
      <c r="D18" s="42" t="s">
        <v>857</v>
      </c>
      <c r="E18" s="42"/>
      <c r="F18" s="42"/>
      <c r="G18" s="42"/>
      <c r="H18" s="42"/>
      <c r="I18" s="42"/>
      <c r="K18" s="56" t="n">
        <f aca="false">K17+1</f>
        <v>11</v>
      </c>
      <c r="L18" s="57" t="n">
        <f aca="false">IF(AND(K18&lt;=Assumptions!$C$44,O17=1),1,0)</f>
        <v>1</v>
      </c>
      <c r="M18" s="58" t="n">
        <f aca="false">IF(L18=1,M17*(1+$B$16),M17)</f>
        <v>29255.8660798742</v>
      </c>
      <c r="N18" s="58" t="n">
        <f aca="false">IF(L18=1,N17*(1+$B$12)-M18,N17)</f>
        <v>215630.598698274</v>
      </c>
      <c r="O18" s="56" t="n">
        <f aca="false">IF(AND(L18=1,N18&gt;=0),1,0)</f>
        <v>1</v>
      </c>
    </row>
    <row r="19" customFormat="false" ht="15" hidden="false" customHeight="false" outlineLevel="0" collapsed="false">
      <c r="K19" s="56" t="n">
        <f aca="false">K18+1</f>
        <v>12</v>
      </c>
      <c r="L19" s="57" t="n">
        <f aca="false">IF(AND(K19&lt;=Assumptions!$C$44,O18=1),1,0)</f>
        <v>1</v>
      </c>
      <c r="M19" s="58" t="n">
        <f aca="false">IF(L19=1,M18*(1+$B$16),M18)</f>
        <v>29840.9834014717</v>
      </c>
      <c r="N19" s="58" t="n">
        <f aca="false">IF(L19=1,N18*(1+$B$12)-M19,N18)</f>
        <v>192258.533257751</v>
      </c>
      <c r="O19" s="56" t="n">
        <f aca="false">IF(AND(L19=1,N19&gt;=0),1,0)</f>
        <v>1</v>
      </c>
    </row>
    <row r="20" customFormat="false" ht="15" hidden="false" customHeight="false" outlineLevel="0" collapsed="false">
      <c r="A20" s="15" t="s">
        <v>415</v>
      </c>
      <c r="B20" s="16"/>
      <c r="C20" s="16"/>
      <c r="D20" s="16"/>
      <c r="E20" s="16"/>
      <c r="F20" s="16"/>
      <c r="G20" s="16"/>
      <c r="H20" s="16"/>
      <c r="I20" s="16"/>
      <c r="K20" s="56" t="n">
        <f aca="false">K19+1</f>
        <v>13</v>
      </c>
      <c r="L20" s="57" t="n">
        <f aca="false">IF(AND(K20&lt;=Assumptions!$C$44,O19=1),1,0)</f>
        <v>1</v>
      </c>
      <c r="M20" s="58" t="n">
        <f aca="false">IF(L20=1,M19*(1+$B$16),M19)</f>
        <v>30437.8030695011</v>
      </c>
      <c r="N20" s="58" t="n">
        <f aca="false">IF(L20=1,N19*(1+$B$12)-M20,N19)</f>
        <v>167588.486185982</v>
      </c>
      <c r="O20" s="56" t="n">
        <f aca="false">IF(AND(L20=1,N20&gt;=0),1,0)</f>
        <v>1</v>
      </c>
    </row>
    <row r="21" customFormat="false" ht="15" hidden="false" customHeight="false" outlineLevel="0" collapsed="false">
      <c r="A21" s="17" t="s">
        <v>416</v>
      </c>
      <c r="B21" s="17" t="s">
        <v>192</v>
      </c>
      <c r="C21" s="17" t="s">
        <v>417</v>
      </c>
      <c r="D21" s="17" t="s">
        <v>418</v>
      </c>
      <c r="K21" s="56" t="n">
        <f aca="false">K20+1</f>
        <v>14</v>
      </c>
      <c r="L21" s="57" t="n">
        <f aca="false">IF(AND(K21&lt;=Assumptions!$C$44,O20=1),1,0)</f>
        <v>1</v>
      </c>
      <c r="M21" s="58" t="n">
        <f aca="false">IF(L21=1,M20*(1+$B$16),M20)</f>
        <v>31046.5591308911</v>
      </c>
      <c r="N21" s="58" t="n">
        <f aca="false">IF(L21=1,N20*(1+$B$12)-M21,N20)</f>
        <v>141569.581640671</v>
      </c>
      <c r="O21" s="56" t="n">
        <f aca="false">IF(AND(L21=1,N21&gt;=0),1,0)</f>
        <v>1</v>
      </c>
    </row>
    <row r="22" customFormat="false" ht="15" hidden="false" customHeight="false" outlineLevel="0" collapsed="false">
      <c r="A22" s="4" t="s">
        <v>419</v>
      </c>
      <c r="B22" s="48"/>
      <c r="C22" s="49" t="str">
        <f aca="false">"Could last about"</f>
        <v>Could last about</v>
      </c>
      <c r="D22" s="42" t="s">
        <v>420</v>
      </c>
      <c r="E22" s="42"/>
      <c r="F22" s="42"/>
      <c r="G22" s="42"/>
      <c r="H22" s="42"/>
      <c r="I22" s="42"/>
      <c r="K22" s="56" t="n">
        <f aca="false">K21+1</f>
        <v>15</v>
      </c>
      <c r="L22" s="57" t="n">
        <f aca="false">IF(AND(K22&lt;=Assumptions!$C$44,O21=1),1,0)</f>
        <v>1</v>
      </c>
      <c r="M22" s="58" t="n">
        <f aca="false">IF(L22=1,M21*(1+$B$16),M21)</f>
        <v>31667.4903135089</v>
      </c>
      <c r="N22" s="58" t="n">
        <f aca="false">IF(L22=1,N21*(1+$B$12)-M22,N21)</f>
        <v>114149.178776382</v>
      </c>
      <c r="O22" s="56" t="n">
        <f aca="false">IF(AND(L22=1,N22&gt;=0),1,0)</f>
        <v>1</v>
      </c>
    </row>
    <row r="23" customFormat="false" ht="15" hidden="false" customHeight="false" outlineLevel="0" collapsed="false">
      <c r="A23" s="4" t="s">
        <v>858</v>
      </c>
      <c r="B23" s="48" t="n">
        <f aca="false">$B$17</f>
        <v>18</v>
      </c>
      <c r="C23" s="64" t="str">
        <f aca="false">IF($B$17&gt;=Assumptions!$C$44,Assumptions!$C$44&amp;"+ years",$B$17&amp;" years")</f>
        <v>18 years</v>
      </c>
      <c r="D23" s="42" t="s">
        <v>512</v>
      </c>
      <c r="E23" s="42"/>
      <c r="F23" s="42"/>
      <c r="G23" s="42"/>
      <c r="H23" s="42"/>
      <c r="I23" s="42"/>
      <c r="K23" s="56" t="n">
        <f aca="false">K22+1</f>
        <v>16</v>
      </c>
      <c r="L23" s="57" t="n">
        <f aca="false">IF(AND(K23&lt;=Assumptions!$C$44,O22=1),1,0)</f>
        <v>1</v>
      </c>
      <c r="M23" s="58" t="n">
        <f aca="false">IF(L23=1,M22*(1+$B$16),M22)</f>
        <v>32300.8401197791</v>
      </c>
      <c r="N23" s="58" t="n">
        <f aca="false">IF(L23=1,N22*(1+$B$12)-M23,N22)</f>
        <v>85272.8140198943</v>
      </c>
      <c r="O23" s="56" t="n">
        <f aca="false">IF(AND(L23=1,N23&gt;=0),1,0)</f>
        <v>1</v>
      </c>
    </row>
    <row r="24" customFormat="false" ht="15" hidden="false" customHeight="false" outlineLevel="0" collapsed="false">
      <c r="A24" s="4" t="s">
        <v>859</v>
      </c>
      <c r="B24" s="50" t="n">
        <f aca="false">$B$11</f>
        <v>24000</v>
      </c>
      <c r="C24" s="49" t="str">
        <f aca="false">IF(($B$11)&lt;0,"−€","€")&amp;FIXED(ROUND(ABS($B$11),0),0)</f>
        <v>€24,000</v>
      </c>
      <c r="D24" s="42" t="s">
        <v>424</v>
      </c>
      <c r="E24" s="42"/>
      <c r="F24" s="42"/>
      <c r="G24" s="42"/>
      <c r="H24" s="42"/>
      <c r="I24" s="42"/>
      <c r="K24" s="56" t="n">
        <f aca="false">K23+1</f>
        <v>17</v>
      </c>
      <c r="L24" s="57" t="n">
        <f aca="false">IF(AND(K24&lt;=Assumptions!$C$44,O23=1),1,0)</f>
        <v>1</v>
      </c>
      <c r="M24" s="58" t="n">
        <f aca="false">IF(L24=1,M23*(1+$B$16),M23)</f>
        <v>32946.8569221747</v>
      </c>
      <c r="N24" s="58" t="n">
        <f aca="false">IF(L24=1,N23*(1+$B$12)-M24,N23)</f>
        <v>54884.1415183164</v>
      </c>
      <c r="O24" s="56" t="n">
        <f aca="false">IF(AND(L24=1,N24&gt;=0),1,0)</f>
        <v>1</v>
      </c>
    </row>
    <row r="25" customFormat="false" ht="15" hidden="false" customHeight="false" outlineLevel="0" collapsed="false">
      <c r="A25" s="4" t="s">
        <v>860</v>
      </c>
      <c r="B25" s="65" t="n">
        <f aca="false">IF(Assumptions!$C$6=1,Assumptions!$C$14,"")</f>
        <v>0.02</v>
      </c>
      <c r="C25" s="64" t="str">
        <f aca="false">IF(Assumptions!$C$6=1,ROUND((Assumptions!$C$14)*100,2)&amp;"%","")</f>
        <v>2%</v>
      </c>
      <c r="D25" s="42" t="s">
        <v>658</v>
      </c>
      <c r="E25" s="42"/>
      <c r="F25" s="42"/>
      <c r="G25" s="42"/>
      <c r="H25" s="42"/>
      <c r="I25" s="42"/>
      <c r="K25" s="56" t="n">
        <f aca="false">K24+1</f>
        <v>18</v>
      </c>
      <c r="L25" s="57" t="n">
        <f aca="false">IF(AND(K25&lt;=Assumptions!$C$44,O24=1),1,0)</f>
        <v>1</v>
      </c>
      <c r="M25" s="58" t="n">
        <f aca="false">IF(L25=1,M24*(1+$B$16),M24)</f>
        <v>33605.7940606182</v>
      </c>
      <c r="N25" s="58" t="n">
        <f aca="false">IF(L25=1,N24*(1+$B$12)-M25,N24)</f>
        <v>22924.8717032477</v>
      </c>
      <c r="O25" s="56" t="n">
        <f aca="false">IF(AND(L25=1,N25&gt;=0),1,0)</f>
        <v>1</v>
      </c>
    </row>
    <row r="26" customFormat="false" ht="15" hidden="false" customHeight="false" outlineLevel="0" collapsed="false">
      <c r="A26" s="4" t="s">
        <v>856</v>
      </c>
      <c r="B26" s="69" t="n">
        <f aca="false">$B$18</f>
        <v>0.06</v>
      </c>
      <c r="C26" s="49" t="str">
        <f aca="false">FIXED($B$18*100,1,TRUE())&amp;"%"</f>
        <v>6.0%</v>
      </c>
      <c r="D26" s="42" t="s">
        <v>427</v>
      </c>
      <c r="E26" s="42"/>
      <c r="F26" s="42"/>
      <c r="G26" s="42"/>
      <c r="H26" s="42"/>
      <c r="I26" s="42"/>
      <c r="K26" s="56" t="n">
        <f aca="false">K25+1</f>
        <v>19</v>
      </c>
      <c r="L26" s="57" t="n">
        <f aca="false">IF(AND(K26&lt;=Assumptions!$C$44,O25=1),1,0)</f>
        <v>1</v>
      </c>
      <c r="M26" s="58" t="n">
        <f aca="false">IF(L26=1,M25*(1+$B$16),M25)</f>
        <v>34277.9099418306</v>
      </c>
      <c r="N26" s="58" t="n">
        <f aca="false">IF(L26=1,N25*(1+$B$12)-M26,N25)</f>
        <v>-10665.2920874854</v>
      </c>
      <c r="O26" s="56" t="n">
        <f aca="false">IF(AND(L26=1,N26&gt;=0),1,0)</f>
        <v>0</v>
      </c>
    </row>
    <row r="27" customFormat="false" ht="15" hidden="false" customHeight="false" outlineLevel="0" collapsed="false">
      <c r="K27" s="56" t="n">
        <f aca="false">K26+1</f>
        <v>20</v>
      </c>
      <c r="L27" s="57" t="n">
        <f aca="false">IF(AND(K27&lt;=Assumptions!$C$44,O26=1),1,0)</f>
        <v>0</v>
      </c>
      <c r="M27" s="58" t="n">
        <f aca="false">IF(L27=1,M26*(1+$B$16),M26)</f>
        <v>34277.9099418306</v>
      </c>
      <c r="N27" s="58" t="n">
        <f aca="false">IF(L27=1,N26*(1+$B$12)-M27,N26)</f>
        <v>-10665.2920874854</v>
      </c>
      <c r="O27" s="56" t="n">
        <f aca="false">IF(AND(L27=1,N27&gt;=0),1,0)</f>
        <v>0</v>
      </c>
    </row>
    <row r="28" customFormat="false" ht="15" hidden="false" customHeight="false" outlineLevel="0" collapsed="false">
      <c r="K28" s="56" t="n">
        <f aca="false">K27+1</f>
        <v>21</v>
      </c>
      <c r="L28" s="57" t="n">
        <f aca="false">IF(AND(K28&lt;=Assumptions!$C$44,O27=1),1,0)</f>
        <v>0</v>
      </c>
      <c r="M28" s="58" t="n">
        <f aca="false">IF(L28=1,M27*(1+$B$16),M27)</f>
        <v>34277.9099418306</v>
      </c>
      <c r="N28" s="58" t="n">
        <f aca="false">IF(L28=1,N27*(1+$B$12)-M28,N27)</f>
        <v>-10665.2920874854</v>
      </c>
      <c r="O28" s="56" t="n">
        <f aca="false">IF(AND(L28=1,N28&gt;=0),1,0)</f>
        <v>0</v>
      </c>
    </row>
    <row r="29" customFormat="false" ht="15" hidden="false" customHeight="false" outlineLevel="0" collapsed="false">
      <c r="K29" s="56" t="n">
        <f aca="false">K28+1</f>
        <v>22</v>
      </c>
      <c r="L29" s="57" t="n">
        <f aca="false">IF(AND(K29&lt;=Assumptions!$C$44,O28=1),1,0)</f>
        <v>0</v>
      </c>
      <c r="M29" s="58" t="n">
        <f aca="false">IF(L29=1,M28*(1+$B$16),M28)</f>
        <v>34277.9099418306</v>
      </c>
      <c r="N29" s="58" t="n">
        <f aca="false">IF(L29=1,N28*(1+$B$12)-M29,N28)</f>
        <v>-10665.2920874854</v>
      </c>
      <c r="O29" s="56" t="n">
        <f aca="false">IF(AND(L29=1,N29&gt;=0),1,0)</f>
        <v>0</v>
      </c>
    </row>
    <row r="30" customFormat="false" ht="15" hidden="false" customHeight="false" outlineLevel="0" collapsed="false">
      <c r="K30" s="56" t="n">
        <f aca="false">K29+1</f>
        <v>23</v>
      </c>
      <c r="L30" s="57" t="n">
        <f aca="false">IF(AND(K30&lt;=Assumptions!$C$44,O29=1),1,0)</f>
        <v>0</v>
      </c>
      <c r="M30" s="58" t="n">
        <f aca="false">IF(L30=1,M29*(1+$B$16),M29)</f>
        <v>34277.9099418306</v>
      </c>
      <c r="N30" s="58" t="n">
        <f aca="false">IF(L30=1,N29*(1+$B$12)-M30,N29)</f>
        <v>-10665.2920874854</v>
      </c>
      <c r="O30" s="56" t="n">
        <f aca="false">IF(AND(L30=1,N30&gt;=0),1,0)</f>
        <v>0</v>
      </c>
    </row>
    <row r="31" customFormat="false" ht="15" hidden="false" customHeight="false" outlineLevel="0" collapsed="false">
      <c r="K31" s="56" t="n">
        <f aca="false">K30+1</f>
        <v>24</v>
      </c>
      <c r="L31" s="57" t="n">
        <f aca="false">IF(AND(K31&lt;=Assumptions!$C$44,O30=1),1,0)</f>
        <v>0</v>
      </c>
      <c r="M31" s="58" t="n">
        <f aca="false">IF(L31=1,M30*(1+$B$16),M30)</f>
        <v>34277.9099418306</v>
      </c>
      <c r="N31" s="58" t="n">
        <f aca="false">IF(L31=1,N30*(1+$B$12)-M31,N30)</f>
        <v>-10665.2920874854</v>
      </c>
      <c r="O31" s="56" t="n">
        <f aca="false">IF(AND(L31=1,N31&gt;=0),1,0)</f>
        <v>0</v>
      </c>
    </row>
    <row r="32" customFormat="false" ht="15" hidden="false" customHeight="false" outlineLevel="0" collapsed="false">
      <c r="K32" s="56" t="n">
        <f aca="false">K31+1</f>
        <v>25</v>
      </c>
      <c r="L32" s="57" t="n">
        <f aca="false">IF(AND(K32&lt;=Assumptions!$C$44,O31=1),1,0)</f>
        <v>0</v>
      </c>
      <c r="M32" s="58" t="n">
        <f aca="false">IF(L32=1,M31*(1+$B$16),M31)</f>
        <v>34277.9099418306</v>
      </c>
      <c r="N32" s="58" t="n">
        <f aca="false">IF(L32=1,N31*(1+$B$12)-M32,N31)</f>
        <v>-10665.2920874854</v>
      </c>
      <c r="O32" s="56" t="n">
        <f aca="false">IF(AND(L32=1,N32&gt;=0),1,0)</f>
        <v>0</v>
      </c>
    </row>
    <row r="33" customFormat="false" ht="15" hidden="false" customHeight="false" outlineLevel="0" collapsed="false">
      <c r="K33" s="56" t="n">
        <f aca="false">K32+1</f>
        <v>26</v>
      </c>
      <c r="L33" s="57" t="n">
        <f aca="false">IF(AND(K33&lt;=Assumptions!$C$44,O32=1),1,0)</f>
        <v>0</v>
      </c>
      <c r="M33" s="58" t="n">
        <f aca="false">IF(L33=1,M32*(1+$B$16),M32)</f>
        <v>34277.9099418306</v>
      </c>
      <c r="N33" s="58" t="n">
        <f aca="false">IF(L33=1,N32*(1+$B$12)-M33,N32)</f>
        <v>-10665.2920874854</v>
      </c>
      <c r="O33" s="56" t="n">
        <f aca="false">IF(AND(L33=1,N33&gt;=0),1,0)</f>
        <v>0</v>
      </c>
    </row>
    <row r="34" customFormat="false" ht="15" hidden="false" customHeight="false" outlineLevel="0" collapsed="false">
      <c r="K34" s="56" t="n">
        <f aca="false">K33+1</f>
        <v>27</v>
      </c>
      <c r="L34" s="57" t="n">
        <f aca="false">IF(AND(K34&lt;=Assumptions!$C$44,O33=1),1,0)</f>
        <v>0</v>
      </c>
      <c r="M34" s="58" t="n">
        <f aca="false">IF(L34=1,M33*(1+$B$16),M33)</f>
        <v>34277.9099418306</v>
      </c>
      <c r="N34" s="58" t="n">
        <f aca="false">IF(L34=1,N33*(1+$B$12)-M34,N33)</f>
        <v>-10665.2920874854</v>
      </c>
      <c r="O34" s="56" t="n">
        <f aca="false">IF(AND(L34=1,N34&gt;=0),1,0)</f>
        <v>0</v>
      </c>
    </row>
    <row r="35" customFormat="false" ht="15" hidden="false" customHeight="false" outlineLevel="0" collapsed="false">
      <c r="K35" s="56" t="n">
        <f aca="false">K34+1</f>
        <v>28</v>
      </c>
      <c r="L35" s="57" t="n">
        <f aca="false">IF(AND(K35&lt;=Assumptions!$C$44,O34=1),1,0)</f>
        <v>0</v>
      </c>
      <c r="M35" s="58" t="n">
        <f aca="false">IF(L35=1,M34*(1+$B$16),M34)</f>
        <v>34277.9099418306</v>
      </c>
      <c r="N35" s="58" t="n">
        <f aca="false">IF(L35=1,N34*(1+$B$12)-M35,N34)</f>
        <v>-10665.2920874854</v>
      </c>
      <c r="O35" s="56" t="n">
        <f aca="false">IF(AND(L35=1,N35&gt;=0),1,0)</f>
        <v>0</v>
      </c>
    </row>
    <row r="36" customFormat="false" ht="15" hidden="false" customHeight="false" outlineLevel="0" collapsed="false">
      <c r="K36" s="56" t="n">
        <f aca="false">K35+1</f>
        <v>29</v>
      </c>
      <c r="L36" s="57" t="n">
        <f aca="false">IF(AND(K36&lt;=Assumptions!$C$44,O35=1),1,0)</f>
        <v>0</v>
      </c>
      <c r="M36" s="58" t="n">
        <f aca="false">IF(L36=1,M35*(1+$B$16),M35)</f>
        <v>34277.9099418306</v>
      </c>
      <c r="N36" s="58" t="n">
        <f aca="false">IF(L36=1,N35*(1+$B$12)-M36,N35)</f>
        <v>-10665.2920874854</v>
      </c>
      <c r="O36" s="56" t="n">
        <f aca="false">IF(AND(L36=1,N36&gt;=0),1,0)</f>
        <v>0</v>
      </c>
    </row>
    <row r="37" customFormat="false" ht="15" hidden="false" customHeight="false" outlineLevel="0" collapsed="false">
      <c r="K37" s="56" t="n">
        <f aca="false">K36+1</f>
        <v>30</v>
      </c>
      <c r="L37" s="57" t="n">
        <f aca="false">IF(AND(K37&lt;=Assumptions!$C$44,O36=1),1,0)</f>
        <v>0</v>
      </c>
      <c r="M37" s="58" t="n">
        <f aca="false">IF(L37=1,M36*(1+$B$16),M36)</f>
        <v>34277.9099418306</v>
      </c>
      <c r="N37" s="58" t="n">
        <f aca="false">IF(L37=1,N36*(1+$B$12)-M37,N36)</f>
        <v>-10665.2920874854</v>
      </c>
      <c r="O37" s="56" t="n">
        <f aca="false">IF(AND(L37=1,N37&gt;=0),1,0)</f>
        <v>0</v>
      </c>
    </row>
    <row r="38" customFormat="false" ht="15" hidden="false" customHeight="false" outlineLevel="0" collapsed="false">
      <c r="K38" s="56" t="n">
        <f aca="false">K37+1</f>
        <v>31</v>
      </c>
      <c r="L38" s="57" t="n">
        <f aca="false">IF(AND(K38&lt;=Assumptions!$C$44,O37=1),1,0)</f>
        <v>0</v>
      </c>
      <c r="M38" s="58" t="n">
        <f aca="false">IF(L38=1,M37*(1+$B$16),M37)</f>
        <v>34277.9099418306</v>
      </c>
      <c r="N38" s="58" t="n">
        <f aca="false">IF(L38=1,N37*(1+$B$12)-M38,N37)</f>
        <v>-10665.2920874854</v>
      </c>
      <c r="O38" s="56" t="n">
        <f aca="false">IF(AND(L38=1,N38&gt;=0),1,0)</f>
        <v>0</v>
      </c>
    </row>
    <row r="39" customFormat="false" ht="15" hidden="false" customHeight="false" outlineLevel="0" collapsed="false">
      <c r="K39" s="56" t="n">
        <f aca="false">K38+1</f>
        <v>32</v>
      </c>
      <c r="L39" s="57" t="n">
        <f aca="false">IF(AND(K39&lt;=Assumptions!$C$44,O38=1),1,0)</f>
        <v>0</v>
      </c>
      <c r="M39" s="58" t="n">
        <f aca="false">IF(L39=1,M38*(1+$B$16),M38)</f>
        <v>34277.9099418306</v>
      </c>
      <c r="N39" s="58" t="n">
        <f aca="false">IF(L39=1,N38*(1+$B$12)-M39,N38)</f>
        <v>-10665.2920874854</v>
      </c>
      <c r="O39" s="56" t="n">
        <f aca="false">IF(AND(L39=1,N39&gt;=0),1,0)</f>
        <v>0</v>
      </c>
    </row>
    <row r="40" customFormat="false" ht="15" hidden="false" customHeight="false" outlineLevel="0" collapsed="false">
      <c r="K40" s="56" t="n">
        <f aca="false">K39+1</f>
        <v>33</v>
      </c>
      <c r="L40" s="57" t="n">
        <f aca="false">IF(AND(K40&lt;=Assumptions!$C$44,O39=1),1,0)</f>
        <v>0</v>
      </c>
      <c r="M40" s="58" t="n">
        <f aca="false">IF(L40=1,M39*(1+$B$16),M39)</f>
        <v>34277.9099418306</v>
      </c>
      <c r="N40" s="58" t="n">
        <f aca="false">IF(L40=1,N39*(1+$B$12)-M40,N39)</f>
        <v>-10665.2920874854</v>
      </c>
      <c r="O40" s="56" t="n">
        <f aca="false">IF(AND(L40=1,N40&gt;=0),1,0)</f>
        <v>0</v>
      </c>
    </row>
    <row r="41" customFormat="false" ht="15" hidden="false" customHeight="false" outlineLevel="0" collapsed="false">
      <c r="K41" s="56" t="n">
        <f aca="false">K40+1</f>
        <v>34</v>
      </c>
      <c r="L41" s="57" t="n">
        <f aca="false">IF(AND(K41&lt;=Assumptions!$C$44,O40=1),1,0)</f>
        <v>0</v>
      </c>
      <c r="M41" s="58" t="n">
        <f aca="false">IF(L41=1,M40*(1+$B$16),M40)</f>
        <v>34277.9099418306</v>
      </c>
      <c r="N41" s="58" t="n">
        <f aca="false">IF(L41=1,N40*(1+$B$12)-M41,N40)</f>
        <v>-10665.2920874854</v>
      </c>
      <c r="O41" s="56" t="n">
        <f aca="false">IF(AND(L41=1,N41&gt;=0),1,0)</f>
        <v>0</v>
      </c>
    </row>
    <row r="42" customFormat="false" ht="15" hidden="false" customHeight="false" outlineLevel="0" collapsed="false">
      <c r="K42" s="56" t="n">
        <f aca="false">K41+1</f>
        <v>35</v>
      </c>
      <c r="L42" s="57" t="n">
        <f aca="false">IF(AND(K42&lt;=Assumptions!$C$44,O41=1),1,0)</f>
        <v>0</v>
      </c>
      <c r="M42" s="58" t="n">
        <f aca="false">IF(L42=1,M41*(1+$B$16),M41)</f>
        <v>34277.9099418306</v>
      </c>
      <c r="N42" s="58" t="n">
        <f aca="false">IF(L42=1,N41*(1+$B$12)-M42,N41)</f>
        <v>-10665.2920874854</v>
      </c>
      <c r="O42" s="56" t="n">
        <f aca="false">IF(AND(L42=1,N42&gt;=0),1,0)</f>
        <v>0</v>
      </c>
    </row>
    <row r="43" customFormat="false" ht="15" hidden="false" customHeight="false" outlineLevel="0" collapsed="false">
      <c r="K43" s="56" t="n">
        <f aca="false">K42+1</f>
        <v>36</v>
      </c>
      <c r="L43" s="57" t="n">
        <f aca="false">IF(AND(K43&lt;=Assumptions!$C$44,O42=1),1,0)</f>
        <v>0</v>
      </c>
      <c r="M43" s="58" t="n">
        <f aca="false">IF(L43=1,M42*(1+$B$16),M42)</f>
        <v>34277.9099418306</v>
      </c>
      <c r="N43" s="58" t="n">
        <f aca="false">IF(L43=1,N42*(1+$B$12)-M43,N42)</f>
        <v>-10665.2920874854</v>
      </c>
      <c r="O43" s="56" t="n">
        <f aca="false">IF(AND(L43=1,N43&gt;=0),1,0)</f>
        <v>0</v>
      </c>
    </row>
    <row r="44" customFormat="false" ht="15" hidden="false" customHeight="false" outlineLevel="0" collapsed="false">
      <c r="K44" s="56" t="n">
        <f aca="false">K43+1</f>
        <v>37</v>
      </c>
      <c r="L44" s="57" t="n">
        <f aca="false">IF(AND(K44&lt;=Assumptions!$C$44,O43=1),1,0)</f>
        <v>0</v>
      </c>
      <c r="M44" s="58" t="n">
        <f aca="false">IF(L44=1,M43*(1+$B$16),M43)</f>
        <v>34277.9099418306</v>
      </c>
      <c r="N44" s="58" t="n">
        <f aca="false">IF(L44=1,N43*(1+$B$12)-M44,N43)</f>
        <v>-10665.2920874854</v>
      </c>
      <c r="O44" s="56" t="n">
        <f aca="false">IF(AND(L44=1,N44&gt;=0),1,0)</f>
        <v>0</v>
      </c>
    </row>
    <row r="45" customFormat="false" ht="15" hidden="false" customHeight="false" outlineLevel="0" collapsed="false">
      <c r="K45" s="56" t="n">
        <f aca="false">K44+1</f>
        <v>38</v>
      </c>
      <c r="L45" s="57" t="n">
        <f aca="false">IF(AND(K45&lt;=Assumptions!$C$44,O44=1),1,0)</f>
        <v>0</v>
      </c>
      <c r="M45" s="58" t="n">
        <f aca="false">IF(L45=1,M44*(1+$B$16),M44)</f>
        <v>34277.9099418306</v>
      </c>
      <c r="N45" s="58" t="n">
        <f aca="false">IF(L45=1,N44*(1+$B$12)-M45,N44)</f>
        <v>-10665.2920874854</v>
      </c>
      <c r="O45" s="56" t="n">
        <f aca="false">IF(AND(L45=1,N45&gt;=0),1,0)</f>
        <v>0</v>
      </c>
    </row>
    <row r="46" customFormat="false" ht="15" hidden="false" customHeight="false" outlineLevel="0" collapsed="false">
      <c r="K46" s="56" t="n">
        <f aca="false">K45+1</f>
        <v>39</v>
      </c>
      <c r="L46" s="57" t="n">
        <f aca="false">IF(AND(K46&lt;=Assumptions!$C$44,O45=1),1,0)</f>
        <v>0</v>
      </c>
      <c r="M46" s="58" t="n">
        <f aca="false">IF(L46=1,M45*(1+$B$16),M45)</f>
        <v>34277.9099418306</v>
      </c>
      <c r="N46" s="58" t="n">
        <f aca="false">IF(L46=1,N45*(1+$B$12)-M46,N45)</f>
        <v>-10665.2920874854</v>
      </c>
      <c r="O46" s="56" t="n">
        <f aca="false">IF(AND(L46=1,N46&gt;=0),1,0)</f>
        <v>0</v>
      </c>
    </row>
    <row r="47" customFormat="false" ht="15" hidden="false" customHeight="false" outlineLevel="0" collapsed="false">
      <c r="K47" s="56" t="n">
        <f aca="false">K46+1</f>
        <v>40</v>
      </c>
      <c r="L47" s="57" t="n">
        <f aca="false">IF(AND(K47&lt;=Assumptions!$C$44,O46=1),1,0)</f>
        <v>0</v>
      </c>
      <c r="M47" s="58" t="n">
        <f aca="false">IF(L47=1,M46*(1+$B$16),M46)</f>
        <v>34277.9099418306</v>
      </c>
      <c r="N47" s="58" t="n">
        <f aca="false">IF(L47=1,N46*(1+$B$12)-M47,N46)</f>
        <v>-10665.2920874854</v>
      </c>
      <c r="O47" s="56" t="n">
        <f aca="false">IF(AND(L47=1,N47&gt;=0),1,0)</f>
        <v>0</v>
      </c>
    </row>
    <row r="48" customFormat="false" ht="15" hidden="false" customHeight="false" outlineLevel="0" collapsed="false">
      <c r="K48" s="56" t="n">
        <f aca="false">K47+1</f>
        <v>41</v>
      </c>
      <c r="L48" s="57" t="n">
        <f aca="false">IF(AND(K48&lt;=Assumptions!$C$44,O47=1),1,0)</f>
        <v>0</v>
      </c>
      <c r="M48" s="58" t="n">
        <f aca="false">IF(L48=1,M47*(1+$B$16),M47)</f>
        <v>34277.9099418306</v>
      </c>
      <c r="N48" s="58" t="n">
        <f aca="false">IF(L48=1,N47*(1+$B$12)-M48,N47)</f>
        <v>-10665.2920874854</v>
      </c>
      <c r="O48" s="56" t="n">
        <f aca="false">IF(AND(L48=1,N48&gt;=0),1,0)</f>
        <v>0</v>
      </c>
    </row>
    <row r="49" customFormat="false" ht="15" hidden="false" customHeight="false" outlineLevel="0" collapsed="false">
      <c r="K49" s="56" t="n">
        <f aca="false">K48+1</f>
        <v>42</v>
      </c>
      <c r="L49" s="57" t="n">
        <f aca="false">IF(AND(K49&lt;=Assumptions!$C$44,O48=1),1,0)</f>
        <v>0</v>
      </c>
      <c r="M49" s="58" t="n">
        <f aca="false">IF(L49=1,M48*(1+$B$16),M48)</f>
        <v>34277.9099418306</v>
      </c>
      <c r="N49" s="58" t="n">
        <f aca="false">IF(L49=1,N48*(1+$B$12)-M49,N48)</f>
        <v>-10665.2920874854</v>
      </c>
      <c r="O49" s="56" t="n">
        <f aca="false">IF(AND(L49=1,N49&gt;=0),1,0)</f>
        <v>0</v>
      </c>
    </row>
    <row r="50" customFormat="false" ht="15" hidden="false" customHeight="false" outlineLevel="0" collapsed="false">
      <c r="K50" s="56" t="n">
        <f aca="false">K49+1</f>
        <v>43</v>
      </c>
      <c r="L50" s="57" t="n">
        <f aca="false">IF(AND(K50&lt;=Assumptions!$C$44,O49=1),1,0)</f>
        <v>0</v>
      </c>
      <c r="M50" s="58" t="n">
        <f aca="false">IF(L50=1,M49*(1+$B$16),M49)</f>
        <v>34277.9099418306</v>
      </c>
      <c r="N50" s="58" t="n">
        <f aca="false">IF(L50=1,N49*(1+$B$12)-M50,N49)</f>
        <v>-10665.2920874854</v>
      </c>
      <c r="O50" s="56" t="n">
        <f aca="false">IF(AND(L50=1,N50&gt;=0),1,0)</f>
        <v>0</v>
      </c>
    </row>
    <row r="51" customFormat="false" ht="15" hidden="false" customHeight="false" outlineLevel="0" collapsed="false">
      <c r="K51" s="56" t="n">
        <f aca="false">K50+1</f>
        <v>44</v>
      </c>
      <c r="L51" s="57" t="n">
        <f aca="false">IF(AND(K51&lt;=Assumptions!$C$44,O50=1),1,0)</f>
        <v>0</v>
      </c>
      <c r="M51" s="58" t="n">
        <f aca="false">IF(L51=1,M50*(1+$B$16),M50)</f>
        <v>34277.9099418306</v>
      </c>
      <c r="N51" s="58" t="n">
        <f aca="false">IF(L51=1,N50*(1+$B$12)-M51,N50)</f>
        <v>-10665.2920874854</v>
      </c>
      <c r="O51" s="56" t="n">
        <f aca="false">IF(AND(L51=1,N51&gt;=0),1,0)</f>
        <v>0</v>
      </c>
    </row>
    <row r="52" customFormat="false" ht="15" hidden="false" customHeight="false" outlineLevel="0" collapsed="false">
      <c r="K52" s="56" t="n">
        <f aca="false">K51+1</f>
        <v>45</v>
      </c>
      <c r="L52" s="57" t="n">
        <f aca="false">IF(AND(K52&lt;=Assumptions!$C$44,O51=1),1,0)</f>
        <v>0</v>
      </c>
      <c r="M52" s="58" t="n">
        <f aca="false">IF(L52=1,M51*(1+$B$16),M51)</f>
        <v>34277.9099418306</v>
      </c>
      <c r="N52" s="58" t="n">
        <f aca="false">IF(L52=1,N51*(1+$B$12)-M52,N51)</f>
        <v>-10665.2920874854</v>
      </c>
      <c r="O52" s="56" t="n">
        <f aca="false">IF(AND(L52=1,N52&gt;=0),1,0)</f>
        <v>0</v>
      </c>
    </row>
    <row r="53" customFormat="false" ht="15" hidden="false" customHeight="false" outlineLevel="0" collapsed="false">
      <c r="K53" s="56" t="n">
        <f aca="false">K52+1</f>
        <v>46</v>
      </c>
      <c r="L53" s="57" t="n">
        <f aca="false">IF(AND(K53&lt;=Assumptions!$C$44,O52=1),1,0)</f>
        <v>0</v>
      </c>
      <c r="M53" s="58" t="n">
        <f aca="false">IF(L53=1,M52*(1+$B$16),M52)</f>
        <v>34277.9099418306</v>
      </c>
      <c r="N53" s="58" t="n">
        <f aca="false">IF(L53=1,N52*(1+$B$12)-M53,N52)</f>
        <v>-10665.2920874854</v>
      </c>
      <c r="O53" s="56" t="n">
        <f aca="false">IF(AND(L53=1,N53&gt;=0),1,0)</f>
        <v>0</v>
      </c>
    </row>
    <row r="54" customFormat="false" ht="15" hidden="false" customHeight="false" outlineLevel="0" collapsed="false">
      <c r="K54" s="56" t="n">
        <f aca="false">K53+1</f>
        <v>47</v>
      </c>
      <c r="L54" s="57" t="n">
        <f aca="false">IF(AND(K54&lt;=Assumptions!$C$44,O53=1),1,0)</f>
        <v>0</v>
      </c>
      <c r="M54" s="58" t="n">
        <f aca="false">IF(L54=1,M53*(1+$B$16),M53)</f>
        <v>34277.9099418306</v>
      </c>
      <c r="N54" s="58" t="n">
        <f aca="false">IF(L54=1,N53*(1+$B$12)-M54,N53)</f>
        <v>-10665.2920874854</v>
      </c>
      <c r="O54" s="56" t="n">
        <f aca="false">IF(AND(L54=1,N54&gt;=0),1,0)</f>
        <v>0</v>
      </c>
    </row>
    <row r="55" customFormat="false" ht="15" hidden="false" customHeight="false" outlineLevel="0" collapsed="false">
      <c r="K55" s="56" t="n">
        <f aca="false">K54+1</f>
        <v>48</v>
      </c>
      <c r="L55" s="57" t="n">
        <f aca="false">IF(AND(K55&lt;=Assumptions!$C$44,O54=1),1,0)</f>
        <v>0</v>
      </c>
      <c r="M55" s="58" t="n">
        <f aca="false">IF(L55=1,M54*(1+$B$16),M54)</f>
        <v>34277.9099418306</v>
      </c>
      <c r="N55" s="58" t="n">
        <f aca="false">IF(L55=1,N54*(1+$B$12)-M55,N54)</f>
        <v>-10665.2920874854</v>
      </c>
      <c r="O55" s="56" t="n">
        <f aca="false">IF(AND(L55=1,N55&gt;=0),1,0)</f>
        <v>0</v>
      </c>
    </row>
    <row r="56" customFormat="false" ht="15" hidden="false" customHeight="false" outlineLevel="0" collapsed="false">
      <c r="K56" s="56" t="n">
        <f aca="false">K55+1</f>
        <v>49</v>
      </c>
      <c r="L56" s="57" t="n">
        <f aca="false">IF(AND(K56&lt;=Assumptions!$C$44,O55=1),1,0)</f>
        <v>0</v>
      </c>
      <c r="M56" s="58" t="n">
        <f aca="false">IF(L56=1,M55*(1+$B$16),M55)</f>
        <v>34277.9099418306</v>
      </c>
      <c r="N56" s="58" t="n">
        <f aca="false">IF(L56=1,N55*(1+$B$12)-M56,N55)</f>
        <v>-10665.2920874854</v>
      </c>
      <c r="O56" s="56" t="n">
        <f aca="false">IF(AND(L56=1,N56&gt;=0),1,0)</f>
        <v>0</v>
      </c>
    </row>
    <row r="57" customFormat="false" ht="15" hidden="false" customHeight="false" outlineLevel="0" collapsed="false">
      <c r="K57" s="56" t="n">
        <f aca="false">K56+1</f>
        <v>50</v>
      </c>
      <c r="L57" s="57" t="n">
        <f aca="false">IF(AND(K57&lt;=Assumptions!$C$44,O56=1),1,0)</f>
        <v>0</v>
      </c>
      <c r="M57" s="58" t="n">
        <f aca="false">IF(L57=1,M56*(1+$B$16),M56)</f>
        <v>34277.9099418306</v>
      </c>
      <c r="N57" s="58" t="n">
        <f aca="false">IF(L57=1,N56*(1+$B$12)-M57,N56)</f>
        <v>-10665.2920874854</v>
      </c>
      <c r="O57" s="56" t="n">
        <f aca="false">IF(AND(L57=1,N57&gt;=0),1,0)</f>
        <v>0</v>
      </c>
    </row>
    <row r="58" customFormat="false" ht="15" hidden="false" customHeight="false" outlineLevel="0" collapsed="false">
      <c r="K58" s="56" t="n">
        <f aca="false">K57+1</f>
        <v>51</v>
      </c>
      <c r="L58" s="57" t="n">
        <f aca="false">IF(AND(K58&lt;=Assumptions!$C$44,O57=1),1,0)</f>
        <v>0</v>
      </c>
      <c r="M58" s="58" t="n">
        <f aca="false">IF(L58=1,M57*(1+$B$16),M57)</f>
        <v>34277.9099418306</v>
      </c>
      <c r="N58" s="58" t="n">
        <f aca="false">IF(L58=1,N57*(1+$B$12)-M58,N57)</f>
        <v>-10665.2920874854</v>
      </c>
      <c r="O58" s="56" t="n">
        <f aca="false">IF(AND(L58=1,N58&gt;=0),1,0)</f>
        <v>0</v>
      </c>
    </row>
    <row r="59" customFormat="false" ht="15" hidden="false" customHeight="false" outlineLevel="0" collapsed="false">
      <c r="K59" s="56" t="n">
        <f aca="false">K58+1</f>
        <v>52</v>
      </c>
      <c r="L59" s="57" t="n">
        <f aca="false">IF(AND(K59&lt;=Assumptions!$C$44,O58=1),1,0)</f>
        <v>0</v>
      </c>
      <c r="M59" s="58" t="n">
        <f aca="false">IF(L59=1,M58*(1+$B$16),M58)</f>
        <v>34277.9099418306</v>
      </c>
      <c r="N59" s="58" t="n">
        <f aca="false">IF(L59=1,N58*(1+$B$12)-M59,N58)</f>
        <v>-10665.2920874854</v>
      </c>
      <c r="O59" s="56" t="n">
        <f aca="false">IF(AND(L59=1,N59&gt;=0),1,0)</f>
        <v>0</v>
      </c>
    </row>
    <row r="60" customFormat="false" ht="15" hidden="false" customHeight="false" outlineLevel="0" collapsed="false">
      <c r="K60" s="56" t="n">
        <f aca="false">K59+1</f>
        <v>53</v>
      </c>
      <c r="L60" s="57" t="n">
        <f aca="false">IF(AND(K60&lt;=Assumptions!$C$44,O59=1),1,0)</f>
        <v>0</v>
      </c>
      <c r="M60" s="58" t="n">
        <f aca="false">IF(L60=1,M59*(1+$B$16),M59)</f>
        <v>34277.9099418306</v>
      </c>
      <c r="N60" s="58" t="n">
        <f aca="false">IF(L60=1,N59*(1+$B$12)-M60,N59)</f>
        <v>-10665.2920874854</v>
      </c>
      <c r="O60" s="56" t="n">
        <f aca="false">IF(AND(L60=1,N60&gt;=0),1,0)</f>
        <v>0</v>
      </c>
    </row>
    <row r="61" customFormat="false" ht="15" hidden="false" customHeight="false" outlineLevel="0" collapsed="false">
      <c r="K61" s="56" t="n">
        <f aca="false">K60+1</f>
        <v>54</v>
      </c>
      <c r="L61" s="57" t="n">
        <f aca="false">IF(AND(K61&lt;=Assumptions!$C$44,O60=1),1,0)</f>
        <v>0</v>
      </c>
      <c r="M61" s="58" t="n">
        <f aca="false">IF(L61=1,M60*(1+$B$16),M60)</f>
        <v>34277.9099418306</v>
      </c>
      <c r="N61" s="58" t="n">
        <f aca="false">IF(L61=1,N60*(1+$B$12)-M61,N60)</f>
        <v>-10665.2920874854</v>
      </c>
      <c r="O61" s="56" t="n">
        <f aca="false">IF(AND(L61=1,N61&gt;=0),1,0)</f>
        <v>0</v>
      </c>
    </row>
    <row r="62" customFormat="false" ht="15" hidden="false" customHeight="false" outlineLevel="0" collapsed="false">
      <c r="K62" s="56" t="n">
        <f aca="false">K61+1</f>
        <v>55</v>
      </c>
      <c r="L62" s="57" t="n">
        <f aca="false">IF(AND(K62&lt;=Assumptions!$C$44,O61=1),1,0)</f>
        <v>0</v>
      </c>
      <c r="M62" s="58" t="n">
        <f aca="false">IF(L62=1,M61*(1+$B$16),M61)</f>
        <v>34277.9099418306</v>
      </c>
      <c r="N62" s="58" t="n">
        <f aca="false">IF(L62=1,N61*(1+$B$12)-M62,N61)</f>
        <v>-10665.2920874854</v>
      </c>
      <c r="O62" s="56" t="n">
        <f aca="false">IF(AND(L62=1,N62&gt;=0),1,0)</f>
        <v>0</v>
      </c>
    </row>
    <row r="63" customFormat="false" ht="15" hidden="false" customHeight="false" outlineLevel="0" collapsed="false">
      <c r="K63" s="56" t="n">
        <f aca="false">K62+1</f>
        <v>56</v>
      </c>
      <c r="L63" s="57" t="n">
        <f aca="false">IF(AND(K63&lt;=Assumptions!$C$44,O62=1),1,0)</f>
        <v>0</v>
      </c>
      <c r="M63" s="58" t="n">
        <f aca="false">IF(L63=1,M62*(1+$B$16),M62)</f>
        <v>34277.9099418306</v>
      </c>
      <c r="N63" s="58" t="n">
        <f aca="false">IF(L63=1,N62*(1+$B$12)-M63,N62)</f>
        <v>-10665.2920874854</v>
      </c>
      <c r="O63" s="56" t="n">
        <f aca="false">IF(AND(L63=1,N63&gt;=0),1,0)</f>
        <v>0</v>
      </c>
    </row>
    <row r="64" customFormat="false" ht="15" hidden="false" customHeight="false" outlineLevel="0" collapsed="false">
      <c r="K64" s="56" t="n">
        <f aca="false">K63+1</f>
        <v>57</v>
      </c>
      <c r="L64" s="57" t="n">
        <f aca="false">IF(AND(K64&lt;=Assumptions!$C$44,O63=1),1,0)</f>
        <v>0</v>
      </c>
      <c r="M64" s="58" t="n">
        <f aca="false">IF(L64=1,M63*(1+$B$16),M63)</f>
        <v>34277.9099418306</v>
      </c>
      <c r="N64" s="58" t="n">
        <f aca="false">IF(L64=1,N63*(1+$B$12)-M64,N63)</f>
        <v>-10665.2920874854</v>
      </c>
      <c r="O64" s="56" t="n">
        <f aca="false">IF(AND(L64=1,N64&gt;=0),1,0)</f>
        <v>0</v>
      </c>
    </row>
    <row r="65" customFormat="false" ht="15" hidden="false" customHeight="false" outlineLevel="0" collapsed="false">
      <c r="K65" s="56" t="n">
        <f aca="false">K64+1</f>
        <v>58</v>
      </c>
      <c r="L65" s="57" t="n">
        <f aca="false">IF(AND(K65&lt;=Assumptions!$C$44,O64=1),1,0)</f>
        <v>0</v>
      </c>
      <c r="M65" s="58" t="n">
        <f aca="false">IF(L65=1,M64*(1+$B$16),M64)</f>
        <v>34277.9099418306</v>
      </c>
      <c r="N65" s="58" t="n">
        <f aca="false">IF(L65=1,N64*(1+$B$12)-M65,N64)</f>
        <v>-10665.2920874854</v>
      </c>
      <c r="O65" s="56" t="n">
        <f aca="false">IF(AND(L65=1,N65&gt;=0),1,0)</f>
        <v>0</v>
      </c>
    </row>
    <row r="66" customFormat="false" ht="15" hidden="false" customHeight="false" outlineLevel="0" collapsed="false">
      <c r="K66" s="56" t="n">
        <f aca="false">K65+1</f>
        <v>59</v>
      </c>
      <c r="L66" s="57" t="n">
        <f aca="false">IF(AND(K66&lt;=Assumptions!$C$44,O65=1),1,0)</f>
        <v>0</v>
      </c>
      <c r="M66" s="58" t="n">
        <f aca="false">IF(L66=1,M65*(1+$B$16),M65)</f>
        <v>34277.9099418306</v>
      </c>
      <c r="N66" s="58" t="n">
        <f aca="false">IF(L66=1,N65*(1+$B$12)-M66,N65)</f>
        <v>-10665.2920874854</v>
      </c>
      <c r="O66" s="56" t="n">
        <f aca="false">IF(AND(L66=1,N66&gt;=0),1,0)</f>
        <v>0</v>
      </c>
    </row>
    <row r="67" customFormat="false" ht="15" hidden="false" customHeight="false" outlineLevel="0" collapsed="false">
      <c r="K67" s="56" t="n">
        <f aca="false">K66+1</f>
        <v>60</v>
      </c>
      <c r="L67" s="57" t="n">
        <f aca="false">IF(AND(K67&lt;=Assumptions!$C$44,O66=1),1,0)</f>
        <v>0</v>
      </c>
      <c r="M67" s="58" t="n">
        <f aca="false">IF(L67=1,M66*(1+$B$16),M66)</f>
        <v>34277.9099418306</v>
      </c>
      <c r="N67" s="58" t="n">
        <f aca="false">IF(L67=1,N66*(1+$B$12)-M67,N66)</f>
        <v>-10665.2920874854</v>
      </c>
      <c r="O67" s="56" t="n">
        <f aca="false">IF(AND(L67=1,N67&gt;=0),1,0)</f>
        <v>0</v>
      </c>
    </row>
  </sheetData>
  <mergeCells count="11">
    <mergeCell ref="A3:I3"/>
    <mergeCell ref="A4:I4"/>
    <mergeCell ref="A5:I5"/>
    <mergeCell ref="D16:I16"/>
    <mergeCell ref="D17:I17"/>
    <mergeCell ref="D18:I18"/>
    <mergeCell ref="D22:I22"/>
    <mergeCell ref="D23:I23"/>
    <mergeCell ref="D24:I24"/>
    <mergeCell ref="D25:I25"/>
    <mergeCell ref="D26:I26"/>
  </mergeCells>
  <dataValidations count="3">
    <dataValidation allowBlank="false" error="The prototype accepts 0.0 to 0.07 here." errorStyle="stop" errorTitle="Outside the prototype range" operator="between" showDropDown="false" showErrorMessage="true" showInputMessage="false" sqref="B12" type="decimal">
      <formula1>0</formula1>
      <formula2>0.07</formula2>
    </dataValidation>
    <dataValidation allowBlank="false" error="The prototype accepts 10000 to 30000000 here." errorStyle="stop" errorTitle="Outside the prototype range" operator="between" showDropDown="false" showErrorMessage="true" showInputMessage="false" sqref="B10" type="decimal">
      <formula1>10000</formula1>
      <formula2>30000000</formula2>
    </dataValidation>
    <dataValidation allowBlank="false" error="The prototype accepts 1000 to 2000000 here." errorStyle="stop" errorTitle="Outside the prototype range" operator="between" showDropDown="false" showErrorMessage="true" showInputMessage="false" sqref="B11" type="decimal">
      <formula1>1000</formula1>
      <formula2>2000000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5" min="11" style="0" width="14"/>
    <col collapsed="false" customWidth="true" hidden="false" outlineLevel="0" max="21" min="17" style="0" width="14"/>
    <col collapsed="false" customWidth="true" hidden="false" outlineLevel="0" max="27" min="23" style="0" width="14"/>
  </cols>
  <sheetData>
    <row r="1" customFormat="false" ht="17.35" hidden="false" customHeight="false" outlineLevel="0" collapsed="false">
      <c r="A1" s="1" t="s">
        <v>861</v>
      </c>
    </row>
    <row r="2" customFormat="false" ht="15" hidden="false" customHeight="false" outlineLevel="0" collapsed="false">
      <c r="A2" s="30" t="s">
        <v>862</v>
      </c>
    </row>
    <row r="3" customFormat="false" ht="37.5" hidden="false" customHeight="true" outlineLevel="0" collapsed="false">
      <c r="A3" s="31" t="s">
        <v>863</v>
      </c>
      <c r="B3" s="31"/>
      <c r="C3" s="31"/>
      <c r="D3" s="31"/>
      <c r="E3" s="31"/>
      <c r="F3" s="31"/>
      <c r="G3" s="31"/>
      <c r="H3" s="31"/>
      <c r="I3" s="31"/>
    </row>
    <row r="4" customFormat="false" ht="63.75" hidden="false" customHeight="true" outlineLevel="0" collapsed="false">
      <c r="A4" s="31" t="s">
        <v>864</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841</v>
      </c>
      <c r="Q5" s="54" t="s">
        <v>841</v>
      </c>
      <c r="W5" s="54" t="s">
        <v>841</v>
      </c>
    </row>
    <row r="6" customFormat="false" ht="15" hidden="false" customHeight="false" outlineLevel="0" collapsed="false">
      <c r="K6" s="9" t="s">
        <v>865</v>
      </c>
      <c r="L6" s="16"/>
      <c r="M6" s="16"/>
      <c r="N6" s="16"/>
      <c r="O6" s="16"/>
      <c r="Q6" s="9" t="s">
        <v>866</v>
      </c>
      <c r="R6" s="16"/>
      <c r="S6" s="16"/>
      <c r="T6" s="16"/>
      <c r="U6" s="16"/>
      <c r="W6" s="9" t="s">
        <v>867</v>
      </c>
      <c r="X6" s="16"/>
      <c r="Y6" s="16"/>
      <c r="Z6" s="16"/>
      <c r="AA6" s="16"/>
    </row>
    <row r="7" customFormat="false" ht="39.75" hidden="false" customHeight="true" outlineLevel="0" collapsed="false">
      <c r="K7" s="55" t="s">
        <v>843</v>
      </c>
      <c r="L7" s="55" t="s">
        <v>844</v>
      </c>
      <c r="M7" s="55" t="s">
        <v>845</v>
      </c>
      <c r="N7" s="55" t="s">
        <v>846</v>
      </c>
      <c r="O7" s="55" t="s">
        <v>847</v>
      </c>
      <c r="Q7" s="55" t="s">
        <v>843</v>
      </c>
      <c r="R7" s="55" t="s">
        <v>844</v>
      </c>
      <c r="S7" s="55" t="s">
        <v>845</v>
      </c>
      <c r="T7" s="55" t="s">
        <v>846</v>
      </c>
      <c r="U7" s="55" t="s">
        <v>847</v>
      </c>
      <c r="W7" s="55" t="s">
        <v>843</v>
      </c>
      <c r="X7" s="55" t="s">
        <v>844</v>
      </c>
      <c r="Y7" s="55" t="s">
        <v>845</v>
      </c>
      <c r="Z7" s="55" t="s">
        <v>846</v>
      </c>
      <c r="AA7" s="55" t="s">
        <v>847</v>
      </c>
    </row>
    <row r="8" customFormat="false" ht="15" hidden="false" customHeight="false" outlineLevel="0" collapsed="false">
      <c r="A8" s="15" t="s">
        <v>370</v>
      </c>
      <c r="B8" s="16"/>
      <c r="C8" s="16"/>
      <c r="D8" s="16"/>
      <c r="E8" s="16"/>
      <c r="F8" s="16"/>
      <c r="G8" s="16"/>
      <c r="H8" s="16"/>
      <c r="I8" s="16"/>
      <c r="K8" s="56" t="n">
        <v>1</v>
      </c>
      <c r="L8" s="57" t="n">
        <f aca="false">IF(K8&lt;=Assumptions!$C$44,1,0)</f>
        <v>1</v>
      </c>
      <c r="M8" s="58" t="n">
        <f aca="false">$B$11</f>
        <v>20000</v>
      </c>
      <c r="N8" s="58" t="n">
        <f aca="false">IF(L8=1,$B$10*(1+$B$16)-M8,$B$10)</f>
        <v>388000</v>
      </c>
      <c r="O8" s="56" t="n">
        <f aca="false">IF(AND(L8=1,N8&gt;=0),1,0)</f>
        <v>1</v>
      </c>
      <c r="Q8" s="56" t="n">
        <v>1</v>
      </c>
      <c r="R8" s="57" t="n">
        <f aca="false">IF(Q8&lt;=Assumptions!$C$44,1,0)</f>
        <v>1</v>
      </c>
      <c r="S8" s="58" t="n">
        <f aca="false">$B$11</f>
        <v>20000</v>
      </c>
      <c r="T8" s="58" t="n">
        <f aca="false">IF(R8=1,$B$10*(1+$B$17)-S8,$B$10)</f>
        <v>396000</v>
      </c>
      <c r="U8" s="56" t="n">
        <f aca="false">IF(AND(R8=1,T8&gt;=0),1,0)</f>
        <v>1</v>
      </c>
      <c r="W8" s="56" t="n">
        <v>1</v>
      </c>
      <c r="X8" s="57" t="n">
        <f aca="false">IF(W8&lt;=Assumptions!$C$44,1,0)</f>
        <v>1</v>
      </c>
      <c r="Y8" s="58" t="n">
        <f aca="false">$B$11</f>
        <v>20000</v>
      </c>
      <c r="Z8" s="58" t="n">
        <f aca="false">IF(X8=1,$B$10*(1+$B$18)-Y8,$B$10)</f>
        <v>404000</v>
      </c>
      <c r="AA8" s="56" t="n">
        <f aca="false">IF(AND(X8=1,Z8&gt;=0),1,0)</f>
        <v>1</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2</v>
      </c>
      <c r="L9" s="57" t="n">
        <f aca="false">IF(AND(K9&lt;=Assumptions!$C$44,O8=1),1,0)</f>
        <v>1</v>
      </c>
      <c r="M9" s="58" t="n">
        <f aca="false">IF(L9=1,M8*(1+$B$15),M8)</f>
        <v>20400</v>
      </c>
      <c r="N9" s="58" t="n">
        <f aca="false">IF(L9=1,N8*(1+$B$16)-M9,N8)</f>
        <v>375360</v>
      </c>
      <c r="O9" s="56" t="n">
        <f aca="false">IF(AND(L9=1,N9&gt;=0),1,0)</f>
        <v>1</v>
      </c>
      <c r="Q9" s="56" t="n">
        <f aca="false">Q8+1</f>
        <v>2</v>
      </c>
      <c r="R9" s="57" t="n">
        <f aca="false">IF(AND(Q9&lt;=Assumptions!$C$44,U8=1),1,0)</f>
        <v>1</v>
      </c>
      <c r="S9" s="58" t="n">
        <f aca="false">IF(R9=1,S8*(1+$B$15),S8)</f>
        <v>20400</v>
      </c>
      <c r="T9" s="58" t="n">
        <f aca="false">IF(R9=1,T8*(1+$B$17)-S9,T8)</f>
        <v>391440</v>
      </c>
      <c r="U9" s="56" t="n">
        <f aca="false">IF(AND(R9=1,T9&gt;=0),1,0)</f>
        <v>1</v>
      </c>
      <c r="W9" s="56" t="n">
        <f aca="false">W8+1</f>
        <v>2</v>
      </c>
      <c r="X9" s="57" t="n">
        <f aca="false">IF(AND(W9&lt;=Assumptions!$C$44,AA8=1),1,0)</f>
        <v>1</v>
      </c>
      <c r="Y9" s="58" t="n">
        <f aca="false">IF(X9=1,Y8*(1+$B$15),Y8)</f>
        <v>20400</v>
      </c>
      <c r="Z9" s="58" t="n">
        <f aca="false">IF(X9=1,Z8*(1+$B$18)-Y9,Z8)</f>
        <v>407840</v>
      </c>
      <c r="AA9" s="56" t="n">
        <f aca="false">IF(AND(X9=1,Z9&gt;=0),1,0)</f>
        <v>1</v>
      </c>
    </row>
    <row r="10" customFormat="false" ht="22.35" hidden="false" customHeight="false" outlineLevel="0" collapsed="false">
      <c r="A10" s="7" t="s">
        <v>848</v>
      </c>
      <c r="B10" s="33" t="n">
        <v>400000</v>
      </c>
      <c r="C10" s="7" t="s">
        <v>257</v>
      </c>
      <c r="D10" s="34" t="n">
        <v>400000</v>
      </c>
      <c r="E10" s="34" t="n">
        <v>10000</v>
      </c>
      <c r="F10" s="34" t="n">
        <v>3000000</v>
      </c>
      <c r="G10" s="34" t="n">
        <v>30000000</v>
      </c>
      <c r="H10" s="34" t="n">
        <v>10000</v>
      </c>
      <c r="I10" s="35" t="s">
        <v>849</v>
      </c>
      <c r="K10" s="56" t="n">
        <f aca="false">K9+1</f>
        <v>3</v>
      </c>
      <c r="L10" s="57" t="n">
        <f aca="false">IF(AND(K10&lt;=Assumptions!$C$44,O9=1),1,0)</f>
        <v>1</v>
      </c>
      <c r="M10" s="58" t="n">
        <f aca="false">IF(L10=1,M9*(1+$B$15),M9)</f>
        <v>20808</v>
      </c>
      <c r="N10" s="58" t="n">
        <f aca="false">IF(L10=1,N9*(1+$B$16)-M10,N9)</f>
        <v>362059.2</v>
      </c>
      <c r="O10" s="56" t="n">
        <f aca="false">IF(AND(L10=1,N10&gt;=0),1,0)</f>
        <v>1</v>
      </c>
      <c r="Q10" s="56" t="n">
        <f aca="false">Q9+1</f>
        <v>3</v>
      </c>
      <c r="R10" s="57" t="n">
        <f aca="false">IF(AND(Q10&lt;=Assumptions!$C$44,U9=1),1,0)</f>
        <v>1</v>
      </c>
      <c r="S10" s="58" t="n">
        <f aca="false">IF(R10=1,S9*(1+$B$15),S9)</f>
        <v>20808</v>
      </c>
      <c r="T10" s="58" t="n">
        <f aca="false">IF(R10=1,T9*(1+$B$17)-S10,T9)</f>
        <v>386289.6</v>
      </c>
      <c r="U10" s="56" t="n">
        <f aca="false">IF(AND(R10=1,T10&gt;=0),1,0)</f>
        <v>1</v>
      </c>
      <c r="W10" s="56" t="n">
        <f aca="false">W9+1</f>
        <v>3</v>
      </c>
      <c r="X10" s="57" t="n">
        <f aca="false">IF(AND(W10&lt;=Assumptions!$C$44,AA9=1),1,0)</f>
        <v>1</v>
      </c>
      <c r="Y10" s="58" t="n">
        <f aca="false">IF(X10=1,Y9*(1+$B$15),Y9)</f>
        <v>20808</v>
      </c>
      <c r="Z10" s="58" t="n">
        <f aca="false">IF(X10=1,Z9*(1+$B$18)-Y10,Z9)</f>
        <v>411502.4</v>
      </c>
      <c r="AA10" s="56" t="n">
        <f aca="false">IF(AND(X10=1,Z10&gt;=0),1,0)</f>
        <v>1</v>
      </c>
    </row>
    <row r="11" customFormat="false" ht="15" hidden="false" customHeight="false" outlineLevel="0" collapsed="false">
      <c r="A11" s="7" t="s">
        <v>850</v>
      </c>
      <c r="B11" s="33" t="n">
        <v>20000</v>
      </c>
      <c r="C11" s="7" t="s">
        <v>257</v>
      </c>
      <c r="D11" s="34" t="n">
        <v>20000</v>
      </c>
      <c r="E11" s="34" t="n">
        <v>1000</v>
      </c>
      <c r="F11" s="34" t="n">
        <v>200000</v>
      </c>
      <c r="G11" s="34" t="n">
        <v>2000000</v>
      </c>
      <c r="H11" s="34" t="n">
        <v>1000</v>
      </c>
      <c r="I11" s="35"/>
      <c r="K11" s="56" t="n">
        <f aca="false">K10+1</f>
        <v>4</v>
      </c>
      <c r="L11" s="57" t="n">
        <f aca="false">IF(AND(K11&lt;=Assumptions!$C$44,O10=1),1,0)</f>
        <v>1</v>
      </c>
      <c r="M11" s="58" t="n">
        <f aca="false">IF(L11=1,M10*(1+$B$15),M10)</f>
        <v>21224.16</v>
      </c>
      <c r="N11" s="58" t="n">
        <f aca="false">IF(L11=1,N10*(1+$B$16)-M11,N10)</f>
        <v>348076.224</v>
      </c>
      <c r="O11" s="56" t="n">
        <f aca="false">IF(AND(L11=1,N11&gt;=0),1,0)</f>
        <v>1</v>
      </c>
      <c r="Q11" s="56" t="n">
        <f aca="false">Q10+1</f>
        <v>4</v>
      </c>
      <c r="R11" s="57" t="n">
        <f aca="false">IF(AND(Q11&lt;=Assumptions!$C$44,U10=1),1,0)</f>
        <v>1</v>
      </c>
      <c r="S11" s="58" t="n">
        <f aca="false">IF(R11=1,S10*(1+$B$15),S10)</f>
        <v>21224.16</v>
      </c>
      <c r="T11" s="58" t="n">
        <f aca="false">IF(R11=1,T10*(1+$B$17)-S11,T10)</f>
        <v>380517.024</v>
      </c>
      <c r="U11" s="56" t="n">
        <f aca="false">IF(AND(R11=1,T11&gt;=0),1,0)</f>
        <v>1</v>
      </c>
      <c r="W11" s="56" t="n">
        <f aca="false">W10+1</f>
        <v>4</v>
      </c>
      <c r="X11" s="57" t="n">
        <f aca="false">IF(AND(W11&lt;=Assumptions!$C$44,AA10=1),1,0)</f>
        <v>1</v>
      </c>
      <c r="Y11" s="58" t="n">
        <f aca="false">IF(X11=1,Y10*(1+$B$15),Y10)</f>
        <v>21224.16</v>
      </c>
      <c r="Z11" s="58" t="n">
        <f aca="false">IF(X11=1,Z10*(1+$B$18)-Y11,Z10)</f>
        <v>414968.384</v>
      </c>
      <c r="AA11" s="56" t="n">
        <f aca="false">IF(AND(X11=1,Z11&gt;=0),1,0)</f>
        <v>1</v>
      </c>
    </row>
    <row r="12" customFormat="false" ht="15" hidden="false" customHeight="false" outlineLevel="0" collapsed="false">
      <c r="K12" s="56" t="n">
        <f aca="false">K11+1</f>
        <v>5</v>
      </c>
      <c r="L12" s="57" t="n">
        <f aca="false">IF(AND(K12&lt;=Assumptions!$C$44,O11=1),1,0)</f>
        <v>1</v>
      </c>
      <c r="M12" s="58" t="n">
        <f aca="false">IF(L12=1,M11*(1+$B$15),M11)</f>
        <v>21648.6432</v>
      </c>
      <c r="N12" s="58" t="n">
        <f aca="false">IF(L12=1,N11*(1+$B$16)-M12,N11)</f>
        <v>333389.10528</v>
      </c>
      <c r="O12" s="56" t="n">
        <f aca="false">IF(AND(L12=1,N12&gt;=0),1,0)</f>
        <v>1</v>
      </c>
      <c r="Q12" s="56" t="n">
        <f aca="false">Q11+1</f>
        <v>5</v>
      </c>
      <c r="R12" s="57" t="n">
        <f aca="false">IF(AND(Q12&lt;=Assumptions!$C$44,U11=1),1,0)</f>
        <v>1</v>
      </c>
      <c r="S12" s="58" t="n">
        <f aca="false">IF(R12=1,S11*(1+$B$15),S11)</f>
        <v>21648.6432</v>
      </c>
      <c r="T12" s="58" t="n">
        <f aca="false">IF(R12=1,T11*(1+$B$17)-S12,T11)</f>
        <v>374089.06176</v>
      </c>
      <c r="U12" s="56" t="n">
        <f aca="false">IF(AND(R12=1,T12&gt;=0),1,0)</f>
        <v>1</v>
      </c>
      <c r="W12" s="56" t="n">
        <f aca="false">W11+1</f>
        <v>5</v>
      </c>
      <c r="X12" s="57" t="n">
        <f aca="false">IF(AND(W12&lt;=Assumptions!$C$44,AA11=1),1,0)</f>
        <v>1</v>
      </c>
      <c r="Y12" s="58" t="n">
        <f aca="false">IF(X12=1,Y11*(1+$B$15),Y11)</f>
        <v>21648.6432</v>
      </c>
      <c r="Z12" s="58" t="n">
        <f aca="false">IF(X12=1,Z11*(1+$B$18)-Y12,Z11)</f>
        <v>418217.84384</v>
      </c>
      <c r="AA12" s="56" t="n">
        <f aca="false">IF(AND(X12=1,Z12&gt;=0),1,0)</f>
        <v>1</v>
      </c>
    </row>
    <row r="13" customFormat="false" ht="15" hidden="false" customHeight="false" outlineLevel="0" collapsed="false">
      <c r="A13" s="15" t="s">
        <v>391</v>
      </c>
      <c r="B13" s="16"/>
      <c r="C13" s="16"/>
      <c r="D13" s="16"/>
      <c r="E13" s="16"/>
      <c r="F13" s="16"/>
      <c r="G13" s="16"/>
      <c r="H13" s="16"/>
      <c r="I13" s="16"/>
      <c r="K13" s="56" t="n">
        <f aca="false">K12+1</f>
        <v>6</v>
      </c>
      <c r="L13" s="57" t="n">
        <f aca="false">IF(AND(K13&lt;=Assumptions!$C$44,O12=1),1,0)</f>
        <v>1</v>
      </c>
      <c r="M13" s="58" t="n">
        <f aca="false">IF(L13=1,M12*(1+$B$15),M12)</f>
        <v>22081.616064</v>
      </c>
      <c r="N13" s="58" t="n">
        <f aca="false">IF(L13=1,N12*(1+$B$16)-M13,N12)</f>
        <v>317975.2713216</v>
      </c>
      <c r="O13" s="56" t="n">
        <f aca="false">IF(AND(L13=1,N13&gt;=0),1,0)</f>
        <v>1</v>
      </c>
      <c r="Q13" s="56" t="n">
        <f aca="false">Q12+1</f>
        <v>6</v>
      </c>
      <c r="R13" s="57" t="n">
        <f aca="false">IF(AND(Q13&lt;=Assumptions!$C$44,U12=1),1,0)</f>
        <v>1</v>
      </c>
      <c r="S13" s="58" t="n">
        <f aca="false">IF(R13=1,S12*(1+$B$15),S12)</f>
        <v>22081.616064</v>
      </c>
      <c r="T13" s="58" t="n">
        <f aca="false">IF(R13=1,T12*(1+$B$17)-S13,T12)</f>
        <v>366971.0081664</v>
      </c>
      <c r="U13" s="56" t="n">
        <f aca="false">IF(AND(R13=1,T13&gt;=0),1,0)</f>
        <v>1</v>
      </c>
      <c r="W13" s="56" t="n">
        <f aca="false">W12+1</f>
        <v>6</v>
      </c>
      <c r="X13" s="57" t="n">
        <f aca="false">IF(AND(W13&lt;=Assumptions!$C$44,AA12=1),1,0)</f>
        <v>1</v>
      </c>
      <c r="Y13" s="58" t="n">
        <f aca="false">IF(X13=1,Y12*(1+$B$15),Y12)</f>
        <v>22081.616064</v>
      </c>
      <c r="Z13" s="58" t="n">
        <f aca="false">IF(X13=1,Z12*(1+$B$18)-Y13,Z12)</f>
        <v>421229.2984064</v>
      </c>
      <c r="AA13" s="56" t="n">
        <f aca="false">IF(AND(X13=1,Z13&gt;=0),1,0)</f>
        <v>1</v>
      </c>
    </row>
    <row r="14" customFormat="false" ht="15" hidden="false" customHeight="false" outlineLevel="0" collapsed="false">
      <c r="A14" s="17" t="s">
        <v>392</v>
      </c>
      <c r="B14" s="17" t="s">
        <v>192</v>
      </c>
      <c r="C14" s="17" t="s">
        <v>193</v>
      </c>
      <c r="D14" s="17" t="s">
        <v>393</v>
      </c>
      <c r="K14" s="56" t="n">
        <f aca="false">K13+1</f>
        <v>7</v>
      </c>
      <c r="L14" s="57" t="n">
        <f aca="false">IF(AND(K14&lt;=Assumptions!$C$44,O13=1),1,0)</f>
        <v>1</v>
      </c>
      <c r="M14" s="58" t="n">
        <f aca="false">IF(L14=1,M13*(1+$B$15),M13)</f>
        <v>22523.24838528</v>
      </c>
      <c r="N14" s="58" t="n">
        <f aca="false">IF(L14=1,N13*(1+$B$16)-M14,N13)</f>
        <v>301811.528362752</v>
      </c>
      <c r="O14" s="56" t="n">
        <f aca="false">IF(AND(L14=1,N14&gt;=0),1,0)</f>
        <v>1</v>
      </c>
      <c r="Q14" s="56" t="n">
        <f aca="false">Q13+1</f>
        <v>7</v>
      </c>
      <c r="R14" s="57" t="n">
        <f aca="false">IF(AND(Q14&lt;=Assumptions!$C$44,U13=1),1,0)</f>
        <v>1</v>
      </c>
      <c r="S14" s="58" t="n">
        <f aca="false">IF(R14=1,S13*(1+$B$15),S13)</f>
        <v>22523.24838528</v>
      </c>
      <c r="T14" s="58" t="n">
        <f aca="false">IF(R14=1,T13*(1+$B$17)-S14,T13)</f>
        <v>359126.600107776</v>
      </c>
      <c r="U14" s="56" t="n">
        <f aca="false">IF(AND(R14=1,T14&gt;=0),1,0)</f>
        <v>1</v>
      </c>
      <c r="W14" s="56" t="n">
        <f aca="false">W13+1</f>
        <v>7</v>
      </c>
      <c r="X14" s="57" t="n">
        <f aca="false">IF(AND(W14&lt;=Assumptions!$C$44,AA13=1),1,0)</f>
        <v>1</v>
      </c>
      <c r="Y14" s="58" t="n">
        <f aca="false">IF(X14=1,Y13*(1+$B$15),Y13)</f>
        <v>22523.24838528</v>
      </c>
      <c r="Z14" s="58" t="n">
        <f aca="false">IF(X14=1,Z13*(1+$B$18)-Y14,Z13)</f>
        <v>423979.807925504</v>
      </c>
      <c r="AA14" s="56" t="n">
        <f aca="false">IF(AND(X14=1,Z14&gt;=0),1,0)</f>
        <v>1</v>
      </c>
    </row>
    <row r="15" customFormat="false" ht="15" hidden="false" customHeight="false" outlineLevel="0" collapsed="false">
      <c r="A15" s="7" t="s">
        <v>852</v>
      </c>
      <c r="B15" s="72" t="n">
        <f aca="false">IF(Assumptions!$C$6=1,Assumptions!$C$14,0)</f>
        <v>0.02</v>
      </c>
      <c r="C15" s="41" t="s">
        <v>407</v>
      </c>
      <c r="D15" s="42" t="s">
        <v>853</v>
      </c>
      <c r="E15" s="42"/>
      <c r="F15" s="42"/>
      <c r="G15" s="42"/>
      <c r="H15" s="42"/>
      <c r="I15" s="42"/>
      <c r="K15" s="56" t="n">
        <f aca="false">K14+1</f>
        <v>8</v>
      </c>
      <c r="L15" s="57" t="n">
        <f aca="false">IF(AND(K15&lt;=Assumptions!$C$44,O14=1),1,0)</f>
        <v>1</v>
      </c>
      <c r="M15" s="58" t="n">
        <f aca="false">IF(L15=1,M14*(1+$B$15),M14)</f>
        <v>22973.7133529856</v>
      </c>
      <c r="N15" s="58" t="n">
        <f aca="false">IF(L15=1,N14*(1+$B$16)-M15,N14)</f>
        <v>284874.045577022</v>
      </c>
      <c r="O15" s="56" t="n">
        <f aca="false">IF(AND(L15=1,N15&gt;=0),1,0)</f>
        <v>1</v>
      </c>
      <c r="Q15" s="56" t="n">
        <f aca="false">Q14+1</f>
        <v>8</v>
      </c>
      <c r="R15" s="57" t="n">
        <f aca="false">IF(AND(Q15&lt;=Assumptions!$C$44,U14=1),1,0)</f>
        <v>1</v>
      </c>
      <c r="S15" s="58" t="n">
        <f aca="false">IF(R15=1,S14*(1+$B$15),S14)</f>
        <v>22973.7133529856</v>
      </c>
      <c r="T15" s="58" t="n">
        <f aca="false">IF(R15=1,T14*(1+$B$17)-S15,T14)</f>
        <v>350517.950759102</v>
      </c>
      <c r="U15" s="56" t="n">
        <f aca="false">IF(AND(R15=1,T15&gt;=0),1,0)</f>
        <v>1</v>
      </c>
      <c r="W15" s="56" t="n">
        <f aca="false">W14+1</f>
        <v>8</v>
      </c>
      <c r="X15" s="57" t="n">
        <f aca="false">IF(AND(W15&lt;=Assumptions!$C$44,AA14=1),1,0)</f>
        <v>1</v>
      </c>
      <c r="Y15" s="58" t="n">
        <f aca="false">IF(X15=1,Y14*(1+$B$15),Y14)</f>
        <v>22973.7133529856</v>
      </c>
      <c r="Z15" s="58" t="n">
        <f aca="false">IF(X15=1,Z14*(1+$B$18)-Y15,Z14)</f>
        <v>426444.883048049</v>
      </c>
      <c r="AA15" s="56" t="n">
        <f aca="false">IF(AND(X15=1,Z15&gt;=0),1,0)</f>
        <v>1</v>
      </c>
    </row>
    <row r="16" customFormat="false" ht="15" hidden="false" customHeight="false" outlineLevel="0" collapsed="false">
      <c r="A16" s="7" t="s">
        <v>868</v>
      </c>
      <c r="B16" s="72" t="n">
        <f aca="false">Assumptions!$C$51</f>
        <v>0.02</v>
      </c>
      <c r="C16" s="41" t="s">
        <v>407</v>
      </c>
      <c r="D16" s="42" t="s">
        <v>869</v>
      </c>
      <c r="E16" s="42"/>
      <c r="F16" s="42"/>
      <c r="G16" s="42"/>
      <c r="H16" s="42"/>
      <c r="I16" s="42"/>
      <c r="K16" s="56" t="n">
        <f aca="false">K15+1</f>
        <v>9</v>
      </c>
      <c r="L16" s="57" t="n">
        <f aca="false">IF(AND(K16&lt;=Assumptions!$C$44,O15=1),1,0)</f>
        <v>1</v>
      </c>
      <c r="M16" s="58" t="n">
        <f aca="false">IF(L16=1,M15*(1+$B$15),M15)</f>
        <v>23433.1876200453</v>
      </c>
      <c r="N16" s="58" t="n">
        <f aca="false">IF(L16=1,N15*(1+$B$16)-M16,N15)</f>
        <v>267138.338868517</v>
      </c>
      <c r="O16" s="56" t="n">
        <f aca="false">IF(AND(L16=1,N16&gt;=0),1,0)</f>
        <v>1</v>
      </c>
      <c r="Q16" s="56" t="n">
        <f aca="false">Q15+1</f>
        <v>9</v>
      </c>
      <c r="R16" s="57" t="n">
        <f aca="false">IF(AND(Q16&lt;=Assumptions!$C$44,U15=1),1,0)</f>
        <v>1</v>
      </c>
      <c r="S16" s="58" t="n">
        <f aca="false">IF(R16=1,S15*(1+$B$15),S15)</f>
        <v>23433.1876200453</v>
      </c>
      <c r="T16" s="58" t="n">
        <f aca="false">IF(R16=1,T15*(1+$B$17)-S16,T15)</f>
        <v>341105.48116942</v>
      </c>
      <c r="U16" s="56" t="n">
        <f aca="false">IF(AND(R16=1,T16&gt;=0),1,0)</f>
        <v>1</v>
      </c>
      <c r="W16" s="56" t="n">
        <f aca="false">W15+1</f>
        <v>9</v>
      </c>
      <c r="X16" s="57" t="n">
        <f aca="false">IF(AND(W16&lt;=Assumptions!$C$44,AA15=1),1,0)</f>
        <v>1</v>
      </c>
      <c r="Y16" s="58" t="n">
        <f aca="false">IF(X16=1,Y15*(1+$B$15),Y15)</f>
        <v>23433.1876200453</v>
      </c>
      <c r="Z16" s="58" t="n">
        <f aca="false">IF(X16=1,Z15*(1+$B$18)-Y16,Z15)</f>
        <v>428598.388410886</v>
      </c>
      <c r="AA16" s="56" t="n">
        <f aca="false">IF(AND(X16=1,Z16&gt;=0),1,0)</f>
        <v>1</v>
      </c>
    </row>
    <row r="17" customFormat="false" ht="15" hidden="false" customHeight="false" outlineLevel="0" collapsed="false">
      <c r="A17" s="7" t="s">
        <v>870</v>
      </c>
      <c r="B17" s="72" t="n">
        <f aca="false">Assumptions!$C$52</f>
        <v>0.04</v>
      </c>
      <c r="C17" s="41" t="s">
        <v>407</v>
      </c>
      <c r="D17" s="42" t="s">
        <v>871</v>
      </c>
      <c r="E17" s="42"/>
      <c r="F17" s="42"/>
      <c r="G17" s="42"/>
      <c r="H17" s="42"/>
      <c r="I17" s="42"/>
      <c r="K17" s="56" t="n">
        <f aca="false">K16+1</f>
        <v>10</v>
      </c>
      <c r="L17" s="57" t="n">
        <f aca="false">IF(AND(K17&lt;=Assumptions!$C$44,O16=1),1,0)</f>
        <v>1</v>
      </c>
      <c r="M17" s="58" t="n">
        <f aca="false">IF(L17=1,M16*(1+$B$15),M16)</f>
        <v>23901.8513724462</v>
      </c>
      <c r="N17" s="58" t="n">
        <f aca="false">IF(L17=1,N16*(1+$B$16)-M17,N16)</f>
        <v>248579.254273441</v>
      </c>
      <c r="O17" s="56" t="n">
        <f aca="false">IF(AND(L17=1,N17&gt;=0),1,0)</f>
        <v>1</v>
      </c>
      <c r="Q17" s="56" t="n">
        <f aca="false">Q16+1</f>
        <v>10</v>
      </c>
      <c r="R17" s="57" t="n">
        <f aca="false">IF(AND(Q17&lt;=Assumptions!$C$44,U16=1),1,0)</f>
        <v>1</v>
      </c>
      <c r="S17" s="58" t="n">
        <f aca="false">IF(R17=1,S16*(1+$B$15),S16)</f>
        <v>23901.8513724462</v>
      </c>
      <c r="T17" s="58" t="n">
        <f aca="false">IF(R17=1,T16*(1+$B$17)-S17,T16)</f>
        <v>330847.849043751</v>
      </c>
      <c r="U17" s="56" t="n">
        <f aca="false">IF(AND(R17=1,T17&gt;=0),1,0)</f>
        <v>1</v>
      </c>
      <c r="W17" s="56" t="n">
        <f aca="false">W16+1</f>
        <v>10</v>
      </c>
      <c r="X17" s="57" t="n">
        <f aca="false">IF(AND(W17&lt;=Assumptions!$C$44,AA16=1),1,0)</f>
        <v>1</v>
      </c>
      <c r="Y17" s="58" t="n">
        <f aca="false">IF(X17=1,Y16*(1+$B$15),Y16)</f>
        <v>23901.8513724462</v>
      </c>
      <c r="Z17" s="58" t="n">
        <f aca="false">IF(X17=1,Z16*(1+$B$18)-Y17,Z16)</f>
        <v>430412.440343093</v>
      </c>
      <c r="AA17" s="56" t="n">
        <f aca="false">IF(AND(X17=1,Z17&gt;=0),1,0)</f>
        <v>1</v>
      </c>
    </row>
    <row r="18" customFormat="false" ht="15" hidden="false" customHeight="false" outlineLevel="0" collapsed="false">
      <c r="A18" s="7" t="s">
        <v>872</v>
      </c>
      <c r="B18" s="72" t="n">
        <f aca="false">Assumptions!$C$53</f>
        <v>0.06</v>
      </c>
      <c r="C18" s="41" t="s">
        <v>407</v>
      </c>
      <c r="D18" s="42" t="s">
        <v>873</v>
      </c>
      <c r="E18" s="42"/>
      <c r="F18" s="42"/>
      <c r="G18" s="42"/>
      <c r="H18" s="42"/>
      <c r="I18" s="42"/>
      <c r="K18" s="56" t="n">
        <f aca="false">K17+1</f>
        <v>11</v>
      </c>
      <c r="L18" s="57" t="n">
        <f aca="false">IF(AND(K18&lt;=Assumptions!$C$44,O17=1),1,0)</f>
        <v>1</v>
      </c>
      <c r="M18" s="58" t="n">
        <f aca="false">IF(L18=1,M17*(1+$B$15),M17)</f>
        <v>24379.8883998951</v>
      </c>
      <c r="N18" s="58" t="n">
        <f aca="false">IF(L18=1,N17*(1+$B$16)-M18,N17)</f>
        <v>229170.950959014</v>
      </c>
      <c r="O18" s="56" t="n">
        <f aca="false">IF(AND(L18=1,N18&gt;=0),1,0)</f>
        <v>1</v>
      </c>
      <c r="Q18" s="56" t="n">
        <f aca="false">Q17+1</f>
        <v>11</v>
      </c>
      <c r="R18" s="57" t="n">
        <f aca="false">IF(AND(Q18&lt;=Assumptions!$C$44,U17=1),1,0)</f>
        <v>1</v>
      </c>
      <c r="S18" s="58" t="n">
        <f aca="false">IF(R18=1,S17*(1+$B$15),S17)</f>
        <v>24379.8883998951</v>
      </c>
      <c r="T18" s="58" t="n">
        <f aca="false">IF(R18=1,T17*(1+$B$17)-S18,T17)</f>
        <v>319701.874605606</v>
      </c>
      <c r="U18" s="56" t="n">
        <f aca="false">IF(AND(R18=1,T18&gt;=0),1,0)</f>
        <v>1</v>
      </c>
      <c r="W18" s="56" t="n">
        <f aca="false">W17+1</f>
        <v>11</v>
      </c>
      <c r="X18" s="57" t="n">
        <f aca="false">IF(AND(W18&lt;=Assumptions!$C$44,AA17=1),1,0)</f>
        <v>1</v>
      </c>
      <c r="Y18" s="58" t="n">
        <f aca="false">IF(X18=1,Y17*(1+$B$15),Y17)</f>
        <v>24379.8883998951</v>
      </c>
      <c r="Z18" s="58" t="n">
        <f aca="false">IF(X18=1,Z17*(1+$B$18)-Y18,Z17)</f>
        <v>431857.298363784</v>
      </c>
      <c r="AA18" s="56" t="n">
        <f aca="false">IF(AND(X18=1,Z18&gt;=0),1,0)</f>
        <v>1</v>
      </c>
    </row>
    <row r="19" customFormat="false" ht="15" hidden="false" customHeight="false" outlineLevel="0" collapsed="false">
      <c r="A19" s="7" t="s">
        <v>874</v>
      </c>
      <c r="B19" s="46" t="n">
        <f aca="false">SUM($O$8:$O$67)</f>
        <v>20</v>
      </c>
      <c r="C19" s="41" t="s">
        <v>240</v>
      </c>
      <c r="D19" s="42" t="s">
        <v>875</v>
      </c>
      <c r="E19" s="42"/>
      <c r="F19" s="42"/>
      <c r="G19" s="42"/>
      <c r="H19" s="42"/>
      <c r="I19" s="42"/>
      <c r="K19" s="56" t="n">
        <f aca="false">K18+1</f>
        <v>12</v>
      </c>
      <c r="L19" s="57" t="n">
        <f aca="false">IF(AND(K19&lt;=Assumptions!$C$44,O18=1),1,0)</f>
        <v>1</v>
      </c>
      <c r="M19" s="58" t="n">
        <f aca="false">IF(L19=1,M18*(1+$B$15),M18)</f>
        <v>24867.486167893</v>
      </c>
      <c r="N19" s="58" t="n">
        <f aca="false">IF(L19=1,N18*(1+$B$16)-M19,N18)</f>
        <v>208886.883810302</v>
      </c>
      <c r="O19" s="56" t="n">
        <f aca="false">IF(AND(L19=1,N19&gt;=0),1,0)</f>
        <v>1</v>
      </c>
      <c r="Q19" s="56" t="n">
        <f aca="false">Q18+1</f>
        <v>12</v>
      </c>
      <c r="R19" s="57" t="n">
        <f aca="false">IF(AND(Q19&lt;=Assumptions!$C$44,U18=1),1,0)</f>
        <v>1</v>
      </c>
      <c r="S19" s="58" t="n">
        <f aca="false">IF(R19=1,S18*(1+$B$15),S18)</f>
        <v>24867.486167893</v>
      </c>
      <c r="T19" s="58" t="n">
        <f aca="false">IF(R19=1,T18*(1+$B$17)-S19,T18)</f>
        <v>307622.463421937</v>
      </c>
      <c r="U19" s="56" t="n">
        <f aca="false">IF(AND(R19=1,T19&gt;=0),1,0)</f>
        <v>1</v>
      </c>
      <c r="W19" s="56" t="n">
        <f aca="false">W18+1</f>
        <v>12</v>
      </c>
      <c r="X19" s="57" t="n">
        <f aca="false">IF(AND(W19&lt;=Assumptions!$C$44,AA18=1),1,0)</f>
        <v>1</v>
      </c>
      <c r="Y19" s="58" t="n">
        <f aca="false">IF(X19=1,Y18*(1+$B$15),Y18)</f>
        <v>24867.486167893</v>
      </c>
      <c r="Z19" s="58" t="n">
        <f aca="false">IF(X19=1,Z18*(1+$B$18)-Y19,Z18)</f>
        <v>432901.250097718</v>
      </c>
      <c r="AA19" s="56" t="n">
        <f aca="false">IF(AND(X19=1,Z19&gt;=0),1,0)</f>
        <v>1</v>
      </c>
    </row>
    <row r="20" customFormat="false" ht="15" hidden="false" customHeight="false" outlineLevel="0" collapsed="false">
      <c r="A20" s="7" t="s">
        <v>876</v>
      </c>
      <c r="B20" s="46" t="n">
        <f aca="false">SUM($U$8:$U$67)</f>
        <v>26</v>
      </c>
      <c r="C20" s="41" t="s">
        <v>240</v>
      </c>
      <c r="D20" s="42" t="s">
        <v>877</v>
      </c>
      <c r="E20" s="42"/>
      <c r="F20" s="42"/>
      <c r="G20" s="42"/>
      <c r="H20" s="42"/>
      <c r="I20" s="42"/>
      <c r="K20" s="56" t="n">
        <f aca="false">K19+1</f>
        <v>13</v>
      </c>
      <c r="L20" s="57" t="n">
        <f aca="false">IF(AND(K20&lt;=Assumptions!$C$44,O19=1),1,0)</f>
        <v>1</v>
      </c>
      <c r="M20" s="58" t="n">
        <f aca="false">IF(L20=1,M19*(1+$B$15),M19)</f>
        <v>25364.8358912509</v>
      </c>
      <c r="N20" s="58" t="n">
        <f aca="false">IF(L20=1,N19*(1+$B$16)-M20,N19)</f>
        <v>187699.785595257</v>
      </c>
      <c r="O20" s="56" t="n">
        <f aca="false">IF(AND(L20=1,N20&gt;=0),1,0)</f>
        <v>1</v>
      </c>
      <c r="Q20" s="56" t="n">
        <f aca="false">Q19+1</f>
        <v>13</v>
      </c>
      <c r="R20" s="57" t="n">
        <f aca="false">IF(AND(Q20&lt;=Assumptions!$C$44,U19=1),1,0)</f>
        <v>1</v>
      </c>
      <c r="S20" s="58" t="n">
        <f aca="false">IF(R20=1,S19*(1+$B$15),S19)</f>
        <v>25364.8358912509</v>
      </c>
      <c r="T20" s="58" t="n">
        <f aca="false">IF(R20=1,T19*(1+$B$17)-S20,T19)</f>
        <v>294562.526067564</v>
      </c>
      <c r="U20" s="56" t="n">
        <f aca="false">IF(AND(R20=1,T20&gt;=0),1,0)</f>
        <v>1</v>
      </c>
      <c r="W20" s="56" t="n">
        <f aca="false">W19+1</f>
        <v>13</v>
      </c>
      <c r="X20" s="57" t="n">
        <f aca="false">IF(AND(W20&lt;=Assumptions!$C$44,AA19=1),1,0)</f>
        <v>1</v>
      </c>
      <c r="Y20" s="58" t="n">
        <f aca="false">IF(X20=1,Y19*(1+$B$15),Y19)</f>
        <v>25364.8358912509</v>
      </c>
      <c r="Z20" s="58" t="n">
        <f aca="false">IF(X20=1,Z19*(1+$B$18)-Y20,Z19)</f>
        <v>433510.48921233</v>
      </c>
      <c r="AA20" s="56" t="n">
        <f aca="false">IF(AND(X20=1,Z20&gt;=0),1,0)</f>
        <v>1</v>
      </c>
    </row>
    <row r="21" customFormat="false" ht="15" hidden="false" customHeight="false" outlineLevel="0" collapsed="false">
      <c r="A21" s="7" t="s">
        <v>878</v>
      </c>
      <c r="B21" s="46" t="n">
        <f aca="false">SUM($AA$8:$AA$67)</f>
        <v>41</v>
      </c>
      <c r="C21" s="41" t="s">
        <v>240</v>
      </c>
      <c r="D21" s="42" t="s">
        <v>879</v>
      </c>
      <c r="E21" s="42"/>
      <c r="F21" s="42"/>
      <c r="G21" s="42"/>
      <c r="H21" s="42"/>
      <c r="I21" s="42"/>
      <c r="K21" s="56" t="n">
        <f aca="false">K20+1</f>
        <v>14</v>
      </c>
      <c r="L21" s="57" t="n">
        <f aca="false">IF(AND(K21&lt;=Assumptions!$C$44,O20=1),1,0)</f>
        <v>1</v>
      </c>
      <c r="M21" s="58" t="n">
        <f aca="false">IF(L21=1,M20*(1+$B$15),M20)</f>
        <v>25872.1326090759</v>
      </c>
      <c r="N21" s="58" t="n">
        <f aca="false">IF(L21=1,N20*(1+$B$16)-M21,N20)</f>
        <v>165581.648698086</v>
      </c>
      <c r="O21" s="56" t="n">
        <f aca="false">IF(AND(L21=1,N21&gt;=0),1,0)</f>
        <v>1</v>
      </c>
      <c r="Q21" s="56" t="n">
        <f aca="false">Q20+1</f>
        <v>14</v>
      </c>
      <c r="R21" s="57" t="n">
        <f aca="false">IF(AND(Q21&lt;=Assumptions!$C$44,U20=1),1,0)</f>
        <v>1</v>
      </c>
      <c r="S21" s="58" t="n">
        <f aca="false">IF(R21=1,S20*(1+$B$15),S20)</f>
        <v>25872.1326090759</v>
      </c>
      <c r="T21" s="58" t="n">
        <f aca="false">IF(R21=1,T20*(1+$B$17)-S21,T20)</f>
        <v>280472.89450119</v>
      </c>
      <c r="U21" s="56" t="n">
        <f aca="false">IF(AND(R21=1,T21&gt;=0),1,0)</f>
        <v>1</v>
      </c>
      <c r="W21" s="56" t="n">
        <f aca="false">W20+1</f>
        <v>14</v>
      </c>
      <c r="X21" s="57" t="n">
        <f aca="false">IF(AND(W21&lt;=Assumptions!$C$44,AA20=1),1,0)</f>
        <v>1</v>
      </c>
      <c r="Y21" s="58" t="n">
        <f aca="false">IF(X21=1,Y20*(1+$B$15),Y20)</f>
        <v>25872.1326090759</v>
      </c>
      <c r="Z21" s="58" t="n">
        <f aca="false">IF(X21=1,Z20*(1+$B$18)-Y21,Z20)</f>
        <v>433648.985955994</v>
      </c>
      <c r="AA21" s="56" t="n">
        <f aca="false">IF(AND(X21=1,Z21&gt;=0),1,0)</f>
        <v>1</v>
      </c>
    </row>
    <row r="22" customFormat="false" ht="15" hidden="false" customHeight="false" outlineLevel="0" collapsed="false">
      <c r="K22" s="56" t="n">
        <f aca="false">K21+1</f>
        <v>15</v>
      </c>
      <c r="L22" s="57" t="n">
        <f aca="false">IF(AND(K22&lt;=Assumptions!$C$44,O21=1),1,0)</f>
        <v>1</v>
      </c>
      <c r="M22" s="58" t="n">
        <f aca="false">IF(L22=1,M21*(1+$B$15),M21)</f>
        <v>26389.5752612574</v>
      </c>
      <c r="N22" s="58" t="n">
        <f aca="false">IF(L22=1,N21*(1+$B$16)-M22,N21)</f>
        <v>142503.70641079</v>
      </c>
      <c r="O22" s="56" t="n">
        <f aca="false">IF(AND(L22=1,N22&gt;=0),1,0)</f>
        <v>1</v>
      </c>
      <c r="Q22" s="56" t="n">
        <f aca="false">Q21+1</f>
        <v>15</v>
      </c>
      <c r="R22" s="57" t="n">
        <f aca="false">IF(AND(Q22&lt;=Assumptions!$C$44,U21=1),1,0)</f>
        <v>1</v>
      </c>
      <c r="S22" s="58" t="n">
        <f aca="false">IF(R22=1,S21*(1+$B$15),S21)</f>
        <v>26389.5752612574</v>
      </c>
      <c r="T22" s="58" t="n">
        <f aca="false">IF(R22=1,T21*(1+$B$17)-S22,T21)</f>
        <v>265302.23501998</v>
      </c>
      <c r="U22" s="56" t="n">
        <f aca="false">IF(AND(R22=1,T22&gt;=0),1,0)</f>
        <v>1</v>
      </c>
      <c r="W22" s="56" t="n">
        <f aca="false">W21+1</f>
        <v>15</v>
      </c>
      <c r="X22" s="57" t="n">
        <f aca="false">IF(AND(W22&lt;=Assumptions!$C$44,AA21=1),1,0)</f>
        <v>1</v>
      </c>
      <c r="Y22" s="58" t="n">
        <f aca="false">IF(X22=1,Y21*(1+$B$15),Y21)</f>
        <v>26389.5752612574</v>
      </c>
      <c r="Z22" s="58" t="n">
        <f aca="false">IF(X22=1,Z21*(1+$B$18)-Y22,Z21)</f>
        <v>433278.349852096</v>
      </c>
      <c r="AA22" s="56" t="n">
        <f aca="false">IF(AND(X22=1,Z22&gt;=0),1,0)</f>
        <v>1</v>
      </c>
    </row>
    <row r="23" customFormat="false" ht="15" hidden="false" customHeight="false" outlineLevel="0" collapsed="false">
      <c r="A23" s="15" t="s">
        <v>415</v>
      </c>
      <c r="B23" s="16"/>
      <c r="C23" s="16"/>
      <c r="D23" s="16"/>
      <c r="E23" s="16"/>
      <c r="F23" s="16"/>
      <c r="G23" s="16"/>
      <c r="H23" s="16"/>
      <c r="I23" s="16"/>
      <c r="K23" s="56" t="n">
        <f aca="false">K22+1</f>
        <v>16</v>
      </c>
      <c r="L23" s="57" t="n">
        <f aca="false">IF(AND(K23&lt;=Assumptions!$C$44,O22=1),1,0)</f>
        <v>1</v>
      </c>
      <c r="M23" s="58" t="n">
        <f aca="false">IF(L23=1,M22*(1+$B$15),M22)</f>
        <v>26917.3667664826</v>
      </c>
      <c r="N23" s="58" t="n">
        <f aca="false">IF(L23=1,N22*(1+$B$16)-M23,N22)</f>
        <v>118436.413772524</v>
      </c>
      <c r="O23" s="56" t="n">
        <f aca="false">IF(AND(L23=1,N23&gt;=0),1,0)</f>
        <v>1</v>
      </c>
      <c r="Q23" s="56" t="n">
        <f aca="false">Q22+1</f>
        <v>16</v>
      </c>
      <c r="R23" s="57" t="n">
        <f aca="false">IF(AND(Q23&lt;=Assumptions!$C$44,U22=1),1,0)</f>
        <v>1</v>
      </c>
      <c r="S23" s="58" t="n">
        <f aca="false">IF(R23=1,S22*(1+$B$15),S22)</f>
        <v>26917.3667664826</v>
      </c>
      <c r="T23" s="58" t="n">
        <f aca="false">IF(R23=1,T22*(1+$B$17)-S23,T22)</f>
        <v>248996.957654297</v>
      </c>
      <c r="U23" s="56" t="n">
        <f aca="false">IF(AND(R23=1,T23&gt;=0),1,0)</f>
        <v>1</v>
      </c>
      <c r="W23" s="56" t="n">
        <f aca="false">W22+1</f>
        <v>16</v>
      </c>
      <c r="X23" s="57" t="n">
        <f aca="false">IF(AND(W23&lt;=Assumptions!$C$44,AA22=1),1,0)</f>
        <v>1</v>
      </c>
      <c r="Y23" s="58" t="n">
        <f aca="false">IF(X23=1,Y22*(1+$B$15),Y22)</f>
        <v>26917.3667664826</v>
      </c>
      <c r="Z23" s="58" t="n">
        <f aca="false">IF(X23=1,Z22*(1+$B$18)-Y23,Z22)</f>
        <v>432357.684076739</v>
      </c>
      <c r="AA23" s="56" t="n">
        <f aca="false">IF(AND(X23=1,Z23&gt;=0),1,0)</f>
        <v>1</v>
      </c>
    </row>
    <row r="24" customFormat="false" ht="15" hidden="false" customHeight="false" outlineLevel="0" collapsed="false">
      <c r="A24" s="17" t="s">
        <v>416</v>
      </c>
      <c r="B24" s="17" t="s">
        <v>192</v>
      </c>
      <c r="C24" s="17" t="s">
        <v>417</v>
      </c>
      <c r="D24" s="17" t="s">
        <v>418</v>
      </c>
      <c r="K24" s="56" t="n">
        <f aca="false">K23+1</f>
        <v>17</v>
      </c>
      <c r="L24" s="57" t="n">
        <f aca="false">IF(AND(K24&lt;=Assumptions!$C$44,O23=1),1,0)</f>
        <v>1</v>
      </c>
      <c r="M24" s="58" t="n">
        <f aca="false">IF(L24=1,M23*(1+$B$15),M23)</f>
        <v>27455.7141018122</v>
      </c>
      <c r="N24" s="58" t="n">
        <f aca="false">IF(L24=1,N23*(1+$B$16)-M24,N23)</f>
        <v>93349.4279461618</v>
      </c>
      <c r="O24" s="56" t="n">
        <f aca="false">IF(AND(L24=1,N24&gt;=0),1,0)</f>
        <v>1</v>
      </c>
      <c r="Q24" s="56" t="n">
        <f aca="false">Q23+1</f>
        <v>17</v>
      </c>
      <c r="R24" s="57" t="n">
        <f aca="false">IF(AND(Q24&lt;=Assumptions!$C$44,U23=1),1,0)</f>
        <v>1</v>
      </c>
      <c r="S24" s="58" t="n">
        <f aca="false">IF(R24=1,S23*(1+$B$15),S23)</f>
        <v>27455.7141018122</v>
      </c>
      <c r="T24" s="58" t="n">
        <f aca="false">IF(R24=1,T23*(1+$B$17)-S24,T23)</f>
        <v>231501.121858657</v>
      </c>
      <c r="U24" s="56" t="n">
        <f aca="false">IF(AND(R24=1,T24&gt;=0),1,0)</f>
        <v>1</v>
      </c>
      <c r="W24" s="56" t="n">
        <f aca="false">W23+1</f>
        <v>17</v>
      </c>
      <c r="X24" s="57" t="n">
        <f aca="false">IF(AND(W24&lt;=Assumptions!$C$44,AA23=1),1,0)</f>
        <v>1</v>
      </c>
      <c r="Y24" s="58" t="n">
        <f aca="false">IF(X24=1,Y23*(1+$B$15),Y23)</f>
        <v>27455.7141018122</v>
      </c>
      <c r="Z24" s="58" t="n">
        <f aca="false">IF(X24=1,Z23*(1+$B$18)-Y24,Z23)</f>
        <v>430843.431019532</v>
      </c>
      <c r="AA24" s="56" t="n">
        <f aca="false">IF(AND(X24=1,Z24&gt;=0),1,0)</f>
        <v>1</v>
      </c>
    </row>
    <row r="25" customFormat="false" ht="15" hidden="false" customHeight="false" outlineLevel="0" collapsed="false">
      <c r="A25" s="4" t="s">
        <v>419</v>
      </c>
      <c r="B25" s="48"/>
      <c r="C25" s="49" t="str">
        <f aca="false">"Balanced scenario lasts"</f>
        <v>Balanced scenario lasts</v>
      </c>
      <c r="D25" s="42" t="s">
        <v>420</v>
      </c>
      <c r="E25" s="42"/>
      <c r="F25" s="42"/>
      <c r="G25" s="42"/>
      <c r="H25" s="42"/>
      <c r="I25" s="42"/>
      <c r="K25" s="56" t="n">
        <f aca="false">K24+1</f>
        <v>18</v>
      </c>
      <c r="L25" s="57" t="n">
        <f aca="false">IF(AND(K25&lt;=Assumptions!$C$44,O24=1),1,0)</f>
        <v>1</v>
      </c>
      <c r="M25" s="58" t="n">
        <f aca="false">IF(L25=1,M24*(1+$B$15),M24)</f>
        <v>28004.8283838485</v>
      </c>
      <c r="N25" s="58" t="n">
        <f aca="false">IF(L25=1,N24*(1+$B$16)-M25,N24)</f>
        <v>67211.5881212366</v>
      </c>
      <c r="O25" s="56" t="n">
        <f aca="false">IF(AND(L25=1,N25&gt;=0),1,0)</f>
        <v>1</v>
      </c>
      <c r="Q25" s="56" t="n">
        <f aca="false">Q24+1</f>
        <v>18</v>
      </c>
      <c r="R25" s="57" t="n">
        <f aca="false">IF(AND(Q25&lt;=Assumptions!$C$44,U24=1),1,0)</f>
        <v>1</v>
      </c>
      <c r="S25" s="58" t="n">
        <f aca="false">IF(R25=1,S24*(1+$B$15),S24)</f>
        <v>28004.8283838485</v>
      </c>
      <c r="T25" s="58" t="n">
        <f aca="false">IF(R25=1,T24*(1+$B$17)-S25,T24)</f>
        <v>212756.338349154</v>
      </c>
      <c r="U25" s="56" t="n">
        <f aca="false">IF(AND(R25=1,T25&gt;=0),1,0)</f>
        <v>1</v>
      </c>
      <c r="W25" s="56" t="n">
        <f aca="false">W24+1</f>
        <v>18</v>
      </c>
      <c r="X25" s="57" t="n">
        <f aca="false">IF(AND(W25&lt;=Assumptions!$C$44,AA24=1),1,0)</f>
        <v>1</v>
      </c>
      <c r="Y25" s="58" t="n">
        <f aca="false">IF(X25=1,Y24*(1+$B$15),Y24)</f>
        <v>28004.8283838485</v>
      </c>
      <c r="Z25" s="58" t="n">
        <f aca="false">IF(X25=1,Z24*(1+$B$18)-Y25,Z24)</f>
        <v>428689.208496855</v>
      </c>
      <c r="AA25" s="56" t="n">
        <f aca="false">IF(AND(X25=1,Z25&gt;=0),1,0)</f>
        <v>1</v>
      </c>
    </row>
    <row r="26" customFormat="false" ht="15" hidden="false" customHeight="false" outlineLevel="0" collapsed="false">
      <c r="A26" s="4" t="s">
        <v>880</v>
      </c>
      <c r="B26" s="48" t="n">
        <f aca="false">$B$20</f>
        <v>26</v>
      </c>
      <c r="C26" s="64" t="str">
        <f aca="false">IF($B$20&gt;=Assumptions!$C$44,Assumptions!$C$44&amp;"+",$B$20)&amp;" years"</f>
        <v>26 years</v>
      </c>
      <c r="D26" s="42" t="s">
        <v>512</v>
      </c>
      <c r="E26" s="42"/>
      <c r="F26" s="42"/>
      <c r="G26" s="42"/>
      <c r="H26" s="42"/>
      <c r="I26" s="42"/>
      <c r="K26" s="56" t="n">
        <f aca="false">K25+1</f>
        <v>19</v>
      </c>
      <c r="L26" s="57" t="n">
        <f aca="false">IF(AND(K26&lt;=Assumptions!$C$44,O25=1),1,0)</f>
        <v>1</v>
      </c>
      <c r="M26" s="58" t="n">
        <f aca="false">IF(L26=1,M25*(1+$B$15),M25)</f>
        <v>28564.9249515255</v>
      </c>
      <c r="N26" s="58" t="n">
        <f aca="false">IF(L26=1,N25*(1+$B$16)-M26,N25)</f>
        <v>39990.8949321358</v>
      </c>
      <c r="O26" s="56" t="n">
        <f aca="false">IF(AND(L26=1,N26&gt;=0),1,0)</f>
        <v>1</v>
      </c>
      <c r="Q26" s="56" t="n">
        <f aca="false">Q25+1</f>
        <v>19</v>
      </c>
      <c r="R26" s="57" t="n">
        <f aca="false">IF(AND(Q26&lt;=Assumptions!$C$44,U25=1),1,0)</f>
        <v>1</v>
      </c>
      <c r="S26" s="58" t="n">
        <f aca="false">IF(R26=1,S25*(1+$B$15),S25)</f>
        <v>28564.9249515255</v>
      </c>
      <c r="T26" s="58" t="n">
        <f aca="false">IF(R26=1,T25*(1+$B$17)-S26,T25)</f>
        <v>192701.666931595</v>
      </c>
      <c r="U26" s="56" t="n">
        <f aca="false">IF(AND(R26=1,T26&gt;=0),1,0)</f>
        <v>1</v>
      </c>
      <c r="W26" s="56" t="n">
        <f aca="false">W25+1</f>
        <v>19</v>
      </c>
      <c r="X26" s="57" t="n">
        <f aca="false">IF(AND(W26&lt;=Assumptions!$C$44,AA25=1),1,0)</f>
        <v>1</v>
      </c>
      <c r="Y26" s="58" t="n">
        <f aca="false">IF(X26=1,Y25*(1+$B$15),Y25)</f>
        <v>28564.9249515255</v>
      </c>
      <c r="Z26" s="58" t="n">
        <f aca="false">IF(X26=1,Z25*(1+$B$18)-Y26,Z25)</f>
        <v>425845.636055141</v>
      </c>
      <c r="AA26" s="56" t="n">
        <f aca="false">IF(AND(X26=1,Z26&gt;=0),1,0)</f>
        <v>1</v>
      </c>
    </row>
    <row r="27" customFormat="false" ht="15" hidden="false" customHeight="false" outlineLevel="0" collapsed="false">
      <c r="A27" s="4" t="s">
        <v>881</v>
      </c>
      <c r="B27" s="48" t="n">
        <f aca="false">$B$19</f>
        <v>20</v>
      </c>
      <c r="C27" s="49" t="str">
        <f aca="false">$B$19&amp;" yrs"</f>
        <v>20 yrs</v>
      </c>
      <c r="D27" s="42" t="s">
        <v>882</v>
      </c>
      <c r="E27" s="42"/>
      <c r="F27" s="42"/>
      <c r="G27" s="42"/>
      <c r="H27" s="42"/>
      <c r="I27" s="42"/>
      <c r="K27" s="56" t="n">
        <f aca="false">K26+1</f>
        <v>20</v>
      </c>
      <c r="L27" s="57" t="n">
        <f aca="false">IF(AND(K27&lt;=Assumptions!$C$44,O26=1),1,0)</f>
        <v>1</v>
      </c>
      <c r="M27" s="58" t="n">
        <f aca="false">IF(L27=1,M26*(1+$B$15),M26)</f>
        <v>29136.223450556</v>
      </c>
      <c r="N27" s="58" t="n">
        <f aca="false">IF(L27=1,N26*(1+$B$16)-M27,N26)</f>
        <v>11654.4893802226</v>
      </c>
      <c r="O27" s="56" t="n">
        <f aca="false">IF(AND(L27=1,N27&gt;=0),1,0)</f>
        <v>1</v>
      </c>
      <c r="Q27" s="56" t="n">
        <f aca="false">Q26+1</f>
        <v>20</v>
      </c>
      <c r="R27" s="57" t="n">
        <f aca="false">IF(AND(Q27&lt;=Assumptions!$C$44,U26=1),1,0)</f>
        <v>1</v>
      </c>
      <c r="S27" s="58" t="n">
        <f aca="false">IF(R27=1,S26*(1+$B$15),S26)</f>
        <v>29136.223450556</v>
      </c>
      <c r="T27" s="58" t="n">
        <f aca="false">IF(R27=1,T26*(1+$B$17)-S27,T26)</f>
        <v>171273.510158303</v>
      </c>
      <c r="U27" s="56" t="n">
        <f aca="false">IF(AND(R27=1,T27&gt;=0),1,0)</f>
        <v>1</v>
      </c>
      <c r="W27" s="56" t="n">
        <f aca="false">W26+1</f>
        <v>20</v>
      </c>
      <c r="X27" s="57" t="n">
        <f aca="false">IF(AND(W27&lt;=Assumptions!$C$44,AA26=1),1,0)</f>
        <v>1</v>
      </c>
      <c r="Y27" s="58" t="n">
        <f aca="false">IF(X27=1,Y26*(1+$B$15),Y26)</f>
        <v>29136.223450556</v>
      </c>
      <c r="Z27" s="58" t="n">
        <f aca="false">IF(X27=1,Z26*(1+$B$18)-Y27,Z26)</f>
        <v>422260.150767893</v>
      </c>
      <c r="AA27" s="56" t="n">
        <f aca="false">IF(AND(X27=1,Z27&gt;=0),1,0)</f>
        <v>1</v>
      </c>
    </row>
    <row r="28" customFormat="false" ht="15" hidden="false" customHeight="false" outlineLevel="0" collapsed="false">
      <c r="A28" s="4" t="s">
        <v>883</v>
      </c>
      <c r="B28" s="48" t="n">
        <f aca="false">$B$20</f>
        <v>26</v>
      </c>
      <c r="C28" s="49" t="str">
        <f aca="false">$B$20&amp;" yrs"</f>
        <v>26 yrs</v>
      </c>
      <c r="D28" s="42" t="s">
        <v>884</v>
      </c>
      <c r="E28" s="42"/>
      <c r="F28" s="42"/>
      <c r="G28" s="42"/>
      <c r="H28" s="42"/>
      <c r="I28" s="42"/>
      <c r="K28" s="56" t="n">
        <f aca="false">K27+1</f>
        <v>21</v>
      </c>
      <c r="L28" s="57" t="n">
        <f aca="false">IF(AND(K28&lt;=Assumptions!$C$44,O27=1),1,0)</f>
        <v>1</v>
      </c>
      <c r="M28" s="58" t="n">
        <f aca="false">IF(L28=1,M27*(1+$B$15),M27)</f>
        <v>29718.9479195671</v>
      </c>
      <c r="N28" s="58" t="n">
        <f aca="false">IF(L28=1,N27*(1+$B$16)-M28,N27)</f>
        <v>-17831.3687517401</v>
      </c>
      <c r="O28" s="56" t="n">
        <f aca="false">IF(AND(L28=1,N28&gt;=0),1,0)</f>
        <v>0</v>
      </c>
      <c r="Q28" s="56" t="n">
        <f aca="false">Q27+1</f>
        <v>21</v>
      </c>
      <c r="R28" s="57" t="n">
        <f aca="false">IF(AND(Q28&lt;=Assumptions!$C$44,U27=1),1,0)</f>
        <v>1</v>
      </c>
      <c r="S28" s="58" t="n">
        <f aca="false">IF(R28=1,S27*(1+$B$15),S27)</f>
        <v>29718.9479195671</v>
      </c>
      <c r="T28" s="58" t="n">
        <f aca="false">IF(R28=1,T27*(1+$B$17)-S28,T27)</f>
        <v>148405.502645068</v>
      </c>
      <c r="U28" s="56" t="n">
        <f aca="false">IF(AND(R28=1,T28&gt;=0),1,0)</f>
        <v>1</v>
      </c>
      <c r="W28" s="56" t="n">
        <f aca="false">W27+1</f>
        <v>21</v>
      </c>
      <c r="X28" s="57" t="n">
        <f aca="false">IF(AND(W28&lt;=Assumptions!$C$44,AA27=1),1,0)</f>
        <v>1</v>
      </c>
      <c r="Y28" s="58" t="n">
        <f aca="false">IF(X28=1,Y27*(1+$B$15),Y27)</f>
        <v>29718.9479195671</v>
      </c>
      <c r="Z28" s="58" t="n">
        <f aca="false">IF(X28=1,Z27*(1+$B$18)-Y28,Z27)</f>
        <v>417876.8118944</v>
      </c>
      <c r="AA28" s="56" t="n">
        <f aca="false">IF(AND(X28=1,Z28&gt;=0),1,0)</f>
        <v>1</v>
      </c>
    </row>
    <row r="29" customFormat="false" ht="15" hidden="false" customHeight="false" outlineLevel="0" collapsed="false">
      <c r="A29" s="4" t="s">
        <v>885</v>
      </c>
      <c r="B29" s="48" t="n">
        <f aca="false">$B$21</f>
        <v>41</v>
      </c>
      <c r="C29" s="64" t="str">
        <f aca="false">IF($B$21&gt;=Assumptions!$C$44,Assumptions!$C$44&amp;"+",$B$21)&amp;" yrs"</f>
        <v>41 yrs</v>
      </c>
      <c r="D29" s="42" t="s">
        <v>430</v>
      </c>
      <c r="E29" s="42"/>
      <c r="F29" s="42"/>
      <c r="G29" s="42"/>
      <c r="H29" s="42"/>
      <c r="I29" s="42"/>
      <c r="K29" s="56" t="n">
        <f aca="false">K28+1</f>
        <v>22</v>
      </c>
      <c r="L29" s="57" t="n">
        <f aca="false">IF(AND(K29&lt;=Assumptions!$C$44,O28=1),1,0)</f>
        <v>0</v>
      </c>
      <c r="M29" s="58" t="n">
        <f aca="false">IF(L29=1,M28*(1+$B$15),M28)</f>
        <v>29718.9479195671</v>
      </c>
      <c r="N29" s="58" t="n">
        <f aca="false">IF(L29=1,N28*(1+$B$16)-M29,N28)</f>
        <v>-17831.3687517401</v>
      </c>
      <c r="O29" s="56" t="n">
        <f aca="false">IF(AND(L29=1,N29&gt;=0),1,0)</f>
        <v>0</v>
      </c>
      <c r="Q29" s="56" t="n">
        <f aca="false">Q28+1</f>
        <v>22</v>
      </c>
      <c r="R29" s="57" t="n">
        <f aca="false">IF(AND(Q29&lt;=Assumptions!$C$44,U28=1),1,0)</f>
        <v>1</v>
      </c>
      <c r="S29" s="58" t="n">
        <f aca="false">IF(R29=1,S28*(1+$B$15),S28)</f>
        <v>30313.3268779584</v>
      </c>
      <c r="T29" s="58" t="n">
        <f aca="false">IF(R29=1,T28*(1+$B$17)-S29,T28)</f>
        <v>124028.395872912</v>
      </c>
      <c r="U29" s="56" t="n">
        <f aca="false">IF(AND(R29=1,T29&gt;=0),1,0)</f>
        <v>1</v>
      </c>
      <c r="W29" s="56" t="n">
        <f aca="false">W28+1</f>
        <v>22</v>
      </c>
      <c r="X29" s="57" t="n">
        <f aca="false">IF(AND(W29&lt;=Assumptions!$C$44,AA28=1),1,0)</f>
        <v>1</v>
      </c>
      <c r="Y29" s="58" t="n">
        <f aca="false">IF(X29=1,Y28*(1+$B$15),Y28)</f>
        <v>30313.3268779584</v>
      </c>
      <c r="Z29" s="58" t="n">
        <f aca="false">IF(X29=1,Z28*(1+$B$18)-Y29,Z28)</f>
        <v>412636.093730105</v>
      </c>
      <c r="AA29" s="56" t="n">
        <f aca="false">IF(AND(X29=1,Z29&gt;=0),1,0)</f>
        <v>1</v>
      </c>
    </row>
    <row r="30" customFormat="false" ht="15" hidden="false" customHeight="false" outlineLevel="0" collapsed="false">
      <c r="A30" s="4" t="s">
        <v>860</v>
      </c>
      <c r="B30" s="65" t="n">
        <f aca="false">IF(Assumptions!$C$6=1,Assumptions!$C$14,"")</f>
        <v>0.02</v>
      </c>
      <c r="C30" s="64" t="str">
        <f aca="false">IF(Assumptions!$C$6=1,ROUND((Assumptions!$C$14)*100,2)&amp;"%","")</f>
        <v>2%</v>
      </c>
      <c r="D30" s="42" t="s">
        <v>658</v>
      </c>
      <c r="E30" s="42"/>
      <c r="F30" s="42"/>
      <c r="G30" s="42"/>
      <c r="H30" s="42"/>
      <c r="I30" s="42"/>
      <c r="K30" s="56" t="n">
        <f aca="false">K29+1</f>
        <v>23</v>
      </c>
      <c r="L30" s="57" t="n">
        <f aca="false">IF(AND(K30&lt;=Assumptions!$C$44,O29=1),1,0)</f>
        <v>0</v>
      </c>
      <c r="M30" s="58" t="n">
        <f aca="false">IF(L30=1,M29*(1+$B$15),M29)</f>
        <v>29718.9479195671</v>
      </c>
      <c r="N30" s="58" t="n">
        <f aca="false">IF(L30=1,N29*(1+$B$16)-M30,N29)</f>
        <v>-17831.3687517401</v>
      </c>
      <c r="O30" s="56" t="n">
        <f aca="false">IF(AND(L30=1,N30&gt;=0),1,0)</f>
        <v>0</v>
      </c>
      <c r="Q30" s="56" t="n">
        <f aca="false">Q29+1</f>
        <v>23</v>
      </c>
      <c r="R30" s="57" t="n">
        <f aca="false">IF(AND(Q30&lt;=Assumptions!$C$44,U29=1),1,0)</f>
        <v>1</v>
      </c>
      <c r="S30" s="58" t="n">
        <f aca="false">IF(R30=1,S29*(1+$B$15),S29)</f>
        <v>30919.5934155176</v>
      </c>
      <c r="T30" s="58" t="n">
        <f aca="false">IF(R30=1,T29*(1+$B$17)-S30,T29)</f>
        <v>98069.9382923111</v>
      </c>
      <c r="U30" s="56" t="n">
        <f aca="false">IF(AND(R30=1,T30&gt;=0),1,0)</f>
        <v>1</v>
      </c>
      <c r="W30" s="56" t="n">
        <f aca="false">W29+1</f>
        <v>23</v>
      </c>
      <c r="X30" s="57" t="n">
        <f aca="false">IF(AND(W30&lt;=Assumptions!$C$44,AA29=1),1,0)</f>
        <v>1</v>
      </c>
      <c r="Y30" s="58" t="n">
        <f aca="false">IF(X30=1,Y29*(1+$B$15),Y29)</f>
        <v>30919.5934155176</v>
      </c>
      <c r="Z30" s="58" t="n">
        <f aca="false">IF(X30=1,Z29*(1+$B$18)-Y30,Z29)</f>
        <v>406474.665938394</v>
      </c>
      <c r="AA30" s="56" t="n">
        <f aca="false">IF(AND(X30=1,Z30&gt;=0),1,0)</f>
        <v>1</v>
      </c>
    </row>
    <row r="31" customFormat="false" ht="15" hidden="false" customHeight="false" outlineLevel="0" collapsed="false">
      <c r="K31" s="56" t="n">
        <f aca="false">K30+1</f>
        <v>24</v>
      </c>
      <c r="L31" s="57" t="n">
        <f aca="false">IF(AND(K31&lt;=Assumptions!$C$44,O30=1),1,0)</f>
        <v>0</v>
      </c>
      <c r="M31" s="58" t="n">
        <f aca="false">IF(L31=1,M30*(1+$B$15),M30)</f>
        <v>29718.9479195671</v>
      </c>
      <c r="N31" s="58" t="n">
        <f aca="false">IF(L31=1,N30*(1+$B$16)-M31,N30)</f>
        <v>-17831.3687517401</v>
      </c>
      <c r="O31" s="56" t="n">
        <f aca="false">IF(AND(L31=1,N31&gt;=0),1,0)</f>
        <v>0</v>
      </c>
      <c r="Q31" s="56" t="n">
        <f aca="false">Q30+1</f>
        <v>24</v>
      </c>
      <c r="R31" s="57" t="n">
        <f aca="false">IF(AND(Q31&lt;=Assumptions!$C$44,U30=1),1,0)</f>
        <v>1</v>
      </c>
      <c r="S31" s="58" t="n">
        <f aca="false">IF(R31=1,S30*(1+$B$15),S30)</f>
        <v>31537.9852838279</v>
      </c>
      <c r="T31" s="58" t="n">
        <f aca="false">IF(R31=1,T30*(1+$B$17)-S31,T30)</f>
        <v>70454.7505401756</v>
      </c>
      <c r="U31" s="56" t="n">
        <f aca="false">IF(AND(R31=1,T31&gt;=0),1,0)</f>
        <v>1</v>
      </c>
      <c r="W31" s="56" t="n">
        <f aca="false">W30+1</f>
        <v>24</v>
      </c>
      <c r="X31" s="57" t="n">
        <f aca="false">IF(AND(W31&lt;=Assumptions!$C$44,AA30=1),1,0)</f>
        <v>1</v>
      </c>
      <c r="Y31" s="58" t="n">
        <f aca="false">IF(X31=1,Y30*(1+$B$15),Y30)</f>
        <v>31537.9852838279</v>
      </c>
      <c r="Z31" s="58" t="n">
        <f aca="false">IF(X31=1,Z30*(1+$B$18)-Y31,Z30)</f>
        <v>399325.16061087</v>
      </c>
      <c r="AA31" s="56" t="n">
        <f aca="false">IF(AND(X31=1,Z31&gt;=0),1,0)</f>
        <v>1</v>
      </c>
    </row>
    <row r="32" customFormat="false" ht="15" hidden="false" customHeight="false" outlineLevel="0" collapsed="false">
      <c r="K32" s="56" t="n">
        <f aca="false">K31+1</f>
        <v>25</v>
      </c>
      <c r="L32" s="57" t="n">
        <f aca="false">IF(AND(K32&lt;=Assumptions!$C$44,O31=1),1,0)</f>
        <v>0</v>
      </c>
      <c r="M32" s="58" t="n">
        <f aca="false">IF(L32=1,M31*(1+$B$15),M31)</f>
        <v>29718.9479195671</v>
      </c>
      <c r="N32" s="58" t="n">
        <f aca="false">IF(L32=1,N31*(1+$B$16)-M32,N31)</f>
        <v>-17831.3687517401</v>
      </c>
      <c r="O32" s="56" t="n">
        <f aca="false">IF(AND(L32=1,N32&gt;=0),1,0)</f>
        <v>0</v>
      </c>
      <c r="Q32" s="56" t="n">
        <f aca="false">Q31+1</f>
        <v>25</v>
      </c>
      <c r="R32" s="57" t="n">
        <f aca="false">IF(AND(Q32&lt;=Assumptions!$C$44,U31=1),1,0)</f>
        <v>1</v>
      </c>
      <c r="S32" s="58" t="n">
        <f aca="false">IF(R32=1,S31*(1+$B$15),S31)</f>
        <v>32168.7449895045</v>
      </c>
      <c r="T32" s="58" t="n">
        <f aca="false">IF(R32=1,T31*(1+$B$17)-S32,T31)</f>
        <v>41104.1955722781</v>
      </c>
      <c r="U32" s="56" t="n">
        <f aca="false">IF(AND(R32=1,T32&gt;=0),1,0)</f>
        <v>1</v>
      </c>
      <c r="W32" s="56" t="n">
        <f aca="false">W31+1</f>
        <v>25</v>
      </c>
      <c r="X32" s="57" t="n">
        <f aca="false">IF(AND(W32&lt;=Assumptions!$C$44,AA31=1),1,0)</f>
        <v>1</v>
      </c>
      <c r="Y32" s="58" t="n">
        <f aca="false">IF(X32=1,Y31*(1+$B$15),Y31)</f>
        <v>32168.7449895045</v>
      </c>
      <c r="Z32" s="58" t="n">
        <f aca="false">IF(X32=1,Z31*(1+$B$18)-Y32,Z31)</f>
        <v>391115.925258018</v>
      </c>
      <c r="AA32" s="56" t="n">
        <f aca="false">IF(AND(X32=1,Z32&gt;=0),1,0)</f>
        <v>1</v>
      </c>
    </row>
    <row r="33" customFormat="false" ht="15" hidden="false" customHeight="false" outlineLevel="0" collapsed="false">
      <c r="K33" s="56" t="n">
        <f aca="false">K32+1</f>
        <v>26</v>
      </c>
      <c r="L33" s="57" t="n">
        <f aca="false">IF(AND(K33&lt;=Assumptions!$C$44,O32=1),1,0)</f>
        <v>0</v>
      </c>
      <c r="M33" s="58" t="n">
        <f aca="false">IF(L33=1,M32*(1+$B$15),M32)</f>
        <v>29718.9479195671</v>
      </c>
      <c r="N33" s="58" t="n">
        <f aca="false">IF(L33=1,N32*(1+$B$16)-M33,N32)</f>
        <v>-17831.3687517401</v>
      </c>
      <c r="O33" s="56" t="n">
        <f aca="false">IF(AND(L33=1,N33&gt;=0),1,0)</f>
        <v>0</v>
      </c>
      <c r="Q33" s="56" t="n">
        <f aca="false">Q32+1</f>
        <v>26</v>
      </c>
      <c r="R33" s="57" t="n">
        <f aca="false">IF(AND(Q33&lt;=Assumptions!$C$44,U32=1),1,0)</f>
        <v>1</v>
      </c>
      <c r="S33" s="58" t="n">
        <f aca="false">IF(R33=1,S32*(1+$B$15),S32)</f>
        <v>32812.1198892946</v>
      </c>
      <c r="T33" s="58" t="n">
        <f aca="false">IF(R33=1,T32*(1+$B$17)-S33,T32)</f>
        <v>9936.24350587463</v>
      </c>
      <c r="U33" s="56" t="n">
        <f aca="false">IF(AND(R33=1,T33&gt;=0),1,0)</f>
        <v>1</v>
      </c>
      <c r="W33" s="56" t="n">
        <f aca="false">W32+1</f>
        <v>26</v>
      </c>
      <c r="X33" s="57" t="n">
        <f aca="false">IF(AND(W33&lt;=Assumptions!$C$44,AA32=1),1,0)</f>
        <v>1</v>
      </c>
      <c r="Y33" s="58" t="n">
        <f aca="false">IF(X33=1,Y32*(1+$B$15),Y32)</f>
        <v>32812.1198892946</v>
      </c>
      <c r="Z33" s="58" t="n">
        <f aca="false">IF(X33=1,Z32*(1+$B$18)-Y33,Z32)</f>
        <v>381770.760884204</v>
      </c>
      <c r="AA33" s="56" t="n">
        <f aca="false">IF(AND(X33=1,Z33&gt;=0),1,0)</f>
        <v>1</v>
      </c>
    </row>
    <row r="34" customFormat="false" ht="15" hidden="false" customHeight="false" outlineLevel="0" collapsed="false">
      <c r="K34" s="56" t="n">
        <f aca="false">K33+1</f>
        <v>27</v>
      </c>
      <c r="L34" s="57" t="n">
        <f aca="false">IF(AND(K34&lt;=Assumptions!$C$44,O33=1),1,0)</f>
        <v>0</v>
      </c>
      <c r="M34" s="58" t="n">
        <f aca="false">IF(L34=1,M33*(1+$B$15),M33)</f>
        <v>29718.9479195671</v>
      </c>
      <c r="N34" s="58" t="n">
        <f aca="false">IF(L34=1,N33*(1+$B$16)-M34,N33)</f>
        <v>-17831.3687517401</v>
      </c>
      <c r="O34" s="56" t="n">
        <f aca="false">IF(AND(L34=1,N34&gt;=0),1,0)</f>
        <v>0</v>
      </c>
      <c r="Q34" s="56" t="n">
        <f aca="false">Q33+1</f>
        <v>27</v>
      </c>
      <c r="R34" s="57" t="n">
        <f aca="false">IF(AND(Q34&lt;=Assumptions!$C$44,U33=1),1,0)</f>
        <v>1</v>
      </c>
      <c r="S34" s="58" t="n">
        <f aca="false">IF(R34=1,S33*(1+$B$15),S33)</f>
        <v>33468.3622870805</v>
      </c>
      <c r="T34" s="58" t="n">
        <f aca="false">IF(R34=1,T33*(1+$B$17)-S34,T33)</f>
        <v>-23134.6690409709</v>
      </c>
      <c r="U34" s="56" t="n">
        <f aca="false">IF(AND(R34=1,T34&gt;=0),1,0)</f>
        <v>0</v>
      </c>
      <c r="W34" s="56" t="n">
        <f aca="false">W33+1</f>
        <v>27</v>
      </c>
      <c r="X34" s="57" t="n">
        <f aca="false">IF(AND(W34&lt;=Assumptions!$C$44,AA33=1),1,0)</f>
        <v>1</v>
      </c>
      <c r="Y34" s="58" t="n">
        <f aca="false">IF(X34=1,Y33*(1+$B$15),Y33)</f>
        <v>33468.3622870805</v>
      </c>
      <c r="Z34" s="58" t="n">
        <f aca="false">IF(X34=1,Z33*(1+$B$18)-Y34,Z33)</f>
        <v>371208.644250176</v>
      </c>
      <c r="AA34" s="56" t="n">
        <f aca="false">IF(AND(X34=1,Z34&gt;=0),1,0)</f>
        <v>1</v>
      </c>
    </row>
    <row r="35" customFormat="false" ht="15" hidden="false" customHeight="false" outlineLevel="0" collapsed="false">
      <c r="K35" s="56" t="n">
        <f aca="false">K34+1</f>
        <v>28</v>
      </c>
      <c r="L35" s="57" t="n">
        <f aca="false">IF(AND(K35&lt;=Assumptions!$C$44,O34=1),1,0)</f>
        <v>0</v>
      </c>
      <c r="M35" s="58" t="n">
        <f aca="false">IF(L35=1,M34*(1+$B$15),M34)</f>
        <v>29718.9479195671</v>
      </c>
      <c r="N35" s="58" t="n">
        <f aca="false">IF(L35=1,N34*(1+$B$16)-M35,N34)</f>
        <v>-17831.3687517401</v>
      </c>
      <c r="O35" s="56" t="n">
        <f aca="false">IF(AND(L35=1,N35&gt;=0),1,0)</f>
        <v>0</v>
      </c>
      <c r="Q35" s="56" t="n">
        <f aca="false">Q34+1</f>
        <v>28</v>
      </c>
      <c r="R35" s="57" t="n">
        <f aca="false">IF(AND(Q35&lt;=Assumptions!$C$44,U34=1),1,0)</f>
        <v>0</v>
      </c>
      <c r="S35" s="58" t="n">
        <f aca="false">IF(R35=1,S34*(1+$B$15),S34)</f>
        <v>33468.3622870805</v>
      </c>
      <c r="T35" s="58" t="n">
        <f aca="false">IF(R35=1,T34*(1+$B$17)-S35,T34)</f>
        <v>-23134.6690409709</v>
      </c>
      <c r="U35" s="56" t="n">
        <f aca="false">IF(AND(R35=1,T35&gt;=0),1,0)</f>
        <v>0</v>
      </c>
      <c r="W35" s="56" t="n">
        <f aca="false">W34+1</f>
        <v>28</v>
      </c>
      <c r="X35" s="57" t="n">
        <f aca="false">IF(AND(W35&lt;=Assumptions!$C$44,AA34=1),1,0)</f>
        <v>1</v>
      </c>
      <c r="Y35" s="58" t="n">
        <f aca="false">IF(X35=1,Y34*(1+$B$15),Y34)</f>
        <v>34137.7295328221</v>
      </c>
      <c r="Z35" s="58" t="n">
        <f aca="false">IF(X35=1,Z34*(1+$B$18)-Y35,Z34)</f>
        <v>359343.433372364</v>
      </c>
      <c r="AA35" s="56" t="n">
        <f aca="false">IF(AND(X35=1,Z35&gt;=0),1,0)</f>
        <v>1</v>
      </c>
    </row>
    <row r="36" customFormat="false" ht="15" hidden="false" customHeight="false" outlineLevel="0" collapsed="false">
      <c r="K36" s="56" t="n">
        <f aca="false">K35+1</f>
        <v>29</v>
      </c>
      <c r="L36" s="57" t="n">
        <f aca="false">IF(AND(K36&lt;=Assumptions!$C$44,O35=1),1,0)</f>
        <v>0</v>
      </c>
      <c r="M36" s="58" t="n">
        <f aca="false">IF(L36=1,M35*(1+$B$15),M35)</f>
        <v>29718.9479195671</v>
      </c>
      <c r="N36" s="58" t="n">
        <f aca="false">IF(L36=1,N35*(1+$B$16)-M36,N35)</f>
        <v>-17831.3687517401</v>
      </c>
      <c r="O36" s="56" t="n">
        <f aca="false">IF(AND(L36=1,N36&gt;=0),1,0)</f>
        <v>0</v>
      </c>
      <c r="Q36" s="56" t="n">
        <f aca="false">Q35+1</f>
        <v>29</v>
      </c>
      <c r="R36" s="57" t="n">
        <f aca="false">IF(AND(Q36&lt;=Assumptions!$C$44,U35=1),1,0)</f>
        <v>0</v>
      </c>
      <c r="S36" s="58" t="n">
        <f aca="false">IF(R36=1,S35*(1+$B$15),S35)</f>
        <v>33468.3622870805</v>
      </c>
      <c r="T36" s="58" t="n">
        <f aca="false">IF(R36=1,T35*(1+$B$17)-S36,T35)</f>
        <v>-23134.6690409709</v>
      </c>
      <c r="U36" s="56" t="n">
        <f aca="false">IF(AND(R36=1,T36&gt;=0),1,0)</f>
        <v>0</v>
      </c>
      <c r="W36" s="56" t="n">
        <f aca="false">W35+1</f>
        <v>29</v>
      </c>
      <c r="X36" s="57" t="n">
        <f aca="false">IF(AND(W36&lt;=Assumptions!$C$44,AA35=1),1,0)</f>
        <v>1</v>
      </c>
      <c r="Y36" s="58" t="n">
        <f aca="false">IF(X36=1,Y35*(1+$B$15),Y35)</f>
        <v>34820.4841234785</v>
      </c>
      <c r="Z36" s="58" t="n">
        <f aca="false">IF(X36=1,Z35*(1+$B$18)-Y36,Z35)</f>
        <v>346083.555251228</v>
      </c>
      <c r="AA36" s="56" t="n">
        <f aca="false">IF(AND(X36=1,Z36&gt;=0),1,0)</f>
        <v>1</v>
      </c>
    </row>
    <row r="37" customFormat="false" ht="15" hidden="false" customHeight="false" outlineLevel="0" collapsed="false">
      <c r="K37" s="56" t="n">
        <f aca="false">K36+1</f>
        <v>30</v>
      </c>
      <c r="L37" s="57" t="n">
        <f aca="false">IF(AND(K37&lt;=Assumptions!$C$44,O36=1),1,0)</f>
        <v>0</v>
      </c>
      <c r="M37" s="58" t="n">
        <f aca="false">IF(L37=1,M36*(1+$B$15),M36)</f>
        <v>29718.9479195671</v>
      </c>
      <c r="N37" s="58" t="n">
        <f aca="false">IF(L37=1,N36*(1+$B$16)-M37,N36)</f>
        <v>-17831.3687517401</v>
      </c>
      <c r="O37" s="56" t="n">
        <f aca="false">IF(AND(L37=1,N37&gt;=0),1,0)</f>
        <v>0</v>
      </c>
      <c r="Q37" s="56" t="n">
        <f aca="false">Q36+1</f>
        <v>30</v>
      </c>
      <c r="R37" s="57" t="n">
        <f aca="false">IF(AND(Q37&lt;=Assumptions!$C$44,U36=1),1,0)</f>
        <v>0</v>
      </c>
      <c r="S37" s="58" t="n">
        <f aca="false">IF(R37=1,S36*(1+$B$15),S36)</f>
        <v>33468.3622870805</v>
      </c>
      <c r="T37" s="58" t="n">
        <f aca="false">IF(R37=1,T36*(1+$B$17)-S37,T36)</f>
        <v>-23134.6690409709</v>
      </c>
      <c r="U37" s="56" t="n">
        <f aca="false">IF(AND(R37=1,T37&gt;=0),1,0)</f>
        <v>0</v>
      </c>
      <c r="W37" s="56" t="n">
        <f aca="false">W36+1</f>
        <v>30</v>
      </c>
      <c r="X37" s="57" t="n">
        <f aca="false">IF(AND(W37&lt;=Assumptions!$C$44,AA36=1),1,0)</f>
        <v>1</v>
      </c>
      <c r="Y37" s="58" t="n">
        <f aca="false">IF(X37=1,Y36*(1+$B$15),Y36)</f>
        <v>35516.8938059481</v>
      </c>
      <c r="Z37" s="58" t="n">
        <f aca="false">IF(X37=1,Z36*(1+$B$18)-Y37,Z36)</f>
        <v>331331.674760353</v>
      </c>
      <c r="AA37" s="56" t="n">
        <f aca="false">IF(AND(X37=1,Z37&gt;=0),1,0)</f>
        <v>1</v>
      </c>
    </row>
    <row r="38" customFormat="false" ht="15" hidden="false" customHeight="false" outlineLevel="0" collapsed="false">
      <c r="K38" s="56" t="n">
        <f aca="false">K37+1</f>
        <v>31</v>
      </c>
      <c r="L38" s="57" t="n">
        <f aca="false">IF(AND(K38&lt;=Assumptions!$C$44,O37=1),1,0)</f>
        <v>0</v>
      </c>
      <c r="M38" s="58" t="n">
        <f aca="false">IF(L38=1,M37*(1+$B$15),M37)</f>
        <v>29718.9479195671</v>
      </c>
      <c r="N38" s="58" t="n">
        <f aca="false">IF(L38=1,N37*(1+$B$16)-M38,N37)</f>
        <v>-17831.3687517401</v>
      </c>
      <c r="O38" s="56" t="n">
        <f aca="false">IF(AND(L38=1,N38&gt;=0),1,0)</f>
        <v>0</v>
      </c>
      <c r="Q38" s="56" t="n">
        <f aca="false">Q37+1</f>
        <v>31</v>
      </c>
      <c r="R38" s="57" t="n">
        <f aca="false">IF(AND(Q38&lt;=Assumptions!$C$44,U37=1),1,0)</f>
        <v>0</v>
      </c>
      <c r="S38" s="58" t="n">
        <f aca="false">IF(R38=1,S37*(1+$B$15),S37)</f>
        <v>33468.3622870805</v>
      </c>
      <c r="T38" s="58" t="n">
        <f aca="false">IF(R38=1,T37*(1+$B$17)-S38,T37)</f>
        <v>-23134.6690409709</v>
      </c>
      <c r="U38" s="56" t="n">
        <f aca="false">IF(AND(R38=1,T38&gt;=0),1,0)</f>
        <v>0</v>
      </c>
      <c r="W38" s="56" t="n">
        <f aca="false">W37+1</f>
        <v>31</v>
      </c>
      <c r="X38" s="57" t="n">
        <f aca="false">IF(AND(W38&lt;=Assumptions!$C$44,AA37=1),1,0)</f>
        <v>1</v>
      </c>
      <c r="Y38" s="58" t="n">
        <f aca="false">IF(X38=1,Y37*(1+$B$15),Y37)</f>
        <v>36227.2316820671</v>
      </c>
      <c r="Z38" s="58" t="n">
        <f aca="false">IF(X38=1,Z37*(1+$B$18)-Y38,Z37)</f>
        <v>314984.343563907</v>
      </c>
      <c r="AA38" s="56" t="n">
        <f aca="false">IF(AND(X38=1,Z38&gt;=0),1,0)</f>
        <v>1</v>
      </c>
    </row>
    <row r="39" customFormat="false" ht="15" hidden="false" customHeight="false" outlineLevel="0" collapsed="false">
      <c r="K39" s="56" t="n">
        <f aca="false">K38+1</f>
        <v>32</v>
      </c>
      <c r="L39" s="57" t="n">
        <f aca="false">IF(AND(K39&lt;=Assumptions!$C$44,O38=1),1,0)</f>
        <v>0</v>
      </c>
      <c r="M39" s="58" t="n">
        <f aca="false">IF(L39=1,M38*(1+$B$15),M38)</f>
        <v>29718.9479195671</v>
      </c>
      <c r="N39" s="58" t="n">
        <f aca="false">IF(L39=1,N38*(1+$B$16)-M39,N38)</f>
        <v>-17831.3687517401</v>
      </c>
      <c r="O39" s="56" t="n">
        <f aca="false">IF(AND(L39=1,N39&gt;=0),1,0)</f>
        <v>0</v>
      </c>
      <c r="Q39" s="56" t="n">
        <f aca="false">Q38+1</f>
        <v>32</v>
      </c>
      <c r="R39" s="57" t="n">
        <f aca="false">IF(AND(Q39&lt;=Assumptions!$C$44,U38=1),1,0)</f>
        <v>0</v>
      </c>
      <c r="S39" s="58" t="n">
        <f aca="false">IF(R39=1,S38*(1+$B$15),S38)</f>
        <v>33468.3622870805</v>
      </c>
      <c r="T39" s="58" t="n">
        <f aca="false">IF(R39=1,T38*(1+$B$17)-S39,T38)</f>
        <v>-23134.6690409709</v>
      </c>
      <c r="U39" s="56" t="n">
        <f aca="false">IF(AND(R39=1,T39&gt;=0),1,0)</f>
        <v>0</v>
      </c>
      <c r="W39" s="56" t="n">
        <f aca="false">W38+1</f>
        <v>32</v>
      </c>
      <c r="X39" s="57" t="n">
        <f aca="false">IF(AND(W39&lt;=Assumptions!$C$44,AA38=1),1,0)</f>
        <v>1</v>
      </c>
      <c r="Y39" s="58" t="n">
        <f aca="false">IF(X39=1,Y38*(1+$B$15),Y38)</f>
        <v>36951.7763157084</v>
      </c>
      <c r="Z39" s="58" t="n">
        <f aca="false">IF(X39=1,Z38*(1+$B$18)-Y39,Z38)</f>
        <v>296931.627862033</v>
      </c>
      <c r="AA39" s="56" t="n">
        <f aca="false">IF(AND(X39=1,Z39&gt;=0),1,0)</f>
        <v>1</v>
      </c>
    </row>
    <row r="40" customFormat="false" ht="15" hidden="false" customHeight="false" outlineLevel="0" collapsed="false">
      <c r="K40" s="56" t="n">
        <f aca="false">K39+1</f>
        <v>33</v>
      </c>
      <c r="L40" s="57" t="n">
        <f aca="false">IF(AND(K40&lt;=Assumptions!$C$44,O39=1),1,0)</f>
        <v>0</v>
      </c>
      <c r="M40" s="58" t="n">
        <f aca="false">IF(L40=1,M39*(1+$B$15),M39)</f>
        <v>29718.9479195671</v>
      </c>
      <c r="N40" s="58" t="n">
        <f aca="false">IF(L40=1,N39*(1+$B$16)-M40,N39)</f>
        <v>-17831.3687517401</v>
      </c>
      <c r="O40" s="56" t="n">
        <f aca="false">IF(AND(L40=1,N40&gt;=0),1,0)</f>
        <v>0</v>
      </c>
      <c r="Q40" s="56" t="n">
        <f aca="false">Q39+1</f>
        <v>33</v>
      </c>
      <c r="R40" s="57" t="n">
        <f aca="false">IF(AND(Q40&lt;=Assumptions!$C$44,U39=1),1,0)</f>
        <v>0</v>
      </c>
      <c r="S40" s="58" t="n">
        <f aca="false">IF(R40=1,S39*(1+$B$15),S39)</f>
        <v>33468.3622870805</v>
      </c>
      <c r="T40" s="58" t="n">
        <f aca="false">IF(R40=1,T39*(1+$B$17)-S40,T39)</f>
        <v>-23134.6690409709</v>
      </c>
      <c r="U40" s="56" t="n">
        <f aca="false">IF(AND(R40=1,T40&gt;=0),1,0)</f>
        <v>0</v>
      </c>
      <c r="W40" s="56" t="n">
        <f aca="false">W39+1</f>
        <v>33</v>
      </c>
      <c r="X40" s="57" t="n">
        <f aca="false">IF(AND(W40&lt;=Assumptions!$C$44,AA39=1),1,0)</f>
        <v>1</v>
      </c>
      <c r="Y40" s="58" t="n">
        <f aca="false">IF(X40=1,Y39*(1+$B$15),Y39)</f>
        <v>37690.8118420226</v>
      </c>
      <c r="Z40" s="58" t="n">
        <f aca="false">IF(X40=1,Z39*(1+$B$18)-Y40,Z39)</f>
        <v>277056.713691733</v>
      </c>
      <c r="AA40" s="56" t="n">
        <f aca="false">IF(AND(X40=1,Z40&gt;=0),1,0)</f>
        <v>1</v>
      </c>
    </row>
    <row r="41" customFormat="false" ht="15" hidden="false" customHeight="false" outlineLevel="0" collapsed="false">
      <c r="K41" s="56" t="n">
        <f aca="false">K40+1</f>
        <v>34</v>
      </c>
      <c r="L41" s="57" t="n">
        <f aca="false">IF(AND(K41&lt;=Assumptions!$C$44,O40=1),1,0)</f>
        <v>0</v>
      </c>
      <c r="M41" s="58" t="n">
        <f aca="false">IF(L41=1,M40*(1+$B$15),M40)</f>
        <v>29718.9479195671</v>
      </c>
      <c r="N41" s="58" t="n">
        <f aca="false">IF(L41=1,N40*(1+$B$16)-M41,N40)</f>
        <v>-17831.3687517401</v>
      </c>
      <c r="O41" s="56" t="n">
        <f aca="false">IF(AND(L41=1,N41&gt;=0),1,0)</f>
        <v>0</v>
      </c>
      <c r="Q41" s="56" t="n">
        <f aca="false">Q40+1</f>
        <v>34</v>
      </c>
      <c r="R41" s="57" t="n">
        <f aca="false">IF(AND(Q41&lt;=Assumptions!$C$44,U40=1),1,0)</f>
        <v>0</v>
      </c>
      <c r="S41" s="58" t="n">
        <f aca="false">IF(R41=1,S40*(1+$B$15),S40)</f>
        <v>33468.3622870805</v>
      </c>
      <c r="T41" s="58" t="n">
        <f aca="false">IF(R41=1,T40*(1+$B$17)-S41,T40)</f>
        <v>-23134.6690409709</v>
      </c>
      <c r="U41" s="56" t="n">
        <f aca="false">IF(AND(R41=1,T41&gt;=0),1,0)</f>
        <v>0</v>
      </c>
      <c r="W41" s="56" t="n">
        <f aca="false">W40+1</f>
        <v>34</v>
      </c>
      <c r="X41" s="57" t="n">
        <f aca="false">IF(AND(W41&lt;=Assumptions!$C$44,AA40=1),1,0)</f>
        <v>1</v>
      </c>
      <c r="Y41" s="58" t="n">
        <f aca="false">IF(X41=1,Y40*(1+$B$15),Y40)</f>
        <v>38444.628078863</v>
      </c>
      <c r="Z41" s="58" t="n">
        <f aca="false">IF(X41=1,Z40*(1+$B$18)-Y41,Z40)</f>
        <v>255235.488434374</v>
      </c>
      <c r="AA41" s="56" t="n">
        <f aca="false">IF(AND(X41=1,Z41&gt;=0),1,0)</f>
        <v>1</v>
      </c>
    </row>
    <row r="42" customFormat="false" ht="15" hidden="false" customHeight="false" outlineLevel="0" collapsed="false">
      <c r="K42" s="56" t="n">
        <f aca="false">K41+1</f>
        <v>35</v>
      </c>
      <c r="L42" s="57" t="n">
        <f aca="false">IF(AND(K42&lt;=Assumptions!$C$44,O41=1),1,0)</f>
        <v>0</v>
      </c>
      <c r="M42" s="58" t="n">
        <f aca="false">IF(L42=1,M41*(1+$B$15),M41)</f>
        <v>29718.9479195671</v>
      </c>
      <c r="N42" s="58" t="n">
        <f aca="false">IF(L42=1,N41*(1+$B$16)-M42,N41)</f>
        <v>-17831.3687517401</v>
      </c>
      <c r="O42" s="56" t="n">
        <f aca="false">IF(AND(L42=1,N42&gt;=0),1,0)</f>
        <v>0</v>
      </c>
      <c r="Q42" s="56" t="n">
        <f aca="false">Q41+1</f>
        <v>35</v>
      </c>
      <c r="R42" s="57" t="n">
        <f aca="false">IF(AND(Q42&lt;=Assumptions!$C$44,U41=1),1,0)</f>
        <v>0</v>
      </c>
      <c r="S42" s="58" t="n">
        <f aca="false">IF(R42=1,S41*(1+$B$15),S41)</f>
        <v>33468.3622870805</v>
      </c>
      <c r="T42" s="58" t="n">
        <f aca="false">IF(R42=1,T41*(1+$B$17)-S42,T41)</f>
        <v>-23134.6690409709</v>
      </c>
      <c r="U42" s="56" t="n">
        <f aca="false">IF(AND(R42=1,T42&gt;=0),1,0)</f>
        <v>0</v>
      </c>
      <c r="W42" s="56" t="n">
        <f aca="false">W41+1</f>
        <v>35</v>
      </c>
      <c r="X42" s="57" t="n">
        <f aca="false">IF(AND(W42&lt;=Assumptions!$C$44,AA41=1),1,0)</f>
        <v>1</v>
      </c>
      <c r="Y42" s="58" t="n">
        <f aca="false">IF(X42=1,Y41*(1+$B$15),Y41)</f>
        <v>39213.5206404403</v>
      </c>
      <c r="Z42" s="58" t="n">
        <f aca="false">IF(X42=1,Z41*(1+$B$18)-Y42,Z41)</f>
        <v>231336.097099996</v>
      </c>
      <c r="AA42" s="56" t="n">
        <f aca="false">IF(AND(X42=1,Z42&gt;=0),1,0)</f>
        <v>1</v>
      </c>
    </row>
    <row r="43" customFormat="false" ht="15" hidden="false" customHeight="false" outlineLevel="0" collapsed="false">
      <c r="K43" s="56" t="n">
        <f aca="false">K42+1</f>
        <v>36</v>
      </c>
      <c r="L43" s="57" t="n">
        <f aca="false">IF(AND(K43&lt;=Assumptions!$C$44,O42=1),1,0)</f>
        <v>0</v>
      </c>
      <c r="M43" s="58" t="n">
        <f aca="false">IF(L43=1,M42*(1+$B$15),M42)</f>
        <v>29718.9479195671</v>
      </c>
      <c r="N43" s="58" t="n">
        <f aca="false">IF(L43=1,N42*(1+$B$16)-M43,N42)</f>
        <v>-17831.3687517401</v>
      </c>
      <c r="O43" s="56" t="n">
        <f aca="false">IF(AND(L43=1,N43&gt;=0),1,0)</f>
        <v>0</v>
      </c>
      <c r="Q43" s="56" t="n">
        <f aca="false">Q42+1</f>
        <v>36</v>
      </c>
      <c r="R43" s="57" t="n">
        <f aca="false">IF(AND(Q43&lt;=Assumptions!$C$44,U42=1),1,0)</f>
        <v>0</v>
      </c>
      <c r="S43" s="58" t="n">
        <f aca="false">IF(R43=1,S42*(1+$B$15),S42)</f>
        <v>33468.3622870805</v>
      </c>
      <c r="T43" s="58" t="n">
        <f aca="false">IF(R43=1,T42*(1+$B$17)-S43,T42)</f>
        <v>-23134.6690409709</v>
      </c>
      <c r="U43" s="56" t="n">
        <f aca="false">IF(AND(R43=1,T43&gt;=0),1,0)</f>
        <v>0</v>
      </c>
      <c r="W43" s="56" t="n">
        <f aca="false">W42+1</f>
        <v>36</v>
      </c>
      <c r="X43" s="57" t="n">
        <f aca="false">IF(AND(W43&lt;=Assumptions!$C$44,AA42=1),1,0)</f>
        <v>1</v>
      </c>
      <c r="Y43" s="58" t="n">
        <f aca="false">IF(X43=1,Y42*(1+$B$15),Y42)</f>
        <v>39997.7910532491</v>
      </c>
      <c r="Z43" s="58" t="n">
        <f aca="false">IF(X43=1,Z42*(1+$B$18)-Y43,Z42)</f>
        <v>205218.471872746</v>
      </c>
      <c r="AA43" s="56" t="n">
        <f aca="false">IF(AND(X43=1,Z43&gt;=0),1,0)</f>
        <v>1</v>
      </c>
    </row>
    <row r="44" customFormat="false" ht="15" hidden="false" customHeight="false" outlineLevel="0" collapsed="false">
      <c r="K44" s="56" t="n">
        <f aca="false">K43+1</f>
        <v>37</v>
      </c>
      <c r="L44" s="57" t="n">
        <f aca="false">IF(AND(K44&lt;=Assumptions!$C$44,O43=1),1,0)</f>
        <v>0</v>
      </c>
      <c r="M44" s="58" t="n">
        <f aca="false">IF(L44=1,M43*(1+$B$15),M43)</f>
        <v>29718.9479195671</v>
      </c>
      <c r="N44" s="58" t="n">
        <f aca="false">IF(L44=1,N43*(1+$B$16)-M44,N43)</f>
        <v>-17831.3687517401</v>
      </c>
      <c r="O44" s="56" t="n">
        <f aca="false">IF(AND(L44=1,N44&gt;=0),1,0)</f>
        <v>0</v>
      </c>
      <c r="Q44" s="56" t="n">
        <f aca="false">Q43+1</f>
        <v>37</v>
      </c>
      <c r="R44" s="57" t="n">
        <f aca="false">IF(AND(Q44&lt;=Assumptions!$C$44,U43=1),1,0)</f>
        <v>0</v>
      </c>
      <c r="S44" s="58" t="n">
        <f aca="false">IF(R44=1,S43*(1+$B$15),S43)</f>
        <v>33468.3622870805</v>
      </c>
      <c r="T44" s="58" t="n">
        <f aca="false">IF(R44=1,T43*(1+$B$17)-S44,T43)</f>
        <v>-23134.6690409709</v>
      </c>
      <c r="U44" s="56" t="n">
        <f aca="false">IF(AND(R44=1,T44&gt;=0),1,0)</f>
        <v>0</v>
      </c>
      <c r="W44" s="56" t="n">
        <f aca="false">W43+1</f>
        <v>37</v>
      </c>
      <c r="X44" s="57" t="n">
        <f aca="false">IF(AND(W44&lt;=Assumptions!$C$44,AA43=1),1,0)</f>
        <v>1</v>
      </c>
      <c r="Y44" s="58" t="n">
        <f aca="false">IF(X44=1,Y43*(1+$B$15),Y43)</f>
        <v>40797.7468743141</v>
      </c>
      <c r="Z44" s="58" t="n">
        <f aca="false">IF(X44=1,Z43*(1+$B$18)-Y44,Z43)</f>
        <v>176733.833310797</v>
      </c>
      <c r="AA44" s="56" t="n">
        <f aca="false">IF(AND(X44=1,Z44&gt;=0),1,0)</f>
        <v>1</v>
      </c>
    </row>
    <row r="45" customFormat="false" ht="15" hidden="false" customHeight="false" outlineLevel="0" collapsed="false">
      <c r="K45" s="56" t="n">
        <f aca="false">K44+1</f>
        <v>38</v>
      </c>
      <c r="L45" s="57" t="n">
        <f aca="false">IF(AND(K45&lt;=Assumptions!$C$44,O44=1),1,0)</f>
        <v>0</v>
      </c>
      <c r="M45" s="58" t="n">
        <f aca="false">IF(L45=1,M44*(1+$B$15),M44)</f>
        <v>29718.9479195671</v>
      </c>
      <c r="N45" s="58" t="n">
        <f aca="false">IF(L45=1,N44*(1+$B$16)-M45,N44)</f>
        <v>-17831.3687517401</v>
      </c>
      <c r="O45" s="56" t="n">
        <f aca="false">IF(AND(L45=1,N45&gt;=0),1,0)</f>
        <v>0</v>
      </c>
      <c r="Q45" s="56" t="n">
        <f aca="false">Q44+1</f>
        <v>38</v>
      </c>
      <c r="R45" s="57" t="n">
        <f aca="false">IF(AND(Q45&lt;=Assumptions!$C$44,U44=1),1,0)</f>
        <v>0</v>
      </c>
      <c r="S45" s="58" t="n">
        <f aca="false">IF(R45=1,S44*(1+$B$15),S44)</f>
        <v>33468.3622870805</v>
      </c>
      <c r="T45" s="58" t="n">
        <f aca="false">IF(R45=1,T44*(1+$B$17)-S45,T44)</f>
        <v>-23134.6690409709</v>
      </c>
      <c r="U45" s="56" t="n">
        <f aca="false">IF(AND(R45=1,T45&gt;=0),1,0)</f>
        <v>0</v>
      </c>
      <c r="W45" s="56" t="n">
        <f aca="false">W44+1</f>
        <v>38</v>
      </c>
      <c r="X45" s="57" t="n">
        <f aca="false">IF(AND(W45&lt;=Assumptions!$C$44,AA44=1),1,0)</f>
        <v>1</v>
      </c>
      <c r="Y45" s="58" t="n">
        <f aca="false">IF(X45=1,Y44*(1+$B$15),Y44)</f>
        <v>41613.7018118004</v>
      </c>
      <c r="Z45" s="58" t="n">
        <f aca="false">IF(X45=1,Z44*(1+$B$18)-Y45,Z44)</f>
        <v>145724.161497645</v>
      </c>
      <c r="AA45" s="56" t="n">
        <f aca="false">IF(AND(X45=1,Z45&gt;=0),1,0)</f>
        <v>1</v>
      </c>
    </row>
    <row r="46" customFormat="false" ht="15" hidden="false" customHeight="false" outlineLevel="0" collapsed="false">
      <c r="K46" s="56" t="n">
        <f aca="false">K45+1</f>
        <v>39</v>
      </c>
      <c r="L46" s="57" t="n">
        <f aca="false">IF(AND(K46&lt;=Assumptions!$C$44,O45=1),1,0)</f>
        <v>0</v>
      </c>
      <c r="M46" s="58" t="n">
        <f aca="false">IF(L46=1,M45*(1+$B$15),M45)</f>
        <v>29718.9479195671</v>
      </c>
      <c r="N46" s="58" t="n">
        <f aca="false">IF(L46=1,N45*(1+$B$16)-M46,N45)</f>
        <v>-17831.3687517401</v>
      </c>
      <c r="O46" s="56" t="n">
        <f aca="false">IF(AND(L46=1,N46&gt;=0),1,0)</f>
        <v>0</v>
      </c>
      <c r="Q46" s="56" t="n">
        <f aca="false">Q45+1</f>
        <v>39</v>
      </c>
      <c r="R46" s="57" t="n">
        <f aca="false">IF(AND(Q46&lt;=Assumptions!$C$44,U45=1),1,0)</f>
        <v>0</v>
      </c>
      <c r="S46" s="58" t="n">
        <f aca="false">IF(R46=1,S45*(1+$B$15),S45)</f>
        <v>33468.3622870805</v>
      </c>
      <c r="T46" s="58" t="n">
        <f aca="false">IF(R46=1,T45*(1+$B$17)-S46,T45)</f>
        <v>-23134.6690409709</v>
      </c>
      <c r="U46" s="56" t="n">
        <f aca="false">IF(AND(R46=1,T46&gt;=0),1,0)</f>
        <v>0</v>
      </c>
      <c r="W46" s="56" t="n">
        <f aca="false">W45+1</f>
        <v>39</v>
      </c>
      <c r="X46" s="57" t="n">
        <f aca="false">IF(AND(W46&lt;=Assumptions!$C$44,AA45=1),1,0)</f>
        <v>1</v>
      </c>
      <c r="Y46" s="58" t="n">
        <f aca="false">IF(X46=1,Y45*(1+$B$15),Y45)</f>
        <v>42445.9758480364</v>
      </c>
      <c r="Z46" s="58" t="n">
        <f aca="false">IF(X46=1,Z45*(1+$B$18)-Y46,Z45)</f>
        <v>112021.635339467</v>
      </c>
      <c r="AA46" s="56" t="n">
        <f aca="false">IF(AND(X46=1,Z46&gt;=0),1,0)</f>
        <v>1</v>
      </c>
    </row>
    <row r="47" customFormat="false" ht="15" hidden="false" customHeight="false" outlineLevel="0" collapsed="false">
      <c r="K47" s="56" t="n">
        <f aca="false">K46+1</f>
        <v>40</v>
      </c>
      <c r="L47" s="57" t="n">
        <f aca="false">IF(AND(K47&lt;=Assumptions!$C$44,O46=1),1,0)</f>
        <v>0</v>
      </c>
      <c r="M47" s="58" t="n">
        <f aca="false">IF(L47=1,M46*(1+$B$15),M46)</f>
        <v>29718.9479195671</v>
      </c>
      <c r="N47" s="58" t="n">
        <f aca="false">IF(L47=1,N46*(1+$B$16)-M47,N46)</f>
        <v>-17831.3687517401</v>
      </c>
      <c r="O47" s="56" t="n">
        <f aca="false">IF(AND(L47=1,N47&gt;=0),1,0)</f>
        <v>0</v>
      </c>
      <c r="Q47" s="56" t="n">
        <f aca="false">Q46+1</f>
        <v>40</v>
      </c>
      <c r="R47" s="57" t="n">
        <f aca="false">IF(AND(Q47&lt;=Assumptions!$C$44,U46=1),1,0)</f>
        <v>0</v>
      </c>
      <c r="S47" s="58" t="n">
        <f aca="false">IF(R47=1,S46*(1+$B$15),S46)</f>
        <v>33468.3622870805</v>
      </c>
      <c r="T47" s="58" t="n">
        <f aca="false">IF(R47=1,T46*(1+$B$17)-S47,T46)</f>
        <v>-23134.6690409709</v>
      </c>
      <c r="U47" s="56" t="n">
        <f aca="false">IF(AND(R47=1,T47&gt;=0),1,0)</f>
        <v>0</v>
      </c>
      <c r="W47" s="56" t="n">
        <f aca="false">W46+1</f>
        <v>40</v>
      </c>
      <c r="X47" s="57" t="n">
        <f aca="false">IF(AND(W47&lt;=Assumptions!$C$44,AA46=1),1,0)</f>
        <v>1</v>
      </c>
      <c r="Y47" s="58" t="n">
        <f aca="false">IF(X47=1,Y46*(1+$B$15),Y46)</f>
        <v>43294.8953649971</v>
      </c>
      <c r="Z47" s="58" t="n">
        <f aca="false">IF(X47=1,Z46*(1+$B$18)-Y47,Z46)</f>
        <v>75448.0380948379</v>
      </c>
      <c r="AA47" s="56" t="n">
        <f aca="false">IF(AND(X47=1,Z47&gt;=0),1,0)</f>
        <v>1</v>
      </c>
    </row>
    <row r="48" customFormat="false" ht="15" hidden="false" customHeight="false" outlineLevel="0" collapsed="false">
      <c r="K48" s="56" t="n">
        <f aca="false">K47+1</f>
        <v>41</v>
      </c>
      <c r="L48" s="57" t="n">
        <f aca="false">IF(AND(K48&lt;=Assumptions!$C$44,O47=1),1,0)</f>
        <v>0</v>
      </c>
      <c r="M48" s="58" t="n">
        <f aca="false">IF(L48=1,M47*(1+$B$15),M47)</f>
        <v>29718.9479195671</v>
      </c>
      <c r="N48" s="58" t="n">
        <f aca="false">IF(L48=1,N47*(1+$B$16)-M48,N47)</f>
        <v>-17831.3687517401</v>
      </c>
      <c r="O48" s="56" t="n">
        <f aca="false">IF(AND(L48=1,N48&gt;=0),1,0)</f>
        <v>0</v>
      </c>
      <c r="Q48" s="56" t="n">
        <f aca="false">Q47+1</f>
        <v>41</v>
      </c>
      <c r="R48" s="57" t="n">
        <f aca="false">IF(AND(Q48&lt;=Assumptions!$C$44,U47=1),1,0)</f>
        <v>0</v>
      </c>
      <c r="S48" s="58" t="n">
        <f aca="false">IF(R48=1,S47*(1+$B$15),S47)</f>
        <v>33468.3622870805</v>
      </c>
      <c r="T48" s="58" t="n">
        <f aca="false">IF(R48=1,T47*(1+$B$17)-S48,T47)</f>
        <v>-23134.6690409709</v>
      </c>
      <c r="U48" s="56" t="n">
        <f aca="false">IF(AND(R48=1,T48&gt;=0),1,0)</f>
        <v>0</v>
      </c>
      <c r="W48" s="56" t="n">
        <f aca="false">W47+1</f>
        <v>41</v>
      </c>
      <c r="X48" s="57" t="n">
        <f aca="false">IF(AND(W48&lt;=Assumptions!$C$44,AA47=1),1,0)</f>
        <v>1</v>
      </c>
      <c r="Y48" s="58" t="n">
        <f aca="false">IF(X48=1,Y47*(1+$B$15),Y47)</f>
        <v>44160.7932722971</v>
      </c>
      <c r="Z48" s="58" t="n">
        <f aca="false">IF(X48=1,Z47*(1+$B$18)-Y48,Z47)</f>
        <v>35814.1271082311</v>
      </c>
      <c r="AA48" s="56" t="n">
        <f aca="false">IF(AND(X48=1,Z48&gt;=0),1,0)</f>
        <v>1</v>
      </c>
    </row>
    <row r="49" customFormat="false" ht="15" hidden="false" customHeight="false" outlineLevel="0" collapsed="false">
      <c r="K49" s="56" t="n">
        <f aca="false">K48+1</f>
        <v>42</v>
      </c>
      <c r="L49" s="57" t="n">
        <f aca="false">IF(AND(K49&lt;=Assumptions!$C$44,O48=1),1,0)</f>
        <v>0</v>
      </c>
      <c r="M49" s="58" t="n">
        <f aca="false">IF(L49=1,M48*(1+$B$15),M48)</f>
        <v>29718.9479195671</v>
      </c>
      <c r="N49" s="58" t="n">
        <f aca="false">IF(L49=1,N48*(1+$B$16)-M49,N48)</f>
        <v>-17831.3687517401</v>
      </c>
      <c r="O49" s="56" t="n">
        <f aca="false">IF(AND(L49=1,N49&gt;=0),1,0)</f>
        <v>0</v>
      </c>
      <c r="Q49" s="56" t="n">
        <f aca="false">Q48+1</f>
        <v>42</v>
      </c>
      <c r="R49" s="57" t="n">
        <f aca="false">IF(AND(Q49&lt;=Assumptions!$C$44,U48=1),1,0)</f>
        <v>0</v>
      </c>
      <c r="S49" s="58" t="n">
        <f aca="false">IF(R49=1,S48*(1+$B$15),S48)</f>
        <v>33468.3622870805</v>
      </c>
      <c r="T49" s="58" t="n">
        <f aca="false">IF(R49=1,T48*(1+$B$17)-S49,T48)</f>
        <v>-23134.6690409709</v>
      </c>
      <c r="U49" s="56" t="n">
        <f aca="false">IF(AND(R49=1,T49&gt;=0),1,0)</f>
        <v>0</v>
      </c>
      <c r="W49" s="56" t="n">
        <f aca="false">W48+1</f>
        <v>42</v>
      </c>
      <c r="X49" s="57" t="n">
        <f aca="false">IF(AND(W49&lt;=Assumptions!$C$44,AA48=1),1,0)</f>
        <v>1</v>
      </c>
      <c r="Y49" s="58" t="n">
        <f aca="false">IF(X49=1,Y48*(1+$B$15),Y48)</f>
        <v>45044.009137743</v>
      </c>
      <c r="Z49" s="58" t="n">
        <f aca="false">IF(X49=1,Z48*(1+$B$18)-Y49,Z48)</f>
        <v>-7081.034403018</v>
      </c>
      <c r="AA49" s="56" t="n">
        <f aca="false">IF(AND(X49=1,Z49&gt;=0),1,0)</f>
        <v>0</v>
      </c>
    </row>
    <row r="50" customFormat="false" ht="15" hidden="false" customHeight="false" outlineLevel="0" collapsed="false">
      <c r="K50" s="56" t="n">
        <f aca="false">K49+1</f>
        <v>43</v>
      </c>
      <c r="L50" s="57" t="n">
        <f aca="false">IF(AND(K50&lt;=Assumptions!$C$44,O49=1),1,0)</f>
        <v>0</v>
      </c>
      <c r="M50" s="58" t="n">
        <f aca="false">IF(L50=1,M49*(1+$B$15),M49)</f>
        <v>29718.9479195671</v>
      </c>
      <c r="N50" s="58" t="n">
        <f aca="false">IF(L50=1,N49*(1+$B$16)-M50,N49)</f>
        <v>-17831.3687517401</v>
      </c>
      <c r="O50" s="56" t="n">
        <f aca="false">IF(AND(L50=1,N50&gt;=0),1,0)</f>
        <v>0</v>
      </c>
      <c r="Q50" s="56" t="n">
        <f aca="false">Q49+1</f>
        <v>43</v>
      </c>
      <c r="R50" s="57" t="n">
        <f aca="false">IF(AND(Q50&lt;=Assumptions!$C$44,U49=1),1,0)</f>
        <v>0</v>
      </c>
      <c r="S50" s="58" t="n">
        <f aca="false">IF(R50=1,S49*(1+$B$15),S49)</f>
        <v>33468.3622870805</v>
      </c>
      <c r="T50" s="58" t="n">
        <f aca="false">IF(R50=1,T49*(1+$B$17)-S50,T49)</f>
        <v>-23134.6690409709</v>
      </c>
      <c r="U50" s="56" t="n">
        <f aca="false">IF(AND(R50=1,T50&gt;=0),1,0)</f>
        <v>0</v>
      </c>
      <c r="W50" s="56" t="n">
        <f aca="false">W49+1</f>
        <v>43</v>
      </c>
      <c r="X50" s="57" t="n">
        <f aca="false">IF(AND(W50&lt;=Assumptions!$C$44,AA49=1),1,0)</f>
        <v>0</v>
      </c>
      <c r="Y50" s="58" t="n">
        <f aca="false">IF(X50=1,Y49*(1+$B$15),Y49)</f>
        <v>45044.009137743</v>
      </c>
      <c r="Z50" s="58" t="n">
        <f aca="false">IF(X50=1,Z49*(1+$B$18)-Y50,Z49)</f>
        <v>-7081.034403018</v>
      </c>
      <c r="AA50" s="56" t="n">
        <f aca="false">IF(AND(X50=1,Z50&gt;=0),1,0)</f>
        <v>0</v>
      </c>
    </row>
    <row r="51" customFormat="false" ht="15" hidden="false" customHeight="false" outlineLevel="0" collapsed="false">
      <c r="K51" s="56" t="n">
        <f aca="false">K50+1</f>
        <v>44</v>
      </c>
      <c r="L51" s="57" t="n">
        <f aca="false">IF(AND(K51&lt;=Assumptions!$C$44,O50=1),1,0)</f>
        <v>0</v>
      </c>
      <c r="M51" s="58" t="n">
        <f aca="false">IF(L51=1,M50*(1+$B$15),M50)</f>
        <v>29718.9479195671</v>
      </c>
      <c r="N51" s="58" t="n">
        <f aca="false">IF(L51=1,N50*(1+$B$16)-M51,N50)</f>
        <v>-17831.3687517401</v>
      </c>
      <c r="O51" s="56" t="n">
        <f aca="false">IF(AND(L51=1,N51&gt;=0),1,0)</f>
        <v>0</v>
      </c>
      <c r="Q51" s="56" t="n">
        <f aca="false">Q50+1</f>
        <v>44</v>
      </c>
      <c r="R51" s="57" t="n">
        <f aca="false">IF(AND(Q51&lt;=Assumptions!$C$44,U50=1),1,0)</f>
        <v>0</v>
      </c>
      <c r="S51" s="58" t="n">
        <f aca="false">IF(R51=1,S50*(1+$B$15),S50)</f>
        <v>33468.3622870805</v>
      </c>
      <c r="T51" s="58" t="n">
        <f aca="false">IF(R51=1,T50*(1+$B$17)-S51,T50)</f>
        <v>-23134.6690409709</v>
      </c>
      <c r="U51" s="56" t="n">
        <f aca="false">IF(AND(R51=1,T51&gt;=0),1,0)</f>
        <v>0</v>
      </c>
      <c r="W51" s="56" t="n">
        <f aca="false">W50+1</f>
        <v>44</v>
      </c>
      <c r="X51" s="57" t="n">
        <f aca="false">IF(AND(W51&lt;=Assumptions!$C$44,AA50=1),1,0)</f>
        <v>0</v>
      </c>
      <c r="Y51" s="58" t="n">
        <f aca="false">IF(X51=1,Y50*(1+$B$15),Y50)</f>
        <v>45044.009137743</v>
      </c>
      <c r="Z51" s="58" t="n">
        <f aca="false">IF(X51=1,Z50*(1+$B$18)-Y51,Z50)</f>
        <v>-7081.034403018</v>
      </c>
      <c r="AA51" s="56" t="n">
        <f aca="false">IF(AND(X51=1,Z51&gt;=0),1,0)</f>
        <v>0</v>
      </c>
    </row>
    <row r="52" customFormat="false" ht="15" hidden="false" customHeight="false" outlineLevel="0" collapsed="false">
      <c r="K52" s="56" t="n">
        <f aca="false">K51+1</f>
        <v>45</v>
      </c>
      <c r="L52" s="57" t="n">
        <f aca="false">IF(AND(K52&lt;=Assumptions!$C$44,O51=1),1,0)</f>
        <v>0</v>
      </c>
      <c r="M52" s="58" t="n">
        <f aca="false">IF(L52=1,M51*(1+$B$15),M51)</f>
        <v>29718.9479195671</v>
      </c>
      <c r="N52" s="58" t="n">
        <f aca="false">IF(L52=1,N51*(1+$B$16)-M52,N51)</f>
        <v>-17831.3687517401</v>
      </c>
      <c r="O52" s="56" t="n">
        <f aca="false">IF(AND(L52=1,N52&gt;=0),1,0)</f>
        <v>0</v>
      </c>
      <c r="Q52" s="56" t="n">
        <f aca="false">Q51+1</f>
        <v>45</v>
      </c>
      <c r="R52" s="57" t="n">
        <f aca="false">IF(AND(Q52&lt;=Assumptions!$C$44,U51=1),1,0)</f>
        <v>0</v>
      </c>
      <c r="S52" s="58" t="n">
        <f aca="false">IF(R52=1,S51*(1+$B$15),S51)</f>
        <v>33468.3622870805</v>
      </c>
      <c r="T52" s="58" t="n">
        <f aca="false">IF(R52=1,T51*(1+$B$17)-S52,T51)</f>
        <v>-23134.6690409709</v>
      </c>
      <c r="U52" s="56" t="n">
        <f aca="false">IF(AND(R52=1,T52&gt;=0),1,0)</f>
        <v>0</v>
      </c>
      <c r="W52" s="56" t="n">
        <f aca="false">W51+1</f>
        <v>45</v>
      </c>
      <c r="X52" s="57" t="n">
        <f aca="false">IF(AND(W52&lt;=Assumptions!$C$44,AA51=1),1,0)</f>
        <v>0</v>
      </c>
      <c r="Y52" s="58" t="n">
        <f aca="false">IF(X52=1,Y51*(1+$B$15),Y51)</f>
        <v>45044.009137743</v>
      </c>
      <c r="Z52" s="58" t="n">
        <f aca="false">IF(X52=1,Z51*(1+$B$18)-Y52,Z51)</f>
        <v>-7081.034403018</v>
      </c>
      <c r="AA52" s="56" t="n">
        <f aca="false">IF(AND(X52=1,Z52&gt;=0),1,0)</f>
        <v>0</v>
      </c>
    </row>
    <row r="53" customFormat="false" ht="15" hidden="false" customHeight="false" outlineLevel="0" collapsed="false">
      <c r="K53" s="56" t="n">
        <f aca="false">K52+1</f>
        <v>46</v>
      </c>
      <c r="L53" s="57" t="n">
        <f aca="false">IF(AND(K53&lt;=Assumptions!$C$44,O52=1),1,0)</f>
        <v>0</v>
      </c>
      <c r="M53" s="58" t="n">
        <f aca="false">IF(L53=1,M52*(1+$B$15),M52)</f>
        <v>29718.9479195671</v>
      </c>
      <c r="N53" s="58" t="n">
        <f aca="false">IF(L53=1,N52*(1+$B$16)-M53,N52)</f>
        <v>-17831.3687517401</v>
      </c>
      <c r="O53" s="56" t="n">
        <f aca="false">IF(AND(L53=1,N53&gt;=0),1,0)</f>
        <v>0</v>
      </c>
      <c r="Q53" s="56" t="n">
        <f aca="false">Q52+1</f>
        <v>46</v>
      </c>
      <c r="R53" s="57" t="n">
        <f aca="false">IF(AND(Q53&lt;=Assumptions!$C$44,U52=1),1,0)</f>
        <v>0</v>
      </c>
      <c r="S53" s="58" t="n">
        <f aca="false">IF(R53=1,S52*(1+$B$15),S52)</f>
        <v>33468.3622870805</v>
      </c>
      <c r="T53" s="58" t="n">
        <f aca="false">IF(R53=1,T52*(1+$B$17)-S53,T52)</f>
        <v>-23134.6690409709</v>
      </c>
      <c r="U53" s="56" t="n">
        <f aca="false">IF(AND(R53=1,T53&gt;=0),1,0)</f>
        <v>0</v>
      </c>
      <c r="W53" s="56" t="n">
        <f aca="false">W52+1</f>
        <v>46</v>
      </c>
      <c r="X53" s="57" t="n">
        <f aca="false">IF(AND(W53&lt;=Assumptions!$C$44,AA52=1),1,0)</f>
        <v>0</v>
      </c>
      <c r="Y53" s="58" t="n">
        <f aca="false">IF(X53=1,Y52*(1+$B$15),Y52)</f>
        <v>45044.009137743</v>
      </c>
      <c r="Z53" s="58" t="n">
        <f aca="false">IF(X53=1,Z52*(1+$B$18)-Y53,Z52)</f>
        <v>-7081.034403018</v>
      </c>
      <c r="AA53" s="56" t="n">
        <f aca="false">IF(AND(X53=1,Z53&gt;=0),1,0)</f>
        <v>0</v>
      </c>
    </row>
    <row r="54" customFormat="false" ht="15" hidden="false" customHeight="false" outlineLevel="0" collapsed="false">
      <c r="K54" s="56" t="n">
        <f aca="false">K53+1</f>
        <v>47</v>
      </c>
      <c r="L54" s="57" t="n">
        <f aca="false">IF(AND(K54&lt;=Assumptions!$C$44,O53=1),1,0)</f>
        <v>0</v>
      </c>
      <c r="M54" s="58" t="n">
        <f aca="false">IF(L54=1,M53*(1+$B$15),M53)</f>
        <v>29718.9479195671</v>
      </c>
      <c r="N54" s="58" t="n">
        <f aca="false">IF(L54=1,N53*(1+$B$16)-M54,N53)</f>
        <v>-17831.3687517401</v>
      </c>
      <c r="O54" s="56" t="n">
        <f aca="false">IF(AND(L54=1,N54&gt;=0),1,0)</f>
        <v>0</v>
      </c>
      <c r="Q54" s="56" t="n">
        <f aca="false">Q53+1</f>
        <v>47</v>
      </c>
      <c r="R54" s="57" t="n">
        <f aca="false">IF(AND(Q54&lt;=Assumptions!$C$44,U53=1),1,0)</f>
        <v>0</v>
      </c>
      <c r="S54" s="58" t="n">
        <f aca="false">IF(R54=1,S53*(1+$B$15),S53)</f>
        <v>33468.3622870805</v>
      </c>
      <c r="T54" s="58" t="n">
        <f aca="false">IF(R54=1,T53*(1+$B$17)-S54,T53)</f>
        <v>-23134.6690409709</v>
      </c>
      <c r="U54" s="56" t="n">
        <f aca="false">IF(AND(R54=1,T54&gt;=0),1,0)</f>
        <v>0</v>
      </c>
      <c r="W54" s="56" t="n">
        <f aca="false">W53+1</f>
        <v>47</v>
      </c>
      <c r="X54" s="57" t="n">
        <f aca="false">IF(AND(W54&lt;=Assumptions!$C$44,AA53=1),1,0)</f>
        <v>0</v>
      </c>
      <c r="Y54" s="58" t="n">
        <f aca="false">IF(X54=1,Y53*(1+$B$15),Y53)</f>
        <v>45044.009137743</v>
      </c>
      <c r="Z54" s="58" t="n">
        <f aca="false">IF(X54=1,Z53*(1+$B$18)-Y54,Z53)</f>
        <v>-7081.034403018</v>
      </c>
      <c r="AA54" s="56" t="n">
        <f aca="false">IF(AND(X54=1,Z54&gt;=0),1,0)</f>
        <v>0</v>
      </c>
    </row>
    <row r="55" customFormat="false" ht="15" hidden="false" customHeight="false" outlineLevel="0" collapsed="false">
      <c r="K55" s="56" t="n">
        <f aca="false">K54+1</f>
        <v>48</v>
      </c>
      <c r="L55" s="57" t="n">
        <f aca="false">IF(AND(K55&lt;=Assumptions!$C$44,O54=1),1,0)</f>
        <v>0</v>
      </c>
      <c r="M55" s="58" t="n">
        <f aca="false">IF(L55=1,M54*(1+$B$15),M54)</f>
        <v>29718.9479195671</v>
      </c>
      <c r="N55" s="58" t="n">
        <f aca="false">IF(L55=1,N54*(1+$B$16)-M55,N54)</f>
        <v>-17831.3687517401</v>
      </c>
      <c r="O55" s="56" t="n">
        <f aca="false">IF(AND(L55=1,N55&gt;=0),1,0)</f>
        <v>0</v>
      </c>
      <c r="Q55" s="56" t="n">
        <f aca="false">Q54+1</f>
        <v>48</v>
      </c>
      <c r="R55" s="57" t="n">
        <f aca="false">IF(AND(Q55&lt;=Assumptions!$C$44,U54=1),1,0)</f>
        <v>0</v>
      </c>
      <c r="S55" s="58" t="n">
        <f aca="false">IF(R55=1,S54*(1+$B$15),S54)</f>
        <v>33468.3622870805</v>
      </c>
      <c r="T55" s="58" t="n">
        <f aca="false">IF(R55=1,T54*(1+$B$17)-S55,T54)</f>
        <v>-23134.6690409709</v>
      </c>
      <c r="U55" s="56" t="n">
        <f aca="false">IF(AND(R55=1,T55&gt;=0),1,0)</f>
        <v>0</v>
      </c>
      <c r="W55" s="56" t="n">
        <f aca="false">W54+1</f>
        <v>48</v>
      </c>
      <c r="X55" s="57" t="n">
        <f aca="false">IF(AND(W55&lt;=Assumptions!$C$44,AA54=1),1,0)</f>
        <v>0</v>
      </c>
      <c r="Y55" s="58" t="n">
        <f aca="false">IF(X55=1,Y54*(1+$B$15),Y54)</f>
        <v>45044.009137743</v>
      </c>
      <c r="Z55" s="58" t="n">
        <f aca="false">IF(X55=1,Z54*(1+$B$18)-Y55,Z54)</f>
        <v>-7081.034403018</v>
      </c>
      <c r="AA55" s="56" t="n">
        <f aca="false">IF(AND(X55=1,Z55&gt;=0),1,0)</f>
        <v>0</v>
      </c>
    </row>
    <row r="56" customFormat="false" ht="15" hidden="false" customHeight="false" outlineLevel="0" collapsed="false">
      <c r="K56" s="56" t="n">
        <f aca="false">K55+1</f>
        <v>49</v>
      </c>
      <c r="L56" s="57" t="n">
        <f aca="false">IF(AND(K56&lt;=Assumptions!$C$44,O55=1),1,0)</f>
        <v>0</v>
      </c>
      <c r="M56" s="58" t="n">
        <f aca="false">IF(L56=1,M55*(1+$B$15),M55)</f>
        <v>29718.9479195671</v>
      </c>
      <c r="N56" s="58" t="n">
        <f aca="false">IF(L56=1,N55*(1+$B$16)-M56,N55)</f>
        <v>-17831.3687517401</v>
      </c>
      <c r="O56" s="56" t="n">
        <f aca="false">IF(AND(L56=1,N56&gt;=0),1,0)</f>
        <v>0</v>
      </c>
      <c r="Q56" s="56" t="n">
        <f aca="false">Q55+1</f>
        <v>49</v>
      </c>
      <c r="R56" s="57" t="n">
        <f aca="false">IF(AND(Q56&lt;=Assumptions!$C$44,U55=1),1,0)</f>
        <v>0</v>
      </c>
      <c r="S56" s="58" t="n">
        <f aca="false">IF(R56=1,S55*(1+$B$15),S55)</f>
        <v>33468.3622870805</v>
      </c>
      <c r="T56" s="58" t="n">
        <f aca="false">IF(R56=1,T55*(1+$B$17)-S56,T55)</f>
        <v>-23134.6690409709</v>
      </c>
      <c r="U56" s="56" t="n">
        <f aca="false">IF(AND(R56=1,T56&gt;=0),1,0)</f>
        <v>0</v>
      </c>
      <c r="W56" s="56" t="n">
        <f aca="false">W55+1</f>
        <v>49</v>
      </c>
      <c r="X56" s="57" t="n">
        <f aca="false">IF(AND(W56&lt;=Assumptions!$C$44,AA55=1),1,0)</f>
        <v>0</v>
      </c>
      <c r="Y56" s="58" t="n">
        <f aca="false">IF(X56=1,Y55*(1+$B$15),Y55)</f>
        <v>45044.009137743</v>
      </c>
      <c r="Z56" s="58" t="n">
        <f aca="false">IF(X56=1,Z55*(1+$B$18)-Y56,Z55)</f>
        <v>-7081.034403018</v>
      </c>
      <c r="AA56" s="56" t="n">
        <f aca="false">IF(AND(X56=1,Z56&gt;=0),1,0)</f>
        <v>0</v>
      </c>
    </row>
    <row r="57" customFormat="false" ht="15" hidden="false" customHeight="false" outlineLevel="0" collapsed="false">
      <c r="K57" s="56" t="n">
        <f aca="false">K56+1</f>
        <v>50</v>
      </c>
      <c r="L57" s="57" t="n">
        <f aca="false">IF(AND(K57&lt;=Assumptions!$C$44,O56=1),1,0)</f>
        <v>0</v>
      </c>
      <c r="M57" s="58" t="n">
        <f aca="false">IF(L57=1,M56*(1+$B$15),M56)</f>
        <v>29718.9479195671</v>
      </c>
      <c r="N57" s="58" t="n">
        <f aca="false">IF(L57=1,N56*(1+$B$16)-M57,N56)</f>
        <v>-17831.3687517401</v>
      </c>
      <c r="O57" s="56" t="n">
        <f aca="false">IF(AND(L57=1,N57&gt;=0),1,0)</f>
        <v>0</v>
      </c>
      <c r="Q57" s="56" t="n">
        <f aca="false">Q56+1</f>
        <v>50</v>
      </c>
      <c r="R57" s="57" t="n">
        <f aca="false">IF(AND(Q57&lt;=Assumptions!$C$44,U56=1),1,0)</f>
        <v>0</v>
      </c>
      <c r="S57" s="58" t="n">
        <f aca="false">IF(R57=1,S56*(1+$B$15),S56)</f>
        <v>33468.3622870805</v>
      </c>
      <c r="T57" s="58" t="n">
        <f aca="false">IF(R57=1,T56*(1+$B$17)-S57,T56)</f>
        <v>-23134.6690409709</v>
      </c>
      <c r="U57" s="56" t="n">
        <f aca="false">IF(AND(R57=1,T57&gt;=0),1,0)</f>
        <v>0</v>
      </c>
      <c r="W57" s="56" t="n">
        <f aca="false">W56+1</f>
        <v>50</v>
      </c>
      <c r="X57" s="57" t="n">
        <f aca="false">IF(AND(W57&lt;=Assumptions!$C$44,AA56=1),1,0)</f>
        <v>0</v>
      </c>
      <c r="Y57" s="58" t="n">
        <f aca="false">IF(X57=1,Y56*(1+$B$15),Y56)</f>
        <v>45044.009137743</v>
      </c>
      <c r="Z57" s="58" t="n">
        <f aca="false">IF(X57=1,Z56*(1+$B$18)-Y57,Z56)</f>
        <v>-7081.034403018</v>
      </c>
      <c r="AA57" s="56" t="n">
        <f aca="false">IF(AND(X57=1,Z57&gt;=0),1,0)</f>
        <v>0</v>
      </c>
    </row>
    <row r="58" customFormat="false" ht="15" hidden="false" customHeight="false" outlineLevel="0" collapsed="false">
      <c r="K58" s="56" t="n">
        <f aca="false">K57+1</f>
        <v>51</v>
      </c>
      <c r="L58" s="57" t="n">
        <f aca="false">IF(AND(K58&lt;=Assumptions!$C$44,O57=1),1,0)</f>
        <v>0</v>
      </c>
      <c r="M58" s="58" t="n">
        <f aca="false">IF(L58=1,M57*(1+$B$15),M57)</f>
        <v>29718.9479195671</v>
      </c>
      <c r="N58" s="58" t="n">
        <f aca="false">IF(L58=1,N57*(1+$B$16)-M58,N57)</f>
        <v>-17831.3687517401</v>
      </c>
      <c r="O58" s="56" t="n">
        <f aca="false">IF(AND(L58=1,N58&gt;=0),1,0)</f>
        <v>0</v>
      </c>
      <c r="Q58" s="56" t="n">
        <f aca="false">Q57+1</f>
        <v>51</v>
      </c>
      <c r="R58" s="57" t="n">
        <f aca="false">IF(AND(Q58&lt;=Assumptions!$C$44,U57=1),1,0)</f>
        <v>0</v>
      </c>
      <c r="S58" s="58" t="n">
        <f aca="false">IF(R58=1,S57*(1+$B$15),S57)</f>
        <v>33468.3622870805</v>
      </c>
      <c r="T58" s="58" t="n">
        <f aca="false">IF(R58=1,T57*(1+$B$17)-S58,T57)</f>
        <v>-23134.6690409709</v>
      </c>
      <c r="U58" s="56" t="n">
        <f aca="false">IF(AND(R58=1,T58&gt;=0),1,0)</f>
        <v>0</v>
      </c>
      <c r="W58" s="56" t="n">
        <f aca="false">W57+1</f>
        <v>51</v>
      </c>
      <c r="X58" s="57" t="n">
        <f aca="false">IF(AND(W58&lt;=Assumptions!$C$44,AA57=1),1,0)</f>
        <v>0</v>
      </c>
      <c r="Y58" s="58" t="n">
        <f aca="false">IF(X58=1,Y57*(1+$B$15),Y57)</f>
        <v>45044.009137743</v>
      </c>
      <c r="Z58" s="58" t="n">
        <f aca="false">IF(X58=1,Z57*(1+$B$18)-Y58,Z57)</f>
        <v>-7081.034403018</v>
      </c>
      <c r="AA58" s="56" t="n">
        <f aca="false">IF(AND(X58=1,Z58&gt;=0),1,0)</f>
        <v>0</v>
      </c>
    </row>
    <row r="59" customFormat="false" ht="15" hidden="false" customHeight="false" outlineLevel="0" collapsed="false">
      <c r="K59" s="56" t="n">
        <f aca="false">K58+1</f>
        <v>52</v>
      </c>
      <c r="L59" s="57" t="n">
        <f aca="false">IF(AND(K59&lt;=Assumptions!$C$44,O58=1),1,0)</f>
        <v>0</v>
      </c>
      <c r="M59" s="58" t="n">
        <f aca="false">IF(L59=1,M58*(1+$B$15),M58)</f>
        <v>29718.9479195671</v>
      </c>
      <c r="N59" s="58" t="n">
        <f aca="false">IF(L59=1,N58*(1+$B$16)-M59,N58)</f>
        <v>-17831.3687517401</v>
      </c>
      <c r="O59" s="56" t="n">
        <f aca="false">IF(AND(L59=1,N59&gt;=0),1,0)</f>
        <v>0</v>
      </c>
      <c r="Q59" s="56" t="n">
        <f aca="false">Q58+1</f>
        <v>52</v>
      </c>
      <c r="R59" s="57" t="n">
        <f aca="false">IF(AND(Q59&lt;=Assumptions!$C$44,U58=1),1,0)</f>
        <v>0</v>
      </c>
      <c r="S59" s="58" t="n">
        <f aca="false">IF(R59=1,S58*(1+$B$15),S58)</f>
        <v>33468.3622870805</v>
      </c>
      <c r="T59" s="58" t="n">
        <f aca="false">IF(R59=1,T58*(1+$B$17)-S59,T58)</f>
        <v>-23134.6690409709</v>
      </c>
      <c r="U59" s="56" t="n">
        <f aca="false">IF(AND(R59=1,T59&gt;=0),1,0)</f>
        <v>0</v>
      </c>
      <c r="W59" s="56" t="n">
        <f aca="false">W58+1</f>
        <v>52</v>
      </c>
      <c r="X59" s="57" t="n">
        <f aca="false">IF(AND(W59&lt;=Assumptions!$C$44,AA58=1),1,0)</f>
        <v>0</v>
      </c>
      <c r="Y59" s="58" t="n">
        <f aca="false">IF(X59=1,Y58*(1+$B$15),Y58)</f>
        <v>45044.009137743</v>
      </c>
      <c r="Z59" s="58" t="n">
        <f aca="false">IF(X59=1,Z58*(1+$B$18)-Y59,Z58)</f>
        <v>-7081.034403018</v>
      </c>
      <c r="AA59" s="56" t="n">
        <f aca="false">IF(AND(X59=1,Z59&gt;=0),1,0)</f>
        <v>0</v>
      </c>
    </row>
    <row r="60" customFormat="false" ht="15" hidden="false" customHeight="false" outlineLevel="0" collapsed="false">
      <c r="K60" s="56" t="n">
        <f aca="false">K59+1</f>
        <v>53</v>
      </c>
      <c r="L60" s="57" t="n">
        <f aca="false">IF(AND(K60&lt;=Assumptions!$C$44,O59=1),1,0)</f>
        <v>0</v>
      </c>
      <c r="M60" s="58" t="n">
        <f aca="false">IF(L60=1,M59*(1+$B$15),M59)</f>
        <v>29718.9479195671</v>
      </c>
      <c r="N60" s="58" t="n">
        <f aca="false">IF(L60=1,N59*(1+$B$16)-M60,N59)</f>
        <v>-17831.3687517401</v>
      </c>
      <c r="O60" s="56" t="n">
        <f aca="false">IF(AND(L60=1,N60&gt;=0),1,0)</f>
        <v>0</v>
      </c>
      <c r="Q60" s="56" t="n">
        <f aca="false">Q59+1</f>
        <v>53</v>
      </c>
      <c r="R60" s="57" t="n">
        <f aca="false">IF(AND(Q60&lt;=Assumptions!$C$44,U59=1),1,0)</f>
        <v>0</v>
      </c>
      <c r="S60" s="58" t="n">
        <f aca="false">IF(R60=1,S59*(1+$B$15),S59)</f>
        <v>33468.3622870805</v>
      </c>
      <c r="T60" s="58" t="n">
        <f aca="false">IF(R60=1,T59*(1+$B$17)-S60,T59)</f>
        <v>-23134.6690409709</v>
      </c>
      <c r="U60" s="56" t="n">
        <f aca="false">IF(AND(R60=1,T60&gt;=0),1,0)</f>
        <v>0</v>
      </c>
      <c r="W60" s="56" t="n">
        <f aca="false">W59+1</f>
        <v>53</v>
      </c>
      <c r="X60" s="57" t="n">
        <f aca="false">IF(AND(W60&lt;=Assumptions!$C$44,AA59=1),1,0)</f>
        <v>0</v>
      </c>
      <c r="Y60" s="58" t="n">
        <f aca="false">IF(X60=1,Y59*(1+$B$15),Y59)</f>
        <v>45044.009137743</v>
      </c>
      <c r="Z60" s="58" t="n">
        <f aca="false">IF(X60=1,Z59*(1+$B$18)-Y60,Z59)</f>
        <v>-7081.034403018</v>
      </c>
      <c r="AA60" s="56" t="n">
        <f aca="false">IF(AND(X60=1,Z60&gt;=0),1,0)</f>
        <v>0</v>
      </c>
    </row>
    <row r="61" customFormat="false" ht="15" hidden="false" customHeight="false" outlineLevel="0" collapsed="false">
      <c r="K61" s="56" t="n">
        <f aca="false">K60+1</f>
        <v>54</v>
      </c>
      <c r="L61" s="57" t="n">
        <f aca="false">IF(AND(K61&lt;=Assumptions!$C$44,O60=1),1,0)</f>
        <v>0</v>
      </c>
      <c r="M61" s="58" t="n">
        <f aca="false">IF(L61=1,M60*(1+$B$15),M60)</f>
        <v>29718.9479195671</v>
      </c>
      <c r="N61" s="58" t="n">
        <f aca="false">IF(L61=1,N60*(1+$B$16)-M61,N60)</f>
        <v>-17831.3687517401</v>
      </c>
      <c r="O61" s="56" t="n">
        <f aca="false">IF(AND(L61=1,N61&gt;=0),1,0)</f>
        <v>0</v>
      </c>
      <c r="Q61" s="56" t="n">
        <f aca="false">Q60+1</f>
        <v>54</v>
      </c>
      <c r="R61" s="57" t="n">
        <f aca="false">IF(AND(Q61&lt;=Assumptions!$C$44,U60=1),1,0)</f>
        <v>0</v>
      </c>
      <c r="S61" s="58" t="n">
        <f aca="false">IF(R61=1,S60*(1+$B$15),S60)</f>
        <v>33468.3622870805</v>
      </c>
      <c r="T61" s="58" t="n">
        <f aca="false">IF(R61=1,T60*(1+$B$17)-S61,T60)</f>
        <v>-23134.6690409709</v>
      </c>
      <c r="U61" s="56" t="n">
        <f aca="false">IF(AND(R61=1,T61&gt;=0),1,0)</f>
        <v>0</v>
      </c>
      <c r="W61" s="56" t="n">
        <f aca="false">W60+1</f>
        <v>54</v>
      </c>
      <c r="X61" s="57" t="n">
        <f aca="false">IF(AND(W61&lt;=Assumptions!$C$44,AA60=1),1,0)</f>
        <v>0</v>
      </c>
      <c r="Y61" s="58" t="n">
        <f aca="false">IF(X61=1,Y60*(1+$B$15),Y60)</f>
        <v>45044.009137743</v>
      </c>
      <c r="Z61" s="58" t="n">
        <f aca="false">IF(X61=1,Z60*(1+$B$18)-Y61,Z60)</f>
        <v>-7081.034403018</v>
      </c>
      <c r="AA61" s="56" t="n">
        <f aca="false">IF(AND(X61=1,Z61&gt;=0),1,0)</f>
        <v>0</v>
      </c>
    </row>
    <row r="62" customFormat="false" ht="15" hidden="false" customHeight="false" outlineLevel="0" collapsed="false">
      <c r="K62" s="56" t="n">
        <f aca="false">K61+1</f>
        <v>55</v>
      </c>
      <c r="L62" s="57" t="n">
        <f aca="false">IF(AND(K62&lt;=Assumptions!$C$44,O61=1),1,0)</f>
        <v>0</v>
      </c>
      <c r="M62" s="58" t="n">
        <f aca="false">IF(L62=1,M61*(1+$B$15),M61)</f>
        <v>29718.9479195671</v>
      </c>
      <c r="N62" s="58" t="n">
        <f aca="false">IF(L62=1,N61*(1+$B$16)-M62,N61)</f>
        <v>-17831.3687517401</v>
      </c>
      <c r="O62" s="56" t="n">
        <f aca="false">IF(AND(L62=1,N62&gt;=0),1,0)</f>
        <v>0</v>
      </c>
      <c r="Q62" s="56" t="n">
        <f aca="false">Q61+1</f>
        <v>55</v>
      </c>
      <c r="R62" s="57" t="n">
        <f aca="false">IF(AND(Q62&lt;=Assumptions!$C$44,U61=1),1,0)</f>
        <v>0</v>
      </c>
      <c r="S62" s="58" t="n">
        <f aca="false">IF(R62=1,S61*(1+$B$15),S61)</f>
        <v>33468.3622870805</v>
      </c>
      <c r="T62" s="58" t="n">
        <f aca="false">IF(R62=1,T61*(1+$B$17)-S62,T61)</f>
        <v>-23134.6690409709</v>
      </c>
      <c r="U62" s="56" t="n">
        <f aca="false">IF(AND(R62=1,T62&gt;=0),1,0)</f>
        <v>0</v>
      </c>
      <c r="W62" s="56" t="n">
        <f aca="false">W61+1</f>
        <v>55</v>
      </c>
      <c r="X62" s="57" t="n">
        <f aca="false">IF(AND(W62&lt;=Assumptions!$C$44,AA61=1),1,0)</f>
        <v>0</v>
      </c>
      <c r="Y62" s="58" t="n">
        <f aca="false">IF(X62=1,Y61*(1+$B$15),Y61)</f>
        <v>45044.009137743</v>
      </c>
      <c r="Z62" s="58" t="n">
        <f aca="false">IF(X62=1,Z61*(1+$B$18)-Y62,Z61)</f>
        <v>-7081.034403018</v>
      </c>
      <c r="AA62" s="56" t="n">
        <f aca="false">IF(AND(X62=1,Z62&gt;=0),1,0)</f>
        <v>0</v>
      </c>
    </row>
    <row r="63" customFormat="false" ht="15" hidden="false" customHeight="false" outlineLevel="0" collapsed="false">
      <c r="K63" s="56" t="n">
        <f aca="false">K62+1</f>
        <v>56</v>
      </c>
      <c r="L63" s="57" t="n">
        <f aca="false">IF(AND(K63&lt;=Assumptions!$C$44,O62=1),1,0)</f>
        <v>0</v>
      </c>
      <c r="M63" s="58" t="n">
        <f aca="false">IF(L63=1,M62*(1+$B$15),M62)</f>
        <v>29718.9479195671</v>
      </c>
      <c r="N63" s="58" t="n">
        <f aca="false">IF(L63=1,N62*(1+$B$16)-M63,N62)</f>
        <v>-17831.3687517401</v>
      </c>
      <c r="O63" s="56" t="n">
        <f aca="false">IF(AND(L63=1,N63&gt;=0),1,0)</f>
        <v>0</v>
      </c>
      <c r="Q63" s="56" t="n">
        <f aca="false">Q62+1</f>
        <v>56</v>
      </c>
      <c r="R63" s="57" t="n">
        <f aca="false">IF(AND(Q63&lt;=Assumptions!$C$44,U62=1),1,0)</f>
        <v>0</v>
      </c>
      <c r="S63" s="58" t="n">
        <f aca="false">IF(R63=1,S62*(1+$B$15),S62)</f>
        <v>33468.3622870805</v>
      </c>
      <c r="T63" s="58" t="n">
        <f aca="false">IF(R63=1,T62*(1+$B$17)-S63,T62)</f>
        <v>-23134.6690409709</v>
      </c>
      <c r="U63" s="56" t="n">
        <f aca="false">IF(AND(R63=1,T63&gt;=0),1,0)</f>
        <v>0</v>
      </c>
      <c r="W63" s="56" t="n">
        <f aca="false">W62+1</f>
        <v>56</v>
      </c>
      <c r="X63" s="57" t="n">
        <f aca="false">IF(AND(W63&lt;=Assumptions!$C$44,AA62=1),1,0)</f>
        <v>0</v>
      </c>
      <c r="Y63" s="58" t="n">
        <f aca="false">IF(X63=1,Y62*(1+$B$15),Y62)</f>
        <v>45044.009137743</v>
      </c>
      <c r="Z63" s="58" t="n">
        <f aca="false">IF(X63=1,Z62*(1+$B$18)-Y63,Z62)</f>
        <v>-7081.034403018</v>
      </c>
      <c r="AA63" s="56" t="n">
        <f aca="false">IF(AND(X63=1,Z63&gt;=0),1,0)</f>
        <v>0</v>
      </c>
    </row>
    <row r="64" customFormat="false" ht="15" hidden="false" customHeight="false" outlineLevel="0" collapsed="false">
      <c r="K64" s="56" t="n">
        <f aca="false">K63+1</f>
        <v>57</v>
      </c>
      <c r="L64" s="57" t="n">
        <f aca="false">IF(AND(K64&lt;=Assumptions!$C$44,O63=1),1,0)</f>
        <v>0</v>
      </c>
      <c r="M64" s="58" t="n">
        <f aca="false">IF(L64=1,M63*(1+$B$15),M63)</f>
        <v>29718.9479195671</v>
      </c>
      <c r="N64" s="58" t="n">
        <f aca="false">IF(L64=1,N63*(1+$B$16)-M64,N63)</f>
        <v>-17831.3687517401</v>
      </c>
      <c r="O64" s="56" t="n">
        <f aca="false">IF(AND(L64=1,N64&gt;=0),1,0)</f>
        <v>0</v>
      </c>
      <c r="Q64" s="56" t="n">
        <f aca="false">Q63+1</f>
        <v>57</v>
      </c>
      <c r="R64" s="57" t="n">
        <f aca="false">IF(AND(Q64&lt;=Assumptions!$C$44,U63=1),1,0)</f>
        <v>0</v>
      </c>
      <c r="S64" s="58" t="n">
        <f aca="false">IF(R64=1,S63*(1+$B$15),S63)</f>
        <v>33468.3622870805</v>
      </c>
      <c r="T64" s="58" t="n">
        <f aca="false">IF(R64=1,T63*(1+$B$17)-S64,T63)</f>
        <v>-23134.6690409709</v>
      </c>
      <c r="U64" s="56" t="n">
        <f aca="false">IF(AND(R64=1,T64&gt;=0),1,0)</f>
        <v>0</v>
      </c>
      <c r="W64" s="56" t="n">
        <f aca="false">W63+1</f>
        <v>57</v>
      </c>
      <c r="X64" s="57" t="n">
        <f aca="false">IF(AND(W64&lt;=Assumptions!$C$44,AA63=1),1,0)</f>
        <v>0</v>
      </c>
      <c r="Y64" s="58" t="n">
        <f aca="false">IF(X64=1,Y63*(1+$B$15),Y63)</f>
        <v>45044.009137743</v>
      </c>
      <c r="Z64" s="58" t="n">
        <f aca="false">IF(X64=1,Z63*(1+$B$18)-Y64,Z63)</f>
        <v>-7081.034403018</v>
      </c>
      <c r="AA64" s="56" t="n">
        <f aca="false">IF(AND(X64=1,Z64&gt;=0),1,0)</f>
        <v>0</v>
      </c>
    </row>
    <row r="65" customFormat="false" ht="15" hidden="false" customHeight="false" outlineLevel="0" collapsed="false">
      <c r="K65" s="56" t="n">
        <f aca="false">K64+1</f>
        <v>58</v>
      </c>
      <c r="L65" s="57" t="n">
        <f aca="false">IF(AND(K65&lt;=Assumptions!$C$44,O64=1),1,0)</f>
        <v>0</v>
      </c>
      <c r="M65" s="58" t="n">
        <f aca="false">IF(L65=1,M64*(1+$B$15),M64)</f>
        <v>29718.9479195671</v>
      </c>
      <c r="N65" s="58" t="n">
        <f aca="false">IF(L65=1,N64*(1+$B$16)-M65,N64)</f>
        <v>-17831.3687517401</v>
      </c>
      <c r="O65" s="56" t="n">
        <f aca="false">IF(AND(L65=1,N65&gt;=0),1,0)</f>
        <v>0</v>
      </c>
      <c r="Q65" s="56" t="n">
        <f aca="false">Q64+1</f>
        <v>58</v>
      </c>
      <c r="R65" s="57" t="n">
        <f aca="false">IF(AND(Q65&lt;=Assumptions!$C$44,U64=1),1,0)</f>
        <v>0</v>
      </c>
      <c r="S65" s="58" t="n">
        <f aca="false">IF(R65=1,S64*(1+$B$15),S64)</f>
        <v>33468.3622870805</v>
      </c>
      <c r="T65" s="58" t="n">
        <f aca="false">IF(R65=1,T64*(1+$B$17)-S65,T64)</f>
        <v>-23134.6690409709</v>
      </c>
      <c r="U65" s="56" t="n">
        <f aca="false">IF(AND(R65=1,T65&gt;=0),1,0)</f>
        <v>0</v>
      </c>
      <c r="W65" s="56" t="n">
        <f aca="false">W64+1</f>
        <v>58</v>
      </c>
      <c r="X65" s="57" t="n">
        <f aca="false">IF(AND(W65&lt;=Assumptions!$C$44,AA64=1),1,0)</f>
        <v>0</v>
      </c>
      <c r="Y65" s="58" t="n">
        <f aca="false">IF(X65=1,Y64*(1+$B$15),Y64)</f>
        <v>45044.009137743</v>
      </c>
      <c r="Z65" s="58" t="n">
        <f aca="false">IF(X65=1,Z64*(1+$B$18)-Y65,Z64)</f>
        <v>-7081.034403018</v>
      </c>
      <c r="AA65" s="56" t="n">
        <f aca="false">IF(AND(X65=1,Z65&gt;=0),1,0)</f>
        <v>0</v>
      </c>
    </row>
    <row r="66" customFormat="false" ht="15" hidden="false" customHeight="false" outlineLevel="0" collapsed="false">
      <c r="K66" s="56" t="n">
        <f aca="false">K65+1</f>
        <v>59</v>
      </c>
      <c r="L66" s="57" t="n">
        <f aca="false">IF(AND(K66&lt;=Assumptions!$C$44,O65=1),1,0)</f>
        <v>0</v>
      </c>
      <c r="M66" s="58" t="n">
        <f aca="false">IF(L66=1,M65*(1+$B$15),M65)</f>
        <v>29718.9479195671</v>
      </c>
      <c r="N66" s="58" t="n">
        <f aca="false">IF(L66=1,N65*(1+$B$16)-M66,N65)</f>
        <v>-17831.3687517401</v>
      </c>
      <c r="O66" s="56" t="n">
        <f aca="false">IF(AND(L66=1,N66&gt;=0),1,0)</f>
        <v>0</v>
      </c>
      <c r="Q66" s="56" t="n">
        <f aca="false">Q65+1</f>
        <v>59</v>
      </c>
      <c r="R66" s="57" t="n">
        <f aca="false">IF(AND(Q66&lt;=Assumptions!$C$44,U65=1),1,0)</f>
        <v>0</v>
      </c>
      <c r="S66" s="58" t="n">
        <f aca="false">IF(R66=1,S65*(1+$B$15),S65)</f>
        <v>33468.3622870805</v>
      </c>
      <c r="T66" s="58" t="n">
        <f aca="false">IF(R66=1,T65*(1+$B$17)-S66,T65)</f>
        <v>-23134.6690409709</v>
      </c>
      <c r="U66" s="56" t="n">
        <f aca="false">IF(AND(R66=1,T66&gt;=0),1,0)</f>
        <v>0</v>
      </c>
      <c r="W66" s="56" t="n">
        <f aca="false">W65+1</f>
        <v>59</v>
      </c>
      <c r="X66" s="57" t="n">
        <f aca="false">IF(AND(W66&lt;=Assumptions!$C$44,AA65=1),1,0)</f>
        <v>0</v>
      </c>
      <c r="Y66" s="58" t="n">
        <f aca="false">IF(X66=1,Y65*(1+$B$15),Y65)</f>
        <v>45044.009137743</v>
      </c>
      <c r="Z66" s="58" t="n">
        <f aca="false">IF(X66=1,Z65*(1+$B$18)-Y66,Z65)</f>
        <v>-7081.034403018</v>
      </c>
      <c r="AA66" s="56" t="n">
        <f aca="false">IF(AND(X66=1,Z66&gt;=0),1,0)</f>
        <v>0</v>
      </c>
    </row>
    <row r="67" customFormat="false" ht="15" hidden="false" customHeight="false" outlineLevel="0" collapsed="false">
      <c r="K67" s="56" t="n">
        <f aca="false">K66+1</f>
        <v>60</v>
      </c>
      <c r="L67" s="57" t="n">
        <f aca="false">IF(AND(K67&lt;=Assumptions!$C$44,O66=1),1,0)</f>
        <v>0</v>
      </c>
      <c r="M67" s="58" t="n">
        <f aca="false">IF(L67=1,M66*(1+$B$15),M66)</f>
        <v>29718.9479195671</v>
      </c>
      <c r="N67" s="58" t="n">
        <f aca="false">IF(L67=1,N66*(1+$B$16)-M67,N66)</f>
        <v>-17831.3687517401</v>
      </c>
      <c r="O67" s="56" t="n">
        <f aca="false">IF(AND(L67=1,N67&gt;=0),1,0)</f>
        <v>0</v>
      </c>
      <c r="Q67" s="56" t="n">
        <f aca="false">Q66+1</f>
        <v>60</v>
      </c>
      <c r="R67" s="57" t="n">
        <f aca="false">IF(AND(Q67&lt;=Assumptions!$C$44,U66=1),1,0)</f>
        <v>0</v>
      </c>
      <c r="S67" s="58" t="n">
        <f aca="false">IF(R67=1,S66*(1+$B$15),S66)</f>
        <v>33468.3622870805</v>
      </c>
      <c r="T67" s="58" t="n">
        <f aca="false">IF(R67=1,T66*(1+$B$17)-S67,T66)</f>
        <v>-23134.6690409709</v>
      </c>
      <c r="U67" s="56" t="n">
        <f aca="false">IF(AND(R67=1,T67&gt;=0),1,0)</f>
        <v>0</v>
      </c>
      <c r="W67" s="56" t="n">
        <f aca="false">W66+1</f>
        <v>60</v>
      </c>
      <c r="X67" s="57" t="n">
        <f aca="false">IF(AND(W67&lt;=Assumptions!$C$44,AA66=1),1,0)</f>
        <v>0</v>
      </c>
      <c r="Y67" s="58" t="n">
        <f aca="false">IF(X67=1,Y66*(1+$B$15),Y66)</f>
        <v>45044.009137743</v>
      </c>
      <c r="Z67" s="58" t="n">
        <f aca="false">IF(X67=1,Z66*(1+$B$18)-Y67,Z66)</f>
        <v>-7081.034403018</v>
      </c>
      <c r="AA67" s="56" t="n">
        <f aca="false">IF(AND(X67=1,Z67&gt;=0),1,0)</f>
        <v>0</v>
      </c>
    </row>
  </sheetData>
  <mergeCells count="16">
    <mergeCell ref="A3:I3"/>
    <mergeCell ref="A4:I4"/>
    <mergeCell ref="A5:I5"/>
    <mergeCell ref="D15:I15"/>
    <mergeCell ref="D16:I16"/>
    <mergeCell ref="D17:I17"/>
    <mergeCell ref="D18:I18"/>
    <mergeCell ref="D19:I19"/>
    <mergeCell ref="D20:I20"/>
    <mergeCell ref="D21:I21"/>
    <mergeCell ref="D25:I25"/>
    <mergeCell ref="D26:I26"/>
    <mergeCell ref="D27:I27"/>
    <mergeCell ref="D28:I28"/>
    <mergeCell ref="D29:I29"/>
    <mergeCell ref="D30:I30"/>
  </mergeCells>
  <dataValidations count="2">
    <dataValidation allowBlank="false" error="The prototype accepts 10000 to 30000000 here." errorStyle="stop" errorTitle="Outside the prototype range" operator="between" showDropDown="false" showErrorMessage="true" showInputMessage="false" sqref="B10" type="decimal">
      <formula1>10000</formula1>
      <formula2>30000000</formula2>
    </dataValidation>
    <dataValidation allowBlank="false" error="The prototype accepts 1000 to 2000000 here." errorStyle="stop" errorTitle="Outside the prototype range" operator="between" showDropDown="false" showErrorMessage="true" showInputMessage="false" sqref="B11" type="decimal">
      <formula1>1000</formula1>
      <formula2>2000000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886</v>
      </c>
    </row>
    <row r="2" customFormat="false" ht="15" hidden="false" customHeight="false" outlineLevel="0" collapsed="false">
      <c r="A2" s="30" t="s">
        <v>887</v>
      </c>
    </row>
    <row r="3" customFormat="false" ht="37.5" hidden="false" customHeight="true" outlineLevel="0" collapsed="false">
      <c r="A3" s="31" t="s">
        <v>888</v>
      </c>
      <c r="B3" s="31"/>
      <c r="C3" s="31"/>
      <c r="D3" s="31"/>
      <c r="E3" s="31"/>
      <c r="F3" s="31"/>
      <c r="G3" s="31"/>
      <c r="H3" s="31"/>
      <c r="I3" s="31"/>
    </row>
    <row r="4" customFormat="false" ht="63.75" hidden="false" customHeight="true" outlineLevel="0" collapsed="false">
      <c r="A4" s="31" t="s">
        <v>889</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691</v>
      </c>
      <c r="B10" s="33" t="n">
        <v>20000</v>
      </c>
      <c r="C10" s="7" t="s">
        <v>257</v>
      </c>
      <c r="D10" s="34" t="n">
        <v>20000</v>
      </c>
      <c r="E10" s="34" t="n">
        <v>500</v>
      </c>
      <c r="F10" s="34" t="n">
        <v>500000</v>
      </c>
      <c r="G10" s="34" t="n">
        <v>5000000</v>
      </c>
      <c r="H10" s="34" t="n">
        <v>100</v>
      </c>
      <c r="I10" s="35" t="s">
        <v>692</v>
      </c>
    </row>
    <row r="11" customFormat="false" ht="15" hidden="false" customHeight="false" outlineLevel="0" collapsed="false">
      <c r="A11" s="7" t="s">
        <v>890</v>
      </c>
      <c r="B11" s="38" t="n">
        <v>0.05</v>
      </c>
      <c r="C11" s="7" t="s">
        <v>386</v>
      </c>
      <c r="D11" s="39" t="n">
        <v>0.05</v>
      </c>
      <c r="E11" s="39" t="n">
        <v>0</v>
      </c>
      <c r="F11" s="39" t="n">
        <v>0.1</v>
      </c>
      <c r="G11" s="39" t="n">
        <v>0.1</v>
      </c>
      <c r="H11" s="39" t="n">
        <v>0.0025</v>
      </c>
      <c r="I11" s="35"/>
    </row>
    <row r="12" customFormat="false" ht="15" hidden="false" customHeight="false" outlineLevel="0" collapsed="false">
      <c r="A12" s="7" t="s">
        <v>603</v>
      </c>
      <c r="B12" s="36" t="n">
        <v>15</v>
      </c>
      <c r="C12" s="7" t="s">
        <v>388</v>
      </c>
      <c r="D12" s="37" t="n">
        <v>15</v>
      </c>
      <c r="E12" s="37" t="n">
        <v>1</v>
      </c>
      <c r="F12" s="37" t="n">
        <v>40</v>
      </c>
      <c r="G12" s="37" t="n">
        <v>40</v>
      </c>
      <c r="H12" s="37" t="n">
        <v>1</v>
      </c>
      <c r="I12" s="35"/>
    </row>
    <row r="14" customFormat="false" ht="15" hidden="false" customHeight="false" outlineLevel="0" collapsed="false">
      <c r="A14" s="15" t="s">
        <v>391</v>
      </c>
      <c r="B14" s="16"/>
      <c r="C14" s="16"/>
      <c r="D14" s="16"/>
      <c r="E14" s="16"/>
      <c r="F14" s="16"/>
      <c r="G14" s="16"/>
      <c r="H14" s="16"/>
      <c r="I14" s="16"/>
    </row>
    <row r="15" customFormat="false" ht="15" hidden="false" customHeight="false" outlineLevel="0" collapsed="false">
      <c r="A15" s="17" t="s">
        <v>392</v>
      </c>
      <c r="B15" s="17" t="s">
        <v>192</v>
      </c>
      <c r="C15" s="17" t="s">
        <v>193</v>
      </c>
      <c r="D15" s="17" t="s">
        <v>393</v>
      </c>
    </row>
    <row r="16" customFormat="false" ht="15" hidden="false" customHeight="false" outlineLevel="0" collapsed="false">
      <c r="A16" s="7" t="s">
        <v>891</v>
      </c>
      <c r="B16" s="43" t="n">
        <f aca="false">$B$10*POWER(1+$B$11,$B$12)</f>
        <v>41578.5635882274</v>
      </c>
      <c r="C16" s="41" t="s">
        <v>257</v>
      </c>
      <c r="D16" s="42" t="s">
        <v>892</v>
      </c>
      <c r="E16" s="42"/>
      <c r="F16" s="42"/>
      <c r="G16" s="42"/>
      <c r="H16" s="42"/>
      <c r="I16" s="42"/>
    </row>
    <row r="17" customFormat="false" ht="15" hidden="false" customHeight="false" outlineLevel="0" collapsed="false">
      <c r="A17" s="7" t="s">
        <v>711</v>
      </c>
      <c r="B17" s="68" t="n">
        <f aca="false">(1+$B$11)/(1+Assumptions!$C$14)-1</f>
        <v>0.0294117647058825</v>
      </c>
      <c r="C17" s="41" t="s">
        <v>407</v>
      </c>
      <c r="D17" s="42" t="s">
        <v>893</v>
      </c>
      <c r="E17" s="42"/>
      <c r="F17" s="42"/>
      <c r="G17" s="42"/>
      <c r="H17" s="42"/>
      <c r="I17" s="42"/>
    </row>
    <row r="18" customFormat="false" ht="15" hidden="false" customHeight="false" outlineLevel="0" collapsed="false">
      <c r="A18" s="7" t="s">
        <v>894</v>
      </c>
      <c r="B18" s="44" t="n">
        <f aca="false">$B$16/POWER(1+Assumptions!$C$14,$B$12)</f>
        <v>30893.4851978172</v>
      </c>
      <c r="C18" s="41" t="s">
        <v>257</v>
      </c>
      <c r="D18" s="42" t="s">
        <v>895</v>
      </c>
      <c r="E18" s="42"/>
      <c r="F18" s="42"/>
      <c r="G18" s="42"/>
      <c r="H18" s="42"/>
      <c r="I18" s="42"/>
    </row>
    <row r="20" customFormat="false" ht="15" hidden="false" customHeight="false" outlineLevel="0" collapsed="false">
      <c r="A20" s="15" t="s">
        <v>415</v>
      </c>
      <c r="B20" s="16"/>
      <c r="C20" s="16"/>
      <c r="D20" s="16"/>
      <c r="E20" s="16"/>
      <c r="F20" s="16"/>
      <c r="G20" s="16"/>
      <c r="H20" s="16"/>
      <c r="I20" s="16"/>
    </row>
    <row r="21" customFormat="false" ht="15" hidden="false" customHeight="false" outlineLevel="0" collapsed="false">
      <c r="A21" s="17" t="s">
        <v>416</v>
      </c>
      <c r="B21" s="17" t="s">
        <v>192</v>
      </c>
      <c r="C21" s="17" t="s">
        <v>417</v>
      </c>
      <c r="D21" s="17" t="s">
        <v>418</v>
      </c>
    </row>
    <row r="22" customFormat="false" ht="15" hidden="false" customHeight="false" outlineLevel="0" collapsed="false">
      <c r="A22" s="4" t="s">
        <v>419</v>
      </c>
      <c r="B22" s="48"/>
      <c r="C22" s="64" t="str">
        <f aca="false">IF(Assumptions!$C$6=1,"In today's money","Future value")</f>
        <v>In today's money</v>
      </c>
      <c r="D22" s="42" t="s">
        <v>420</v>
      </c>
      <c r="E22" s="42"/>
      <c r="F22" s="42"/>
      <c r="G22" s="42"/>
      <c r="H22" s="42"/>
      <c r="I22" s="42"/>
    </row>
    <row r="23" customFormat="false" ht="15" hidden="false" customHeight="false" outlineLevel="0" collapsed="false">
      <c r="A23" s="4" t="s">
        <v>422</v>
      </c>
      <c r="B23" s="52" t="n">
        <f aca="false">IF(Assumptions!$C$6=1,$B$18,$B$16)</f>
        <v>30893.4851978172</v>
      </c>
      <c r="C23" s="64" t="str">
        <f aca="false">IF((IF(Assumptions!$C$6=1,$B$18,$B$16))&lt;0,"−€","€")&amp;FIXED(ROUND(ABS(IF(Assumptions!$C$6=1,$B$18,$B$16)),0),0)</f>
        <v>€30,893</v>
      </c>
      <c r="D23" s="42" t="s">
        <v>896</v>
      </c>
      <c r="E23" s="42"/>
      <c r="F23" s="42"/>
      <c r="G23" s="42"/>
      <c r="H23" s="42"/>
      <c r="I23" s="42"/>
    </row>
    <row r="24" customFormat="false" ht="15" hidden="false" customHeight="false" outlineLevel="0" collapsed="false">
      <c r="A24" s="4" t="s">
        <v>891</v>
      </c>
      <c r="B24" s="50" t="n">
        <f aca="false">$B$16</f>
        <v>41578.5635882274</v>
      </c>
      <c r="C24" s="49" t="str">
        <f aca="false">IF(($B$16)&lt;0,"−€","€")&amp;FIXED(ROUND(ABS($B$16),0),0)</f>
        <v>€41,579</v>
      </c>
      <c r="D24" s="42" t="s">
        <v>427</v>
      </c>
      <c r="E24" s="42"/>
      <c r="F24" s="42"/>
      <c r="G24" s="42"/>
      <c r="H24" s="42"/>
      <c r="I24" s="42"/>
    </row>
    <row r="25" customFormat="false" ht="15" hidden="false" customHeight="false" outlineLevel="0" collapsed="false">
      <c r="A25" s="4" t="s">
        <v>711</v>
      </c>
      <c r="B25" s="73" t="n">
        <f aca="false">IF(Assumptions!$C$6=1,$B$17,"")</f>
        <v>0.0294117647058825</v>
      </c>
      <c r="C25" s="64" t="str">
        <f aca="false">IF(Assumptions!$C$6=1,ROUND($B$17*100,2)&amp;"%","")</f>
        <v>2.94%</v>
      </c>
      <c r="D25" s="42" t="s">
        <v>897</v>
      </c>
      <c r="E25" s="42"/>
      <c r="F25" s="42"/>
      <c r="G25" s="42"/>
      <c r="H25" s="42"/>
      <c r="I25" s="42"/>
    </row>
    <row r="26" customFormat="false" ht="15" hidden="false" customHeight="false" outlineLevel="0" collapsed="false">
      <c r="A26" s="4" t="s">
        <v>894</v>
      </c>
      <c r="B26" s="52" t="n">
        <f aca="false">IF(Assumptions!$C$6=1,$B$18,"")</f>
        <v>30893.4851978172</v>
      </c>
      <c r="C26" s="64" t="str">
        <f aca="false">IF(Assumptions!$C$6=1,IF(($B$18)&lt;0,"−€","€")&amp;FIXED(ROUND(ABS($B$18),0),0),"")</f>
        <v>€30,893</v>
      </c>
      <c r="D26" s="42" t="s">
        <v>898</v>
      </c>
      <c r="E26" s="42"/>
      <c r="F26" s="42"/>
      <c r="G26" s="42"/>
      <c r="H26" s="42"/>
      <c r="I26" s="42"/>
    </row>
    <row r="27" customFormat="false" ht="15" hidden="false" customHeight="false" outlineLevel="0" collapsed="false">
      <c r="A27" s="4" t="s">
        <v>899</v>
      </c>
      <c r="B27" s="73" t="n">
        <f aca="false">IF(Assumptions!$C$6=1,$B$17,"")</f>
        <v>0.0294117647058825</v>
      </c>
      <c r="C27" s="64" t="str">
        <f aca="false">IF(Assumptions!$C$6=1,FIXED($B$17*100,1,TRUE())&amp;"%","")</f>
        <v>2.9%</v>
      </c>
      <c r="D27" s="42" t="s">
        <v>658</v>
      </c>
      <c r="E27" s="42"/>
      <c r="F27" s="42"/>
      <c r="G27" s="42"/>
      <c r="H27" s="42"/>
      <c r="I27" s="42"/>
    </row>
  </sheetData>
  <mergeCells count="12">
    <mergeCell ref="A3:I3"/>
    <mergeCell ref="A4:I4"/>
    <mergeCell ref="A5:I5"/>
    <mergeCell ref="D16:I16"/>
    <mergeCell ref="D17:I17"/>
    <mergeCell ref="D18:I18"/>
    <mergeCell ref="D22:I22"/>
    <mergeCell ref="D23:I23"/>
    <mergeCell ref="D24:I24"/>
    <mergeCell ref="D25:I25"/>
    <mergeCell ref="D26:I26"/>
    <mergeCell ref="D27:I27"/>
  </mergeCells>
  <dataValidations count="3">
    <dataValidation allowBlank="false" error="The prototype accepts 500 to 5000000 here." errorStyle="stop" errorTitle="Outside the prototype range" operator="between" showDropDown="false" showErrorMessage="true" showInputMessage="false" sqref="B10" type="decimal">
      <formula1>500</formula1>
      <formula2>5000000</formula2>
    </dataValidation>
    <dataValidation allowBlank="false" error="The prototype accepts 1 to 40 here." errorStyle="stop" errorTitle="Outside the prototype range" operator="between" showDropDown="false" showErrorMessage="true" showInputMessage="false" sqref="B12" type="decimal">
      <formula1>1</formula1>
      <formula2>40</formula2>
    </dataValidation>
    <dataValidation allowBlank="false" error="The prototype accepts 0.0 to 0.1 here." errorStyle="stop" errorTitle="Outside the prototype range" operator="between" showDropDown="false" showErrorMessage="true" showInputMessage="false" sqref="B11" type="decimal">
      <formula1>0</formula1>
      <formula2>0.1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900</v>
      </c>
    </row>
    <row r="2" customFormat="false" ht="15" hidden="false" customHeight="false" outlineLevel="0" collapsed="false">
      <c r="A2" s="30" t="s">
        <v>901</v>
      </c>
    </row>
    <row r="3" customFormat="false" ht="37.5" hidden="false" customHeight="true" outlineLevel="0" collapsed="false">
      <c r="A3" s="31" t="s">
        <v>902</v>
      </c>
      <c r="B3" s="31"/>
      <c r="C3" s="31"/>
      <c r="D3" s="31"/>
      <c r="E3" s="31"/>
      <c r="F3" s="31"/>
      <c r="G3" s="31"/>
      <c r="H3" s="31"/>
      <c r="I3" s="31"/>
    </row>
    <row r="4" customFormat="false" ht="63.75" hidden="false" customHeight="true" outlineLevel="0" collapsed="false">
      <c r="A4" s="31" t="s">
        <v>903</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650</v>
      </c>
      <c r="B10" s="33" t="n">
        <v>300</v>
      </c>
      <c r="C10" s="7" t="s">
        <v>257</v>
      </c>
      <c r="D10" s="34" t="n">
        <v>300</v>
      </c>
      <c r="E10" s="34" t="n">
        <v>25</v>
      </c>
      <c r="F10" s="34" t="n">
        <v>5000</v>
      </c>
      <c r="G10" s="34" t="n">
        <v>50000</v>
      </c>
      <c r="H10" s="34" t="n">
        <v>25</v>
      </c>
      <c r="I10" s="35"/>
    </row>
    <row r="11" customFormat="false" ht="15" hidden="false" customHeight="false" outlineLevel="0" collapsed="false">
      <c r="A11" s="7" t="s">
        <v>603</v>
      </c>
      <c r="B11" s="36" t="n">
        <v>15</v>
      </c>
      <c r="C11" s="7" t="s">
        <v>388</v>
      </c>
      <c r="D11" s="37" t="n">
        <v>15</v>
      </c>
      <c r="E11" s="37" t="n">
        <v>1</v>
      </c>
      <c r="F11" s="37" t="n">
        <v>40</v>
      </c>
      <c r="G11" s="37" t="n">
        <v>40</v>
      </c>
      <c r="H11" s="37" t="n">
        <v>1</v>
      </c>
      <c r="I11" s="35"/>
    </row>
    <row r="12" customFormat="false" ht="15" hidden="false" customHeight="false" outlineLevel="0" collapsed="false">
      <c r="A12" s="7" t="s">
        <v>812</v>
      </c>
      <c r="B12" s="38" t="n">
        <v>0.05</v>
      </c>
      <c r="C12" s="7" t="s">
        <v>386</v>
      </c>
      <c r="D12" s="39" t="n">
        <v>0.05</v>
      </c>
      <c r="E12" s="39" t="n">
        <v>0</v>
      </c>
      <c r="F12" s="39" t="n">
        <v>0.08</v>
      </c>
      <c r="G12" s="39" t="n">
        <v>0.08</v>
      </c>
      <c r="H12" s="39" t="n">
        <v>0.005</v>
      </c>
      <c r="I12" s="35"/>
    </row>
    <row r="13" customFormat="false" ht="15" hidden="false" customHeight="false" outlineLevel="0" collapsed="false">
      <c r="A13" s="7" t="s">
        <v>693</v>
      </c>
      <c r="B13" s="38" t="n">
        <v>0.01</v>
      </c>
      <c r="C13" s="7" t="s">
        <v>386</v>
      </c>
      <c r="D13" s="39" t="n">
        <v>0.01</v>
      </c>
      <c r="E13" s="39" t="n">
        <v>0</v>
      </c>
      <c r="F13" s="39" t="n">
        <v>0.03</v>
      </c>
      <c r="G13" s="39" t="n">
        <v>0.03</v>
      </c>
      <c r="H13" s="39" t="n">
        <v>0.0005</v>
      </c>
      <c r="I13" s="35"/>
    </row>
    <row r="15" customFormat="false" ht="15" hidden="false" customHeight="false" outlineLevel="0" collapsed="false">
      <c r="A15" s="15" t="s">
        <v>454</v>
      </c>
      <c r="B15" s="16"/>
      <c r="C15" s="16"/>
      <c r="D15" s="16"/>
      <c r="E15" s="16"/>
      <c r="F15" s="16"/>
      <c r="G15" s="16"/>
      <c r="H15" s="16"/>
      <c r="I15" s="16"/>
    </row>
    <row r="16" customFormat="false" ht="15" hidden="false" customHeight="false" outlineLevel="0" collapsed="false">
      <c r="A16" s="17" t="s">
        <v>30</v>
      </c>
      <c r="B16" s="17" t="s">
        <v>192</v>
      </c>
      <c r="C16" s="17" t="s">
        <v>193</v>
      </c>
      <c r="D16" s="17" t="s">
        <v>371</v>
      </c>
      <c r="E16" s="17" t="s">
        <v>372</v>
      </c>
      <c r="F16" s="17" t="s">
        <v>373</v>
      </c>
      <c r="G16" s="17" t="s">
        <v>374</v>
      </c>
      <c r="H16" s="17" t="s">
        <v>375</v>
      </c>
      <c r="I16" s="17" t="s">
        <v>376</v>
      </c>
    </row>
    <row r="17" customFormat="false" ht="15" hidden="false" customHeight="false" outlineLevel="0" collapsed="false">
      <c r="A17" s="7" t="s">
        <v>694</v>
      </c>
      <c r="B17" s="36" t="n">
        <v>0</v>
      </c>
      <c r="C17" s="7" t="s">
        <v>197</v>
      </c>
      <c r="D17" s="37" t="n">
        <v>0</v>
      </c>
      <c r="E17" s="37" t="n">
        <v>0</v>
      </c>
      <c r="F17" s="37" t="n">
        <v>1</v>
      </c>
      <c r="G17" s="37" t="n">
        <v>1</v>
      </c>
      <c r="H17" s="37" t="n">
        <v>1</v>
      </c>
      <c r="I17" s="35" t="s">
        <v>695</v>
      </c>
    </row>
    <row r="19" customFormat="false" ht="15" hidden="false" customHeight="false" outlineLevel="0" collapsed="false">
      <c r="A19" s="15" t="s">
        <v>391</v>
      </c>
      <c r="B19" s="16"/>
      <c r="C19" s="16"/>
      <c r="D19" s="16"/>
      <c r="E19" s="16"/>
      <c r="F19" s="16"/>
      <c r="G19" s="16"/>
      <c r="H19" s="16"/>
      <c r="I19" s="16"/>
    </row>
    <row r="20" customFormat="false" ht="15" hidden="false" customHeight="false" outlineLevel="0" collapsed="false">
      <c r="A20" s="17" t="s">
        <v>392</v>
      </c>
      <c r="B20" s="17" t="s">
        <v>192</v>
      </c>
      <c r="C20" s="17" t="s">
        <v>193</v>
      </c>
      <c r="D20" s="17" t="s">
        <v>393</v>
      </c>
    </row>
    <row r="21" customFormat="false" ht="15" hidden="false" customHeight="false" outlineLevel="0" collapsed="false">
      <c r="A21" s="7" t="s">
        <v>696</v>
      </c>
      <c r="B21" s="67" t="n">
        <f aca="false">(1+$B$12)*(1-$B$13)-1</f>
        <v>0.0395000000000001</v>
      </c>
      <c r="C21" s="41" t="s">
        <v>407</v>
      </c>
      <c r="D21" s="42" t="s">
        <v>904</v>
      </c>
      <c r="E21" s="42"/>
      <c r="F21" s="42"/>
      <c r="G21" s="42"/>
      <c r="H21" s="42"/>
      <c r="I21" s="42"/>
    </row>
    <row r="22" customFormat="false" ht="15" hidden="false" customHeight="false" outlineLevel="0" collapsed="false">
      <c r="A22" s="7" t="s">
        <v>647</v>
      </c>
      <c r="B22" s="46" t="n">
        <f aca="false">$B$11*12</f>
        <v>180</v>
      </c>
      <c r="C22" s="41" t="s">
        <v>240</v>
      </c>
      <c r="D22" s="42" t="s">
        <v>410</v>
      </c>
      <c r="E22" s="42"/>
      <c r="F22" s="42"/>
      <c r="G22" s="42"/>
      <c r="H22" s="42"/>
      <c r="I22" s="42"/>
    </row>
    <row r="23" customFormat="false" ht="15" hidden="false" customHeight="false" outlineLevel="0" collapsed="false">
      <c r="A23" s="7" t="s">
        <v>905</v>
      </c>
      <c r="B23" s="45" t="n">
        <f aca="false">POWER(1+$B$12,1/12)-1</f>
        <v>0.00407412378364835</v>
      </c>
      <c r="C23" s="41" t="s">
        <v>407</v>
      </c>
      <c r="D23" s="42" t="s">
        <v>906</v>
      </c>
      <c r="E23" s="42"/>
      <c r="F23" s="42"/>
      <c r="G23" s="42"/>
      <c r="H23" s="42"/>
      <c r="I23" s="42"/>
    </row>
    <row r="24" customFormat="false" ht="15" hidden="false" customHeight="false" outlineLevel="0" collapsed="false">
      <c r="A24" s="7" t="s">
        <v>907</v>
      </c>
      <c r="B24" s="43" t="n">
        <f aca="false">IF($B$23&lt;&gt;0,$B$10*(POWER(1+$B$23,$B$22)-1)/$B$23,$B$10*$B$22)</f>
        <v>79447.3783841599</v>
      </c>
      <c r="C24" s="41" t="s">
        <v>257</v>
      </c>
      <c r="D24" s="42" t="s">
        <v>908</v>
      </c>
      <c r="E24" s="42"/>
      <c r="F24" s="42"/>
      <c r="G24" s="42"/>
      <c r="H24" s="42"/>
      <c r="I24" s="42"/>
    </row>
    <row r="25" customFormat="false" ht="15" hidden="false" customHeight="false" outlineLevel="0" collapsed="false">
      <c r="A25" s="7" t="s">
        <v>909</v>
      </c>
      <c r="B25" s="45" t="n">
        <f aca="false">POWER(1+$B$21,1/12)-1</f>
        <v>0.00323353566033791</v>
      </c>
      <c r="C25" s="41" t="s">
        <v>407</v>
      </c>
      <c r="D25" s="42" t="s">
        <v>910</v>
      </c>
      <c r="E25" s="42"/>
      <c r="F25" s="42"/>
      <c r="G25" s="42"/>
      <c r="H25" s="42"/>
      <c r="I25" s="42"/>
    </row>
    <row r="26" customFormat="false" ht="15" hidden="false" customHeight="false" outlineLevel="0" collapsed="false">
      <c r="A26" s="7" t="s">
        <v>911</v>
      </c>
      <c r="B26" s="43" t="n">
        <f aca="false">IF($B$25&lt;&gt;0,$B$10*(POWER(1+$B$25,$B$22)-1)/$B$25,$B$10*$B$22)</f>
        <v>73108.7854450597</v>
      </c>
      <c r="C26" s="41" t="s">
        <v>257</v>
      </c>
      <c r="D26" s="42" t="s">
        <v>912</v>
      </c>
      <c r="E26" s="42"/>
      <c r="F26" s="42"/>
      <c r="G26" s="42"/>
      <c r="H26" s="42"/>
      <c r="I26" s="42"/>
    </row>
    <row r="27" customFormat="false" ht="15" hidden="false" customHeight="false" outlineLevel="0" collapsed="false">
      <c r="A27" s="7" t="s">
        <v>704</v>
      </c>
      <c r="B27" s="60" t="n">
        <f aca="false">IF(AND($B$17=1,Assumptions!$C$6=1),1,0)</f>
        <v>0</v>
      </c>
      <c r="C27" s="41" t="s">
        <v>197</v>
      </c>
      <c r="D27" s="42" t="s">
        <v>913</v>
      </c>
      <c r="E27" s="42"/>
      <c r="F27" s="42"/>
      <c r="G27" s="42"/>
      <c r="H27" s="42"/>
      <c r="I27" s="42"/>
    </row>
    <row r="28" customFormat="false" ht="15" hidden="false" customHeight="false" outlineLevel="0" collapsed="false">
      <c r="A28" s="7" t="s">
        <v>707</v>
      </c>
      <c r="B28" s="44" t="n">
        <f aca="false">$B$26/POWER(1+Assumptions!$C$14,$B$11)</f>
        <v>54320.9044772496</v>
      </c>
      <c r="C28" s="41" t="s">
        <v>257</v>
      </c>
      <c r="D28" s="42" t="s">
        <v>914</v>
      </c>
      <c r="E28" s="42"/>
      <c r="F28" s="42"/>
      <c r="G28" s="42"/>
      <c r="H28" s="42"/>
      <c r="I28" s="42"/>
    </row>
    <row r="29" customFormat="false" ht="15" hidden="false" customHeight="false" outlineLevel="0" collapsed="false">
      <c r="A29" s="7" t="s">
        <v>711</v>
      </c>
      <c r="B29" s="68" t="n">
        <f aca="false">(1+$B$21)/(1+Assumptions!$C$14)-1</f>
        <v>0.0191176470588237</v>
      </c>
      <c r="C29" s="41" t="s">
        <v>407</v>
      </c>
      <c r="D29" s="42" t="s">
        <v>915</v>
      </c>
      <c r="E29" s="42"/>
      <c r="F29" s="42"/>
      <c r="G29" s="42"/>
      <c r="H29" s="42"/>
      <c r="I29" s="42"/>
    </row>
    <row r="31" customFormat="false" ht="15" hidden="false" customHeight="false" outlineLevel="0" collapsed="false">
      <c r="A31" s="15" t="s">
        <v>415</v>
      </c>
      <c r="B31" s="16"/>
      <c r="C31" s="16"/>
      <c r="D31" s="16"/>
      <c r="E31" s="16"/>
      <c r="F31" s="16"/>
      <c r="G31" s="16"/>
      <c r="H31" s="16"/>
      <c r="I31" s="16"/>
    </row>
    <row r="32" customFormat="false" ht="15" hidden="false" customHeight="false" outlineLevel="0" collapsed="false">
      <c r="A32" s="17" t="s">
        <v>416</v>
      </c>
      <c r="B32" s="17" t="s">
        <v>192</v>
      </c>
      <c r="C32" s="17" t="s">
        <v>417</v>
      </c>
      <c r="D32" s="17" t="s">
        <v>418</v>
      </c>
    </row>
    <row r="33" customFormat="false" ht="15" hidden="false" customHeight="false" outlineLevel="0" collapsed="false">
      <c r="A33" s="4" t="s">
        <v>419</v>
      </c>
      <c r="B33" s="48"/>
      <c r="C33" s="49" t="str">
        <f aca="false">IF($B$27=1,"In today's money (after fees)","Could grow to (after fees)")</f>
        <v>Could grow to (after fees)</v>
      </c>
      <c r="D33" s="42" t="s">
        <v>420</v>
      </c>
      <c r="E33" s="42"/>
      <c r="F33" s="42"/>
      <c r="G33" s="42"/>
      <c r="H33" s="42"/>
      <c r="I33" s="42"/>
    </row>
    <row r="34" customFormat="false" ht="15" hidden="false" customHeight="false" outlineLevel="0" collapsed="false">
      <c r="A34" s="4" t="s">
        <v>422</v>
      </c>
      <c r="B34" s="50" t="n">
        <f aca="false">IF($B$27=1,$B$28,$B$26)</f>
        <v>73108.7854450597</v>
      </c>
      <c r="C34" s="49" t="str">
        <f aca="false">IF((IF($B$27=1,$B$28,$B$26))&lt;0,"−€","€")&amp;FIXED(ROUND(ABS(IF($B$27=1,$B$28,$B$26)),0),0)</f>
        <v>€73,109</v>
      </c>
      <c r="D34" s="42" t="s">
        <v>512</v>
      </c>
      <c r="E34" s="42"/>
      <c r="F34" s="42"/>
      <c r="G34" s="42"/>
      <c r="H34" s="42"/>
      <c r="I34" s="42"/>
    </row>
    <row r="35" customFormat="false" ht="15" hidden="false" customHeight="false" outlineLevel="0" collapsed="false">
      <c r="A35" s="4" t="s">
        <v>714</v>
      </c>
      <c r="B35" s="69" t="str">
        <f aca="false">IF($B$27=1,$B$29,"")</f>
        <v/>
      </c>
      <c r="C35" s="49" t="str">
        <f aca="false">IF($B$27=1,FIXED($B$29*100,1,TRUE())&amp;"%","")</f>
        <v/>
      </c>
      <c r="D35" s="42" t="s">
        <v>715</v>
      </c>
      <c r="E35" s="42"/>
      <c r="F35" s="42"/>
      <c r="G35" s="42"/>
      <c r="H35" s="42"/>
      <c r="I35" s="42"/>
    </row>
    <row r="36" customFormat="false" ht="15" hidden="false" customHeight="false" outlineLevel="0" collapsed="false">
      <c r="A36" s="4" t="s">
        <v>716</v>
      </c>
      <c r="B36" s="62" t="str">
        <f aca="false">IF($B$27=1,$B$21,"")</f>
        <v/>
      </c>
      <c r="C36" s="49" t="str">
        <f aca="false">IF($B$27=1,ROUND($B$21*100,2)&amp;"%","")</f>
        <v/>
      </c>
      <c r="D36" s="42" t="s">
        <v>715</v>
      </c>
      <c r="E36" s="42"/>
      <c r="F36" s="42"/>
      <c r="G36" s="42"/>
      <c r="H36" s="42"/>
      <c r="I36" s="42"/>
    </row>
    <row r="37" customFormat="false" ht="15" hidden="false" customHeight="false" outlineLevel="0" collapsed="false">
      <c r="A37" s="4" t="s">
        <v>916</v>
      </c>
      <c r="B37" s="62" t="n">
        <f aca="false">$B$13</f>
        <v>0.01</v>
      </c>
      <c r="C37" s="49" t="str">
        <f aca="false">ROUND($B$13*100,10)&amp;"%"</f>
        <v>1%</v>
      </c>
      <c r="D37" s="42" t="s">
        <v>424</v>
      </c>
      <c r="E37" s="42"/>
      <c r="F37" s="42"/>
      <c r="G37" s="42"/>
      <c r="H37" s="42"/>
      <c r="I37" s="42"/>
    </row>
    <row r="38" customFormat="false" ht="15" hidden="false" customHeight="false" outlineLevel="0" collapsed="false">
      <c r="A38" s="4" t="s">
        <v>917</v>
      </c>
      <c r="B38" s="50" t="n">
        <f aca="false">$B$24-$B$26</f>
        <v>6338.59293910017</v>
      </c>
      <c r="C38" s="49" t="str">
        <f aca="false">IF(($B$24-$B$26)&lt;0,"−€","€")&amp;FIXED(ROUND(ABS($B$24-$B$26),0),0)</f>
        <v>€6,339</v>
      </c>
      <c r="D38" s="42" t="s">
        <v>424</v>
      </c>
      <c r="E38" s="42"/>
      <c r="F38" s="42"/>
      <c r="G38" s="42"/>
      <c r="H38" s="42"/>
      <c r="I38" s="42"/>
    </row>
    <row r="39" customFormat="false" ht="15" hidden="false" customHeight="false" outlineLevel="0" collapsed="false">
      <c r="A39" s="4" t="s">
        <v>675</v>
      </c>
      <c r="B39" s="50" t="n">
        <f aca="false">$B$10*12*$B$11</f>
        <v>54000</v>
      </c>
      <c r="C39" s="49" t="str">
        <f aca="false">IF(($B$10*12*$B$11)&lt;0,"−€","€")&amp;FIXED(ROUND(ABS($B$10*12*$B$11),0),0)</f>
        <v>€54,000</v>
      </c>
      <c r="D39" s="42" t="s">
        <v>427</v>
      </c>
      <c r="E39" s="42"/>
      <c r="F39" s="42"/>
      <c r="G39" s="42"/>
      <c r="H39" s="42"/>
      <c r="I39" s="42"/>
    </row>
    <row r="40" customFormat="false" ht="15" hidden="false" customHeight="false" outlineLevel="0" collapsed="false">
      <c r="A40" s="4" t="s">
        <v>907</v>
      </c>
      <c r="B40" s="50" t="n">
        <f aca="false">$B$24</f>
        <v>79447.3783841599</v>
      </c>
      <c r="C40" s="49" t="str">
        <f aca="false">IF(($B$24)&lt;0,"−€","€")&amp;FIXED(ROUND(ABS($B$24),0),0)</f>
        <v>€79,447</v>
      </c>
      <c r="D40" s="42" t="s">
        <v>428</v>
      </c>
      <c r="E40" s="42"/>
      <c r="F40" s="42"/>
      <c r="G40" s="42"/>
      <c r="H40" s="42"/>
      <c r="I40" s="42"/>
    </row>
    <row r="41" customFormat="false" ht="15" hidden="false" customHeight="false" outlineLevel="0" collapsed="false">
      <c r="A41" s="4" t="s">
        <v>720</v>
      </c>
      <c r="B41" s="50" t="n">
        <f aca="false">$B$24-$B$26</f>
        <v>6338.59293910017</v>
      </c>
      <c r="C41" s="49" t="str">
        <f aca="false">IF(($B$24-$B$26)&lt;0,"−€","€")&amp;FIXED(ROUND(ABS($B$24-$B$26),0),0)</f>
        <v>€6,339</v>
      </c>
      <c r="D41" s="42" t="s">
        <v>430</v>
      </c>
      <c r="E41" s="42"/>
      <c r="F41" s="42"/>
      <c r="G41" s="42"/>
      <c r="H41" s="42"/>
      <c r="I41" s="42"/>
    </row>
    <row r="42" customFormat="false" ht="15" hidden="false" customHeight="false" outlineLevel="0" collapsed="false">
      <c r="A42" s="4" t="s">
        <v>682</v>
      </c>
      <c r="B42" s="50" t="str">
        <f aca="false">IF($B$27=1,$B$28,"")</f>
        <v/>
      </c>
      <c r="C42" s="49" t="str">
        <f aca="false">IF($B$27=1,IF(($B$28)&lt;0,"−€","€")&amp;FIXED(ROUND(ABS($B$28),0),0),"")</f>
        <v/>
      </c>
      <c r="D42" s="42" t="s">
        <v>719</v>
      </c>
      <c r="E42" s="42"/>
      <c r="F42" s="42"/>
      <c r="G42" s="42"/>
      <c r="H42" s="42"/>
      <c r="I42" s="42"/>
    </row>
    <row r="43" customFormat="false" ht="15" hidden="false" customHeight="false" outlineLevel="0" collapsed="false">
      <c r="A43" s="4" t="s">
        <v>685</v>
      </c>
      <c r="B43" s="50" t="n">
        <f aca="false">INT(($B$26)+0.5)</f>
        <v>73109</v>
      </c>
      <c r="C43" s="49" t="str">
        <f aca="false">$B$43&amp;""</f>
        <v>73109</v>
      </c>
      <c r="D43" s="42" t="s">
        <v>435</v>
      </c>
      <c r="E43" s="42"/>
      <c r="F43" s="42"/>
      <c r="G43" s="42"/>
      <c r="H43" s="42"/>
      <c r="I43" s="42"/>
    </row>
    <row r="44" customFormat="false" ht="15" hidden="false" customHeight="false" outlineLevel="0" collapsed="false">
      <c r="A44" s="4" t="s">
        <v>434</v>
      </c>
      <c r="B44" s="48" t="n">
        <f aca="false">$B$11</f>
        <v>15</v>
      </c>
      <c r="C44" s="49" t="str">
        <f aca="false">$B$44&amp;""</f>
        <v>15</v>
      </c>
      <c r="D44" s="42" t="s">
        <v>435</v>
      </c>
      <c r="E44" s="42"/>
      <c r="F44" s="42"/>
      <c r="G44" s="42"/>
      <c r="H44" s="42"/>
      <c r="I44" s="42"/>
    </row>
  </sheetData>
  <mergeCells count="24">
    <mergeCell ref="A3:I3"/>
    <mergeCell ref="A4:I4"/>
    <mergeCell ref="A5:I5"/>
    <mergeCell ref="D21:I21"/>
    <mergeCell ref="D22:I22"/>
    <mergeCell ref="D23:I23"/>
    <mergeCell ref="D24:I24"/>
    <mergeCell ref="D25:I25"/>
    <mergeCell ref="D26:I26"/>
    <mergeCell ref="D27:I27"/>
    <mergeCell ref="D28:I28"/>
    <mergeCell ref="D29:I29"/>
    <mergeCell ref="D33:I33"/>
    <mergeCell ref="D34:I34"/>
    <mergeCell ref="D35:I35"/>
    <mergeCell ref="D36:I36"/>
    <mergeCell ref="D37:I37"/>
    <mergeCell ref="D38:I38"/>
    <mergeCell ref="D39:I39"/>
    <mergeCell ref="D40:I40"/>
    <mergeCell ref="D41:I41"/>
    <mergeCell ref="D42:I42"/>
    <mergeCell ref="D43:I43"/>
    <mergeCell ref="D44:I44"/>
  </mergeCells>
  <dataValidations count="5">
    <dataValidation allowBlank="false" error="The prototype accepts 0 to 1 here." errorStyle="stop" errorTitle="Outside the prototype range" operator="between" showDropDown="false" showErrorMessage="true" showInputMessage="false" sqref="B17" type="whole">
      <formula1>0</formula1>
      <formula2>1</formula2>
    </dataValidation>
    <dataValidation allowBlank="false" error="The prototype accepts 0.0 to 0.08 here." errorStyle="stop" errorTitle="Outside the prototype range" operator="between" showDropDown="false" showErrorMessage="true" showInputMessage="false" sqref="B12" type="decimal">
      <formula1>0</formula1>
      <formula2>0.08</formula2>
    </dataValidation>
    <dataValidation allowBlank="false" error="The prototype accepts 1 to 40 here." errorStyle="stop" errorTitle="Outside the prototype range" operator="between" showDropDown="false" showErrorMessage="true" showInputMessage="false" sqref="B11" type="decimal">
      <formula1>1</formula1>
      <formula2>40</formula2>
    </dataValidation>
    <dataValidation allowBlank="false" error="The prototype accepts 0.0 to 0.03 here." errorStyle="stop" errorTitle="Outside the prototype range" operator="between" showDropDown="false" showErrorMessage="true" showInputMessage="false" sqref="B13" type="decimal">
      <formula1>0</formula1>
      <formula2>0.03</formula2>
    </dataValidation>
    <dataValidation allowBlank="false" error="The prototype accepts 25 to 50000 here." errorStyle="stop" errorTitle="Outside the prototype range" operator="between" showDropDown="false" showErrorMessage="true" showInputMessage="false" sqref="B10" type="decimal">
      <formula1>25</formula1>
      <formula2>50000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918</v>
      </c>
    </row>
    <row r="2" customFormat="false" ht="15" hidden="false" customHeight="false" outlineLevel="0" collapsed="false">
      <c r="A2" s="30" t="s">
        <v>919</v>
      </c>
    </row>
    <row r="3" customFormat="false" ht="37.5" hidden="false" customHeight="true" outlineLevel="0" collapsed="false">
      <c r="A3" s="31" t="s">
        <v>920</v>
      </c>
      <c r="B3" s="31"/>
      <c r="C3" s="31"/>
      <c r="D3" s="31"/>
      <c r="E3" s="31"/>
      <c r="F3" s="31"/>
      <c r="G3" s="31"/>
      <c r="H3" s="31"/>
      <c r="I3" s="31"/>
    </row>
    <row r="4" customFormat="false" ht="63.75" hidden="false" customHeight="true" outlineLevel="0" collapsed="false">
      <c r="A4" s="31" t="s">
        <v>921</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922</v>
      </c>
      <c r="B10" s="33" t="n">
        <v>50000</v>
      </c>
      <c r="C10" s="7" t="s">
        <v>257</v>
      </c>
      <c r="D10" s="34" t="n">
        <v>50000</v>
      </c>
      <c r="E10" s="34" t="n">
        <v>1000</v>
      </c>
      <c r="F10" s="34" t="n">
        <v>1000000</v>
      </c>
      <c r="G10" s="34" t="n">
        <v>10000000</v>
      </c>
      <c r="H10" s="34" t="n">
        <v>100</v>
      </c>
      <c r="I10" s="35" t="s">
        <v>692</v>
      </c>
    </row>
    <row r="11" customFormat="false" ht="15" hidden="false" customHeight="false" outlineLevel="0" collapsed="false">
      <c r="A11" s="7" t="s">
        <v>603</v>
      </c>
      <c r="B11" s="36" t="n">
        <v>20</v>
      </c>
      <c r="C11" s="7" t="s">
        <v>388</v>
      </c>
      <c r="D11" s="37" t="n">
        <v>20</v>
      </c>
      <c r="E11" s="37" t="n">
        <v>1</v>
      </c>
      <c r="F11" s="37" t="n">
        <v>40</v>
      </c>
      <c r="G11" s="37" t="n">
        <v>40</v>
      </c>
      <c r="H11" s="37" t="n">
        <v>1</v>
      </c>
      <c r="I11" s="35"/>
    </row>
    <row r="12" customFormat="false" ht="15" hidden="false" customHeight="false" outlineLevel="0" collapsed="false">
      <c r="A12" s="7" t="s">
        <v>923</v>
      </c>
      <c r="B12" s="38" t="n">
        <v>0.05</v>
      </c>
      <c r="C12" s="7" t="s">
        <v>386</v>
      </c>
      <c r="D12" s="39" t="n">
        <v>0.05</v>
      </c>
      <c r="E12" s="39" t="n">
        <v>0</v>
      </c>
      <c r="F12" s="39" t="n">
        <v>0.08</v>
      </c>
      <c r="G12" s="39" t="n">
        <v>0.08</v>
      </c>
      <c r="H12" s="39" t="n">
        <v>0.005</v>
      </c>
      <c r="I12" s="35"/>
    </row>
    <row r="13" customFormat="false" ht="15" hidden="false" customHeight="false" outlineLevel="0" collapsed="false">
      <c r="A13" s="7" t="s">
        <v>924</v>
      </c>
      <c r="B13" s="38" t="n">
        <v>0.005</v>
      </c>
      <c r="C13" s="7" t="s">
        <v>386</v>
      </c>
      <c r="D13" s="39" t="n">
        <v>0.005</v>
      </c>
      <c r="E13" s="39" t="n">
        <v>0</v>
      </c>
      <c r="F13" s="39" t="n">
        <v>0.03</v>
      </c>
      <c r="G13" s="39" t="n">
        <v>0.03</v>
      </c>
      <c r="H13" s="39" t="n">
        <v>0.001</v>
      </c>
      <c r="I13" s="35"/>
    </row>
    <row r="14" customFormat="false" ht="15" hidden="false" customHeight="false" outlineLevel="0" collapsed="false">
      <c r="A14" s="7" t="s">
        <v>925</v>
      </c>
      <c r="B14" s="38" t="n">
        <v>0.015</v>
      </c>
      <c r="C14" s="7" t="s">
        <v>386</v>
      </c>
      <c r="D14" s="39" t="n">
        <v>0.015</v>
      </c>
      <c r="E14" s="39" t="n">
        <v>0</v>
      </c>
      <c r="F14" s="39" t="n">
        <v>0.03</v>
      </c>
      <c r="G14" s="39" t="n">
        <v>0.03</v>
      </c>
      <c r="H14" s="39" t="n">
        <v>0.001</v>
      </c>
      <c r="I14" s="35"/>
    </row>
    <row r="16" customFormat="false" ht="15" hidden="false" customHeight="false" outlineLevel="0" collapsed="false">
      <c r="A16" s="15" t="s">
        <v>391</v>
      </c>
      <c r="B16" s="16"/>
      <c r="C16" s="16"/>
      <c r="D16" s="16"/>
      <c r="E16" s="16"/>
      <c r="F16" s="16"/>
      <c r="G16" s="16"/>
      <c r="H16" s="16"/>
      <c r="I16" s="16"/>
    </row>
    <row r="17" customFormat="false" ht="15" hidden="false" customHeight="false" outlineLevel="0" collapsed="false">
      <c r="A17" s="17" t="s">
        <v>392</v>
      </c>
      <c r="B17" s="17" t="s">
        <v>192</v>
      </c>
      <c r="C17" s="17" t="s">
        <v>193</v>
      </c>
      <c r="D17" s="17" t="s">
        <v>393</v>
      </c>
    </row>
    <row r="18" customFormat="false" ht="15" hidden="false" customHeight="false" outlineLevel="0" collapsed="false">
      <c r="A18" s="7" t="s">
        <v>926</v>
      </c>
      <c r="B18" s="43" t="n">
        <f aca="false">$B$10*POWER((1+$B$12)*(1-$B$13),$B$11)</f>
        <v>120010.045568112</v>
      </c>
      <c r="C18" s="41" t="s">
        <v>257</v>
      </c>
      <c r="D18" s="42" t="s">
        <v>927</v>
      </c>
      <c r="E18" s="42"/>
      <c r="F18" s="42"/>
      <c r="G18" s="42"/>
      <c r="H18" s="42"/>
      <c r="I18" s="42"/>
    </row>
    <row r="19" customFormat="false" ht="15" hidden="false" customHeight="false" outlineLevel="0" collapsed="false">
      <c r="A19" s="7" t="s">
        <v>928</v>
      </c>
      <c r="B19" s="43" t="n">
        <f aca="false">$B$10*POWER((1+$B$12)*(1-$B$14),$B$11)</f>
        <v>98057.4501194251</v>
      </c>
      <c r="C19" s="41" t="s">
        <v>257</v>
      </c>
      <c r="D19" s="42" t="s">
        <v>929</v>
      </c>
      <c r="E19" s="42"/>
      <c r="F19" s="42"/>
      <c r="G19" s="42"/>
      <c r="H19" s="42"/>
      <c r="I19" s="42"/>
    </row>
    <row r="20" customFormat="false" ht="15" hidden="false" customHeight="false" outlineLevel="0" collapsed="false">
      <c r="A20" s="7" t="s">
        <v>930</v>
      </c>
      <c r="B20" s="59" t="n">
        <f aca="false">ABS($B$14-$B$13)</f>
        <v>0.01</v>
      </c>
      <c r="C20" s="41" t="s">
        <v>407</v>
      </c>
      <c r="D20" s="42" t="s">
        <v>931</v>
      </c>
      <c r="E20" s="42"/>
      <c r="F20" s="42"/>
      <c r="G20" s="42"/>
      <c r="H20" s="42"/>
      <c r="I20" s="42"/>
    </row>
    <row r="22" customFormat="false" ht="15" hidden="false" customHeight="false" outlineLevel="0" collapsed="false">
      <c r="A22" s="15" t="s">
        <v>415</v>
      </c>
      <c r="B22" s="16"/>
      <c r="C22" s="16"/>
      <c r="D22" s="16"/>
      <c r="E22" s="16"/>
      <c r="F22" s="16"/>
      <c r="G22" s="16"/>
      <c r="H22" s="16"/>
      <c r="I22" s="16"/>
    </row>
    <row r="23" customFormat="false" ht="15" hidden="false" customHeight="false" outlineLevel="0" collapsed="false">
      <c r="A23" s="17" t="s">
        <v>416</v>
      </c>
      <c r="B23" s="17" t="s">
        <v>192</v>
      </c>
      <c r="C23" s="17" t="s">
        <v>417</v>
      </c>
      <c r="D23" s="17" t="s">
        <v>418</v>
      </c>
    </row>
    <row r="24" customFormat="false" ht="15" hidden="false" customHeight="false" outlineLevel="0" collapsed="false">
      <c r="A24" s="4" t="s">
        <v>419</v>
      </c>
      <c r="B24" s="48"/>
      <c r="C24" s="49" t="str">
        <f aca="false">"Difference"</f>
        <v>Difference</v>
      </c>
      <c r="D24" s="42" t="s">
        <v>420</v>
      </c>
      <c r="E24" s="42"/>
      <c r="F24" s="42"/>
      <c r="G24" s="42"/>
      <c r="H24" s="42"/>
      <c r="I24" s="42"/>
    </row>
    <row r="25" customFormat="false" ht="15" hidden="false" customHeight="false" outlineLevel="0" collapsed="false">
      <c r="A25" s="4" t="s">
        <v>932</v>
      </c>
      <c r="B25" s="50" t="n">
        <f aca="false">ABS($B$18-$B$19)</f>
        <v>21952.5954486869</v>
      </c>
      <c r="C25" s="49" t="str">
        <f aca="false">IF((ABS($B$18-$B$19))&lt;0,"−€","€")&amp;FIXED(ROUND(ABS(ABS($B$18-$B$19)),0),0)</f>
        <v>€21,953</v>
      </c>
      <c r="D25" s="42" t="s">
        <v>653</v>
      </c>
      <c r="E25" s="42"/>
      <c r="F25" s="42"/>
      <c r="G25" s="42"/>
      <c r="H25" s="42"/>
      <c r="I25" s="42"/>
    </row>
    <row r="26" customFormat="false" ht="15" hidden="false" customHeight="false" outlineLevel="0" collapsed="false">
      <c r="A26" s="4" t="s">
        <v>933</v>
      </c>
      <c r="B26" s="62" t="n">
        <f aca="false">$B$20</f>
        <v>0.01</v>
      </c>
      <c r="C26" s="49" t="str">
        <f aca="false">FIXED($B$20*100,1,TRUE())&amp;"%"</f>
        <v>1.0%</v>
      </c>
      <c r="D26" s="42" t="s">
        <v>424</v>
      </c>
      <c r="E26" s="42"/>
      <c r="F26" s="42"/>
      <c r="G26" s="42"/>
      <c r="H26" s="42"/>
      <c r="I26" s="42"/>
    </row>
    <row r="27" customFormat="false" ht="15" hidden="false" customHeight="false" outlineLevel="0" collapsed="false">
      <c r="A27" s="4" t="s">
        <v>934</v>
      </c>
      <c r="B27" s="50" t="n">
        <f aca="false">$B$18</f>
        <v>120010.045568112</v>
      </c>
      <c r="C27" s="49" t="str">
        <f aca="false">IF(($B$18)&lt;0,"−€","€")&amp;FIXED(ROUND(ABS($B$18),0),0)</f>
        <v>€120,010</v>
      </c>
      <c r="D27" s="42" t="s">
        <v>427</v>
      </c>
      <c r="E27" s="42"/>
      <c r="F27" s="42"/>
      <c r="G27" s="42"/>
      <c r="H27" s="42"/>
      <c r="I27" s="42"/>
    </row>
    <row r="28" customFormat="false" ht="15" hidden="false" customHeight="false" outlineLevel="0" collapsed="false">
      <c r="A28" s="4" t="s">
        <v>935</v>
      </c>
      <c r="B28" s="50" t="n">
        <f aca="false">$B$19</f>
        <v>98057.4501194251</v>
      </c>
      <c r="C28" s="49" t="str">
        <f aca="false">IF(($B$19)&lt;0,"−€","€")&amp;FIXED(ROUND(ABS($B$19),0),0)</f>
        <v>€98,057</v>
      </c>
      <c r="D28" s="42" t="s">
        <v>428</v>
      </c>
      <c r="E28" s="42"/>
      <c r="F28" s="42"/>
      <c r="G28" s="42"/>
      <c r="H28" s="42"/>
      <c r="I28" s="42"/>
    </row>
  </sheetData>
  <mergeCells count="11">
    <mergeCell ref="A3:I3"/>
    <mergeCell ref="A4:I4"/>
    <mergeCell ref="A5:I5"/>
    <mergeCell ref="D18:I18"/>
    <mergeCell ref="D19:I19"/>
    <mergeCell ref="D20:I20"/>
    <mergeCell ref="D24:I24"/>
    <mergeCell ref="D25:I25"/>
    <mergeCell ref="D26:I26"/>
    <mergeCell ref="D27:I27"/>
    <mergeCell ref="D28:I28"/>
  </mergeCells>
  <dataValidations count="4">
    <dataValidation allowBlank="false" error="The prototype accepts 0.0 to 0.08 here." errorStyle="stop" errorTitle="Outside the prototype range" operator="between" showDropDown="false" showErrorMessage="true" showInputMessage="false" sqref="B12" type="decimal">
      <formula1>0</formula1>
      <formula2>0.08</formula2>
    </dataValidation>
    <dataValidation allowBlank="false" error="The prototype accepts 1 to 40 here." errorStyle="stop" errorTitle="Outside the prototype range" operator="between" showDropDown="false" showErrorMessage="true" showInputMessage="false" sqref="B11" type="decimal">
      <formula1>1</formula1>
      <formula2>40</formula2>
    </dataValidation>
    <dataValidation allowBlank="false" error="The prototype accepts 0.0 to 0.03 here." errorStyle="stop" errorTitle="Outside the prototype range" operator="between" showDropDown="false" showErrorMessage="true" showInputMessage="false" sqref="B13:B14" type="decimal">
      <formula1>0</formula1>
      <formula2>0.03</formula2>
    </dataValidation>
    <dataValidation allowBlank="false" error="The prototype accepts 1000 to 10000000 here." errorStyle="stop" errorTitle="Outside the prototype range" operator="between" showDropDown="false" showErrorMessage="true" showInputMessage="false" sqref="B10" type="decimal">
      <formula1>1000</formula1>
      <formula2>10000000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936</v>
      </c>
    </row>
    <row r="2" customFormat="false" ht="15" hidden="false" customHeight="false" outlineLevel="0" collapsed="false">
      <c r="A2" s="30" t="s">
        <v>937</v>
      </c>
    </row>
    <row r="3" customFormat="false" ht="37.5" hidden="false" customHeight="true" outlineLevel="0" collapsed="false">
      <c r="A3" s="31" t="s">
        <v>938</v>
      </c>
      <c r="B3" s="31"/>
      <c r="C3" s="31"/>
      <c r="D3" s="31"/>
      <c r="E3" s="31"/>
      <c r="F3" s="31"/>
      <c r="G3" s="31"/>
      <c r="H3" s="31"/>
      <c r="I3" s="31"/>
    </row>
    <row r="4" customFormat="false" ht="63.75" hidden="false" customHeight="true" outlineLevel="0" collapsed="false">
      <c r="A4" s="31" t="s">
        <v>939</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691</v>
      </c>
      <c r="B10" s="33" t="n">
        <v>20000</v>
      </c>
      <c r="C10" s="7" t="s">
        <v>257</v>
      </c>
      <c r="D10" s="34" t="n">
        <v>20000</v>
      </c>
      <c r="E10" s="34" t="n">
        <v>1000</v>
      </c>
      <c r="F10" s="34" t="n">
        <v>1000000</v>
      </c>
      <c r="G10" s="34" t="n">
        <v>10000000</v>
      </c>
      <c r="H10" s="34" t="n">
        <v>100</v>
      </c>
      <c r="I10" s="35" t="s">
        <v>692</v>
      </c>
    </row>
    <row r="11" customFormat="false" ht="15" hidden="false" customHeight="false" outlineLevel="0" collapsed="false">
      <c r="A11" s="7" t="s">
        <v>603</v>
      </c>
      <c r="B11" s="36" t="n">
        <v>10</v>
      </c>
      <c r="C11" s="7" t="s">
        <v>388</v>
      </c>
      <c r="D11" s="37" t="n">
        <v>10</v>
      </c>
      <c r="E11" s="37" t="n">
        <v>1</v>
      </c>
      <c r="F11" s="37" t="n">
        <v>30</v>
      </c>
      <c r="G11" s="37" t="n">
        <v>30</v>
      </c>
      <c r="H11" s="37" t="n">
        <v>1</v>
      </c>
      <c r="I11" s="35"/>
    </row>
    <row r="12" customFormat="false" ht="15" hidden="false" customHeight="false" outlineLevel="0" collapsed="false">
      <c r="A12" s="7" t="s">
        <v>940</v>
      </c>
      <c r="B12" s="36" t="n">
        <v>2</v>
      </c>
      <c r="C12" s="7"/>
      <c r="D12" s="37" t="n">
        <v>2</v>
      </c>
      <c r="E12" s="37" t="n">
        <v>1</v>
      </c>
      <c r="F12" s="37" t="n">
        <v>3</v>
      </c>
      <c r="G12" s="37" t="n">
        <v>3</v>
      </c>
      <c r="H12" s="37" t="n">
        <v>1</v>
      </c>
      <c r="I12" s="35"/>
    </row>
    <row r="14" customFormat="false" ht="15" hidden="false" customHeight="false" outlineLevel="0" collapsed="false">
      <c r="A14" s="15" t="s">
        <v>391</v>
      </c>
      <c r="B14" s="16"/>
      <c r="C14" s="16"/>
      <c r="D14" s="16"/>
      <c r="E14" s="16"/>
      <c r="F14" s="16"/>
      <c r="G14" s="16"/>
      <c r="H14" s="16"/>
      <c r="I14" s="16"/>
    </row>
    <row r="15" customFormat="false" ht="15" hidden="false" customHeight="false" outlineLevel="0" collapsed="false">
      <c r="A15" s="17" t="s">
        <v>392</v>
      </c>
      <c r="B15" s="17" t="s">
        <v>192</v>
      </c>
      <c r="C15" s="17" t="s">
        <v>193</v>
      </c>
      <c r="D15" s="17" t="s">
        <v>393</v>
      </c>
    </row>
    <row r="16" customFormat="false" ht="15" hidden="false" customHeight="false" outlineLevel="0" collapsed="false">
      <c r="A16" s="7" t="s">
        <v>941</v>
      </c>
      <c r="B16" s="72" t="n">
        <f aca="false">INDEX(Assumptions!$C$54:$C$56,$B$12)</f>
        <v>0.04</v>
      </c>
      <c r="C16" s="41" t="s">
        <v>407</v>
      </c>
      <c r="D16" s="42" t="s">
        <v>942</v>
      </c>
      <c r="E16" s="42"/>
      <c r="F16" s="42"/>
      <c r="G16" s="42"/>
      <c r="H16" s="42"/>
      <c r="I16" s="42"/>
    </row>
    <row r="17" customFormat="false" ht="15" hidden="false" customHeight="false" outlineLevel="0" collapsed="false">
      <c r="A17" s="7" t="s">
        <v>943</v>
      </c>
      <c r="B17" s="72" t="n">
        <f aca="false">INDEX(Assumptions!$C$57:$C$59,$B$12)</f>
        <v>0.1</v>
      </c>
      <c r="C17" s="41" t="s">
        <v>407</v>
      </c>
      <c r="D17" s="42" t="s">
        <v>944</v>
      </c>
      <c r="E17" s="42"/>
      <c r="F17" s="42"/>
      <c r="G17" s="42"/>
      <c r="H17" s="42"/>
      <c r="I17" s="42"/>
    </row>
    <row r="18" customFormat="false" ht="15" hidden="false" customHeight="false" outlineLevel="0" collapsed="false">
      <c r="A18" s="7" t="s">
        <v>945</v>
      </c>
      <c r="B18" s="67" t="n">
        <f aca="false">$B$17/SQRT($B$11)</f>
        <v>0.0316227766016838</v>
      </c>
      <c r="C18" s="41" t="s">
        <v>407</v>
      </c>
      <c r="D18" s="42" t="s">
        <v>946</v>
      </c>
      <c r="E18" s="42"/>
      <c r="F18" s="42"/>
      <c r="G18" s="42"/>
      <c r="H18" s="42"/>
      <c r="I18" s="42"/>
    </row>
    <row r="19" customFormat="false" ht="15" hidden="false" customHeight="false" outlineLevel="0" collapsed="false">
      <c r="A19" s="7" t="s">
        <v>947</v>
      </c>
      <c r="B19" s="74" t="str">
        <f aca="false">INDEX(Assumptions!$C$60:$C$62,$B$12)</f>
        <v>Balanced</v>
      </c>
      <c r="C19" s="41" t="s">
        <v>206</v>
      </c>
      <c r="D19" s="42" t="s">
        <v>948</v>
      </c>
      <c r="E19" s="42"/>
      <c r="F19" s="42"/>
      <c r="G19" s="42"/>
      <c r="H19" s="42"/>
      <c r="I19" s="42"/>
    </row>
    <row r="20" customFormat="false" ht="15" hidden="false" customHeight="false" outlineLevel="0" collapsed="false">
      <c r="A20" s="7" t="s">
        <v>949</v>
      </c>
      <c r="B20" s="43" t="n">
        <f aca="false">$B$10*POWER(1+($B$16-$B$18),$B$11)</f>
        <v>21740.0366081633</v>
      </c>
      <c r="C20" s="41" t="s">
        <v>257</v>
      </c>
      <c r="D20" s="42" t="s">
        <v>950</v>
      </c>
      <c r="E20" s="42"/>
      <c r="F20" s="42"/>
      <c r="G20" s="42"/>
      <c r="H20" s="42"/>
      <c r="I20" s="42"/>
    </row>
    <row r="21" customFormat="false" ht="15" hidden="false" customHeight="false" outlineLevel="0" collapsed="false">
      <c r="A21" s="7" t="s">
        <v>951</v>
      </c>
      <c r="B21" s="43" t="n">
        <f aca="false">$B$10*POWER(1+$B$16,$B$11)</f>
        <v>29604.8856983669</v>
      </c>
      <c r="C21" s="41" t="s">
        <v>257</v>
      </c>
      <c r="D21" s="42" t="s">
        <v>952</v>
      </c>
      <c r="E21" s="42"/>
      <c r="F21" s="42"/>
      <c r="G21" s="42"/>
      <c r="H21" s="42"/>
      <c r="I21" s="42"/>
    </row>
    <row r="22" customFormat="false" ht="15" hidden="false" customHeight="false" outlineLevel="0" collapsed="false">
      <c r="A22" s="7" t="s">
        <v>953</v>
      </c>
      <c r="B22" s="43" t="n">
        <f aca="false">$B$10*POWER(1+($B$16+$B$18),$B$11)</f>
        <v>39943.7975878141</v>
      </c>
      <c r="C22" s="41" t="s">
        <v>257</v>
      </c>
      <c r="D22" s="42" t="s">
        <v>954</v>
      </c>
      <c r="E22" s="42"/>
      <c r="F22" s="42"/>
      <c r="G22" s="42"/>
      <c r="H22" s="42"/>
      <c r="I22" s="42"/>
    </row>
    <row r="23" customFormat="false" ht="15" hidden="false" customHeight="false" outlineLevel="0" collapsed="false">
      <c r="A23" s="7" t="s">
        <v>955</v>
      </c>
      <c r="B23" s="60" t="n">
        <f aca="false">INT(($B$17*100*Assumptions!$C$63)+0.5)</f>
        <v>16</v>
      </c>
      <c r="C23" s="41" t="s">
        <v>240</v>
      </c>
      <c r="D23" s="42" t="s">
        <v>956</v>
      </c>
      <c r="E23" s="42"/>
      <c r="F23" s="42"/>
      <c r="G23" s="42"/>
      <c r="H23" s="42"/>
      <c r="I23" s="42"/>
    </row>
    <row r="25" customFormat="false" ht="15" hidden="false" customHeight="false" outlineLevel="0" collapsed="false">
      <c r="A25" s="15" t="s">
        <v>415</v>
      </c>
      <c r="B25" s="16"/>
      <c r="C25" s="16"/>
      <c r="D25" s="16"/>
      <c r="E25" s="16"/>
      <c r="F25" s="16"/>
      <c r="G25" s="16"/>
      <c r="H25" s="16"/>
      <c r="I25" s="16"/>
    </row>
    <row r="26" customFormat="false" ht="15" hidden="false" customHeight="false" outlineLevel="0" collapsed="false">
      <c r="A26" s="17" t="s">
        <v>416</v>
      </c>
      <c r="B26" s="17" t="s">
        <v>192</v>
      </c>
      <c r="C26" s="17" t="s">
        <v>417</v>
      </c>
      <c r="D26" s="17" t="s">
        <v>418</v>
      </c>
    </row>
    <row r="27" customFormat="false" ht="15" hidden="false" customHeight="false" outlineLevel="0" collapsed="false">
      <c r="A27" s="4" t="s">
        <v>419</v>
      </c>
      <c r="B27" s="48"/>
      <c r="C27" s="49" t="str">
        <f aca="false">$B$19&amp;" · middle outcome"</f>
        <v>Balanced · middle outcome</v>
      </c>
      <c r="D27" s="42" t="s">
        <v>420</v>
      </c>
      <c r="E27" s="42"/>
      <c r="F27" s="42"/>
      <c r="G27" s="42"/>
      <c r="H27" s="42"/>
      <c r="I27" s="42"/>
    </row>
    <row r="28" customFormat="false" ht="15" hidden="false" customHeight="false" outlineLevel="0" collapsed="false">
      <c r="A28" s="4" t="s">
        <v>957</v>
      </c>
      <c r="B28" s="50" t="n">
        <f aca="false">$B$21</f>
        <v>29604.8856983669</v>
      </c>
      <c r="C28" s="49" t="str">
        <f aca="false">IF(($B$21)&lt;0,"−€","€")&amp;FIXED(ROUND(ABS($B$21),0),0)</f>
        <v>€29,605</v>
      </c>
      <c r="D28" s="42" t="s">
        <v>512</v>
      </c>
      <c r="E28" s="42"/>
      <c r="F28" s="42"/>
      <c r="G28" s="42"/>
      <c r="H28" s="42"/>
      <c r="I28" s="42"/>
    </row>
    <row r="29" customFormat="false" ht="15" hidden="false" customHeight="false" outlineLevel="0" collapsed="false">
      <c r="A29" s="4" t="s">
        <v>958</v>
      </c>
      <c r="B29" s="48" t="n">
        <f aca="false">$B$23</f>
        <v>16</v>
      </c>
      <c r="C29" s="49" t="str">
        <f aca="false">$B$23&amp;"%"</f>
        <v>16%</v>
      </c>
      <c r="D29" s="42" t="s">
        <v>424</v>
      </c>
      <c r="E29" s="42"/>
      <c r="F29" s="42"/>
      <c r="G29" s="42"/>
      <c r="H29" s="42"/>
      <c r="I29" s="42"/>
    </row>
    <row r="30" customFormat="false" ht="15" hidden="false" customHeight="false" outlineLevel="0" collapsed="false">
      <c r="A30" s="4" t="s">
        <v>949</v>
      </c>
      <c r="B30" s="50" t="n">
        <f aca="false">$B$20</f>
        <v>21740.0366081633</v>
      </c>
      <c r="C30" s="49" t="str">
        <f aca="false">IF(($B$20)&lt;0,"−€","€")&amp;FIXED(ROUND(ABS($B$20),0),0)</f>
        <v>€21,740</v>
      </c>
      <c r="D30" s="42" t="s">
        <v>427</v>
      </c>
      <c r="E30" s="42"/>
      <c r="F30" s="42"/>
      <c r="G30" s="42"/>
      <c r="H30" s="42"/>
      <c r="I30" s="42"/>
    </row>
    <row r="31" customFormat="false" ht="15" hidden="false" customHeight="false" outlineLevel="0" collapsed="false">
      <c r="A31" s="4" t="s">
        <v>951</v>
      </c>
      <c r="B31" s="50" t="n">
        <f aca="false">$B$21</f>
        <v>29604.8856983669</v>
      </c>
      <c r="C31" s="49" t="str">
        <f aca="false">IF(($B$21)&lt;0,"−€","€")&amp;FIXED(ROUND(ABS($B$21),0),0)</f>
        <v>€29,605</v>
      </c>
      <c r="D31" s="42" t="s">
        <v>428</v>
      </c>
      <c r="E31" s="42"/>
      <c r="F31" s="42"/>
      <c r="G31" s="42"/>
      <c r="H31" s="42"/>
      <c r="I31" s="42"/>
    </row>
    <row r="32" customFormat="false" ht="15" hidden="false" customHeight="false" outlineLevel="0" collapsed="false">
      <c r="A32" s="4" t="s">
        <v>953</v>
      </c>
      <c r="B32" s="50" t="n">
        <f aca="false">$B$22</f>
        <v>39943.7975878141</v>
      </c>
      <c r="C32" s="49" t="str">
        <f aca="false">IF(($B$22)&lt;0,"−€","€")&amp;FIXED(ROUND(ABS($B$22),0),0)</f>
        <v>€39,944</v>
      </c>
      <c r="D32" s="42" t="s">
        <v>430</v>
      </c>
      <c r="E32" s="42"/>
      <c r="F32" s="42"/>
      <c r="G32" s="42"/>
      <c r="H32" s="42"/>
      <c r="I32" s="42"/>
    </row>
  </sheetData>
  <mergeCells count="17">
    <mergeCell ref="A3:I3"/>
    <mergeCell ref="A4:I4"/>
    <mergeCell ref="A5:I5"/>
    <mergeCell ref="D16:I16"/>
    <mergeCell ref="D17:I17"/>
    <mergeCell ref="D18:I18"/>
    <mergeCell ref="D19:I19"/>
    <mergeCell ref="D20:I20"/>
    <mergeCell ref="D21:I21"/>
    <mergeCell ref="D22:I22"/>
    <mergeCell ref="D23:I23"/>
    <mergeCell ref="D27:I27"/>
    <mergeCell ref="D28:I28"/>
    <mergeCell ref="D29:I29"/>
    <mergeCell ref="D30:I30"/>
    <mergeCell ref="D31:I31"/>
    <mergeCell ref="D32:I32"/>
  </mergeCells>
  <dataValidations count="3">
    <dataValidation allowBlank="false" error="The prototype accepts 1 to 30 here." errorStyle="stop" errorTitle="Outside the prototype range" operator="between" showDropDown="false" showErrorMessage="true" showInputMessage="false" sqref="B11" type="decimal">
      <formula1>1</formula1>
      <formula2>30</formula2>
    </dataValidation>
    <dataValidation allowBlank="false" error="The prototype accepts 1000 to 10000000 here." errorStyle="stop" errorTitle="Outside the prototype range" operator="between" showDropDown="false" showErrorMessage="true" showInputMessage="false" sqref="B10" type="decimal">
      <formula1>1000</formula1>
      <formula2>10000000</formula2>
    </dataValidation>
    <dataValidation allowBlank="false" error="The prototype accepts 1 to 3 here." errorStyle="stop" errorTitle="Outside the prototype range" operator="between" showDropDown="false" showErrorMessage="true" showInputMessage="false" sqref="B12" type="whole">
      <formula1>1</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959</v>
      </c>
    </row>
    <row r="2" customFormat="false" ht="15" hidden="false" customHeight="false" outlineLevel="0" collapsed="false">
      <c r="A2" s="30" t="s">
        <v>960</v>
      </c>
    </row>
    <row r="3" customFormat="false" ht="37.5" hidden="false" customHeight="true" outlineLevel="0" collapsed="false">
      <c r="A3" s="31" t="s">
        <v>961</v>
      </c>
      <c r="B3" s="31"/>
      <c r="C3" s="31"/>
      <c r="D3" s="31"/>
      <c r="E3" s="31"/>
      <c r="F3" s="31"/>
      <c r="G3" s="31"/>
      <c r="H3" s="31"/>
      <c r="I3" s="31"/>
    </row>
    <row r="4" customFormat="false" ht="63.75" hidden="false" customHeight="true" outlineLevel="0" collapsed="false">
      <c r="A4" s="31" t="s">
        <v>962</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963</v>
      </c>
      <c r="B10" s="33" t="n">
        <v>60000</v>
      </c>
      <c r="C10" s="7" t="s">
        <v>257</v>
      </c>
      <c r="D10" s="34" t="n">
        <v>60000</v>
      </c>
      <c r="E10" s="34" t="n">
        <v>0</v>
      </c>
      <c r="F10" s="34" t="n">
        <v>300000</v>
      </c>
      <c r="G10" s="34" t="n">
        <v>3000000</v>
      </c>
      <c r="H10" s="34" t="n">
        <v>1000</v>
      </c>
      <c r="I10" s="35" t="s">
        <v>809</v>
      </c>
    </row>
    <row r="11" customFormat="false" ht="15" hidden="false" customHeight="false" outlineLevel="0" collapsed="false">
      <c r="A11" s="7" t="s">
        <v>964</v>
      </c>
      <c r="B11" s="36" t="n">
        <v>15</v>
      </c>
      <c r="C11" s="7" t="s">
        <v>388</v>
      </c>
      <c r="D11" s="37" t="n">
        <v>15</v>
      </c>
      <c r="E11" s="37" t="n">
        <v>1</v>
      </c>
      <c r="F11" s="37" t="n">
        <v>30</v>
      </c>
      <c r="G11" s="37" t="n">
        <v>30</v>
      </c>
      <c r="H11" s="37" t="n">
        <v>1</v>
      </c>
      <c r="I11" s="35"/>
    </row>
    <row r="12" customFormat="false" ht="15" hidden="false" customHeight="false" outlineLevel="0" collapsed="false">
      <c r="A12" s="7" t="s">
        <v>522</v>
      </c>
      <c r="B12" s="33" t="n">
        <v>250000</v>
      </c>
      <c r="C12" s="7" t="s">
        <v>257</v>
      </c>
      <c r="D12" s="34" t="n">
        <v>250000</v>
      </c>
      <c r="E12" s="34" t="n">
        <v>0</v>
      </c>
      <c r="F12" s="34" t="n">
        <v>1000000</v>
      </c>
      <c r="G12" s="34" t="n">
        <v>10000000</v>
      </c>
      <c r="H12" s="34" t="n">
        <v>5000</v>
      </c>
      <c r="I12" s="35" t="s">
        <v>965</v>
      </c>
    </row>
    <row r="13" customFormat="false" ht="15" hidden="false" customHeight="false" outlineLevel="0" collapsed="false">
      <c r="A13" s="7" t="s">
        <v>966</v>
      </c>
      <c r="B13" s="33" t="n">
        <v>10000</v>
      </c>
      <c r="C13" s="7" t="s">
        <v>257</v>
      </c>
      <c r="D13" s="34" t="n">
        <v>10000</v>
      </c>
      <c r="E13" s="34" t="n">
        <v>0</v>
      </c>
      <c r="F13" s="34" t="n">
        <v>200000</v>
      </c>
      <c r="G13" s="34" t="n">
        <v>2000000</v>
      </c>
      <c r="H13" s="34" t="n">
        <v>1000</v>
      </c>
      <c r="I13" s="35" t="s">
        <v>967</v>
      </c>
    </row>
    <row r="14" customFormat="false" ht="15" hidden="false" customHeight="false" outlineLevel="0" collapsed="false">
      <c r="A14" s="7" t="s">
        <v>968</v>
      </c>
      <c r="B14" s="33" t="n">
        <v>20000</v>
      </c>
      <c r="C14" s="7" t="s">
        <v>257</v>
      </c>
      <c r="D14" s="34" t="n">
        <v>20000</v>
      </c>
      <c r="E14" s="34" t="n">
        <v>0</v>
      </c>
      <c r="F14" s="34" t="n">
        <v>1000000</v>
      </c>
      <c r="G14" s="34" t="n">
        <v>10000000</v>
      </c>
      <c r="H14" s="34" t="n">
        <v>1000</v>
      </c>
      <c r="I14" s="35" t="s">
        <v>969</v>
      </c>
    </row>
    <row r="15" customFormat="false" ht="15" hidden="false" customHeight="false" outlineLevel="0" collapsed="false">
      <c r="A15" s="7" t="s">
        <v>970</v>
      </c>
      <c r="B15" s="33" t="n">
        <v>100000</v>
      </c>
      <c r="C15" s="7" t="s">
        <v>257</v>
      </c>
      <c r="D15" s="34" t="n">
        <v>100000</v>
      </c>
      <c r="E15" s="34" t="n">
        <v>0</v>
      </c>
      <c r="F15" s="34" t="n">
        <v>2000000</v>
      </c>
      <c r="G15" s="34" t="n">
        <v>20000000</v>
      </c>
      <c r="H15" s="34" t="n">
        <v>10000</v>
      </c>
      <c r="I15" s="35"/>
    </row>
    <row r="17" customFormat="false" ht="15" hidden="false" customHeight="false" outlineLevel="0" collapsed="false">
      <c r="A17" s="15" t="s">
        <v>391</v>
      </c>
      <c r="B17" s="16"/>
      <c r="C17" s="16"/>
      <c r="D17" s="16"/>
      <c r="E17" s="16"/>
      <c r="F17" s="16"/>
      <c r="G17" s="16"/>
      <c r="H17" s="16"/>
      <c r="I17" s="16"/>
    </row>
    <row r="18" customFormat="false" ht="15" hidden="false" customHeight="false" outlineLevel="0" collapsed="false">
      <c r="A18" s="17" t="s">
        <v>392</v>
      </c>
      <c r="B18" s="17" t="s">
        <v>192</v>
      </c>
      <c r="C18" s="17" t="s">
        <v>193</v>
      </c>
      <c r="D18" s="17" t="s">
        <v>393</v>
      </c>
    </row>
    <row r="19" customFormat="false" ht="15" hidden="false" customHeight="false" outlineLevel="0" collapsed="false">
      <c r="A19" s="7" t="s">
        <v>971</v>
      </c>
      <c r="B19" s="44" t="n">
        <f aca="false">$B$10*Assumptions!$C$50*$B$11</f>
        <v>540000</v>
      </c>
      <c r="C19" s="41" t="s">
        <v>257</v>
      </c>
      <c r="D19" s="42" t="s">
        <v>972</v>
      </c>
      <c r="E19" s="42"/>
      <c r="F19" s="42"/>
      <c r="G19" s="42"/>
      <c r="H19" s="42"/>
      <c r="I19" s="42"/>
    </row>
    <row r="20" customFormat="false" ht="15" hidden="false" customHeight="false" outlineLevel="0" collapsed="false">
      <c r="A20" s="7" t="s">
        <v>973</v>
      </c>
      <c r="B20" s="44" t="n">
        <f aca="false">$B$10*Assumptions!$C$50*$B$11+$B$12+$B$13-$B$14-$B$15</f>
        <v>680000</v>
      </c>
      <c r="C20" s="41" t="s">
        <v>257</v>
      </c>
      <c r="D20" s="42" t="s">
        <v>974</v>
      </c>
      <c r="E20" s="42"/>
      <c r="F20" s="42"/>
      <c r="G20" s="42"/>
      <c r="H20" s="42"/>
      <c r="I20" s="42"/>
    </row>
    <row r="22" customFormat="false" ht="15" hidden="false" customHeight="false" outlineLevel="0" collapsed="false">
      <c r="A22" s="15" t="s">
        <v>415</v>
      </c>
      <c r="B22" s="16"/>
      <c r="C22" s="16"/>
      <c r="D22" s="16"/>
      <c r="E22" s="16"/>
      <c r="F22" s="16"/>
      <c r="G22" s="16"/>
      <c r="H22" s="16"/>
      <c r="I22" s="16"/>
    </row>
    <row r="23" customFormat="false" ht="15" hidden="false" customHeight="false" outlineLevel="0" collapsed="false">
      <c r="A23" s="17" t="s">
        <v>416</v>
      </c>
      <c r="B23" s="17" t="s">
        <v>192</v>
      </c>
      <c r="C23" s="17" t="s">
        <v>417</v>
      </c>
      <c r="D23" s="17" t="s">
        <v>418</v>
      </c>
    </row>
    <row r="24" customFormat="false" ht="15" hidden="false" customHeight="false" outlineLevel="0" collapsed="false">
      <c r="A24" s="4" t="s">
        <v>419</v>
      </c>
      <c r="B24" s="48"/>
      <c r="C24" s="49" t="str">
        <f aca="false">"Illustrative cover gap"</f>
        <v>Illustrative cover gap</v>
      </c>
      <c r="D24" s="42" t="s">
        <v>420</v>
      </c>
      <c r="E24" s="42"/>
      <c r="F24" s="42"/>
      <c r="G24" s="42"/>
      <c r="H24" s="42"/>
      <c r="I24" s="42"/>
    </row>
    <row r="25" customFormat="false" ht="15" hidden="false" customHeight="false" outlineLevel="0" collapsed="false">
      <c r="A25" s="4" t="s">
        <v>975</v>
      </c>
      <c r="B25" s="50" t="n">
        <f aca="false">MAX(0,$B$20)</f>
        <v>680000</v>
      </c>
      <c r="C25" s="49" t="str">
        <f aca="false">IF((MAX(0,$B$20))&lt;0,"−€","€")&amp;FIXED(ROUND(ABS(MAX(0,$B$20)),0),0)</f>
        <v>€680,000</v>
      </c>
      <c r="D25" s="42" t="s">
        <v>512</v>
      </c>
      <c r="E25" s="42"/>
      <c r="F25" s="42"/>
      <c r="G25" s="42"/>
      <c r="H25" s="42"/>
      <c r="I25" s="42"/>
    </row>
    <row r="26" customFormat="false" ht="15" hidden="false" customHeight="false" outlineLevel="0" collapsed="false">
      <c r="A26" s="4" t="s">
        <v>971</v>
      </c>
      <c r="B26" s="50" t="n">
        <f aca="false">$B$19</f>
        <v>540000</v>
      </c>
      <c r="C26" s="49" t="str">
        <f aca="false">IF(($B$19)&lt;0,"−€","€")&amp;FIXED(ROUND(ABS($B$19),0),0)</f>
        <v>€540,000</v>
      </c>
      <c r="D26" s="42" t="s">
        <v>427</v>
      </c>
      <c r="E26" s="42"/>
      <c r="F26" s="42"/>
      <c r="G26" s="42"/>
      <c r="H26" s="42"/>
      <c r="I26" s="42"/>
    </row>
    <row r="27" customFormat="false" ht="15" hidden="false" customHeight="false" outlineLevel="0" collapsed="false">
      <c r="A27" s="4" t="s">
        <v>976</v>
      </c>
      <c r="B27" s="50" t="n">
        <f aca="false">$B$12+$B$13</f>
        <v>260000</v>
      </c>
      <c r="C27" s="49" t="str">
        <f aca="false">IF(($B$12+$B$13)&lt;0,"−€","€")&amp;FIXED(ROUND(ABS($B$12+$B$13),0),0)</f>
        <v>€260,000</v>
      </c>
      <c r="D27" s="42" t="s">
        <v>428</v>
      </c>
      <c r="E27" s="42"/>
      <c r="F27" s="42"/>
      <c r="G27" s="42"/>
      <c r="H27" s="42"/>
      <c r="I27" s="42"/>
    </row>
    <row r="28" customFormat="false" ht="15" hidden="false" customHeight="false" outlineLevel="0" collapsed="false">
      <c r="A28" s="4" t="s">
        <v>977</v>
      </c>
      <c r="B28" s="50" t="n">
        <f aca="false">$B$15+$B$14</f>
        <v>120000</v>
      </c>
      <c r="C28" s="49" t="str">
        <f aca="false">IF(($B$15+$B$14)&lt;0,"−€","€")&amp;FIXED(ROUND(ABS($B$15+$B$14),0),0)</f>
        <v>€120,000</v>
      </c>
      <c r="D28" s="42" t="s">
        <v>430</v>
      </c>
      <c r="E28" s="42"/>
      <c r="F28" s="42"/>
      <c r="G28" s="42"/>
      <c r="H28" s="42"/>
      <c r="I28" s="42"/>
    </row>
    <row r="29" customFormat="false" ht="15" hidden="false" customHeight="false" outlineLevel="0" collapsed="false">
      <c r="A29" s="4" t="s">
        <v>978</v>
      </c>
      <c r="B29" s="50" t="n">
        <f aca="false">IF($B$20&gt;0,INT(($B$20)+0.5),"")</f>
        <v>680000</v>
      </c>
      <c r="C29" s="49" t="str">
        <f aca="false">$B$29&amp;""</f>
        <v>680000</v>
      </c>
      <c r="D29" s="42" t="s">
        <v>979</v>
      </c>
      <c r="E29" s="42"/>
      <c r="F29" s="42"/>
      <c r="G29" s="42"/>
      <c r="H29" s="42"/>
      <c r="I29" s="42"/>
    </row>
    <row r="30" customFormat="false" ht="15" hidden="false" customHeight="false" outlineLevel="0" collapsed="false">
      <c r="A30" s="4" t="s">
        <v>434</v>
      </c>
      <c r="B30" s="53" t="n">
        <f aca="false">IF($B$20&gt;0,Assumptions!$C$73,"")</f>
        <v>1</v>
      </c>
      <c r="C30" s="49" t="str">
        <f aca="false">$B$30&amp;""</f>
        <v>1</v>
      </c>
      <c r="D30" s="42" t="s">
        <v>979</v>
      </c>
      <c r="E30" s="42"/>
      <c r="F30" s="42"/>
      <c r="G30" s="42"/>
      <c r="H30" s="42"/>
      <c r="I30" s="42"/>
    </row>
  </sheetData>
  <mergeCells count="12">
    <mergeCell ref="A3:I3"/>
    <mergeCell ref="A4:I4"/>
    <mergeCell ref="A5:I5"/>
    <mergeCell ref="D19:I19"/>
    <mergeCell ref="D20:I20"/>
    <mergeCell ref="D24:I24"/>
    <mergeCell ref="D25:I25"/>
    <mergeCell ref="D26:I26"/>
    <mergeCell ref="D27:I27"/>
    <mergeCell ref="D28:I28"/>
    <mergeCell ref="D29:I29"/>
    <mergeCell ref="D30:I30"/>
  </mergeCells>
  <dataValidations count="5">
    <dataValidation allowBlank="false" error="The prototype accepts 0 to 2000000 here." errorStyle="stop" errorTitle="Outside the prototype range" operator="between" showDropDown="false" showErrorMessage="true" showInputMessage="false" sqref="B13" type="decimal">
      <formula1>0</formula1>
      <formula2>2000000</formula2>
    </dataValidation>
    <dataValidation allowBlank="false" error="The prototype accepts 0 to 3000000 here." errorStyle="stop" errorTitle="Outside the prototype range" operator="between" showDropDown="false" showErrorMessage="true" showInputMessage="false" sqref="B10" type="decimal">
      <formula1>0</formula1>
      <formula2>3000000</formula2>
    </dataValidation>
    <dataValidation allowBlank="false" error="The prototype accepts 1 to 30 here." errorStyle="stop" errorTitle="Outside the prototype range" operator="between" showDropDown="false" showErrorMessage="true" showInputMessage="false" sqref="B11" type="decimal">
      <formula1>1</formula1>
      <formula2>30</formula2>
    </dataValidation>
    <dataValidation allowBlank="false" error="The prototype accepts 0 to 10000000 here." errorStyle="stop" errorTitle="Outside the prototype range" operator="between" showDropDown="false" showErrorMessage="true" showInputMessage="false" sqref="B12 B14" type="decimal">
      <formula1>0</formula1>
      <formula2>10000000</formula2>
    </dataValidation>
    <dataValidation allowBlank="false" error="The prototype accepts 0 to 20000000 here." errorStyle="stop" errorTitle="Outside the prototype range" operator="between" showDropDown="false" showErrorMessage="true" showInputMessage="false" sqref="B15" type="decimal">
      <formula1>0</formula1>
      <formula2>20000000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980</v>
      </c>
    </row>
    <row r="2" customFormat="false" ht="15" hidden="false" customHeight="false" outlineLevel="0" collapsed="false">
      <c r="A2" s="30" t="s">
        <v>981</v>
      </c>
    </row>
    <row r="3" customFormat="false" ht="37.5" hidden="false" customHeight="true" outlineLevel="0" collapsed="false">
      <c r="A3" s="31" t="s">
        <v>982</v>
      </c>
      <c r="B3" s="31"/>
      <c r="C3" s="31"/>
      <c r="D3" s="31"/>
      <c r="E3" s="31"/>
      <c r="F3" s="31"/>
      <c r="G3" s="31"/>
      <c r="H3" s="31"/>
      <c r="I3" s="31"/>
    </row>
    <row r="4" customFormat="false" ht="63.75" hidden="false" customHeight="true" outlineLevel="0" collapsed="false">
      <c r="A4" s="31" t="s">
        <v>983</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727</v>
      </c>
      <c r="B10" s="33" t="n">
        <v>2500</v>
      </c>
      <c r="C10" s="7" t="s">
        <v>257</v>
      </c>
      <c r="D10" s="34" t="n">
        <v>2500</v>
      </c>
      <c r="E10" s="34" t="n">
        <v>500</v>
      </c>
      <c r="F10" s="34" t="n">
        <v>10000</v>
      </c>
      <c r="G10" s="34" t="n">
        <v>100000</v>
      </c>
      <c r="H10" s="34" t="n">
        <v>100</v>
      </c>
      <c r="I10" s="35" t="s">
        <v>728</v>
      </c>
    </row>
    <row r="11" customFormat="false" ht="15" hidden="false" customHeight="false" outlineLevel="0" collapsed="false">
      <c r="A11" s="7" t="s">
        <v>984</v>
      </c>
      <c r="B11" s="36" t="n">
        <v>3</v>
      </c>
      <c r="C11" s="7" t="s">
        <v>730</v>
      </c>
      <c r="D11" s="37" t="n">
        <v>3</v>
      </c>
      <c r="E11" s="37" t="n">
        <v>0</v>
      </c>
      <c r="F11" s="37" t="n">
        <v>12</v>
      </c>
      <c r="G11" s="37" t="n">
        <v>12</v>
      </c>
      <c r="H11" s="37" t="n">
        <v>1</v>
      </c>
      <c r="I11" s="35"/>
    </row>
    <row r="12" customFormat="false" ht="15" hidden="false" customHeight="false" outlineLevel="0" collapsed="false">
      <c r="A12" s="7" t="s">
        <v>731</v>
      </c>
      <c r="B12" s="33" t="n">
        <v>8000</v>
      </c>
      <c r="C12" s="7" t="s">
        <v>257</v>
      </c>
      <c r="D12" s="34" t="n">
        <v>8000</v>
      </c>
      <c r="E12" s="34" t="n">
        <v>0</v>
      </c>
      <c r="F12" s="34" t="n">
        <v>200000</v>
      </c>
      <c r="G12" s="34" t="n">
        <v>2000000</v>
      </c>
      <c r="H12" s="34" t="n">
        <v>500</v>
      </c>
      <c r="I12" s="35" t="s">
        <v>732</v>
      </c>
    </row>
    <row r="14" customFormat="false" ht="15" hidden="false" customHeight="false" outlineLevel="0" collapsed="false">
      <c r="A14" s="15" t="s">
        <v>391</v>
      </c>
      <c r="B14" s="16"/>
      <c r="C14" s="16"/>
      <c r="D14" s="16"/>
      <c r="E14" s="16"/>
      <c r="F14" s="16"/>
      <c r="G14" s="16"/>
      <c r="H14" s="16"/>
      <c r="I14" s="16"/>
    </row>
    <row r="15" customFormat="false" ht="15" hidden="false" customHeight="false" outlineLevel="0" collapsed="false">
      <c r="A15" s="17" t="s">
        <v>392</v>
      </c>
      <c r="B15" s="17" t="s">
        <v>192</v>
      </c>
      <c r="C15" s="17" t="s">
        <v>193</v>
      </c>
      <c r="D15" s="17" t="s">
        <v>393</v>
      </c>
    </row>
    <row r="16" customFormat="false" ht="15" hidden="false" customHeight="false" outlineLevel="0" collapsed="false">
      <c r="A16" s="7" t="s">
        <v>985</v>
      </c>
      <c r="B16" s="70" t="n">
        <f aca="false">IF($B$10=0,0,$B$12/$B$10)</f>
        <v>3.2</v>
      </c>
      <c r="C16" s="41" t="s">
        <v>507</v>
      </c>
      <c r="D16" s="42" t="s">
        <v>986</v>
      </c>
      <c r="E16" s="42"/>
      <c r="F16" s="42"/>
      <c r="G16" s="42"/>
      <c r="H16" s="42"/>
      <c r="I16" s="42"/>
    </row>
    <row r="17" customFormat="false" ht="15" hidden="false" customHeight="false" outlineLevel="0" collapsed="false">
      <c r="A17" s="7" t="s">
        <v>987</v>
      </c>
      <c r="B17" s="70" t="n">
        <f aca="false">$B$11+$B$16</f>
        <v>6.2</v>
      </c>
      <c r="C17" s="41" t="s">
        <v>507</v>
      </c>
      <c r="D17" s="42" t="s">
        <v>988</v>
      </c>
      <c r="E17" s="42"/>
      <c r="F17" s="42"/>
      <c r="G17" s="42"/>
      <c r="H17" s="42"/>
      <c r="I17" s="42"/>
    </row>
    <row r="19" customFormat="false" ht="15" hidden="false" customHeight="false" outlineLevel="0" collapsed="false">
      <c r="A19" s="15" t="s">
        <v>415</v>
      </c>
      <c r="B19" s="16"/>
      <c r="C19" s="16"/>
      <c r="D19" s="16"/>
      <c r="E19" s="16"/>
      <c r="F19" s="16"/>
      <c r="G19" s="16"/>
      <c r="H19" s="16"/>
      <c r="I19" s="16"/>
    </row>
    <row r="20" customFormat="false" ht="15" hidden="false" customHeight="false" outlineLevel="0" collapsed="false">
      <c r="A20" s="17" t="s">
        <v>416</v>
      </c>
      <c r="B20" s="17" t="s">
        <v>192</v>
      </c>
      <c r="C20" s="17" t="s">
        <v>417</v>
      </c>
      <c r="D20" s="17" t="s">
        <v>418</v>
      </c>
    </row>
    <row r="21" customFormat="false" ht="15" hidden="false" customHeight="false" outlineLevel="0" collapsed="false">
      <c r="A21" s="4" t="s">
        <v>419</v>
      </c>
      <c r="B21" s="48"/>
      <c r="C21" s="49" t="str">
        <f aca="false">"You could cope for about"</f>
        <v>You could cope for about</v>
      </c>
      <c r="D21" s="42" t="s">
        <v>420</v>
      </c>
      <c r="E21" s="42"/>
      <c r="F21" s="42"/>
      <c r="G21" s="42"/>
      <c r="H21" s="42"/>
      <c r="I21" s="42"/>
    </row>
    <row r="22" customFormat="false" ht="15" hidden="false" customHeight="false" outlineLevel="0" collapsed="false">
      <c r="A22" s="4" t="s">
        <v>989</v>
      </c>
      <c r="B22" s="71" t="n">
        <f aca="false">$B$17</f>
        <v>6.2</v>
      </c>
      <c r="C22" s="49" t="str">
        <f aca="false">FIXED($B$17,1,TRUE())&amp;" months"</f>
        <v>6.2 months</v>
      </c>
      <c r="D22" s="42" t="s">
        <v>512</v>
      </c>
      <c r="E22" s="42"/>
      <c r="F22" s="42"/>
      <c r="G22" s="42"/>
      <c r="H22" s="42"/>
      <c r="I22" s="42"/>
    </row>
    <row r="23" customFormat="false" ht="15" hidden="false" customHeight="false" outlineLevel="0" collapsed="false">
      <c r="A23" s="4" t="s">
        <v>990</v>
      </c>
      <c r="B23" s="50" t="n">
        <f aca="false">$B$10</f>
        <v>2500</v>
      </c>
      <c r="C23" s="49" t="str">
        <f aca="false">IF(($B$10)&lt;0,"−€","€")&amp;FIXED(ROUND(ABS($B$10),0),0)</f>
        <v>€2,500</v>
      </c>
      <c r="D23" s="42" t="s">
        <v>424</v>
      </c>
      <c r="E23" s="42"/>
      <c r="F23" s="42"/>
      <c r="G23" s="42"/>
      <c r="H23" s="42"/>
      <c r="I23" s="42"/>
    </row>
    <row r="24" customFormat="false" ht="15" hidden="false" customHeight="false" outlineLevel="0" collapsed="false">
      <c r="A24" s="4" t="s">
        <v>991</v>
      </c>
      <c r="B24" s="48" t="n">
        <f aca="false">$B$11</f>
        <v>3</v>
      </c>
      <c r="C24" s="49" t="str">
        <f aca="false">$B$11&amp;" months"</f>
        <v>3 months</v>
      </c>
      <c r="D24" s="42" t="s">
        <v>427</v>
      </c>
      <c r="E24" s="42"/>
      <c r="F24" s="42"/>
      <c r="G24" s="42"/>
      <c r="H24" s="42"/>
      <c r="I24" s="42"/>
    </row>
    <row r="25" customFormat="false" ht="15" hidden="false" customHeight="false" outlineLevel="0" collapsed="false">
      <c r="A25" s="4" t="s">
        <v>992</v>
      </c>
      <c r="B25" s="71" t="n">
        <f aca="false">$B$16</f>
        <v>3.2</v>
      </c>
      <c r="C25" s="49" t="str">
        <f aca="false">FIXED($B$16,1,TRUE())&amp;" months"</f>
        <v>3.2 months</v>
      </c>
      <c r="D25" s="42" t="s">
        <v>428</v>
      </c>
      <c r="E25" s="42"/>
      <c r="F25" s="42"/>
      <c r="G25" s="42"/>
      <c r="H25" s="42"/>
      <c r="I25" s="42"/>
    </row>
    <row r="26" customFormat="false" ht="15" hidden="false" customHeight="false" outlineLevel="0" collapsed="false">
      <c r="A26" s="4" t="s">
        <v>993</v>
      </c>
      <c r="B26" s="50" t="n">
        <f aca="false">$B$10*12</f>
        <v>30000</v>
      </c>
      <c r="C26" s="49" t="str">
        <f aca="false">$B$26&amp;""</f>
        <v>30000</v>
      </c>
      <c r="D26" s="42" t="s">
        <v>435</v>
      </c>
      <c r="E26" s="42"/>
      <c r="F26" s="42"/>
      <c r="G26" s="42"/>
      <c r="H26" s="42"/>
      <c r="I26" s="42"/>
    </row>
    <row r="27" customFormat="false" ht="15" hidden="false" customHeight="false" outlineLevel="0" collapsed="false">
      <c r="A27" s="4" t="s">
        <v>434</v>
      </c>
      <c r="B27" s="53" t="n">
        <f aca="false">Assumptions!$C$73</f>
        <v>1</v>
      </c>
      <c r="C27" s="49" t="str">
        <f aca="false">$B$27&amp;""</f>
        <v>1</v>
      </c>
      <c r="D27" s="42" t="s">
        <v>435</v>
      </c>
      <c r="E27" s="42"/>
      <c r="F27" s="42"/>
      <c r="G27" s="42"/>
      <c r="H27" s="42"/>
      <c r="I27" s="42"/>
    </row>
  </sheetData>
  <mergeCells count="12">
    <mergeCell ref="A3:I3"/>
    <mergeCell ref="A4:I4"/>
    <mergeCell ref="A5:I5"/>
    <mergeCell ref="D16:I16"/>
    <mergeCell ref="D17:I17"/>
    <mergeCell ref="D21:I21"/>
    <mergeCell ref="D22:I22"/>
    <mergeCell ref="D23:I23"/>
    <mergeCell ref="D24:I24"/>
    <mergeCell ref="D25:I25"/>
    <mergeCell ref="D26:I26"/>
    <mergeCell ref="D27:I27"/>
  </mergeCells>
  <dataValidations count="3">
    <dataValidation allowBlank="false" error="The prototype accepts 0 to 2000000 here." errorStyle="stop" errorTitle="Outside the prototype range" operator="between" showDropDown="false" showErrorMessage="true" showInputMessage="false" sqref="B12" type="decimal">
      <formula1>0</formula1>
      <formula2>2000000</formula2>
    </dataValidation>
    <dataValidation allowBlank="false" error="The prototype accepts 500 to 100000 here." errorStyle="stop" errorTitle="Outside the prototype range" operator="between" showDropDown="false" showErrorMessage="true" showInputMessage="false" sqref="B10" type="decimal">
      <formula1>500</formula1>
      <formula2>100000</formula2>
    </dataValidation>
    <dataValidation allowBlank="false" error="The prototype accepts 0 to 12 here." errorStyle="stop" errorTitle="Outside the prototype range" operator="between" showDropDown="false" showErrorMessage="true" showInputMessage="false" sqref="B11" type="decimal">
      <formula1>0</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2" min="11" style="0" width="14"/>
  </cols>
  <sheetData>
    <row r="1" customFormat="false" ht="17.35" hidden="false" customHeight="false" outlineLevel="0" collapsed="false">
      <c r="A1" s="1" t="s">
        <v>994</v>
      </c>
    </row>
    <row r="2" customFormat="false" ht="15" hidden="false" customHeight="false" outlineLevel="0" collapsed="false">
      <c r="A2" s="30" t="s">
        <v>995</v>
      </c>
    </row>
    <row r="3" customFormat="false" ht="37.5" hidden="false" customHeight="true" outlineLevel="0" collapsed="false">
      <c r="A3" s="31" t="s">
        <v>996</v>
      </c>
      <c r="B3" s="31"/>
      <c r="C3" s="31"/>
      <c r="D3" s="31"/>
      <c r="E3" s="31"/>
      <c r="F3" s="31"/>
      <c r="G3" s="31"/>
      <c r="H3" s="31"/>
      <c r="I3" s="31"/>
    </row>
    <row r="4" customFormat="false" ht="63.75" hidden="false" customHeight="true" outlineLevel="0" collapsed="false">
      <c r="A4" s="31" t="s">
        <v>997</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998</v>
      </c>
    </row>
    <row r="6" customFormat="false" ht="15" hidden="false" customHeight="false" outlineLevel="0" collapsed="false">
      <c r="K6" s="9" t="s">
        <v>999</v>
      </c>
      <c r="L6" s="16"/>
    </row>
    <row r="7" customFormat="false" ht="39.75" hidden="false" customHeight="true" outlineLevel="0" collapsed="false">
      <c r="K7" s="55" t="s">
        <v>442</v>
      </c>
      <c r="L7" s="55" t="s">
        <v>1000</v>
      </c>
    </row>
    <row r="8" customFormat="false" ht="15" hidden="false" customHeight="false" outlineLevel="0" collapsed="false">
      <c r="A8" s="15" t="s">
        <v>370</v>
      </c>
      <c r="B8" s="16"/>
      <c r="C8" s="16"/>
      <c r="D8" s="16"/>
      <c r="E8" s="16"/>
      <c r="F8" s="16"/>
      <c r="G8" s="16"/>
      <c r="H8" s="16"/>
      <c r="I8" s="16"/>
      <c r="K8" s="56" t="n">
        <v>1</v>
      </c>
      <c r="L8" s="58" t="n">
        <f aca="false">IF($B$10&gt;0,$B$10-($B$25-$B$10*$B$11/12),$B$10)</f>
        <v>249513.741232589</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2</v>
      </c>
      <c r="L9" s="58" t="n">
        <f aca="false">IF(L8&gt;0,L8-($B$25-L8*$B$11/12),L8)</f>
        <v>249025.86160262</v>
      </c>
    </row>
    <row r="10" customFormat="false" ht="15" hidden="false" customHeight="false" outlineLevel="0" collapsed="false">
      <c r="A10" s="7" t="s">
        <v>522</v>
      </c>
      <c r="B10" s="33" t="n">
        <v>250000</v>
      </c>
      <c r="C10" s="7" t="s">
        <v>257</v>
      </c>
      <c r="D10" s="34" t="n">
        <v>250000</v>
      </c>
      <c r="E10" s="34" t="n">
        <v>20000</v>
      </c>
      <c r="F10" s="34" t="n">
        <v>1000000</v>
      </c>
      <c r="G10" s="34" t="n">
        <v>10000000</v>
      </c>
      <c r="H10" s="34" t="n">
        <v>5000</v>
      </c>
      <c r="I10" s="35" t="s">
        <v>523</v>
      </c>
      <c r="K10" s="56" t="n">
        <f aca="false">K9+1</f>
        <v>3</v>
      </c>
      <c r="L10" s="58" t="n">
        <f aca="false">IF(L9&gt;0,L9-($B$25-L9*$B$11/12),L9)</f>
        <v>248536.355707217</v>
      </c>
    </row>
    <row r="11" customFormat="false" ht="15" hidden="false" customHeight="false" outlineLevel="0" collapsed="false">
      <c r="A11" s="7" t="s">
        <v>385</v>
      </c>
      <c r="B11" s="38" t="n">
        <v>0.04</v>
      </c>
      <c r="C11" s="7" t="s">
        <v>386</v>
      </c>
      <c r="D11" s="39" t="n">
        <v>0.04</v>
      </c>
      <c r="E11" s="39" t="n">
        <v>0.01</v>
      </c>
      <c r="F11" s="39" t="n">
        <v>0.08</v>
      </c>
      <c r="G11" s="39" t="n">
        <v>0.08</v>
      </c>
      <c r="H11" s="39" t="n">
        <v>0.0005</v>
      </c>
      <c r="I11" s="35" t="s">
        <v>451</v>
      </c>
      <c r="K11" s="56" t="n">
        <f aca="false">K10+1</f>
        <v>4</v>
      </c>
      <c r="L11" s="58" t="n">
        <f aca="false">IF(L10&gt;0,L10-($B$25-L10*$B$11/12),L10)</f>
        <v>248045.218125497</v>
      </c>
    </row>
    <row r="12" customFormat="false" ht="15" hidden="false" customHeight="false" outlineLevel="0" collapsed="false">
      <c r="A12" s="7" t="s">
        <v>524</v>
      </c>
      <c r="B12" s="36" t="n">
        <v>25</v>
      </c>
      <c r="C12" s="7" t="s">
        <v>388</v>
      </c>
      <c r="D12" s="37" t="n">
        <v>25</v>
      </c>
      <c r="E12" s="37" t="n">
        <v>5</v>
      </c>
      <c r="F12" s="37" t="n">
        <v>35</v>
      </c>
      <c r="G12" s="37" t="n">
        <v>35</v>
      </c>
      <c r="H12" s="37" t="n">
        <v>1</v>
      </c>
      <c r="I12" s="35" t="s">
        <v>452</v>
      </c>
      <c r="K12" s="56" t="n">
        <f aca="false">K11+1</f>
        <v>5</v>
      </c>
      <c r="L12" s="58" t="n">
        <f aca="false">IF(L11&gt;0,L11-($B$25-L11*$B$11/12),L11)</f>
        <v>247552.443418504</v>
      </c>
    </row>
    <row r="13" customFormat="false" ht="15" hidden="false" customHeight="false" outlineLevel="0" collapsed="false">
      <c r="K13" s="56" t="n">
        <f aca="false">K12+1</f>
        <v>6</v>
      </c>
      <c r="L13" s="58" t="n">
        <f aca="false">IF(L12&gt;0,L12-($B$25-L12*$B$11/12),L12)</f>
        <v>247058.026129155</v>
      </c>
    </row>
    <row r="14" customFormat="false" ht="15" hidden="false" customHeight="false" outlineLevel="0" collapsed="false">
      <c r="A14" s="15" t="s">
        <v>454</v>
      </c>
      <c r="B14" s="16"/>
      <c r="C14" s="16"/>
      <c r="D14" s="16"/>
      <c r="E14" s="16"/>
      <c r="F14" s="16"/>
      <c r="G14" s="16"/>
      <c r="H14" s="16"/>
      <c r="I14" s="16"/>
      <c r="K14" s="56" t="n">
        <f aca="false">K13+1</f>
        <v>7</v>
      </c>
      <c r="L14" s="58" t="n">
        <f aca="false">IF(L13&gt;0,L13-($B$25-L13*$B$11/12),L13)</f>
        <v>246561.960782174</v>
      </c>
    </row>
    <row r="15" customFormat="false" ht="15" hidden="false" customHeight="false" outlineLevel="0" collapsed="false">
      <c r="A15" s="17" t="s">
        <v>30</v>
      </c>
      <c r="B15" s="17" t="s">
        <v>192</v>
      </c>
      <c r="C15" s="17" t="s">
        <v>193</v>
      </c>
      <c r="D15" s="17" t="s">
        <v>371</v>
      </c>
      <c r="E15" s="17" t="s">
        <v>372</v>
      </c>
      <c r="F15" s="17" t="s">
        <v>373</v>
      </c>
      <c r="G15" s="17" t="s">
        <v>374</v>
      </c>
      <c r="H15" s="17" t="s">
        <v>375</v>
      </c>
      <c r="I15" s="17" t="s">
        <v>376</v>
      </c>
      <c r="K15" s="56" t="n">
        <f aca="false">K14+1</f>
        <v>8</v>
      </c>
      <c r="L15" s="58" t="n">
        <f aca="false">IF(L14&gt;0,L14-($B$25-L14*$B$11/12),L14)</f>
        <v>246064.241884037</v>
      </c>
    </row>
    <row r="16" customFormat="false" ht="22.35" hidden="false" customHeight="false" outlineLevel="0" collapsed="false">
      <c r="A16" s="7" t="s">
        <v>455</v>
      </c>
      <c r="B16" s="33" t="n">
        <v>0</v>
      </c>
      <c r="C16" s="7" t="s">
        <v>257</v>
      </c>
      <c r="D16" s="34" t="n">
        <v>0</v>
      </c>
      <c r="E16" s="34" t="n">
        <v>0</v>
      </c>
      <c r="F16" s="34" t="n">
        <v>100000</v>
      </c>
      <c r="G16" s="34" t="n">
        <v>100000</v>
      </c>
      <c r="H16" s="34"/>
      <c r="I16" s="35" t="s">
        <v>456</v>
      </c>
      <c r="K16" s="56" t="n">
        <f aca="false">K15+1</f>
        <v>9</v>
      </c>
      <c r="L16" s="58" t="n">
        <f aca="false">IF(L15&gt;0,L15-($B$25-L15*$B$11/12),L15)</f>
        <v>245564.863922906</v>
      </c>
    </row>
    <row r="17" customFormat="false" ht="22.35" hidden="false" customHeight="false" outlineLevel="0" collapsed="false">
      <c r="A17" s="7" t="s">
        <v>526</v>
      </c>
      <c r="B17" s="36" t="n">
        <v>1</v>
      </c>
      <c r="C17" s="7" t="s">
        <v>197</v>
      </c>
      <c r="D17" s="37" t="n">
        <v>1</v>
      </c>
      <c r="E17" s="37" t="n">
        <v>0</v>
      </c>
      <c r="F17" s="37" t="n">
        <v>1</v>
      </c>
      <c r="G17" s="37" t="n">
        <v>1</v>
      </c>
      <c r="H17" s="37" t="n">
        <v>1</v>
      </c>
      <c r="I17" s="35" t="s">
        <v>458</v>
      </c>
      <c r="K17" s="56" t="n">
        <f aca="false">K16+1</f>
        <v>10</v>
      </c>
      <c r="L17" s="58" t="n">
        <f aca="false">IF(L16&gt;0,L16-($B$25-L16*$B$11/12),L16)</f>
        <v>245063.821368571</v>
      </c>
    </row>
    <row r="18" customFormat="false" ht="15" hidden="false" customHeight="false" outlineLevel="0" collapsed="false">
      <c r="K18" s="56" t="n">
        <f aca="false">K17+1</f>
        <v>11</v>
      </c>
      <c r="L18" s="58" t="n">
        <f aca="false">IF(L17&gt;0,L17-($B$25-L17*$B$11/12),L17)</f>
        <v>244561.108672389</v>
      </c>
    </row>
    <row r="19" customFormat="false" ht="15" hidden="false" customHeight="false" outlineLevel="0" collapsed="false">
      <c r="A19" s="15" t="s">
        <v>391</v>
      </c>
      <c r="B19" s="16"/>
      <c r="C19" s="16"/>
      <c r="D19" s="16"/>
      <c r="E19" s="16"/>
      <c r="F19" s="16"/>
      <c r="G19" s="16"/>
      <c r="H19" s="16"/>
      <c r="I19" s="16"/>
      <c r="K19" s="56" t="n">
        <f aca="false">K18+1</f>
        <v>12</v>
      </c>
      <c r="L19" s="58" t="n">
        <f aca="false">IF(L18&gt;0,L18-($B$25-L18*$B$11/12),L18)</f>
        <v>244056.720267219</v>
      </c>
    </row>
    <row r="20" customFormat="false" ht="15" hidden="false" customHeight="false" outlineLevel="0" collapsed="false">
      <c r="A20" s="17" t="s">
        <v>392</v>
      </c>
      <c r="B20" s="17" t="s">
        <v>192</v>
      </c>
      <c r="C20" s="17" t="s">
        <v>193</v>
      </c>
      <c r="D20" s="17" t="s">
        <v>393</v>
      </c>
      <c r="K20" s="56" t="n">
        <f aca="false">K19+1</f>
        <v>13</v>
      </c>
      <c r="L20" s="58" t="n">
        <f aca="false">IF(L19&gt;0,L19-($B$25-L19*$B$11/12),L19)</f>
        <v>243550.650567365</v>
      </c>
    </row>
    <row r="21" customFormat="false" ht="15" hidden="false" customHeight="false" outlineLevel="0" collapsed="false">
      <c r="A21" s="7" t="s">
        <v>406</v>
      </c>
      <c r="B21" s="45" t="n">
        <f aca="false">$B$11/12</f>
        <v>0.00333333333333333</v>
      </c>
      <c r="C21" s="41" t="s">
        <v>407</v>
      </c>
      <c r="D21" s="42" t="s">
        <v>608</v>
      </c>
      <c r="E21" s="42"/>
      <c r="F21" s="42"/>
      <c r="G21" s="42"/>
      <c r="H21" s="42"/>
      <c r="I21" s="42"/>
      <c r="K21" s="56" t="n">
        <f aca="false">K20+1</f>
        <v>14</v>
      </c>
      <c r="L21" s="58" t="n">
        <f aca="false">IF(L20&gt;0,L20-($B$25-L20*$B$11/12),L20)</f>
        <v>243042.893968512</v>
      </c>
    </row>
    <row r="22" customFormat="false" ht="15" hidden="false" customHeight="false" outlineLevel="0" collapsed="false">
      <c r="A22" s="7" t="s">
        <v>409</v>
      </c>
      <c r="B22" s="46" t="n">
        <f aca="false">$B$12*12</f>
        <v>300</v>
      </c>
      <c r="C22" s="41" t="s">
        <v>240</v>
      </c>
      <c r="D22" s="42" t="s">
        <v>410</v>
      </c>
      <c r="E22" s="42"/>
      <c r="F22" s="42"/>
      <c r="G22" s="42"/>
      <c r="H22" s="42"/>
      <c r="I22" s="42"/>
      <c r="K22" s="56" t="n">
        <f aca="false">K21+1</f>
        <v>15</v>
      </c>
      <c r="L22" s="58" t="n">
        <f aca="false">IF(L21&gt;0,L21-($B$25-L21*$B$11/12),L21)</f>
        <v>242533.444847663</v>
      </c>
    </row>
    <row r="23" customFormat="false" ht="15" hidden="false" customHeight="false" outlineLevel="0" collapsed="false">
      <c r="A23" s="7" t="s">
        <v>459</v>
      </c>
      <c r="B23" s="43" t="n">
        <f aca="false">IF(($B$22)=0,0,IF($B$21&lt;&gt;0,$B$10*$B$21/(1-POWER(1+$B$21,-($B$22))),$B$10/($B$22)))</f>
        <v>1319.59210074443</v>
      </c>
      <c r="C23" s="41" t="s">
        <v>257</v>
      </c>
      <c r="D23" s="42" t="s">
        <v>1001</v>
      </c>
      <c r="E23" s="42"/>
      <c r="F23" s="42"/>
      <c r="G23" s="42"/>
      <c r="H23" s="42"/>
      <c r="I23" s="42"/>
      <c r="K23" s="56" t="n">
        <f aca="false">K22+1</f>
        <v>16</v>
      </c>
      <c r="L23" s="58" t="n">
        <f aca="false">IF(L22&gt;0,L22-($B$25-L22*$B$11/12),L22)</f>
        <v>242022.297563077</v>
      </c>
    </row>
    <row r="24" customFormat="false" ht="15" hidden="false" customHeight="false" outlineLevel="0" collapsed="false">
      <c r="A24" s="7" t="s">
        <v>461</v>
      </c>
      <c r="B24" s="43" t="n">
        <f aca="false">IF(AND($B$17=1,$B$16&gt;0),$B$16,0)</f>
        <v>0</v>
      </c>
      <c r="C24" s="41" t="s">
        <v>257</v>
      </c>
      <c r="D24" s="42" t="s">
        <v>1002</v>
      </c>
      <c r="E24" s="42"/>
      <c r="F24" s="42"/>
      <c r="G24" s="42"/>
      <c r="H24" s="42"/>
      <c r="I24" s="42"/>
      <c r="K24" s="56" t="n">
        <f aca="false">K23+1</f>
        <v>17</v>
      </c>
      <c r="L24" s="58" t="n">
        <f aca="false">IF(L23&gt;0,L23-($B$25-L23*$B$11/12),L23)</f>
        <v>241509.44645421</v>
      </c>
    </row>
    <row r="25" customFormat="false" ht="15" hidden="false" customHeight="false" outlineLevel="0" collapsed="false">
      <c r="A25" s="7" t="s">
        <v>1003</v>
      </c>
      <c r="B25" s="43" t="n">
        <f aca="false">IF($B$24&gt;0,$B$24,$B$23)</f>
        <v>1319.59210074443</v>
      </c>
      <c r="C25" s="41" t="s">
        <v>257</v>
      </c>
      <c r="D25" s="42" t="s">
        <v>528</v>
      </c>
      <c r="E25" s="42"/>
      <c r="F25" s="42"/>
      <c r="G25" s="42"/>
      <c r="H25" s="42"/>
      <c r="I25" s="42"/>
      <c r="K25" s="56" t="n">
        <f aca="false">K24+1</f>
        <v>18</v>
      </c>
      <c r="L25" s="58" t="n">
        <f aca="false">IF(L24&gt;0,L24-($B$25-L24*$B$11/12),L24)</f>
        <v>240994.885841646</v>
      </c>
    </row>
    <row r="26" customFormat="false" ht="15" hidden="false" customHeight="false" outlineLevel="0" collapsed="false">
      <c r="A26" s="7" t="s">
        <v>1004</v>
      </c>
      <c r="B26" s="44" t="n">
        <f aca="false">MAX(0,INDEX($L$8:$L$187,Assumptions!$C$67*12))</f>
        <v>217761.540588297</v>
      </c>
      <c r="C26" s="41" t="s">
        <v>257</v>
      </c>
      <c r="D26" s="42" t="s">
        <v>1005</v>
      </c>
      <c r="E26" s="42"/>
      <c r="F26" s="42"/>
      <c r="G26" s="42"/>
      <c r="H26" s="42"/>
      <c r="I26" s="42"/>
      <c r="K26" s="56" t="n">
        <f aca="false">K25+1</f>
        <v>19</v>
      </c>
      <c r="L26" s="58" t="n">
        <f aca="false">IF(L25&gt;0,L25-($B$25-L25*$B$11/12),L25)</f>
        <v>240478.61002704</v>
      </c>
    </row>
    <row r="27" customFormat="false" ht="15" hidden="false" customHeight="false" outlineLevel="0" collapsed="false">
      <c r="A27" s="7" t="s">
        <v>1006</v>
      </c>
      <c r="B27" s="44" t="n">
        <f aca="false">MAX(0,INDEX($L$8:$L$187,Assumptions!$C$68*12))</f>
        <v>178398.491452667</v>
      </c>
      <c r="C27" s="41" t="s">
        <v>257</v>
      </c>
      <c r="D27" s="42" t="s">
        <v>1007</v>
      </c>
      <c r="E27" s="42"/>
      <c r="F27" s="42"/>
      <c r="G27" s="42"/>
      <c r="H27" s="42"/>
      <c r="I27" s="42"/>
      <c r="K27" s="56" t="n">
        <f aca="false">K26+1</f>
        <v>20</v>
      </c>
      <c r="L27" s="58" t="n">
        <f aca="false">IF(L26&gt;0,L26-($B$25-L26*$B$11/12),L26)</f>
        <v>239960.613293053</v>
      </c>
    </row>
    <row r="28" customFormat="false" ht="15" hidden="false" customHeight="false" outlineLevel="0" collapsed="false">
      <c r="A28" s="7" t="s">
        <v>1008</v>
      </c>
      <c r="B28" s="44" t="n">
        <f aca="false">MAX(0,INDEX($L$8:$L$187,Assumptions!$C$69*12))</f>
        <v>130336.342530886</v>
      </c>
      <c r="C28" s="41" t="s">
        <v>257</v>
      </c>
      <c r="D28" s="42" t="s">
        <v>1009</v>
      </c>
      <c r="E28" s="42"/>
      <c r="F28" s="42"/>
      <c r="G28" s="42"/>
      <c r="H28" s="42"/>
      <c r="I28" s="42"/>
      <c r="K28" s="56" t="n">
        <f aca="false">K27+1</f>
        <v>21</v>
      </c>
      <c r="L28" s="58" t="n">
        <f aca="false">IF(L27&gt;0,L27-($B$25-L27*$B$11/12),L27)</f>
        <v>239440.889903285</v>
      </c>
    </row>
    <row r="29" customFormat="false" ht="15" hidden="false" customHeight="false" outlineLevel="0" collapsed="false">
      <c r="K29" s="56" t="n">
        <f aca="false">K28+1</f>
        <v>22</v>
      </c>
      <c r="L29" s="58" t="n">
        <f aca="false">IF(L28&gt;0,L28-($B$25-L28*$B$11/12),L28)</f>
        <v>238919.434102218</v>
      </c>
    </row>
    <row r="30" customFormat="false" ht="15" hidden="false" customHeight="false" outlineLevel="0" collapsed="false">
      <c r="A30" s="15" t="s">
        <v>415</v>
      </c>
      <c r="B30" s="16"/>
      <c r="C30" s="16"/>
      <c r="D30" s="16"/>
      <c r="E30" s="16"/>
      <c r="F30" s="16"/>
      <c r="G30" s="16"/>
      <c r="H30" s="16"/>
      <c r="I30" s="16"/>
      <c r="K30" s="56" t="n">
        <f aca="false">K29+1</f>
        <v>23</v>
      </c>
      <c r="L30" s="58" t="n">
        <f aca="false">IF(L29&gt;0,L29-($B$25-L29*$B$11/12),L29)</f>
        <v>238396.240115148</v>
      </c>
    </row>
    <row r="31" customFormat="false" ht="15" hidden="false" customHeight="false" outlineLevel="0" collapsed="false">
      <c r="A31" s="17" t="s">
        <v>416</v>
      </c>
      <c r="B31" s="17" t="s">
        <v>192</v>
      </c>
      <c r="C31" s="17" t="s">
        <v>417</v>
      </c>
      <c r="D31" s="17" t="s">
        <v>418</v>
      </c>
      <c r="K31" s="56" t="n">
        <f aca="false">K30+1</f>
        <v>24</v>
      </c>
      <c r="L31" s="58" t="n">
        <f aca="false">IF(L30&gt;0,L30-($B$25-L30*$B$11/12),L30)</f>
        <v>237871.302148121</v>
      </c>
    </row>
    <row r="32" customFormat="false" ht="15" hidden="false" customHeight="false" outlineLevel="0" collapsed="false">
      <c r="A32" s="4" t="s">
        <v>419</v>
      </c>
      <c r="B32" s="48"/>
      <c r="C32" s="49" t="str">
        <f aca="false">"Cover needed today"</f>
        <v>Cover needed today</v>
      </c>
      <c r="D32" s="42" t="s">
        <v>420</v>
      </c>
      <c r="E32" s="42"/>
      <c r="F32" s="42"/>
      <c r="G32" s="42"/>
      <c r="H32" s="42"/>
      <c r="I32" s="42"/>
      <c r="K32" s="56" t="n">
        <f aca="false">K31+1</f>
        <v>25</v>
      </c>
      <c r="L32" s="58" t="n">
        <f aca="false">IF(L31&gt;0,L31-($B$25-L31*$B$11/12),L31)</f>
        <v>237344.61438787</v>
      </c>
    </row>
    <row r="33" customFormat="false" ht="15" hidden="false" customHeight="false" outlineLevel="0" collapsed="false">
      <c r="A33" s="4" t="s">
        <v>1010</v>
      </c>
      <c r="B33" s="50" t="n">
        <f aca="false">$B$10</f>
        <v>250000</v>
      </c>
      <c r="C33" s="49" t="str">
        <f aca="false">IF(($B$10)&lt;0,"−€","€")&amp;FIXED(ROUND(ABS($B$10),0),0)</f>
        <v>€250,000</v>
      </c>
      <c r="D33" s="42" t="s">
        <v>512</v>
      </c>
      <c r="E33" s="42"/>
      <c r="F33" s="42"/>
      <c r="G33" s="42"/>
      <c r="H33" s="42"/>
      <c r="I33" s="42"/>
      <c r="K33" s="56" t="n">
        <f aca="false">K32+1</f>
        <v>26</v>
      </c>
      <c r="L33" s="58" t="n">
        <f aca="false">IF(L32&gt;0,L32-($B$25-L32*$B$11/12),L32)</f>
        <v>236816.171001752</v>
      </c>
    </row>
    <row r="34" customFormat="false" ht="15" hidden="false" customHeight="false" outlineLevel="0" collapsed="false">
      <c r="A34" s="4" t="s">
        <v>1011</v>
      </c>
      <c r="B34" s="50" t="n">
        <f aca="false">$B$25</f>
        <v>1319.59210074443</v>
      </c>
      <c r="C34" s="49" t="str">
        <f aca="false">IF(($B$25)&lt;0,"−€","€")&amp;FIXED(ROUND(ABS($B$25),0),0)</f>
        <v>€1,320</v>
      </c>
      <c r="D34" s="42" t="s">
        <v>424</v>
      </c>
      <c r="E34" s="42"/>
      <c r="F34" s="42"/>
      <c r="G34" s="42"/>
      <c r="H34" s="42"/>
      <c r="I34" s="42"/>
      <c r="K34" s="56" t="n">
        <f aca="false">K33+1</f>
        <v>27</v>
      </c>
      <c r="L34" s="58" t="n">
        <f aca="false">IF(L33&gt;0,L33-($B$25-L33*$B$11/12),L33)</f>
        <v>236285.96613768</v>
      </c>
    </row>
    <row r="35" customFormat="false" ht="15" hidden="false" customHeight="false" outlineLevel="0" collapsed="false">
      <c r="A35" s="4" t="s">
        <v>1012</v>
      </c>
      <c r="B35" s="50" t="n">
        <f aca="false">$B$26</f>
        <v>217761.540588297</v>
      </c>
      <c r="C35" s="49" t="str">
        <f aca="false">IF(($B$26)&lt;0,"−€","€")&amp;FIXED(ROUND(ABS($B$26),0),0)</f>
        <v>€217,762</v>
      </c>
      <c r="D35" s="42" t="s">
        <v>427</v>
      </c>
      <c r="E35" s="42"/>
      <c r="F35" s="42"/>
      <c r="G35" s="42"/>
      <c r="H35" s="42"/>
      <c r="I35" s="42"/>
      <c r="K35" s="56" t="n">
        <f aca="false">K34+1</f>
        <v>28</v>
      </c>
      <c r="L35" s="58" t="n">
        <f aca="false">IF(L34&gt;0,L34-($B$25-L34*$B$11/12),L34)</f>
        <v>235753.993924061</v>
      </c>
    </row>
    <row r="36" customFormat="false" ht="15" hidden="false" customHeight="false" outlineLevel="0" collapsed="false">
      <c r="A36" s="4" t="s">
        <v>1013</v>
      </c>
      <c r="B36" s="50" t="n">
        <f aca="false">$B$27</f>
        <v>178398.491452667</v>
      </c>
      <c r="C36" s="49" t="str">
        <f aca="false">IF(($B$27)&lt;0,"−€","€")&amp;FIXED(ROUND(ABS($B$27),0),0)</f>
        <v>€178,398</v>
      </c>
      <c r="D36" s="42" t="s">
        <v>428</v>
      </c>
      <c r="E36" s="42"/>
      <c r="F36" s="42"/>
      <c r="G36" s="42"/>
      <c r="H36" s="42"/>
      <c r="I36" s="42"/>
      <c r="K36" s="56" t="n">
        <f aca="false">K35+1</f>
        <v>29</v>
      </c>
      <c r="L36" s="58" t="n">
        <f aca="false">IF(L35&gt;0,L35-($B$25-L35*$B$11/12),L35)</f>
        <v>235220.24846973</v>
      </c>
    </row>
    <row r="37" customFormat="false" ht="15" hidden="false" customHeight="false" outlineLevel="0" collapsed="false">
      <c r="A37" s="4" t="s">
        <v>1014</v>
      </c>
      <c r="B37" s="50" t="n">
        <f aca="false">$B$28</f>
        <v>130336.342530886</v>
      </c>
      <c r="C37" s="49" t="str">
        <f aca="false">IF(($B$28)&lt;0,"−€","€")&amp;FIXED(ROUND(ABS($B$28),0),0)</f>
        <v>€130,336</v>
      </c>
      <c r="D37" s="42" t="s">
        <v>430</v>
      </c>
      <c r="E37" s="42"/>
      <c r="F37" s="42"/>
      <c r="G37" s="42"/>
      <c r="H37" s="42"/>
      <c r="I37" s="42"/>
      <c r="K37" s="56" t="n">
        <f aca="false">K36+1</f>
        <v>30</v>
      </c>
      <c r="L37" s="58" t="n">
        <f aca="false">IF(L36&gt;0,L36-($B$25-L36*$B$11/12),L36)</f>
        <v>234684.723863885</v>
      </c>
    </row>
    <row r="38" customFormat="false" ht="15" hidden="false" customHeight="false" outlineLevel="0" collapsed="false">
      <c r="K38" s="56" t="n">
        <f aca="false">K37+1</f>
        <v>31</v>
      </c>
      <c r="L38" s="58" t="n">
        <f aca="false">IF(L37&gt;0,L37-($B$25-L37*$B$11/12),L37)</f>
        <v>234147.41417602</v>
      </c>
    </row>
    <row r="39" customFormat="false" ht="15" hidden="false" customHeight="false" outlineLevel="0" collapsed="false">
      <c r="K39" s="56" t="n">
        <f aca="false">K38+1</f>
        <v>32</v>
      </c>
      <c r="L39" s="58" t="n">
        <f aca="false">IF(L38&gt;0,L38-($B$25-L38*$B$11/12),L38)</f>
        <v>233608.313455862</v>
      </c>
    </row>
    <row r="40" customFormat="false" ht="15" hidden="false" customHeight="false" outlineLevel="0" collapsed="false">
      <c r="K40" s="56" t="n">
        <f aca="false">K39+1</f>
        <v>33</v>
      </c>
      <c r="L40" s="58" t="n">
        <f aca="false">IF(L39&gt;0,L39-($B$25-L39*$B$11/12),L39)</f>
        <v>233067.415733304</v>
      </c>
    </row>
    <row r="41" customFormat="false" ht="15" hidden="false" customHeight="false" outlineLevel="0" collapsed="false">
      <c r="K41" s="56" t="n">
        <f aca="false">K40+1</f>
        <v>34</v>
      </c>
      <c r="L41" s="58" t="n">
        <f aca="false">IF(L40&gt;0,L40-($B$25-L40*$B$11/12),L40)</f>
        <v>232524.715018337</v>
      </c>
    </row>
    <row r="42" customFormat="false" ht="15" hidden="false" customHeight="false" outlineLevel="0" collapsed="false">
      <c r="K42" s="56" t="n">
        <f aca="false">K41+1</f>
        <v>35</v>
      </c>
      <c r="L42" s="58" t="n">
        <f aca="false">IF(L41&gt;0,L41-($B$25-L41*$B$11/12),L41)</f>
        <v>231980.205300988</v>
      </c>
    </row>
    <row r="43" customFormat="false" ht="15" hidden="false" customHeight="false" outlineLevel="0" collapsed="false">
      <c r="K43" s="56" t="n">
        <f aca="false">K42+1</f>
        <v>36</v>
      </c>
      <c r="L43" s="58" t="n">
        <f aca="false">IF(L42&gt;0,L42-($B$25-L42*$B$11/12),L42)</f>
        <v>231433.880551246</v>
      </c>
    </row>
    <row r="44" customFormat="false" ht="15" hidden="false" customHeight="false" outlineLevel="0" collapsed="false">
      <c r="K44" s="56" t="n">
        <f aca="false">K43+1</f>
        <v>37</v>
      </c>
      <c r="L44" s="58" t="n">
        <f aca="false">IF(L43&gt;0,L43-($B$25-L43*$B$11/12),L43)</f>
        <v>230885.734719006</v>
      </c>
    </row>
    <row r="45" customFormat="false" ht="15" hidden="false" customHeight="false" outlineLevel="0" collapsed="false">
      <c r="K45" s="56" t="n">
        <f aca="false">K44+1</f>
        <v>38</v>
      </c>
      <c r="L45" s="58" t="n">
        <f aca="false">IF(L44&gt;0,L44-($B$25-L44*$B$11/12),L44)</f>
        <v>230335.761733992</v>
      </c>
    </row>
    <row r="46" customFormat="false" ht="15" hidden="false" customHeight="false" outlineLevel="0" collapsed="false">
      <c r="K46" s="56" t="n">
        <f aca="false">K45+1</f>
        <v>39</v>
      </c>
      <c r="L46" s="58" t="n">
        <f aca="false">IF(L45&gt;0,L45-($B$25-L45*$B$11/12),L45)</f>
        <v>229783.955505694</v>
      </c>
    </row>
    <row r="47" customFormat="false" ht="15" hidden="false" customHeight="false" outlineLevel="0" collapsed="false">
      <c r="K47" s="56" t="n">
        <f aca="false">K46+1</f>
        <v>40</v>
      </c>
      <c r="L47" s="58" t="n">
        <f aca="false">IF(L46&gt;0,L46-($B$25-L46*$B$11/12),L46)</f>
        <v>229230.309923302</v>
      </c>
    </row>
    <row r="48" customFormat="false" ht="15" hidden="false" customHeight="false" outlineLevel="0" collapsed="false">
      <c r="K48" s="56" t="n">
        <f aca="false">K47+1</f>
        <v>41</v>
      </c>
      <c r="L48" s="58" t="n">
        <f aca="false">IF(L47&gt;0,L47-($B$25-L47*$B$11/12),L47)</f>
        <v>228674.818855635</v>
      </c>
    </row>
    <row r="49" customFormat="false" ht="15" hidden="false" customHeight="false" outlineLevel="0" collapsed="false">
      <c r="K49" s="56" t="n">
        <f aca="false">K48+1</f>
        <v>42</v>
      </c>
      <c r="L49" s="58" t="n">
        <f aca="false">IF(L48&gt;0,L48-($B$25-L48*$B$11/12),L48)</f>
        <v>228117.476151076</v>
      </c>
    </row>
    <row r="50" customFormat="false" ht="15" hidden="false" customHeight="false" outlineLevel="0" collapsed="false">
      <c r="K50" s="56" t="n">
        <f aca="false">K49+1</f>
        <v>43</v>
      </c>
      <c r="L50" s="58" t="n">
        <f aca="false">IF(L49&gt;0,L49-($B$25-L49*$B$11/12),L49)</f>
        <v>227558.275637502</v>
      </c>
    </row>
    <row r="51" customFormat="false" ht="15" hidden="false" customHeight="false" outlineLevel="0" collapsed="false">
      <c r="K51" s="56" t="n">
        <f aca="false">K50+1</f>
        <v>44</v>
      </c>
      <c r="L51" s="58" t="n">
        <f aca="false">IF(L50&gt;0,L50-($B$25-L50*$B$11/12),L50)</f>
        <v>226997.211122216</v>
      </c>
    </row>
    <row r="52" customFormat="false" ht="15" hidden="false" customHeight="false" outlineLevel="0" collapsed="false">
      <c r="K52" s="56" t="n">
        <f aca="false">K51+1</f>
        <v>45</v>
      </c>
      <c r="L52" s="58" t="n">
        <f aca="false">IF(L51&gt;0,L51-($B$25-L51*$B$11/12),L51)</f>
        <v>226434.276391879</v>
      </c>
    </row>
    <row r="53" customFormat="false" ht="15" hidden="false" customHeight="false" outlineLevel="0" collapsed="false">
      <c r="K53" s="56" t="n">
        <f aca="false">K52+1</f>
        <v>46</v>
      </c>
      <c r="L53" s="58" t="n">
        <f aca="false">IF(L52&gt;0,L52-($B$25-L52*$B$11/12),L52)</f>
        <v>225869.465212441</v>
      </c>
    </row>
    <row r="54" customFormat="false" ht="15" hidden="false" customHeight="false" outlineLevel="0" collapsed="false">
      <c r="K54" s="56" t="n">
        <f aca="false">K53+1</f>
        <v>47</v>
      </c>
      <c r="L54" s="58" t="n">
        <f aca="false">IF(L53&gt;0,L53-($B$25-L53*$B$11/12),L53)</f>
        <v>225302.771329071</v>
      </c>
    </row>
    <row r="55" customFormat="false" ht="15" hidden="false" customHeight="false" outlineLevel="0" collapsed="false">
      <c r="K55" s="56" t="n">
        <f aca="false">K54+1</f>
        <v>48</v>
      </c>
      <c r="L55" s="58" t="n">
        <f aca="false">IF(L54&gt;0,L54-($B$25-L54*$B$11/12),L54)</f>
        <v>224734.18846609</v>
      </c>
    </row>
    <row r="56" customFormat="false" ht="15" hidden="false" customHeight="false" outlineLevel="0" collapsed="false">
      <c r="K56" s="56" t="n">
        <f aca="false">K55+1</f>
        <v>49</v>
      </c>
      <c r="L56" s="58" t="n">
        <f aca="false">IF(L55&gt;0,L55-($B$25-L55*$B$11/12),L55)</f>
        <v>224163.710326899</v>
      </c>
    </row>
    <row r="57" customFormat="false" ht="15" hidden="false" customHeight="false" outlineLevel="0" collapsed="false">
      <c r="K57" s="56" t="n">
        <f aca="false">K56+1</f>
        <v>50</v>
      </c>
      <c r="L57" s="58" t="n">
        <f aca="false">IF(L56&gt;0,L56-($B$25-L56*$B$11/12),L56)</f>
        <v>223591.330593911</v>
      </c>
    </row>
    <row r="58" customFormat="false" ht="15" hidden="false" customHeight="false" outlineLevel="0" collapsed="false">
      <c r="K58" s="56" t="n">
        <f aca="false">K57+1</f>
        <v>51</v>
      </c>
      <c r="L58" s="58" t="n">
        <f aca="false">IF(L57&gt;0,L57-($B$25-L57*$B$11/12),L57)</f>
        <v>223017.04292848</v>
      </c>
    </row>
    <row r="59" customFormat="false" ht="15" hidden="false" customHeight="false" outlineLevel="0" collapsed="false">
      <c r="K59" s="56" t="n">
        <f aca="false">K58+1</f>
        <v>52</v>
      </c>
      <c r="L59" s="58" t="n">
        <f aca="false">IF(L58&gt;0,L58-($B$25-L58*$B$11/12),L58)</f>
        <v>222440.84097083</v>
      </c>
    </row>
    <row r="60" customFormat="false" ht="15" hidden="false" customHeight="false" outlineLevel="0" collapsed="false">
      <c r="K60" s="56" t="n">
        <f aca="false">K59+1</f>
        <v>53</v>
      </c>
      <c r="L60" s="58" t="n">
        <f aca="false">IF(L59&gt;0,L59-($B$25-L59*$B$11/12),L59)</f>
        <v>221862.718339989</v>
      </c>
    </row>
    <row r="61" customFormat="false" ht="15" hidden="false" customHeight="false" outlineLevel="0" collapsed="false">
      <c r="K61" s="56" t="n">
        <f aca="false">K60+1</f>
        <v>54</v>
      </c>
      <c r="L61" s="58" t="n">
        <f aca="false">IF(L60&gt;0,L60-($B$25-L60*$B$11/12),L60)</f>
        <v>221282.668633711</v>
      </c>
    </row>
    <row r="62" customFormat="false" ht="15" hidden="false" customHeight="false" outlineLevel="0" collapsed="false">
      <c r="K62" s="56" t="n">
        <f aca="false">K61+1</f>
        <v>55</v>
      </c>
      <c r="L62" s="58" t="n">
        <f aca="false">IF(L61&gt;0,L61-($B$25-L61*$B$11/12),L61)</f>
        <v>220700.685428412</v>
      </c>
    </row>
    <row r="63" customFormat="false" ht="15" hidden="false" customHeight="false" outlineLevel="0" collapsed="false">
      <c r="K63" s="56" t="n">
        <f aca="false">K62+1</f>
        <v>56</v>
      </c>
      <c r="L63" s="58" t="n">
        <f aca="false">IF(L62&gt;0,L62-($B$25-L62*$B$11/12),L62)</f>
        <v>220116.762279096</v>
      </c>
    </row>
    <row r="64" customFormat="false" ht="15" hidden="false" customHeight="false" outlineLevel="0" collapsed="false">
      <c r="K64" s="56" t="n">
        <f aca="false">K63+1</f>
        <v>57</v>
      </c>
      <c r="L64" s="58" t="n">
        <f aca="false">IF(L63&gt;0,L63-($B$25-L63*$B$11/12),L63)</f>
        <v>219530.892719282</v>
      </c>
    </row>
    <row r="65" customFormat="false" ht="15" hidden="false" customHeight="false" outlineLevel="0" collapsed="false">
      <c r="K65" s="56" t="n">
        <f aca="false">K64+1</f>
        <v>58</v>
      </c>
      <c r="L65" s="58" t="n">
        <f aca="false">IF(L64&gt;0,L64-($B$25-L64*$B$11/12),L64)</f>
        <v>218943.070260935</v>
      </c>
    </row>
    <row r="66" customFormat="false" ht="15" hidden="false" customHeight="false" outlineLevel="0" collapsed="false">
      <c r="K66" s="56" t="n">
        <f aca="false">K65+1</f>
        <v>59</v>
      </c>
      <c r="L66" s="58" t="n">
        <f aca="false">IF(L65&gt;0,L65-($B$25-L65*$B$11/12),L65)</f>
        <v>218353.288394394</v>
      </c>
    </row>
    <row r="67" customFormat="false" ht="15" hidden="false" customHeight="false" outlineLevel="0" collapsed="false">
      <c r="K67" s="56" t="n">
        <f aca="false">K66+1</f>
        <v>60</v>
      </c>
      <c r="L67" s="58" t="n">
        <f aca="false">IF(L66&gt;0,L66-($B$25-L66*$B$11/12),L66)</f>
        <v>217761.540588297</v>
      </c>
    </row>
    <row r="68" customFormat="false" ht="15" hidden="false" customHeight="false" outlineLevel="0" collapsed="false">
      <c r="K68" s="56" t="n">
        <f aca="false">K67+1</f>
        <v>61</v>
      </c>
      <c r="L68" s="58" t="n">
        <f aca="false">IF(L67&gt;0,L67-($B$25-L67*$B$11/12),L67)</f>
        <v>217167.820289514</v>
      </c>
    </row>
    <row r="69" customFormat="false" ht="15" hidden="false" customHeight="false" outlineLevel="0" collapsed="false">
      <c r="K69" s="56" t="n">
        <f aca="false">K68+1</f>
        <v>62</v>
      </c>
      <c r="L69" s="58" t="n">
        <f aca="false">IF(L68&gt;0,L68-($B$25-L68*$B$11/12),L68)</f>
        <v>216572.120923068</v>
      </c>
    </row>
    <row r="70" customFormat="false" ht="15" hidden="false" customHeight="false" outlineLevel="0" collapsed="false">
      <c r="K70" s="56" t="n">
        <f aca="false">K69+1</f>
        <v>63</v>
      </c>
      <c r="L70" s="58" t="n">
        <f aca="false">IF(L69&gt;0,L69-($B$25-L69*$B$11/12),L69)</f>
        <v>215974.435892067</v>
      </c>
    </row>
    <row r="71" customFormat="false" ht="15" hidden="false" customHeight="false" outlineLevel="0" collapsed="false">
      <c r="K71" s="56" t="n">
        <f aca="false">K70+1</f>
        <v>64</v>
      </c>
      <c r="L71" s="58" t="n">
        <f aca="false">IF(L70&gt;0,L70-($B$25-L70*$B$11/12),L70)</f>
        <v>215374.758577629</v>
      </c>
    </row>
    <row r="72" customFormat="false" ht="15" hidden="false" customHeight="false" outlineLevel="0" collapsed="false">
      <c r="K72" s="56" t="n">
        <f aca="false">K71+1</f>
        <v>65</v>
      </c>
      <c r="L72" s="58" t="n">
        <f aca="false">IF(L71&gt;0,L71-($B$25-L71*$B$11/12),L71)</f>
        <v>214773.08233881</v>
      </c>
    </row>
    <row r="73" customFormat="false" ht="15" hidden="false" customHeight="false" outlineLevel="0" collapsed="false">
      <c r="K73" s="56" t="n">
        <f aca="false">K72+1</f>
        <v>66</v>
      </c>
      <c r="L73" s="58" t="n">
        <f aca="false">IF(L72&gt;0,L72-($B$25-L72*$B$11/12),L72)</f>
        <v>214169.400512529</v>
      </c>
    </row>
    <row r="74" customFormat="false" ht="15" hidden="false" customHeight="false" outlineLevel="0" collapsed="false">
      <c r="K74" s="56" t="n">
        <f aca="false">K73+1</f>
        <v>67</v>
      </c>
      <c r="L74" s="58" t="n">
        <f aca="false">IF(L73&gt;0,L73-($B$25-L73*$B$11/12),L73)</f>
        <v>213563.706413493</v>
      </c>
    </row>
    <row r="75" customFormat="false" ht="15" hidden="false" customHeight="false" outlineLevel="0" collapsed="false">
      <c r="K75" s="56" t="n">
        <f aca="false">K74+1</f>
        <v>68</v>
      </c>
      <c r="L75" s="58" t="n">
        <f aca="false">IF(L74&gt;0,L74-($B$25-L74*$B$11/12),L74)</f>
        <v>212955.993334126</v>
      </c>
    </row>
    <row r="76" customFormat="false" ht="15" hidden="false" customHeight="false" outlineLevel="0" collapsed="false">
      <c r="K76" s="56" t="n">
        <f aca="false">K75+1</f>
        <v>69</v>
      </c>
      <c r="L76" s="58" t="n">
        <f aca="false">IF(L75&gt;0,L75-($B$25-L75*$B$11/12),L75)</f>
        <v>212346.254544496</v>
      </c>
    </row>
    <row r="77" customFormat="false" ht="15" hidden="false" customHeight="false" outlineLevel="0" collapsed="false">
      <c r="K77" s="56" t="n">
        <f aca="false">K76+1</f>
        <v>70</v>
      </c>
      <c r="L77" s="58" t="n">
        <f aca="false">IF(L76&gt;0,L76-($B$25-L76*$B$11/12),L76)</f>
        <v>211734.483292233</v>
      </c>
    </row>
    <row r="78" customFormat="false" ht="15" hidden="false" customHeight="false" outlineLevel="0" collapsed="false">
      <c r="K78" s="56" t="n">
        <f aca="false">K77+1</f>
        <v>71</v>
      </c>
      <c r="L78" s="58" t="n">
        <f aca="false">IF(L77&gt;0,L77-($B$25-L77*$B$11/12),L77)</f>
        <v>211120.672802463</v>
      </c>
    </row>
    <row r="79" customFormat="false" ht="15" hidden="false" customHeight="false" outlineLevel="0" collapsed="false">
      <c r="K79" s="56" t="n">
        <f aca="false">K78+1</f>
        <v>72</v>
      </c>
      <c r="L79" s="58" t="n">
        <f aca="false">IF(L78&gt;0,L78-($B$25-L78*$B$11/12),L78)</f>
        <v>210504.816277726</v>
      </c>
    </row>
    <row r="80" customFormat="false" ht="15" hidden="false" customHeight="false" outlineLevel="0" collapsed="false">
      <c r="K80" s="56" t="n">
        <f aca="false">K79+1</f>
        <v>73</v>
      </c>
      <c r="L80" s="58" t="n">
        <f aca="false">IF(L79&gt;0,L79-($B$25-L79*$B$11/12),L79)</f>
        <v>209886.906897908</v>
      </c>
    </row>
    <row r="81" customFormat="false" ht="15" hidden="false" customHeight="false" outlineLevel="0" collapsed="false">
      <c r="K81" s="56" t="n">
        <f aca="false">K80+1</f>
        <v>74</v>
      </c>
      <c r="L81" s="58" t="n">
        <f aca="false">IF(L80&gt;0,L80-($B$25-L80*$B$11/12),L80)</f>
        <v>209266.937820156</v>
      </c>
    </row>
    <row r="82" customFormat="false" ht="15" hidden="false" customHeight="false" outlineLevel="0" collapsed="false">
      <c r="K82" s="56" t="n">
        <f aca="false">K81+1</f>
        <v>75</v>
      </c>
      <c r="L82" s="58" t="n">
        <f aca="false">IF(L81&gt;0,L81-($B$25-L81*$B$11/12),L81)</f>
        <v>208644.902178812</v>
      </c>
    </row>
    <row r="83" customFormat="false" ht="15" hidden="false" customHeight="false" outlineLevel="0" collapsed="false">
      <c r="K83" s="56" t="n">
        <f aca="false">K82+1</f>
        <v>76</v>
      </c>
      <c r="L83" s="58" t="n">
        <f aca="false">IF(L82&gt;0,L82-($B$25-L82*$B$11/12),L82)</f>
        <v>208020.793085331</v>
      </c>
    </row>
    <row r="84" customFormat="false" ht="15" hidden="false" customHeight="false" outlineLevel="0" collapsed="false">
      <c r="K84" s="56" t="n">
        <f aca="false">K83+1</f>
        <v>77</v>
      </c>
      <c r="L84" s="58" t="n">
        <f aca="false">IF(L83&gt;0,L83-($B$25-L83*$B$11/12),L83)</f>
        <v>207394.603628204</v>
      </c>
    </row>
    <row r="85" customFormat="false" ht="15" hidden="false" customHeight="false" outlineLevel="0" collapsed="false">
      <c r="K85" s="56" t="n">
        <f aca="false">K84+1</f>
        <v>78</v>
      </c>
      <c r="L85" s="58" t="n">
        <f aca="false">IF(L84&gt;0,L84-($B$25-L84*$B$11/12),L84)</f>
        <v>206766.326872887</v>
      </c>
    </row>
    <row r="86" customFormat="false" ht="15" hidden="false" customHeight="false" outlineLevel="0" collapsed="false">
      <c r="K86" s="56" t="n">
        <f aca="false">K85+1</f>
        <v>79</v>
      </c>
      <c r="L86" s="58" t="n">
        <f aca="false">IF(L85&gt;0,L85-($B$25-L85*$B$11/12),L85)</f>
        <v>206135.955861719</v>
      </c>
    </row>
    <row r="87" customFormat="false" ht="15" hidden="false" customHeight="false" outlineLevel="0" collapsed="false">
      <c r="K87" s="56" t="n">
        <f aca="false">K86+1</f>
        <v>80</v>
      </c>
      <c r="L87" s="58" t="n">
        <f aca="false">IF(L86&gt;0,L86-($B$25-L86*$B$11/12),L86)</f>
        <v>205503.483613847</v>
      </c>
    </row>
    <row r="88" customFormat="false" ht="15" hidden="false" customHeight="false" outlineLevel="0" collapsed="false">
      <c r="K88" s="56" t="n">
        <f aca="false">K87+1</f>
        <v>81</v>
      </c>
      <c r="L88" s="58" t="n">
        <f aca="false">IF(L87&gt;0,L87-($B$25-L87*$B$11/12),L87)</f>
        <v>204868.903125149</v>
      </c>
    </row>
    <row r="89" customFormat="false" ht="15" hidden="false" customHeight="false" outlineLevel="0" collapsed="false">
      <c r="K89" s="56" t="n">
        <f aca="false">K88+1</f>
        <v>82</v>
      </c>
      <c r="L89" s="58" t="n">
        <f aca="false">IF(L88&gt;0,L88-($B$25-L88*$B$11/12),L88)</f>
        <v>204232.207368155</v>
      </c>
    </row>
    <row r="90" customFormat="false" ht="15" hidden="false" customHeight="false" outlineLevel="0" collapsed="false">
      <c r="K90" s="56" t="n">
        <f aca="false">K89+1</f>
        <v>83</v>
      </c>
      <c r="L90" s="58" t="n">
        <f aca="false">IF(L89&gt;0,L89-($B$25-L89*$B$11/12),L89)</f>
        <v>203593.389291971</v>
      </c>
    </row>
    <row r="91" customFormat="false" ht="15" hidden="false" customHeight="false" outlineLevel="0" collapsed="false">
      <c r="K91" s="56" t="n">
        <f aca="false">K90+1</f>
        <v>84</v>
      </c>
      <c r="L91" s="58" t="n">
        <f aca="false">IF(L90&gt;0,L90-($B$25-L90*$B$11/12),L90)</f>
        <v>202952.4418222</v>
      </c>
    </row>
    <row r="92" customFormat="false" ht="15" hidden="false" customHeight="false" outlineLevel="0" collapsed="false">
      <c r="K92" s="56" t="n">
        <f aca="false">K91+1</f>
        <v>85</v>
      </c>
      <c r="L92" s="58" t="n">
        <f aca="false">IF(L91&gt;0,L91-($B$25-L91*$B$11/12),L91)</f>
        <v>202309.357860862</v>
      </c>
    </row>
    <row r="93" customFormat="false" ht="15" hidden="false" customHeight="false" outlineLevel="0" collapsed="false">
      <c r="K93" s="56" t="n">
        <f aca="false">K92+1</f>
        <v>86</v>
      </c>
      <c r="L93" s="58" t="n">
        <f aca="false">IF(L92&gt;0,L92-($B$25-L92*$B$11/12),L92)</f>
        <v>201664.130286321</v>
      </c>
    </row>
    <row r="94" customFormat="false" ht="15" hidden="false" customHeight="false" outlineLevel="0" collapsed="false">
      <c r="K94" s="56" t="n">
        <f aca="false">K93+1</f>
        <v>87</v>
      </c>
      <c r="L94" s="58" t="n">
        <f aca="false">IF(L93&gt;0,L93-($B$25-L93*$B$11/12),L93)</f>
        <v>201016.751953198</v>
      </c>
    </row>
    <row r="95" customFormat="false" ht="15" hidden="false" customHeight="false" outlineLevel="0" collapsed="false">
      <c r="K95" s="56" t="n">
        <f aca="false">K94+1</f>
        <v>88</v>
      </c>
      <c r="L95" s="58" t="n">
        <f aca="false">IF(L94&gt;0,L94-($B$25-L94*$B$11/12),L94)</f>
        <v>200367.215692297</v>
      </c>
    </row>
    <row r="96" customFormat="false" ht="15" hidden="false" customHeight="false" outlineLevel="0" collapsed="false">
      <c r="K96" s="56" t="n">
        <f aca="false">K95+1</f>
        <v>89</v>
      </c>
      <c r="L96" s="58" t="n">
        <f aca="false">IF(L95&gt;0,L95-($B$25-L95*$B$11/12),L95)</f>
        <v>199715.514310527</v>
      </c>
    </row>
    <row r="97" customFormat="false" ht="15" hidden="false" customHeight="false" outlineLevel="0" collapsed="false">
      <c r="K97" s="56" t="n">
        <f aca="false">K96+1</f>
        <v>90</v>
      </c>
      <c r="L97" s="58" t="n">
        <f aca="false">IF(L96&gt;0,L96-($B$25-L96*$B$11/12),L96)</f>
        <v>199061.640590818</v>
      </c>
    </row>
    <row r="98" customFormat="false" ht="15" hidden="false" customHeight="false" outlineLevel="0" collapsed="false">
      <c r="K98" s="56" t="n">
        <f aca="false">K97+1</f>
        <v>91</v>
      </c>
      <c r="L98" s="58" t="n">
        <f aca="false">IF(L97&gt;0,L97-($B$25-L97*$B$11/12),L97)</f>
        <v>198405.587292043</v>
      </c>
    </row>
    <row r="99" customFormat="false" ht="15" hidden="false" customHeight="false" outlineLevel="0" collapsed="false">
      <c r="K99" s="56" t="n">
        <f aca="false">K98+1</f>
        <v>92</v>
      </c>
      <c r="L99" s="58" t="n">
        <f aca="false">IF(L98&gt;0,L98-($B$25-L98*$B$11/12),L98)</f>
        <v>197747.347148938</v>
      </c>
    </row>
    <row r="100" customFormat="false" ht="15" hidden="false" customHeight="false" outlineLevel="0" collapsed="false">
      <c r="K100" s="56" t="n">
        <f aca="false">K99+1</f>
        <v>93</v>
      </c>
      <c r="L100" s="58" t="n">
        <f aca="false">IF(L99&gt;0,L99-($B$25-L99*$B$11/12),L99)</f>
        <v>197086.912872024</v>
      </c>
    </row>
    <row r="101" customFormat="false" ht="15" hidden="false" customHeight="false" outlineLevel="0" collapsed="false">
      <c r="K101" s="56" t="n">
        <f aca="false">K100+1</f>
        <v>94</v>
      </c>
      <c r="L101" s="58" t="n">
        <f aca="false">IF(L100&gt;0,L100-($B$25-L100*$B$11/12),L100)</f>
        <v>196424.277147519</v>
      </c>
    </row>
    <row r="102" customFormat="false" ht="15" hidden="false" customHeight="false" outlineLevel="0" collapsed="false">
      <c r="K102" s="56" t="n">
        <f aca="false">K101+1</f>
        <v>95</v>
      </c>
      <c r="L102" s="58" t="n">
        <f aca="false">IF(L101&gt;0,L101-($B$25-L101*$B$11/12),L101)</f>
        <v>195759.432637267</v>
      </c>
    </row>
    <row r="103" customFormat="false" ht="15" hidden="false" customHeight="false" outlineLevel="0" collapsed="false">
      <c r="K103" s="56" t="n">
        <f aca="false">K102+1</f>
        <v>96</v>
      </c>
      <c r="L103" s="58" t="n">
        <f aca="false">IF(L102&gt;0,L102-($B$25-L102*$B$11/12),L102)</f>
        <v>195092.371978646</v>
      </c>
    </row>
    <row r="104" customFormat="false" ht="15" hidden="false" customHeight="false" outlineLevel="0" collapsed="false">
      <c r="K104" s="56" t="n">
        <f aca="false">K103+1</f>
        <v>97</v>
      </c>
      <c r="L104" s="58" t="n">
        <f aca="false">IF(L103&gt;0,L103-($B$25-L103*$B$11/12),L103)</f>
        <v>194423.087784498</v>
      </c>
    </row>
    <row r="105" customFormat="false" ht="15" hidden="false" customHeight="false" outlineLevel="0" collapsed="false">
      <c r="K105" s="56" t="n">
        <f aca="false">K104+1</f>
        <v>98</v>
      </c>
      <c r="L105" s="58" t="n">
        <f aca="false">IF(L104&gt;0,L104-($B$25-L104*$B$11/12),L104)</f>
        <v>193751.572643035</v>
      </c>
    </row>
    <row r="106" customFormat="false" ht="15" hidden="false" customHeight="false" outlineLevel="0" collapsed="false">
      <c r="K106" s="56" t="n">
        <f aca="false">K105+1</f>
        <v>99</v>
      </c>
      <c r="L106" s="58" t="n">
        <f aca="false">IF(L105&gt;0,L105-($B$25-L105*$B$11/12),L105)</f>
        <v>193077.819117767</v>
      </c>
    </row>
    <row r="107" customFormat="false" ht="15" hidden="false" customHeight="false" outlineLevel="0" collapsed="false">
      <c r="K107" s="56" t="n">
        <f aca="false">K106+1</f>
        <v>100</v>
      </c>
      <c r="L107" s="58" t="n">
        <f aca="false">IF(L106&gt;0,L106-($B$25-L106*$B$11/12),L106)</f>
        <v>192401.819747415</v>
      </c>
    </row>
    <row r="108" customFormat="false" ht="15" hidden="false" customHeight="false" outlineLevel="0" collapsed="false">
      <c r="K108" s="56" t="n">
        <f aca="false">K107+1</f>
        <v>101</v>
      </c>
      <c r="L108" s="58" t="n">
        <f aca="false">IF(L107&gt;0,L107-($B$25-L107*$B$11/12),L107)</f>
        <v>191723.567045829</v>
      </c>
    </row>
    <row r="109" customFormat="false" ht="15" hidden="false" customHeight="false" outlineLevel="0" collapsed="false">
      <c r="K109" s="56" t="n">
        <f aca="false">K108+1</f>
        <v>102</v>
      </c>
      <c r="L109" s="58" t="n">
        <f aca="false">IF(L108&gt;0,L108-($B$25-L108*$B$11/12),L108)</f>
        <v>191043.053501904</v>
      </c>
    </row>
    <row r="110" customFormat="false" ht="15" hidden="false" customHeight="false" outlineLevel="0" collapsed="false">
      <c r="K110" s="56" t="n">
        <f aca="false">K109+1</f>
        <v>103</v>
      </c>
      <c r="L110" s="58" t="n">
        <f aca="false">IF(L109&gt;0,L109-($B$25-L109*$B$11/12),L109)</f>
        <v>190360.271579499</v>
      </c>
    </row>
    <row r="111" customFormat="false" ht="15" hidden="false" customHeight="false" outlineLevel="0" collapsed="false">
      <c r="K111" s="56" t="n">
        <f aca="false">K110+1</f>
        <v>104</v>
      </c>
      <c r="L111" s="58" t="n">
        <f aca="false">IF(L110&gt;0,L110-($B$25-L110*$B$11/12),L110)</f>
        <v>189675.213717353</v>
      </c>
    </row>
    <row r="112" customFormat="false" ht="15" hidden="false" customHeight="false" outlineLevel="0" collapsed="false">
      <c r="K112" s="56" t="n">
        <f aca="false">K111+1</f>
        <v>105</v>
      </c>
      <c r="L112" s="58" t="n">
        <f aca="false">IF(L111&gt;0,L111-($B$25-L111*$B$11/12),L111)</f>
        <v>188987.872329</v>
      </c>
    </row>
    <row r="113" customFormat="false" ht="15" hidden="false" customHeight="false" outlineLevel="0" collapsed="false">
      <c r="K113" s="56" t="n">
        <f aca="false">K112+1</f>
        <v>106</v>
      </c>
      <c r="L113" s="58" t="n">
        <f aca="false">IF(L112&gt;0,L112-($B$25-L112*$B$11/12),L112)</f>
        <v>188298.239802685</v>
      </c>
    </row>
    <row r="114" customFormat="false" ht="15" hidden="false" customHeight="false" outlineLevel="0" collapsed="false">
      <c r="K114" s="56" t="n">
        <f aca="false">K113+1</f>
        <v>107</v>
      </c>
      <c r="L114" s="58" t="n">
        <f aca="false">IF(L113&gt;0,L113-($B$25-L113*$B$11/12),L113)</f>
        <v>187606.308501283</v>
      </c>
    </row>
    <row r="115" customFormat="false" ht="15" hidden="false" customHeight="false" outlineLevel="0" collapsed="false">
      <c r="K115" s="56" t="n">
        <f aca="false">K114+1</f>
        <v>108</v>
      </c>
      <c r="L115" s="58" t="n">
        <f aca="false">IF(L114&gt;0,L114-($B$25-L114*$B$11/12),L114)</f>
        <v>186912.07076221</v>
      </c>
    </row>
    <row r="116" customFormat="false" ht="15" hidden="false" customHeight="false" outlineLevel="0" collapsed="false">
      <c r="K116" s="56" t="n">
        <f aca="false">K115+1</f>
        <v>109</v>
      </c>
      <c r="L116" s="58" t="n">
        <f aca="false">IF(L115&gt;0,L115-($B$25-L115*$B$11/12),L115)</f>
        <v>186215.518897339</v>
      </c>
    </row>
    <row r="117" customFormat="false" ht="15" hidden="false" customHeight="false" outlineLevel="0" collapsed="false">
      <c r="K117" s="56" t="n">
        <f aca="false">K116+1</f>
        <v>110</v>
      </c>
      <c r="L117" s="58" t="n">
        <f aca="false">IF(L116&gt;0,L116-($B$25-L116*$B$11/12),L116)</f>
        <v>185516.645192919</v>
      </c>
    </row>
    <row r="118" customFormat="false" ht="15" hidden="false" customHeight="false" outlineLevel="0" collapsed="false">
      <c r="K118" s="56" t="n">
        <f aca="false">K117+1</f>
        <v>111</v>
      </c>
      <c r="L118" s="58" t="n">
        <f aca="false">IF(L117&gt;0,L117-($B$25-L117*$B$11/12),L117)</f>
        <v>184815.441909485</v>
      </c>
    </row>
    <row r="119" customFormat="false" ht="15" hidden="false" customHeight="false" outlineLevel="0" collapsed="false">
      <c r="K119" s="56" t="n">
        <f aca="false">K118+1</f>
        <v>112</v>
      </c>
      <c r="L119" s="58" t="n">
        <f aca="false">IF(L118&gt;0,L118-($B$25-L118*$B$11/12),L118)</f>
        <v>184111.901281772</v>
      </c>
    </row>
    <row r="120" customFormat="false" ht="15" hidden="false" customHeight="false" outlineLevel="0" collapsed="false">
      <c r="K120" s="56" t="n">
        <f aca="false">K119+1</f>
        <v>113</v>
      </c>
      <c r="L120" s="58" t="n">
        <f aca="false">IF(L119&gt;0,L119-($B$25-L119*$B$11/12),L119)</f>
        <v>183406.015518633</v>
      </c>
    </row>
    <row r="121" customFormat="false" ht="15" hidden="false" customHeight="false" outlineLevel="0" collapsed="false">
      <c r="K121" s="56" t="n">
        <f aca="false">K120+1</f>
        <v>114</v>
      </c>
      <c r="L121" s="58" t="n">
        <f aca="false">IF(L120&gt;0,L120-($B$25-L120*$B$11/12),L120)</f>
        <v>182697.776802951</v>
      </c>
    </row>
    <row r="122" customFormat="false" ht="15" hidden="false" customHeight="false" outlineLevel="0" collapsed="false">
      <c r="K122" s="56" t="n">
        <f aca="false">K121+1</f>
        <v>115</v>
      </c>
      <c r="L122" s="58" t="n">
        <f aca="false">IF(L121&gt;0,L121-($B$25-L121*$B$11/12),L121)</f>
        <v>181987.17729155</v>
      </c>
    </row>
    <row r="123" customFormat="false" ht="15" hidden="false" customHeight="false" outlineLevel="0" collapsed="false">
      <c r="K123" s="56" t="n">
        <f aca="false">K122+1</f>
        <v>116</v>
      </c>
      <c r="L123" s="58" t="n">
        <f aca="false">IF(L122&gt;0,L122-($B$25-L122*$B$11/12),L122)</f>
        <v>181274.20911511</v>
      </c>
    </row>
    <row r="124" customFormat="false" ht="15" hidden="false" customHeight="false" outlineLevel="0" collapsed="false">
      <c r="K124" s="56" t="n">
        <f aca="false">K123+1</f>
        <v>117</v>
      </c>
      <c r="L124" s="58" t="n">
        <f aca="false">IF(L123&gt;0,L123-($B$25-L123*$B$11/12),L123)</f>
        <v>180558.864378083</v>
      </c>
    </row>
    <row r="125" customFormat="false" ht="15" hidden="false" customHeight="false" outlineLevel="0" collapsed="false">
      <c r="K125" s="56" t="n">
        <f aca="false">K124+1</f>
        <v>118</v>
      </c>
      <c r="L125" s="58" t="n">
        <f aca="false">IF(L124&gt;0,L124-($B$25-L124*$B$11/12),L124)</f>
        <v>179841.135158599</v>
      </c>
    </row>
    <row r="126" customFormat="false" ht="15" hidden="false" customHeight="false" outlineLevel="0" collapsed="false">
      <c r="K126" s="56" t="n">
        <f aca="false">K125+1</f>
        <v>119</v>
      </c>
      <c r="L126" s="58" t="n">
        <f aca="false">IF(L125&gt;0,L125-($B$25-L125*$B$11/12),L125)</f>
        <v>179121.013508383</v>
      </c>
    </row>
    <row r="127" customFormat="false" ht="15" hidden="false" customHeight="false" outlineLevel="0" collapsed="false">
      <c r="K127" s="56" t="n">
        <f aca="false">K126+1</f>
        <v>120</v>
      </c>
      <c r="L127" s="58" t="n">
        <f aca="false">IF(L126&gt;0,L126-($B$25-L126*$B$11/12),L126)</f>
        <v>178398.491452667</v>
      </c>
    </row>
    <row r="128" customFormat="false" ht="15" hidden="false" customHeight="false" outlineLevel="0" collapsed="false">
      <c r="K128" s="56" t="n">
        <f aca="false">K127+1</f>
        <v>121</v>
      </c>
      <c r="L128" s="58" t="n">
        <f aca="false">IF(L127&gt;0,L127-($B$25-L127*$B$11/12),L127)</f>
        <v>177673.560990098</v>
      </c>
    </row>
    <row r="129" customFormat="false" ht="15" hidden="false" customHeight="false" outlineLevel="0" collapsed="false">
      <c r="K129" s="56" t="n">
        <f aca="false">K128+1</f>
        <v>122</v>
      </c>
      <c r="L129" s="58" t="n">
        <f aca="false">IF(L128&gt;0,L128-($B$25-L128*$B$11/12),L128)</f>
        <v>176946.214092654</v>
      </c>
    </row>
    <row r="130" customFormat="false" ht="15" hidden="false" customHeight="false" outlineLevel="0" collapsed="false">
      <c r="K130" s="56" t="n">
        <f aca="false">K129+1</f>
        <v>123</v>
      </c>
      <c r="L130" s="58" t="n">
        <f aca="false">IF(L129&gt;0,L129-($B$25-L129*$B$11/12),L129)</f>
        <v>176216.442705551</v>
      </c>
    </row>
    <row r="131" customFormat="false" ht="15" hidden="false" customHeight="false" outlineLevel="0" collapsed="false">
      <c r="K131" s="56" t="n">
        <f aca="false">K130+1</f>
        <v>124</v>
      </c>
      <c r="L131" s="58" t="n">
        <f aca="false">IF(L130&gt;0,L130-($B$25-L130*$B$11/12),L130)</f>
        <v>175484.238747159</v>
      </c>
    </row>
    <row r="132" customFormat="false" ht="15" hidden="false" customHeight="false" outlineLevel="0" collapsed="false">
      <c r="K132" s="56" t="n">
        <f aca="false">K131+1</f>
        <v>125</v>
      </c>
      <c r="L132" s="58" t="n">
        <f aca="false">IF(L131&gt;0,L131-($B$25-L131*$B$11/12),L131)</f>
        <v>174749.594108905</v>
      </c>
    </row>
    <row r="133" customFormat="false" ht="15" hidden="false" customHeight="false" outlineLevel="0" collapsed="false">
      <c r="K133" s="56" t="n">
        <f aca="false">K132+1</f>
        <v>126</v>
      </c>
      <c r="L133" s="58" t="n">
        <f aca="false">IF(L132&gt;0,L132-($B$25-L132*$B$11/12),L132)</f>
        <v>174012.50065519</v>
      </c>
    </row>
    <row r="134" customFormat="false" ht="15" hidden="false" customHeight="false" outlineLevel="0" collapsed="false">
      <c r="K134" s="56" t="n">
        <f aca="false">K133+1</f>
        <v>127</v>
      </c>
      <c r="L134" s="58" t="n">
        <f aca="false">IF(L133&gt;0,L133-($B$25-L133*$B$11/12),L133)</f>
        <v>173272.950223296</v>
      </c>
    </row>
    <row r="135" customFormat="false" ht="15" hidden="false" customHeight="false" outlineLevel="0" collapsed="false">
      <c r="K135" s="56" t="n">
        <f aca="false">K134+1</f>
        <v>128</v>
      </c>
      <c r="L135" s="58" t="n">
        <f aca="false">IF(L134&gt;0,L134-($B$25-L134*$B$11/12),L134)</f>
        <v>172530.934623296</v>
      </c>
    </row>
    <row r="136" customFormat="false" ht="15" hidden="false" customHeight="false" outlineLevel="0" collapsed="false">
      <c r="K136" s="56" t="n">
        <f aca="false">K135+1</f>
        <v>129</v>
      </c>
      <c r="L136" s="58" t="n">
        <f aca="false">IF(L135&gt;0,L135-($B$25-L135*$B$11/12),L135)</f>
        <v>171786.445637963</v>
      </c>
    </row>
    <row r="137" customFormat="false" ht="15" hidden="false" customHeight="false" outlineLevel="0" collapsed="false">
      <c r="K137" s="56" t="n">
        <f aca="false">K136+1</f>
        <v>130</v>
      </c>
      <c r="L137" s="58" t="n">
        <f aca="false">IF(L136&gt;0,L136-($B$25-L136*$B$11/12),L136)</f>
        <v>171039.475022678</v>
      </c>
    </row>
    <row r="138" customFormat="false" ht="15" hidden="false" customHeight="false" outlineLevel="0" collapsed="false">
      <c r="K138" s="56" t="n">
        <f aca="false">K137+1</f>
        <v>131</v>
      </c>
      <c r="L138" s="58" t="n">
        <f aca="false">IF(L137&gt;0,L137-($B$25-L137*$B$11/12),L137)</f>
        <v>170290.014505343</v>
      </c>
    </row>
    <row r="139" customFormat="false" ht="15" hidden="false" customHeight="false" outlineLevel="0" collapsed="false">
      <c r="K139" s="56" t="n">
        <f aca="false">K138+1</f>
        <v>132</v>
      </c>
      <c r="L139" s="58" t="n">
        <f aca="false">IF(L138&gt;0,L138-($B$25-L138*$B$11/12),L138)</f>
        <v>169538.055786283</v>
      </c>
    </row>
    <row r="140" customFormat="false" ht="15" hidden="false" customHeight="false" outlineLevel="0" collapsed="false">
      <c r="K140" s="56" t="n">
        <f aca="false">K139+1</f>
        <v>133</v>
      </c>
      <c r="L140" s="58" t="n">
        <f aca="false">IF(L139&gt;0,L139-($B$25-L139*$B$11/12),L139)</f>
        <v>168783.590538159</v>
      </c>
    </row>
    <row r="141" customFormat="false" ht="15" hidden="false" customHeight="false" outlineLevel="0" collapsed="false">
      <c r="K141" s="56" t="n">
        <f aca="false">K140+1</f>
        <v>134</v>
      </c>
      <c r="L141" s="58" t="n">
        <f aca="false">IF(L140&gt;0,L140-($B$25-L140*$B$11/12),L140)</f>
        <v>168026.610405876</v>
      </c>
    </row>
    <row r="142" customFormat="false" ht="15" hidden="false" customHeight="false" outlineLevel="0" collapsed="false">
      <c r="K142" s="56" t="n">
        <f aca="false">K141+1</f>
        <v>135</v>
      </c>
      <c r="L142" s="58" t="n">
        <f aca="false">IF(L141&gt;0,L141-($B$25-L141*$B$11/12),L141)</f>
        <v>167267.107006484</v>
      </c>
    </row>
    <row r="143" customFormat="false" ht="15" hidden="false" customHeight="false" outlineLevel="0" collapsed="false">
      <c r="K143" s="56" t="n">
        <f aca="false">K142+1</f>
        <v>136</v>
      </c>
      <c r="L143" s="58" t="n">
        <f aca="false">IF(L142&gt;0,L142-($B$25-L142*$B$11/12),L142)</f>
        <v>166505.071929095</v>
      </c>
    </row>
    <row r="144" customFormat="false" ht="15" hidden="false" customHeight="false" outlineLevel="0" collapsed="false">
      <c r="K144" s="56" t="n">
        <f aca="false">K143+1</f>
        <v>137</v>
      </c>
      <c r="L144" s="58" t="n">
        <f aca="false">IF(L143&gt;0,L143-($B$25-L143*$B$11/12),L143)</f>
        <v>165740.49673478</v>
      </c>
    </row>
    <row r="145" customFormat="false" ht="15" hidden="false" customHeight="false" outlineLevel="0" collapsed="false">
      <c r="K145" s="56" t="n">
        <f aca="false">K144+1</f>
        <v>138</v>
      </c>
      <c r="L145" s="58" t="n">
        <f aca="false">IF(L144&gt;0,L144-($B$25-L144*$B$11/12),L144)</f>
        <v>164973.372956485</v>
      </c>
    </row>
    <row r="146" customFormat="false" ht="15" hidden="false" customHeight="false" outlineLevel="0" collapsed="false">
      <c r="K146" s="56" t="n">
        <f aca="false">K145+1</f>
        <v>139</v>
      </c>
      <c r="L146" s="58" t="n">
        <f aca="false">IF(L145&gt;0,L145-($B$25-L145*$B$11/12),L145)</f>
        <v>164203.692098929</v>
      </c>
    </row>
    <row r="147" customFormat="false" ht="15" hidden="false" customHeight="false" outlineLevel="0" collapsed="false">
      <c r="K147" s="56" t="n">
        <f aca="false">K146+1</f>
        <v>140</v>
      </c>
      <c r="L147" s="58" t="n">
        <f aca="false">IF(L146&gt;0,L146-($B$25-L146*$B$11/12),L146)</f>
        <v>163431.445638514</v>
      </c>
    </row>
    <row r="148" customFormat="false" ht="15" hidden="false" customHeight="false" outlineLevel="0" collapsed="false">
      <c r="K148" s="56" t="n">
        <f aca="false">K147+1</f>
        <v>141</v>
      </c>
      <c r="L148" s="58" t="n">
        <f aca="false">IF(L147&gt;0,L147-($B$25-L147*$B$11/12),L147)</f>
        <v>162656.625023232</v>
      </c>
    </row>
    <row r="149" customFormat="false" ht="15" hidden="false" customHeight="false" outlineLevel="0" collapsed="false">
      <c r="K149" s="56" t="n">
        <f aca="false">K148+1</f>
        <v>142</v>
      </c>
      <c r="L149" s="58" t="n">
        <f aca="false">IF(L148&gt;0,L148-($B$25-L148*$B$11/12),L148)</f>
        <v>161879.221672565</v>
      </c>
    </row>
    <row r="150" customFormat="false" ht="15" hidden="false" customHeight="false" outlineLevel="0" collapsed="false">
      <c r="K150" s="56" t="n">
        <f aca="false">K149+1</f>
        <v>143</v>
      </c>
      <c r="L150" s="58" t="n">
        <f aca="false">IF(L149&gt;0,L149-($B$25-L149*$B$11/12),L149)</f>
        <v>161099.226977396</v>
      </c>
    </row>
    <row r="151" customFormat="false" ht="15" hidden="false" customHeight="false" outlineLevel="0" collapsed="false">
      <c r="K151" s="56" t="n">
        <f aca="false">K150+1</f>
        <v>144</v>
      </c>
      <c r="L151" s="58" t="n">
        <f aca="false">IF(L150&gt;0,L150-($B$25-L150*$B$11/12),L150)</f>
        <v>160316.632299909</v>
      </c>
    </row>
    <row r="152" customFormat="false" ht="15" hidden="false" customHeight="false" outlineLevel="0" collapsed="false">
      <c r="K152" s="56" t="n">
        <f aca="false">K151+1</f>
        <v>145</v>
      </c>
      <c r="L152" s="58" t="n">
        <f aca="false">IF(L151&gt;0,L151-($B$25-L151*$B$11/12),L151)</f>
        <v>159531.428973498</v>
      </c>
    </row>
    <row r="153" customFormat="false" ht="15" hidden="false" customHeight="false" outlineLevel="0" collapsed="false">
      <c r="K153" s="56" t="n">
        <f aca="false">K152+1</f>
        <v>146</v>
      </c>
      <c r="L153" s="58" t="n">
        <f aca="false">IF(L152&gt;0,L152-($B$25-L152*$B$11/12),L152)</f>
        <v>158743.608302665</v>
      </c>
    </row>
    <row r="154" customFormat="false" ht="15" hidden="false" customHeight="false" outlineLevel="0" collapsed="false">
      <c r="K154" s="56" t="n">
        <f aca="false">K153+1</f>
        <v>147</v>
      </c>
      <c r="L154" s="58" t="n">
        <f aca="false">IF(L153&gt;0,L153-($B$25-L153*$B$11/12),L153)</f>
        <v>157953.161562929</v>
      </c>
    </row>
    <row r="155" customFormat="false" ht="15" hidden="false" customHeight="false" outlineLevel="0" collapsed="false">
      <c r="K155" s="56" t="n">
        <f aca="false">K154+1</f>
        <v>148</v>
      </c>
      <c r="L155" s="58" t="n">
        <f aca="false">IF(L154&gt;0,L154-($B$25-L154*$B$11/12),L154)</f>
        <v>157160.080000728</v>
      </c>
    </row>
    <row r="156" customFormat="false" ht="15" hidden="false" customHeight="false" outlineLevel="0" collapsed="false">
      <c r="K156" s="56" t="n">
        <f aca="false">K155+1</f>
        <v>149</v>
      </c>
      <c r="L156" s="58" t="n">
        <f aca="false">IF(L155&gt;0,L155-($B$25-L155*$B$11/12),L155)</f>
        <v>156364.354833319</v>
      </c>
    </row>
    <row r="157" customFormat="false" ht="15" hidden="false" customHeight="false" outlineLevel="0" collapsed="false">
      <c r="K157" s="56" t="n">
        <f aca="false">K156+1</f>
        <v>150</v>
      </c>
      <c r="L157" s="58" t="n">
        <f aca="false">IF(L156&gt;0,L156-($B$25-L156*$B$11/12),L156)</f>
        <v>155565.977248686</v>
      </c>
    </row>
    <row r="158" customFormat="false" ht="15" hidden="false" customHeight="false" outlineLevel="0" collapsed="false">
      <c r="K158" s="56" t="n">
        <f aca="false">K157+1</f>
        <v>151</v>
      </c>
      <c r="L158" s="58" t="n">
        <f aca="false">IF(L157&gt;0,L157-($B$25-L157*$B$11/12),L157)</f>
        <v>154764.938405437</v>
      </c>
    </row>
    <row r="159" customFormat="false" ht="15" hidden="false" customHeight="false" outlineLevel="0" collapsed="false">
      <c r="K159" s="56" t="n">
        <f aca="false">K158+1</f>
        <v>152</v>
      </c>
      <c r="L159" s="58" t="n">
        <f aca="false">IF(L158&gt;0,L158-($B$25-L158*$B$11/12),L158)</f>
        <v>153961.229432711</v>
      </c>
    </row>
    <row r="160" customFormat="false" ht="15" hidden="false" customHeight="false" outlineLevel="0" collapsed="false">
      <c r="K160" s="56" t="n">
        <f aca="false">K159+1</f>
        <v>153</v>
      </c>
      <c r="L160" s="58" t="n">
        <f aca="false">IF(L159&gt;0,L159-($B$25-L159*$B$11/12),L159)</f>
        <v>153154.841430076</v>
      </c>
    </row>
    <row r="161" customFormat="false" ht="15" hidden="false" customHeight="false" outlineLevel="0" collapsed="false">
      <c r="K161" s="56" t="n">
        <f aca="false">K160+1</f>
        <v>154</v>
      </c>
      <c r="L161" s="58" t="n">
        <f aca="false">IF(L160&gt;0,L160-($B$25-L160*$B$11/12),L160)</f>
        <v>152345.765467431</v>
      </c>
    </row>
    <row r="162" customFormat="false" ht="15" hidden="false" customHeight="false" outlineLevel="0" collapsed="false">
      <c r="K162" s="56" t="n">
        <f aca="false">K161+1</f>
        <v>155</v>
      </c>
      <c r="L162" s="58" t="n">
        <f aca="false">IF(L161&gt;0,L161-($B$25-L161*$B$11/12),L161)</f>
        <v>151533.992584912</v>
      </c>
    </row>
    <row r="163" customFormat="false" ht="15" hidden="false" customHeight="false" outlineLevel="0" collapsed="false">
      <c r="K163" s="56" t="n">
        <f aca="false">K162+1</f>
        <v>156</v>
      </c>
      <c r="L163" s="58" t="n">
        <f aca="false">IF(L162&gt;0,L162-($B$25-L162*$B$11/12),L162)</f>
        <v>150719.513792784</v>
      </c>
    </row>
    <row r="164" customFormat="false" ht="15" hidden="false" customHeight="false" outlineLevel="0" collapsed="false">
      <c r="K164" s="56" t="n">
        <f aca="false">K163+1</f>
        <v>157</v>
      </c>
      <c r="L164" s="58" t="n">
        <f aca="false">IF(L163&gt;0,L163-($B$25-L163*$B$11/12),L163)</f>
        <v>149902.320071348</v>
      </c>
    </row>
    <row r="165" customFormat="false" ht="15" hidden="false" customHeight="false" outlineLevel="0" collapsed="false">
      <c r="K165" s="56" t="n">
        <f aca="false">K164+1</f>
        <v>158</v>
      </c>
      <c r="L165" s="58" t="n">
        <f aca="false">IF(L164&gt;0,L164-($B$25-L164*$B$11/12),L164)</f>
        <v>149082.402370842</v>
      </c>
    </row>
    <row r="166" customFormat="false" ht="15" hidden="false" customHeight="false" outlineLevel="0" collapsed="false">
      <c r="K166" s="56" t="n">
        <f aca="false">K165+1</f>
        <v>159</v>
      </c>
      <c r="L166" s="58" t="n">
        <f aca="false">IF(L165&gt;0,L165-($B$25-L165*$B$11/12),L165)</f>
        <v>148259.751611334</v>
      </c>
    </row>
    <row r="167" customFormat="false" ht="15" hidden="false" customHeight="false" outlineLevel="0" collapsed="false">
      <c r="K167" s="56" t="n">
        <f aca="false">K166+1</f>
        <v>160</v>
      </c>
      <c r="L167" s="58" t="n">
        <f aca="false">IF(L166&gt;0,L166-($B$25-L166*$B$11/12),L166)</f>
        <v>147434.358682627</v>
      </c>
    </row>
    <row r="168" customFormat="false" ht="15" hidden="false" customHeight="false" outlineLevel="0" collapsed="false">
      <c r="K168" s="56" t="n">
        <f aca="false">K167+1</f>
        <v>161</v>
      </c>
      <c r="L168" s="58" t="n">
        <f aca="false">IF(L167&gt;0,L167-($B$25-L167*$B$11/12),L167)</f>
        <v>146606.214444158</v>
      </c>
    </row>
    <row r="169" customFormat="false" ht="15" hidden="false" customHeight="false" outlineLevel="0" collapsed="false">
      <c r="K169" s="56" t="n">
        <f aca="false">K168+1</f>
        <v>162</v>
      </c>
      <c r="L169" s="58" t="n">
        <f aca="false">IF(L168&gt;0,L168-($B$25-L168*$B$11/12),L168)</f>
        <v>145775.309724894</v>
      </c>
    </row>
    <row r="170" customFormat="false" ht="15" hidden="false" customHeight="false" outlineLevel="0" collapsed="false">
      <c r="K170" s="56" t="n">
        <f aca="false">K169+1</f>
        <v>163</v>
      </c>
      <c r="L170" s="58" t="n">
        <f aca="false">IF(L169&gt;0,L169-($B$25-L169*$B$11/12),L169)</f>
        <v>144941.635323233</v>
      </c>
    </row>
    <row r="171" customFormat="false" ht="15" hidden="false" customHeight="false" outlineLevel="0" collapsed="false">
      <c r="K171" s="56" t="n">
        <f aca="false">K170+1</f>
        <v>164</v>
      </c>
      <c r="L171" s="58" t="n">
        <f aca="false">IF(L170&gt;0,L170-($B$25-L170*$B$11/12),L170)</f>
        <v>144105.182006899</v>
      </c>
    </row>
    <row r="172" customFormat="false" ht="15" hidden="false" customHeight="false" outlineLevel="0" collapsed="false">
      <c r="K172" s="56" t="n">
        <f aca="false">K171+1</f>
        <v>165</v>
      </c>
      <c r="L172" s="58" t="n">
        <f aca="false">IF(L171&gt;0,L171-($B$25-L171*$B$11/12),L171)</f>
        <v>143265.940512844</v>
      </c>
    </row>
    <row r="173" customFormat="false" ht="15" hidden="false" customHeight="false" outlineLevel="0" collapsed="false">
      <c r="K173" s="56" t="n">
        <f aca="false">K172+1</f>
        <v>166</v>
      </c>
      <c r="L173" s="58" t="n">
        <f aca="false">IF(L172&gt;0,L172-($B$25-L172*$B$11/12),L172)</f>
        <v>142423.901547143</v>
      </c>
    </row>
    <row r="174" customFormat="false" ht="15" hidden="false" customHeight="false" outlineLevel="0" collapsed="false">
      <c r="K174" s="56" t="n">
        <f aca="false">K173+1</f>
        <v>167</v>
      </c>
      <c r="L174" s="58" t="n">
        <f aca="false">IF(L173&gt;0,L173-($B$25-L173*$B$11/12),L173)</f>
        <v>141579.055784889</v>
      </c>
    </row>
    <row r="175" customFormat="false" ht="15" hidden="false" customHeight="false" outlineLevel="0" collapsed="false">
      <c r="K175" s="56" t="n">
        <f aca="false">K174+1</f>
        <v>168</v>
      </c>
      <c r="L175" s="58" t="n">
        <f aca="false">IF(L174&gt;0,L174-($B$25-L174*$B$11/12),L174)</f>
        <v>140731.393870094</v>
      </c>
    </row>
    <row r="176" customFormat="false" ht="15" hidden="false" customHeight="false" outlineLevel="0" collapsed="false">
      <c r="K176" s="56" t="n">
        <f aca="false">K175+1</f>
        <v>169</v>
      </c>
      <c r="L176" s="58" t="n">
        <f aca="false">IF(L175&gt;0,L175-($B$25-L175*$B$11/12),L175)</f>
        <v>139880.906415583</v>
      </c>
    </row>
    <row r="177" customFormat="false" ht="15" hidden="false" customHeight="false" outlineLevel="0" collapsed="false">
      <c r="K177" s="56" t="n">
        <f aca="false">K176+1</f>
        <v>170</v>
      </c>
      <c r="L177" s="58" t="n">
        <f aca="false">IF(L176&gt;0,L176-($B$25-L176*$B$11/12),L176)</f>
        <v>139027.584002891</v>
      </c>
    </row>
    <row r="178" customFormat="false" ht="15" hidden="false" customHeight="false" outlineLevel="0" collapsed="false">
      <c r="K178" s="56" t="n">
        <f aca="false">K177+1</f>
        <v>171</v>
      </c>
      <c r="L178" s="58" t="n">
        <f aca="false">IF(L177&gt;0,L177-($B$25-L177*$B$11/12),L177)</f>
        <v>138171.417182156</v>
      </c>
    </row>
    <row r="179" customFormat="false" ht="15" hidden="false" customHeight="false" outlineLevel="0" collapsed="false">
      <c r="K179" s="56" t="n">
        <f aca="false">K178+1</f>
        <v>172</v>
      </c>
      <c r="L179" s="58" t="n">
        <f aca="false">IF(L178&gt;0,L178-($B$25-L178*$B$11/12),L178)</f>
        <v>137312.396472019</v>
      </c>
    </row>
    <row r="180" customFormat="false" ht="15" hidden="false" customHeight="false" outlineLevel="0" collapsed="false">
      <c r="K180" s="56" t="n">
        <f aca="false">K179+1</f>
        <v>173</v>
      </c>
      <c r="L180" s="58" t="n">
        <f aca="false">IF(L179&gt;0,L179-($B$25-L179*$B$11/12),L179)</f>
        <v>136450.512359514</v>
      </c>
    </row>
    <row r="181" customFormat="false" ht="15" hidden="false" customHeight="false" outlineLevel="0" collapsed="false">
      <c r="K181" s="56" t="n">
        <f aca="false">K180+1</f>
        <v>174</v>
      </c>
      <c r="L181" s="58" t="n">
        <f aca="false">IF(L180&gt;0,L180-($B$25-L180*$B$11/12),L180)</f>
        <v>135585.755299968</v>
      </c>
    </row>
    <row r="182" customFormat="false" ht="15" hidden="false" customHeight="false" outlineLevel="0" collapsed="false">
      <c r="K182" s="56" t="n">
        <f aca="false">K181+1</f>
        <v>175</v>
      </c>
      <c r="L182" s="58" t="n">
        <f aca="false">IF(L181&gt;0,L181-($B$25-L181*$B$11/12),L181)</f>
        <v>134718.11571689</v>
      </c>
    </row>
    <row r="183" customFormat="false" ht="15" hidden="false" customHeight="false" outlineLevel="0" collapsed="false">
      <c r="K183" s="56" t="n">
        <f aca="false">K182+1</f>
        <v>176</v>
      </c>
      <c r="L183" s="58" t="n">
        <f aca="false">IF(L182&gt;0,L182-($B$25-L182*$B$11/12),L182)</f>
        <v>133847.584001869</v>
      </c>
    </row>
    <row r="184" customFormat="false" ht="15" hidden="false" customHeight="false" outlineLevel="0" collapsed="false">
      <c r="K184" s="56" t="n">
        <f aca="false">K183+1</f>
        <v>177</v>
      </c>
      <c r="L184" s="58" t="n">
        <f aca="false">IF(L183&gt;0,L183-($B$25-L183*$B$11/12),L183)</f>
        <v>132974.150514464</v>
      </c>
    </row>
    <row r="185" customFormat="false" ht="15" hidden="false" customHeight="false" outlineLevel="0" collapsed="false">
      <c r="K185" s="56" t="n">
        <f aca="false">K184+1</f>
        <v>178</v>
      </c>
      <c r="L185" s="58" t="n">
        <f aca="false">IF(L184&gt;0,L184-($B$25-L184*$B$11/12),L184)</f>
        <v>132097.805582101</v>
      </c>
    </row>
    <row r="186" customFormat="false" ht="15" hidden="false" customHeight="false" outlineLevel="0" collapsed="false">
      <c r="K186" s="56" t="n">
        <f aca="false">K185+1</f>
        <v>179</v>
      </c>
      <c r="L186" s="58" t="n">
        <f aca="false">IF(L185&gt;0,L185-($B$25-L185*$B$11/12),L185)</f>
        <v>131218.539499964</v>
      </c>
    </row>
    <row r="187" customFormat="false" ht="15" hidden="false" customHeight="false" outlineLevel="0" collapsed="false">
      <c r="K187" s="56" t="n">
        <f aca="false">K186+1</f>
        <v>180</v>
      </c>
      <c r="L187" s="58" t="n">
        <f aca="false">IF(L186&gt;0,L186-($B$25-L186*$B$11/12),L186)</f>
        <v>130336.342530886</v>
      </c>
    </row>
  </sheetData>
  <mergeCells count="17">
    <mergeCell ref="A3:I3"/>
    <mergeCell ref="A4:I4"/>
    <mergeCell ref="A5:I5"/>
    <mergeCell ref="D21:I21"/>
    <mergeCell ref="D22:I22"/>
    <mergeCell ref="D23:I23"/>
    <mergeCell ref="D24:I24"/>
    <mergeCell ref="D25:I25"/>
    <mergeCell ref="D26:I26"/>
    <mergeCell ref="D27:I27"/>
    <mergeCell ref="D28:I28"/>
    <mergeCell ref="D32:I32"/>
    <mergeCell ref="D33:I33"/>
    <mergeCell ref="D34:I34"/>
    <mergeCell ref="D35:I35"/>
    <mergeCell ref="D36:I36"/>
    <mergeCell ref="D37:I37"/>
  </mergeCells>
  <dataValidations count="5">
    <dataValidation allowBlank="false" error="The prototype accepts 0 to 1 here." errorStyle="stop" errorTitle="Outside the prototype range" operator="between" showDropDown="false" showErrorMessage="true" showInputMessage="false" sqref="B17" type="whole">
      <formula1>0</formula1>
      <formula2>1</formula2>
    </dataValidation>
    <dataValidation allowBlank="false" error="The prototype accepts 0.01 to 0.08 here." errorStyle="stop" errorTitle="Outside the prototype range" operator="between" showDropDown="false" showErrorMessage="true" showInputMessage="false" sqref="B11" type="decimal">
      <formula1>0.01</formula1>
      <formula2>0.08</formula2>
    </dataValidation>
    <dataValidation allowBlank="false" error="The prototype accepts 5 to 35 here." errorStyle="stop" errorTitle="Outside the prototype range" operator="between" showDropDown="false" showErrorMessage="true" showInputMessage="false" sqref="B12" type="decimal">
      <formula1>5</formula1>
      <formula2>35</formula2>
    </dataValidation>
    <dataValidation allowBlank="false" error="The prototype accepts 0 to 100000 here." errorStyle="stop" errorTitle="Outside the prototype range" operator="between" showDropDown="false" showErrorMessage="true" showInputMessage="false" sqref="B16" type="decimal">
      <formula1>0</formula1>
      <formula2>100000</formula2>
    </dataValidation>
    <dataValidation allowBlank="false" error="The prototype accepts 20000 to 10000000 here." errorStyle="stop" errorTitle="Outside the prototype range" operator="between" showDropDown="false" showErrorMessage="true" showInputMessage="false" sqref="B10" type="decimal">
      <formula1>20000</formula1>
      <formula2>10000000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1015</v>
      </c>
    </row>
    <row r="2" customFormat="false" ht="15" hidden="false" customHeight="false" outlineLevel="0" collapsed="false">
      <c r="A2" s="30" t="s">
        <v>1016</v>
      </c>
    </row>
    <row r="3" customFormat="false" ht="37.5" hidden="false" customHeight="true" outlineLevel="0" collapsed="false">
      <c r="A3" s="31" t="s">
        <v>1017</v>
      </c>
      <c r="B3" s="31"/>
      <c r="C3" s="31"/>
      <c r="D3" s="31"/>
      <c r="E3" s="31"/>
      <c r="F3" s="31"/>
      <c r="G3" s="31"/>
      <c r="H3" s="31"/>
      <c r="I3" s="31"/>
    </row>
    <row r="4" customFormat="false" ht="63.75" hidden="false" customHeight="true" outlineLevel="0" collapsed="false">
      <c r="A4" s="31" t="s">
        <v>1018</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1019</v>
      </c>
      <c r="B10" s="33" t="n">
        <v>15000</v>
      </c>
      <c r="C10" s="7" t="s">
        <v>257</v>
      </c>
      <c r="D10" s="34" t="n">
        <v>15000</v>
      </c>
      <c r="E10" s="34" t="n">
        <v>0</v>
      </c>
      <c r="F10" s="34" t="n">
        <v>1000000</v>
      </c>
      <c r="G10" s="34" t="n">
        <v>10000000</v>
      </c>
      <c r="H10" s="34" t="n">
        <v>500</v>
      </c>
      <c r="I10" s="35" t="s">
        <v>1020</v>
      </c>
    </row>
    <row r="11" customFormat="false" ht="15" hidden="false" customHeight="false" outlineLevel="0" collapsed="false">
      <c r="A11" s="7" t="s">
        <v>89</v>
      </c>
      <c r="B11" s="33" t="n">
        <v>10000</v>
      </c>
      <c r="C11" s="7" t="s">
        <v>257</v>
      </c>
      <c r="D11" s="34" t="n">
        <v>10000</v>
      </c>
      <c r="E11" s="34" t="n">
        <v>0</v>
      </c>
      <c r="F11" s="34" t="n">
        <v>2000000</v>
      </c>
      <c r="G11" s="34" t="n">
        <v>20000000</v>
      </c>
      <c r="H11" s="34" t="n">
        <v>1000</v>
      </c>
      <c r="I11" s="35" t="s">
        <v>1021</v>
      </c>
    </row>
    <row r="12" customFormat="false" ht="15" hidden="false" customHeight="false" outlineLevel="0" collapsed="false">
      <c r="A12" s="7" t="s">
        <v>1022</v>
      </c>
      <c r="B12" s="33" t="n">
        <v>60000</v>
      </c>
      <c r="C12" s="7" t="s">
        <v>257</v>
      </c>
      <c r="D12" s="34" t="n">
        <v>60000</v>
      </c>
      <c r="E12" s="34" t="n">
        <v>0</v>
      </c>
      <c r="F12" s="34" t="n">
        <v>3000000</v>
      </c>
      <c r="G12" s="34" t="n">
        <v>30000000</v>
      </c>
      <c r="H12" s="34" t="n">
        <v>1000</v>
      </c>
      <c r="I12" s="35" t="s">
        <v>1023</v>
      </c>
    </row>
    <row r="13" customFormat="false" ht="15" hidden="false" customHeight="false" outlineLevel="0" collapsed="false">
      <c r="A13" s="7" t="s">
        <v>1024</v>
      </c>
      <c r="B13" s="33" t="n">
        <v>350000</v>
      </c>
      <c r="C13" s="7" t="s">
        <v>257</v>
      </c>
      <c r="D13" s="34" t="n">
        <v>350000</v>
      </c>
      <c r="E13" s="34" t="n">
        <v>0</v>
      </c>
      <c r="F13" s="34" t="n">
        <v>5000000</v>
      </c>
      <c r="G13" s="34" t="n">
        <v>50000000</v>
      </c>
      <c r="H13" s="34" t="n">
        <v>5000</v>
      </c>
      <c r="I13" s="35" t="s">
        <v>1025</v>
      </c>
    </row>
    <row r="14" customFormat="false" ht="15" hidden="false" customHeight="false" outlineLevel="0" collapsed="false">
      <c r="A14" s="7" t="s">
        <v>1026</v>
      </c>
      <c r="B14" s="33" t="n">
        <v>250000</v>
      </c>
      <c r="C14" s="7" t="s">
        <v>257</v>
      </c>
      <c r="D14" s="34" t="n">
        <v>250000</v>
      </c>
      <c r="E14" s="34" t="n">
        <v>0</v>
      </c>
      <c r="F14" s="34" t="n">
        <v>3000000</v>
      </c>
      <c r="G14" s="34" t="n">
        <v>30000000</v>
      </c>
      <c r="H14" s="34" t="n">
        <v>5000</v>
      </c>
      <c r="I14" s="35" t="s">
        <v>965</v>
      </c>
    </row>
    <row r="15" customFormat="false" ht="15" hidden="false" customHeight="false" outlineLevel="0" collapsed="false">
      <c r="A15" s="7" t="s">
        <v>1027</v>
      </c>
      <c r="B15" s="33" t="n">
        <v>8000</v>
      </c>
      <c r="C15" s="7" t="s">
        <v>257</v>
      </c>
      <c r="D15" s="34" t="n">
        <v>8000</v>
      </c>
      <c r="E15" s="34" t="n">
        <v>0</v>
      </c>
      <c r="F15" s="34" t="n">
        <v>500000</v>
      </c>
      <c r="G15" s="34" t="n">
        <v>5000000</v>
      </c>
      <c r="H15" s="34" t="n">
        <v>500</v>
      </c>
      <c r="I15" s="35" t="s">
        <v>967</v>
      </c>
    </row>
    <row r="17" customFormat="false" ht="15" hidden="false" customHeight="false" outlineLevel="0" collapsed="false">
      <c r="A17" s="15" t="s">
        <v>391</v>
      </c>
      <c r="B17" s="16"/>
      <c r="C17" s="16"/>
      <c r="D17" s="16"/>
      <c r="E17" s="16"/>
      <c r="F17" s="16"/>
      <c r="G17" s="16"/>
      <c r="H17" s="16"/>
      <c r="I17" s="16"/>
    </row>
    <row r="18" customFormat="false" ht="15" hidden="false" customHeight="false" outlineLevel="0" collapsed="false">
      <c r="A18" s="17" t="s">
        <v>392</v>
      </c>
      <c r="B18" s="17" t="s">
        <v>192</v>
      </c>
      <c r="C18" s="17" t="s">
        <v>193</v>
      </c>
      <c r="D18" s="17" t="s">
        <v>393</v>
      </c>
    </row>
    <row r="19" customFormat="false" ht="15" hidden="false" customHeight="false" outlineLevel="0" collapsed="false">
      <c r="A19" s="7" t="s">
        <v>1028</v>
      </c>
      <c r="B19" s="43" t="n">
        <f aca="false">$B$10+$B$11+$B$12+$B$13</f>
        <v>435000</v>
      </c>
      <c r="C19" s="41" t="s">
        <v>257</v>
      </c>
      <c r="D19" s="42" t="s">
        <v>1029</v>
      </c>
      <c r="E19" s="42"/>
      <c r="F19" s="42"/>
      <c r="G19" s="42"/>
      <c r="H19" s="42"/>
      <c r="I19" s="42"/>
    </row>
    <row r="20" customFormat="false" ht="15" hidden="false" customHeight="false" outlineLevel="0" collapsed="false">
      <c r="A20" s="7" t="s">
        <v>1030</v>
      </c>
      <c r="B20" s="43" t="n">
        <f aca="false">$B$14+$B$15</f>
        <v>258000</v>
      </c>
      <c r="C20" s="41" t="s">
        <v>257</v>
      </c>
      <c r="D20" s="42" t="s">
        <v>1031</v>
      </c>
      <c r="E20" s="42"/>
      <c r="F20" s="42"/>
      <c r="G20" s="42"/>
      <c r="H20" s="42"/>
      <c r="I20" s="42"/>
    </row>
    <row r="22" customFormat="false" ht="15" hidden="false" customHeight="false" outlineLevel="0" collapsed="false">
      <c r="A22" s="15" t="s">
        <v>415</v>
      </c>
      <c r="B22" s="16"/>
      <c r="C22" s="16"/>
      <c r="D22" s="16"/>
      <c r="E22" s="16"/>
      <c r="F22" s="16"/>
      <c r="G22" s="16"/>
      <c r="H22" s="16"/>
      <c r="I22" s="16"/>
    </row>
    <row r="23" customFormat="false" ht="15" hidden="false" customHeight="false" outlineLevel="0" collapsed="false">
      <c r="A23" s="17" t="s">
        <v>416</v>
      </c>
      <c r="B23" s="17" t="s">
        <v>192</v>
      </c>
      <c r="C23" s="17" t="s">
        <v>417</v>
      </c>
      <c r="D23" s="17" t="s">
        <v>418</v>
      </c>
    </row>
    <row r="24" customFormat="false" ht="15" hidden="false" customHeight="false" outlineLevel="0" collapsed="false">
      <c r="A24" s="4" t="s">
        <v>419</v>
      </c>
      <c r="B24" s="48"/>
      <c r="C24" s="49" t="str">
        <f aca="false">"Your net worth"</f>
        <v>Your net worth</v>
      </c>
      <c r="D24" s="42" t="s">
        <v>420</v>
      </c>
      <c r="E24" s="42"/>
      <c r="F24" s="42"/>
      <c r="G24" s="42"/>
      <c r="H24" s="42"/>
      <c r="I24" s="42"/>
    </row>
    <row r="25" customFormat="false" ht="15" hidden="false" customHeight="false" outlineLevel="0" collapsed="false">
      <c r="A25" s="4" t="s">
        <v>1032</v>
      </c>
      <c r="B25" s="50" t="n">
        <f aca="false">$B$19-$B$20</f>
        <v>177000</v>
      </c>
      <c r="C25" s="49" t="str">
        <f aca="false">IF(($B$19-$B$20)&lt;0,"−€","€")&amp;FIXED(ROUND(ABS($B$19-$B$20),0),0)</f>
        <v>€177,000</v>
      </c>
      <c r="D25" s="42" t="s">
        <v>512</v>
      </c>
      <c r="E25" s="42"/>
      <c r="F25" s="42"/>
      <c r="G25" s="42"/>
      <c r="H25" s="42"/>
      <c r="I25" s="42"/>
    </row>
    <row r="26" customFormat="false" ht="15" hidden="false" customHeight="false" outlineLevel="0" collapsed="false">
      <c r="A26" s="4" t="s">
        <v>1028</v>
      </c>
      <c r="B26" s="50" t="n">
        <f aca="false">$B$19</f>
        <v>435000</v>
      </c>
      <c r="C26" s="49" t="str">
        <f aca="false">IF(($B$19)&lt;0,"−€","€")&amp;FIXED(ROUND(ABS($B$19),0),0)</f>
        <v>€435,000</v>
      </c>
      <c r="D26" s="42" t="s">
        <v>427</v>
      </c>
      <c r="E26" s="42"/>
      <c r="F26" s="42"/>
      <c r="G26" s="42"/>
      <c r="H26" s="42"/>
      <c r="I26" s="42"/>
    </row>
    <row r="27" customFormat="false" ht="15" hidden="false" customHeight="false" outlineLevel="0" collapsed="false">
      <c r="A27" s="4" t="s">
        <v>1030</v>
      </c>
      <c r="B27" s="50" t="n">
        <f aca="false">$B$20</f>
        <v>258000</v>
      </c>
      <c r="C27" s="49" t="str">
        <f aca="false">IF(($B$20)&lt;0,"−€","€")&amp;FIXED(ROUND(ABS($B$20),0),0)</f>
        <v>€258,000</v>
      </c>
      <c r="D27" s="42" t="s">
        <v>428</v>
      </c>
      <c r="E27" s="42"/>
      <c r="F27" s="42"/>
      <c r="G27" s="42"/>
      <c r="H27" s="42"/>
      <c r="I27" s="42"/>
    </row>
  </sheetData>
  <mergeCells count="9">
    <mergeCell ref="A3:I3"/>
    <mergeCell ref="A4:I4"/>
    <mergeCell ref="A5:I5"/>
    <mergeCell ref="D19:I19"/>
    <mergeCell ref="D20:I20"/>
    <mergeCell ref="D24:I24"/>
    <mergeCell ref="D25:I25"/>
    <mergeCell ref="D26:I26"/>
    <mergeCell ref="D27:I27"/>
  </mergeCells>
  <dataValidations count="5">
    <dataValidation allowBlank="false" error="The prototype accepts 0 to 10000000 here." errorStyle="stop" errorTitle="Outside the prototype range" operator="between" showDropDown="false" showErrorMessage="true" showInputMessage="false" sqref="B10" type="decimal">
      <formula1>0</formula1>
      <formula2>10000000</formula2>
    </dataValidation>
    <dataValidation allowBlank="false" error="The prototype accepts 0 to 20000000 here." errorStyle="stop" errorTitle="Outside the prototype range" operator="between" showDropDown="false" showErrorMessage="true" showInputMessage="false" sqref="B11" type="decimal">
      <formula1>0</formula1>
      <formula2>20000000</formula2>
    </dataValidation>
    <dataValidation allowBlank="false" error="The prototype accepts 0 to 30000000 here." errorStyle="stop" errorTitle="Outside the prototype range" operator="between" showDropDown="false" showErrorMessage="true" showInputMessage="false" sqref="B12 B14" type="decimal">
      <formula1>0</formula1>
      <formula2>30000000</formula2>
    </dataValidation>
    <dataValidation allowBlank="false" error="The prototype accepts 0 to 50000000 here." errorStyle="stop" errorTitle="Outside the prototype range" operator="between" showDropDown="false" showErrorMessage="true" showInputMessage="false" sqref="B13" type="decimal">
      <formula1>0</formula1>
      <formula2>50000000</formula2>
    </dataValidation>
    <dataValidation allowBlank="false" error="The prototype accepts 0 to 5000000 here." errorStyle="stop" errorTitle="Outside the prototype range" operator="between" showDropDown="false" showErrorMessage="true" showInputMessage="false" sqref="B15" type="decimal">
      <formula1>0</formula1>
      <formula2>5000000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1033</v>
      </c>
    </row>
    <row r="2" customFormat="false" ht="15" hidden="false" customHeight="false" outlineLevel="0" collapsed="false">
      <c r="A2" s="30" t="s">
        <v>1034</v>
      </c>
    </row>
    <row r="3" customFormat="false" ht="37.5" hidden="false" customHeight="true" outlineLevel="0" collapsed="false">
      <c r="A3" s="31" t="s">
        <v>1035</v>
      </c>
      <c r="B3" s="31"/>
      <c r="C3" s="31"/>
      <c r="D3" s="31"/>
      <c r="E3" s="31"/>
      <c r="F3" s="31"/>
      <c r="G3" s="31"/>
      <c r="H3" s="31"/>
      <c r="I3" s="31"/>
    </row>
    <row r="4" customFormat="false" ht="63.75" hidden="false" customHeight="true" outlineLevel="0" collapsed="false">
      <c r="A4" s="31" t="s">
        <v>1036</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175</v>
      </c>
      <c r="B10" s="33" t="n">
        <v>3500</v>
      </c>
      <c r="C10" s="7" t="s">
        <v>257</v>
      </c>
      <c r="D10" s="34" t="n">
        <v>3500</v>
      </c>
      <c r="E10" s="34" t="n">
        <v>500</v>
      </c>
      <c r="F10" s="34" t="n">
        <v>20000</v>
      </c>
      <c r="G10" s="34" t="n">
        <v>200000</v>
      </c>
      <c r="H10" s="34" t="n">
        <v>50</v>
      </c>
      <c r="I10" s="35" t="s">
        <v>1037</v>
      </c>
    </row>
    <row r="11" customFormat="false" ht="15" hidden="false" customHeight="false" outlineLevel="0" collapsed="false">
      <c r="A11" s="7" t="s">
        <v>1038</v>
      </c>
      <c r="B11" s="33" t="n">
        <v>2000</v>
      </c>
      <c r="C11" s="7" t="s">
        <v>257</v>
      </c>
      <c r="D11" s="34" t="n">
        <v>2000</v>
      </c>
      <c r="E11" s="34" t="n">
        <v>0</v>
      </c>
      <c r="F11" s="34" t="n">
        <v>15000</v>
      </c>
      <c r="G11" s="34" t="n">
        <v>150000</v>
      </c>
      <c r="H11" s="34" t="n">
        <v>50</v>
      </c>
      <c r="I11" s="35" t="s">
        <v>1039</v>
      </c>
    </row>
    <row r="12" customFormat="false" ht="15" hidden="false" customHeight="false" outlineLevel="0" collapsed="false">
      <c r="A12" s="7" t="s">
        <v>1040</v>
      </c>
      <c r="B12" s="33" t="n">
        <v>800</v>
      </c>
      <c r="C12" s="7" t="s">
        <v>257</v>
      </c>
      <c r="D12" s="34" t="n">
        <v>800</v>
      </c>
      <c r="E12" s="34" t="n">
        <v>0</v>
      </c>
      <c r="F12" s="34" t="n">
        <v>10000</v>
      </c>
      <c r="G12" s="34" t="n">
        <v>100000</v>
      </c>
      <c r="H12" s="34" t="n">
        <v>50</v>
      </c>
      <c r="I12" s="35" t="s">
        <v>1041</v>
      </c>
    </row>
    <row r="13" customFormat="false" ht="15" hidden="false" customHeight="false" outlineLevel="0" collapsed="false">
      <c r="A13" s="7" t="s">
        <v>1042</v>
      </c>
      <c r="B13" s="33" t="n">
        <v>200</v>
      </c>
      <c r="C13" s="7" t="s">
        <v>257</v>
      </c>
      <c r="D13" s="34" t="n">
        <v>200</v>
      </c>
      <c r="E13" s="34" t="n">
        <v>0</v>
      </c>
      <c r="F13" s="34" t="n">
        <v>5000</v>
      </c>
      <c r="G13" s="34" t="n">
        <v>50000</v>
      </c>
      <c r="H13" s="34" t="n">
        <v>25</v>
      </c>
      <c r="I13" s="35" t="s">
        <v>1043</v>
      </c>
    </row>
    <row r="15" customFormat="false" ht="15" hidden="false" customHeight="false" outlineLevel="0" collapsed="false">
      <c r="A15" s="15" t="s">
        <v>391</v>
      </c>
      <c r="B15" s="16"/>
      <c r="C15" s="16"/>
      <c r="D15" s="16"/>
      <c r="E15" s="16"/>
      <c r="F15" s="16"/>
      <c r="G15" s="16"/>
      <c r="H15" s="16"/>
      <c r="I15" s="16"/>
    </row>
    <row r="16" customFormat="false" ht="15" hidden="false" customHeight="false" outlineLevel="0" collapsed="false">
      <c r="A16" s="17" t="s">
        <v>392</v>
      </c>
      <c r="B16" s="17" t="s">
        <v>192</v>
      </c>
      <c r="C16" s="17" t="s">
        <v>193</v>
      </c>
      <c r="D16" s="17" t="s">
        <v>393</v>
      </c>
    </row>
    <row r="17" customFormat="false" ht="15" hidden="false" customHeight="false" outlineLevel="0" collapsed="false">
      <c r="A17" s="7" t="s">
        <v>168</v>
      </c>
      <c r="B17" s="43" t="n">
        <f aca="false">$B$10-$B$11-$B$12-$B$13</f>
        <v>500</v>
      </c>
      <c r="C17" s="41" t="s">
        <v>257</v>
      </c>
      <c r="D17" s="42" t="s">
        <v>1044</v>
      </c>
      <c r="E17" s="42"/>
      <c r="F17" s="42"/>
      <c r="G17" s="42"/>
      <c r="H17" s="42"/>
      <c r="I17" s="42"/>
    </row>
    <row r="18" customFormat="false" ht="15" hidden="false" customHeight="false" outlineLevel="0" collapsed="false">
      <c r="A18" s="7" t="s">
        <v>1045</v>
      </c>
      <c r="B18" s="46" t="n">
        <f aca="false">IF($B$10=0,0,INT(($B$17/$B$10*100)+0.5))</f>
        <v>14</v>
      </c>
      <c r="C18" s="41" t="s">
        <v>240</v>
      </c>
      <c r="D18" s="42" t="s">
        <v>1046</v>
      </c>
      <c r="E18" s="42"/>
      <c r="F18" s="42"/>
      <c r="G18" s="42"/>
      <c r="H18" s="42"/>
      <c r="I18" s="42"/>
    </row>
    <row r="20" customFormat="false" ht="15" hidden="false" customHeight="false" outlineLevel="0" collapsed="false">
      <c r="A20" s="15" t="s">
        <v>415</v>
      </c>
      <c r="B20" s="16"/>
      <c r="C20" s="16"/>
      <c r="D20" s="16"/>
      <c r="E20" s="16"/>
      <c r="F20" s="16"/>
      <c r="G20" s="16"/>
      <c r="H20" s="16"/>
      <c r="I20" s="16"/>
    </row>
    <row r="21" customFormat="false" ht="15" hidden="false" customHeight="false" outlineLevel="0" collapsed="false">
      <c r="A21" s="17" t="s">
        <v>416</v>
      </c>
      <c r="B21" s="17" t="s">
        <v>192</v>
      </c>
      <c r="C21" s="17" t="s">
        <v>417</v>
      </c>
      <c r="D21" s="17" t="s">
        <v>418</v>
      </c>
    </row>
    <row r="22" customFormat="false" ht="15" hidden="false" customHeight="false" outlineLevel="0" collapsed="false">
      <c r="A22" s="4" t="s">
        <v>419</v>
      </c>
      <c r="B22" s="48"/>
      <c r="C22" s="49" t="str">
        <f aca="false">"Monthly surplus"</f>
        <v>Monthly surplus</v>
      </c>
      <c r="D22" s="42" t="s">
        <v>420</v>
      </c>
      <c r="E22" s="42"/>
      <c r="F22" s="42"/>
      <c r="G22" s="42"/>
      <c r="H22" s="42"/>
      <c r="I22" s="42"/>
    </row>
    <row r="23" customFormat="false" ht="15" hidden="false" customHeight="false" outlineLevel="0" collapsed="false">
      <c r="A23" s="4" t="s">
        <v>168</v>
      </c>
      <c r="B23" s="50" t="n">
        <f aca="false">$B$17</f>
        <v>500</v>
      </c>
      <c r="C23" s="49" t="str">
        <f aca="false">IF(($B$17)&lt;0,"−€","€")&amp;FIXED(ROUND(ABS($B$17),0),0)</f>
        <v>€500</v>
      </c>
      <c r="D23" s="42" t="s">
        <v>512</v>
      </c>
      <c r="E23" s="42"/>
      <c r="F23" s="42"/>
      <c r="G23" s="42"/>
      <c r="H23" s="42"/>
      <c r="I23" s="42"/>
    </row>
    <row r="24" customFormat="false" ht="15" hidden="false" customHeight="false" outlineLevel="0" collapsed="false">
      <c r="A24" s="4" t="s">
        <v>1047</v>
      </c>
      <c r="B24" s="48" t="n">
        <f aca="false">IF($B$17&gt;0,$B$18,"")</f>
        <v>14</v>
      </c>
      <c r="C24" s="49" t="str">
        <f aca="false">IF($B$17&gt;0,$B$18&amp;"%","")</f>
        <v>14%</v>
      </c>
      <c r="D24" s="42" t="s">
        <v>1048</v>
      </c>
      <c r="E24" s="42"/>
      <c r="F24" s="42"/>
      <c r="G24" s="42"/>
      <c r="H24" s="42"/>
      <c r="I24" s="42"/>
    </row>
    <row r="25" customFormat="false" ht="15" hidden="false" customHeight="false" outlineLevel="0" collapsed="false">
      <c r="A25" s="4" t="s">
        <v>1049</v>
      </c>
      <c r="B25" s="50" t="n">
        <f aca="false">$B$10</f>
        <v>3500</v>
      </c>
      <c r="C25" s="49" t="str">
        <f aca="false">IF(($B$10)&lt;0,"−€","€")&amp;FIXED(ROUND(ABS($B$10),0),0)</f>
        <v>€3,500</v>
      </c>
      <c r="D25" s="42" t="s">
        <v>427</v>
      </c>
      <c r="E25" s="42"/>
      <c r="F25" s="42"/>
      <c r="G25" s="42"/>
      <c r="H25" s="42"/>
      <c r="I25" s="42"/>
    </row>
    <row r="26" customFormat="false" ht="15" hidden="false" customHeight="false" outlineLevel="0" collapsed="false">
      <c r="A26" s="4" t="s">
        <v>1050</v>
      </c>
      <c r="B26" s="50" t="n">
        <f aca="false">$B$11+$B$12+$B$13</f>
        <v>3000</v>
      </c>
      <c r="C26" s="49" t="str">
        <f aca="false">IF(($B$11+$B$12+$B$13)&lt;0,"−€","€")&amp;FIXED(ROUND(ABS($B$11+$B$12+$B$13),0),0)</f>
        <v>€3,000</v>
      </c>
      <c r="D26" s="42" t="s">
        <v>428</v>
      </c>
      <c r="E26" s="42"/>
      <c r="F26" s="42"/>
      <c r="G26" s="42"/>
      <c r="H26" s="42"/>
      <c r="I26" s="42"/>
    </row>
    <row r="27" customFormat="false" ht="15" hidden="false" customHeight="false" outlineLevel="0" collapsed="false">
      <c r="A27" s="4" t="s">
        <v>1051</v>
      </c>
      <c r="B27" s="50" t="n">
        <f aca="false">IF($B$17&gt;0,INT(($B$17*12)+0.5),"")</f>
        <v>6000</v>
      </c>
      <c r="C27" s="49" t="str">
        <f aca="false">$B$27&amp;""</f>
        <v>6000</v>
      </c>
      <c r="D27" s="42" t="s">
        <v>1052</v>
      </c>
      <c r="E27" s="42"/>
      <c r="F27" s="42"/>
      <c r="G27" s="42"/>
      <c r="H27" s="42"/>
      <c r="I27" s="42"/>
    </row>
    <row r="28" customFormat="false" ht="15" hidden="false" customHeight="false" outlineLevel="0" collapsed="false">
      <c r="A28" s="4" t="s">
        <v>434</v>
      </c>
      <c r="B28" s="53" t="n">
        <f aca="false">IF($B$17&gt;0,Assumptions!$C$74,"")</f>
        <v>1</v>
      </c>
      <c r="C28" s="49" t="str">
        <f aca="false">$B$28&amp;""</f>
        <v>1</v>
      </c>
      <c r="D28" s="42" t="s">
        <v>1052</v>
      </c>
      <c r="E28" s="42"/>
      <c r="F28" s="42"/>
      <c r="G28" s="42"/>
      <c r="H28" s="42"/>
      <c r="I28" s="42"/>
    </row>
  </sheetData>
  <mergeCells count="12">
    <mergeCell ref="A3:I3"/>
    <mergeCell ref="A4:I4"/>
    <mergeCell ref="A5:I5"/>
    <mergeCell ref="D17:I17"/>
    <mergeCell ref="D18:I18"/>
    <mergeCell ref="D22:I22"/>
    <mergeCell ref="D23:I23"/>
    <mergeCell ref="D24:I24"/>
    <mergeCell ref="D25:I25"/>
    <mergeCell ref="D26:I26"/>
    <mergeCell ref="D27:I27"/>
    <mergeCell ref="D28:I28"/>
  </mergeCells>
  <dataValidations count="4">
    <dataValidation allowBlank="false" error="The prototype accepts 0 to 100000 here." errorStyle="stop" errorTitle="Outside the prototype range" operator="between" showDropDown="false" showErrorMessage="true" showInputMessage="false" sqref="B12" type="decimal">
      <formula1>0</formula1>
      <formula2>100000</formula2>
    </dataValidation>
    <dataValidation allowBlank="false" error="The prototype accepts 0 to 50000 here." errorStyle="stop" errorTitle="Outside the prototype range" operator="between" showDropDown="false" showErrorMessage="true" showInputMessage="false" sqref="B13" type="decimal">
      <formula1>0</formula1>
      <formula2>50000</formula2>
    </dataValidation>
    <dataValidation allowBlank="false" error="The prototype accepts 500 to 200000 here." errorStyle="stop" errorTitle="Outside the prototype range" operator="between" showDropDown="false" showErrorMessage="true" showInputMessage="false" sqref="B10" type="decimal">
      <formula1>500</formula1>
      <formula2>200000</formula2>
    </dataValidation>
    <dataValidation allowBlank="false" error="The prototype accepts 0 to 150000 here." errorStyle="stop" errorTitle="Outside the prototype range" operator="between" showDropDown="false" showErrorMessage="true" showInputMessage="false" sqref="B11" type="decimal">
      <formula1>0</formula1>
      <formula2>150000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1053</v>
      </c>
    </row>
    <row r="2" customFormat="false" ht="15" hidden="false" customHeight="false" outlineLevel="0" collapsed="false">
      <c r="A2" s="30" t="s">
        <v>1054</v>
      </c>
    </row>
    <row r="3" customFormat="false" ht="37.5" hidden="false" customHeight="true" outlineLevel="0" collapsed="false">
      <c r="A3" s="31" t="s">
        <v>1055</v>
      </c>
      <c r="B3" s="31"/>
      <c r="C3" s="31"/>
      <c r="D3" s="31"/>
      <c r="E3" s="31"/>
      <c r="F3" s="31"/>
      <c r="G3" s="31"/>
      <c r="H3" s="31"/>
      <c r="I3" s="31"/>
    </row>
    <row r="4" customFormat="false" ht="63.75" hidden="false" customHeight="true" outlineLevel="0" collapsed="false">
      <c r="A4" s="31" t="s">
        <v>1056</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175</v>
      </c>
      <c r="B10" s="33" t="n">
        <v>3500</v>
      </c>
      <c r="C10" s="7" t="s">
        <v>257</v>
      </c>
      <c r="D10" s="34" t="n">
        <v>3500</v>
      </c>
      <c r="E10" s="34" t="n">
        <v>500</v>
      </c>
      <c r="F10" s="34" t="n">
        <v>20000</v>
      </c>
      <c r="G10" s="34" t="n">
        <v>200000</v>
      </c>
      <c r="H10" s="34" t="n">
        <v>50</v>
      </c>
      <c r="I10" s="35" t="s">
        <v>1037</v>
      </c>
    </row>
    <row r="12" customFormat="false" ht="15" hidden="false" customHeight="false" outlineLevel="0" collapsed="false">
      <c r="A12" s="15" t="s">
        <v>391</v>
      </c>
      <c r="B12" s="16"/>
      <c r="C12" s="16"/>
      <c r="D12" s="16"/>
      <c r="E12" s="16"/>
      <c r="F12" s="16"/>
      <c r="G12" s="16"/>
      <c r="H12" s="16"/>
      <c r="I12" s="16"/>
    </row>
    <row r="13" customFormat="false" ht="15" hidden="false" customHeight="false" outlineLevel="0" collapsed="false">
      <c r="A13" s="17" t="s">
        <v>392</v>
      </c>
      <c r="B13" s="17" t="s">
        <v>192</v>
      </c>
      <c r="C13" s="17" t="s">
        <v>193</v>
      </c>
      <c r="D13" s="17" t="s">
        <v>393</v>
      </c>
    </row>
    <row r="14" customFormat="false" ht="15" hidden="false" customHeight="false" outlineLevel="0" collapsed="false">
      <c r="A14" s="7" t="s">
        <v>1057</v>
      </c>
      <c r="B14" s="44" t="n">
        <f aca="false">$B$10*Assumptions!$C$64</f>
        <v>1750</v>
      </c>
      <c r="C14" s="41" t="s">
        <v>257</v>
      </c>
      <c r="D14" s="42" t="s">
        <v>1058</v>
      </c>
      <c r="E14" s="42"/>
      <c r="F14" s="42"/>
      <c r="G14" s="42"/>
      <c r="H14" s="42"/>
      <c r="I14" s="42"/>
    </row>
    <row r="15" customFormat="false" ht="15" hidden="false" customHeight="false" outlineLevel="0" collapsed="false">
      <c r="A15" s="7" t="s">
        <v>1059</v>
      </c>
      <c r="B15" s="44" t="n">
        <f aca="false">$B$10*Assumptions!$C$65</f>
        <v>1050</v>
      </c>
      <c r="C15" s="41" t="s">
        <v>257</v>
      </c>
      <c r="D15" s="42" t="s">
        <v>1060</v>
      </c>
      <c r="E15" s="42"/>
      <c r="F15" s="42"/>
      <c r="G15" s="42"/>
      <c r="H15" s="42"/>
      <c r="I15" s="42"/>
    </row>
    <row r="16" customFormat="false" ht="15" hidden="false" customHeight="false" outlineLevel="0" collapsed="false">
      <c r="A16" s="7" t="s">
        <v>1061</v>
      </c>
      <c r="B16" s="44" t="n">
        <f aca="false">$B$10*Assumptions!$C$66</f>
        <v>700</v>
      </c>
      <c r="C16" s="41" t="s">
        <v>257</v>
      </c>
      <c r="D16" s="42" t="s">
        <v>1062</v>
      </c>
      <c r="E16" s="42"/>
      <c r="F16" s="42"/>
      <c r="G16" s="42"/>
      <c r="H16" s="42"/>
      <c r="I16" s="42"/>
    </row>
    <row r="18" customFormat="false" ht="15" hidden="false" customHeight="false" outlineLevel="0" collapsed="false">
      <c r="A18" s="15" t="s">
        <v>415</v>
      </c>
      <c r="B18" s="16"/>
      <c r="C18" s="16"/>
      <c r="D18" s="16"/>
      <c r="E18" s="16"/>
      <c r="F18" s="16"/>
      <c r="G18" s="16"/>
      <c r="H18" s="16"/>
      <c r="I18" s="16"/>
    </row>
    <row r="19" customFormat="false" ht="15" hidden="false" customHeight="false" outlineLevel="0" collapsed="false">
      <c r="A19" s="17" t="s">
        <v>416</v>
      </c>
      <c r="B19" s="17" t="s">
        <v>192</v>
      </c>
      <c r="C19" s="17" t="s">
        <v>417</v>
      </c>
      <c r="D19" s="17" t="s">
        <v>418</v>
      </c>
    </row>
    <row r="20" customFormat="false" ht="15" hidden="false" customHeight="false" outlineLevel="0" collapsed="false">
      <c r="A20" s="4" t="s">
        <v>419</v>
      </c>
      <c r="B20" s="48"/>
      <c r="C20" s="49" t="str">
        <f aca="false">"Save each month"</f>
        <v>Save each month</v>
      </c>
      <c r="D20" s="42" t="s">
        <v>420</v>
      </c>
      <c r="E20" s="42"/>
      <c r="F20" s="42"/>
      <c r="G20" s="42"/>
      <c r="H20" s="42"/>
      <c r="I20" s="42"/>
    </row>
    <row r="21" customFormat="false" ht="15" hidden="false" customHeight="false" outlineLevel="0" collapsed="false">
      <c r="A21" s="4" t="s">
        <v>1063</v>
      </c>
      <c r="B21" s="50" t="n">
        <f aca="false">$B$16</f>
        <v>700</v>
      </c>
      <c r="C21" s="49" t="str">
        <f aca="false">IF(($B$16)&lt;0,"−€","€")&amp;FIXED(ROUND(ABS($B$16),0),0)</f>
        <v>€700</v>
      </c>
      <c r="D21" s="42" t="s">
        <v>512</v>
      </c>
      <c r="E21" s="42"/>
      <c r="F21" s="42"/>
      <c r="G21" s="42"/>
      <c r="H21" s="42"/>
      <c r="I21" s="42"/>
    </row>
    <row r="22" customFormat="false" ht="15" hidden="false" customHeight="false" outlineLevel="0" collapsed="false">
      <c r="A22" s="4" t="s">
        <v>1064</v>
      </c>
      <c r="B22" s="50" t="n">
        <f aca="false">$B$14</f>
        <v>1750</v>
      </c>
      <c r="C22" s="49" t="str">
        <f aca="false">IF(($B$14)&lt;0,"−€","€")&amp;FIXED(ROUND(ABS($B$14),0),0)</f>
        <v>€1,750</v>
      </c>
      <c r="D22" s="42" t="s">
        <v>427</v>
      </c>
      <c r="E22" s="42"/>
      <c r="F22" s="42"/>
      <c r="G22" s="42"/>
      <c r="H22" s="42"/>
      <c r="I22" s="42"/>
    </row>
    <row r="23" customFormat="false" ht="15" hidden="false" customHeight="false" outlineLevel="0" collapsed="false">
      <c r="A23" s="4" t="s">
        <v>1065</v>
      </c>
      <c r="B23" s="50" t="n">
        <f aca="false">$B$15</f>
        <v>1050</v>
      </c>
      <c r="C23" s="49" t="str">
        <f aca="false">IF(($B$15)&lt;0,"−€","€")&amp;FIXED(ROUND(ABS($B$15),0),0)</f>
        <v>€1,050</v>
      </c>
      <c r="D23" s="42" t="s">
        <v>428</v>
      </c>
      <c r="E23" s="42"/>
      <c r="F23" s="42"/>
      <c r="G23" s="42"/>
      <c r="H23" s="42"/>
      <c r="I23" s="42"/>
    </row>
    <row r="24" customFormat="false" ht="15" hidden="false" customHeight="false" outlineLevel="0" collapsed="false">
      <c r="A24" s="4" t="s">
        <v>1066</v>
      </c>
      <c r="B24" s="50" t="n">
        <f aca="false">$B$16</f>
        <v>700</v>
      </c>
      <c r="C24" s="49" t="str">
        <f aca="false">IF(($B$16)&lt;0,"−€","€")&amp;FIXED(ROUND(ABS($B$16),0),0)</f>
        <v>€700</v>
      </c>
      <c r="D24" s="42" t="s">
        <v>430</v>
      </c>
      <c r="E24" s="42"/>
      <c r="F24" s="42"/>
      <c r="G24" s="42"/>
      <c r="H24" s="42"/>
      <c r="I24" s="42"/>
    </row>
  </sheetData>
  <mergeCells count="11">
    <mergeCell ref="A3:I3"/>
    <mergeCell ref="A4:I4"/>
    <mergeCell ref="A5:I5"/>
    <mergeCell ref="D14:I14"/>
    <mergeCell ref="D15:I15"/>
    <mergeCell ref="D16:I16"/>
    <mergeCell ref="D20:I20"/>
    <mergeCell ref="D21:I21"/>
    <mergeCell ref="D22:I22"/>
    <mergeCell ref="D23:I23"/>
    <mergeCell ref="D24:I24"/>
  </mergeCells>
  <dataValidations count="1">
    <dataValidation allowBlank="false" error="The prototype accepts 500 to 200000 here." errorStyle="stop" errorTitle="Outside the prototype range" operator="between" showDropDown="false" showErrorMessage="true" showInputMessage="false" sqref="B10" type="decimal">
      <formula1>500</formula1>
      <formula2>200000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 collapsed="false" customWidth="true" hidden="false" outlineLevel="0" max="17" min="11" style="0" width="14"/>
  </cols>
  <sheetData>
    <row r="1" customFormat="false" ht="17.35" hidden="false" customHeight="false" outlineLevel="0" collapsed="false">
      <c r="A1" s="1" t="s">
        <v>1067</v>
      </c>
    </row>
    <row r="2" customFormat="false" ht="15" hidden="false" customHeight="false" outlineLevel="0" collapsed="false">
      <c r="A2" s="30" t="s">
        <v>1068</v>
      </c>
    </row>
    <row r="3" customFormat="false" ht="37.5" hidden="false" customHeight="true" outlineLevel="0" collapsed="false">
      <c r="A3" s="31" t="s">
        <v>1069</v>
      </c>
      <c r="B3" s="31"/>
      <c r="C3" s="31"/>
      <c r="D3" s="31"/>
      <c r="E3" s="31"/>
      <c r="F3" s="31"/>
      <c r="G3" s="31"/>
      <c r="H3" s="31"/>
      <c r="I3" s="31"/>
    </row>
    <row r="4" customFormat="false" ht="63.75" hidden="false" customHeight="true" outlineLevel="0" collapsed="false">
      <c r="A4" s="31" t="s">
        <v>1070</v>
      </c>
      <c r="B4" s="31"/>
      <c r="C4" s="31"/>
      <c r="D4" s="31"/>
      <c r="E4" s="31"/>
      <c r="F4" s="31"/>
      <c r="G4" s="31"/>
      <c r="H4" s="31"/>
      <c r="I4" s="31"/>
    </row>
    <row r="5" customFormat="false" ht="13.5" hidden="false" customHeight="true" outlineLevel="0" collapsed="false">
      <c r="A5" s="32" t="s">
        <v>369</v>
      </c>
      <c r="B5" s="32"/>
      <c r="C5" s="32"/>
      <c r="D5" s="32"/>
      <c r="E5" s="32"/>
      <c r="F5" s="32"/>
      <c r="G5" s="32"/>
      <c r="H5" s="32"/>
      <c r="I5" s="32"/>
      <c r="K5" s="54" t="s">
        <v>440</v>
      </c>
    </row>
    <row r="6" customFormat="false" ht="15" hidden="false" customHeight="false" outlineLevel="0" collapsed="false">
      <c r="K6" s="9" t="s">
        <v>1071</v>
      </c>
      <c r="L6" s="16"/>
      <c r="M6" s="16"/>
      <c r="N6" s="16"/>
      <c r="O6" s="16"/>
      <c r="P6" s="16"/>
      <c r="Q6" s="16"/>
    </row>
    <row r="7" customFormat="false" ht="39.75" hidden="false" customHeight="true" outlineLevel="0" collapsed="false">
      <c r="K7" s="55" t="s">
        <v>442</v>
      </c>
      <c r="L7" s="55" t="s">
        <v>443</v>
      </c>
      <c r="M7" s="55" t="s">
        <v>444</v>
      </c>
      <c r="N7" s="55" t="s">
        <v>445</v>
      </c>
      <c r="O7" s="55" t="s">
        <v>446</v>
      </c>
      <c r="P7" s="55" t="s">
        <v>447</v>
      </c>
      <c r="Q7" s="55" t="s">
        <v>448</v>
      </c>
    </row>
    <row r="8" customFormat="false" ht="15" hidden="false" customHeight="false" outlineLevel="0" collapsed="false">
      <c r="A8" s="15" t="s">
        <v>370</v>
      </c>
      <c r="B8" s="16"/>
      <c r="C8" s="16"/>
      <c r="D8" s="16"/>
      <c r="E8" s="16"/>
      <c r="F8" s="16"/>
      <c r="G8" s="16"/>
      <c r="H8" s="16"/>
      <c r="I8" s="16"/>
      <c r="K8" s="56" t="n">
        <v>1</v>
      </c>
      <c r="L8" s="57" t="n">
        <f aca="false">IF(AND(K8&lt;=Assumptions!$C$42,$B$10&gt;Assumptions!$C$43),1,0)</f>
        <v>1</v>
      </c>
      <c r="M8" s="58" t="n">
        <f aca="false">$B$10</f>
        <v>5000</v>
      </c>
      <c r="N8" s="58" t="n">
        <f aca="false">IF(L8=1,M8*$B$20,0)</f>
        <v>75</v>
      </c>
      <c r="O8" s="58" t="n">
        <f aca="false">IF(L8=1,M8+N8-$B$21,M8)</f>
        <v>4825</v>
      </c>
      <c r="P8" s="56" t="n">
        <f aca="false">IF(L8=1,IF($B$21&lt;=N8,1,0),0)</f>
        <v>0</v>
      </c>
      <c r="Q8" s="58" t="n">
        <f aca="false">N8</f>
        <v>75</v>
      </c>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c r="K9" s="56" t="n">
        <f aca="false">K8+1</f>
        <v>2</v>
      </c>
      <c r="L9" s="57" t="n">
        <f aca="false">IF(AND(K9&lt;=Assumptions!$C$42,L8=1,P8=0,O8&gt;Assumptions!$C$43),1,0)</f>
        <v>1</v>
      </c>
      <c r="M9" s="58" t="n">
        <f aca="false">O8</f>
        <v>4825</v>
      </c>
      <c r="N9" s="58" t="n">
        <f aca="false">IF(L9=1,M9*$B$20,0)</f>
        <v>72.375</v>
      </c>
      <c r="O9" s="58" t="n">
        <f aca="false">IF(L9=1,M9+N9-$B$21,M9)</f>
        <v>4647.375</v>
      </c>
      <c r="P9" s="56" t="n">
        <f aca="false">IF(L9=1,IF($B$21&lt;=N9,1,0),0)</f>
        <v>0</v>
      </c>
      <c r="Q9" s="58" t="n">
        <f aca="false">Q8+N9</f>
        <v>147.375</v>
      </c>
    </row>
    <row r="10" customFormat="false" ht="15" hidden="false" customHeight="false" outlineLevel="0" collapsed="false">
      <c r="A10" s="7" t="s">
        <v>1072</v>
      </c>
      <c r="B10" s="33" t="n">
        <v>5000</v>
      </c>
      <c r="C10" s="7" t="s">
        <v>257</v>
      </c>
      <c r="D10" s="34" t="n">
        <v>5000</v>
      </c>
      <c r="E10" s="34" t="n">
        <v>100</v>
      </c>
      <c r="F10" s="34" t="n">
        <v>100000</v>
      </c>
      <c r="G10" s="34" t="n">
        <v>1000000</v>
      </c>
      <c r="H10" s="34" t="n">
        <v>100</v>
      </c>
      <c r="I10" s="35" t="s">
        <v>1073</v>
      </c>
      <c r="K10" s="56" t="n">
        <f aca="false">K9+1</f>
        <v>3</v>
      </c>
      <c r="L10" s="57" t="n">
        <f aca="false">IF(AND(K10&lt;=Assumptions!$C$42,L9=1,P9=0,O9&gt;Assumptions!$C$43),1,0)</f>
        <v>1</v>
      </c>
      <c r="M10" s="58" t="n">
        <f aca="false">O9</f>
        <v>4647.375</v>
      </c>
      <c r="N10" s="58" t="n">
        <f aca="false">IF(L10=1,M10*$B$20,0)</f>
        <v>69.710625</v>
      </c>
      <c r="O10" s="58" t="n">
        <f aca="false">IF(L10=1,M10+N10-$B$21,M10)</f>
        <v>4467.085625</v>
      </c>
      <c r="P10" s="56" t="n">
        <f aca="false">IF(L10=1,IF($B$21&lt;=N10,1,0),0)</f>
        <v>0</v>
      </c>
      <c r="Q10" s="58" t="n">
        <f aca="false">Q9+N10</f>
        <v>217.085625</v>
      </c>
    </row>
    <row r="11" customFormat="false" ht="15" hidden="false" customHeight="false" outlineLevel="0" collapsed="false">
      <c r="A11" s="7" t="s">
        <v>1074</v>
      </c>
      <c r="B11" s="38" t="n">
        <v>0.18</v>
      </c>
      <c r="C11" s="7" t="s">
        <v>386</v>
      </c>
      <c r="D11" s="39" t="n">
        <v>0.18</v>
      </c>
      <c r="E11" s="39" t="n">
        <v>0</v>
      </c>
      <c r="F11" s="39" t="n">
        <v>0.35</v>
      </c>
      <c r="G11" s="39" t="n">
        <v>0.35</v>
      </c>
      <c r="H11" s="39" t="n">
        <v>0.005</v>
      </c>
      <c r="I11" s="35" t="s">
        <v>1075</v>
      </c>
      <c r="K11" s="56" t="n">
        <f aca="false">K10+1</f>
        <v>4</v>
      </c>
      <c r="L11" s="57" t="n">
        <f aca="false">IF(AND(K11&lt;=Assumptions!$C$42,L10=1,P10=0,O10&gt;Assumptions!$C$43),1,0)</f>
        <v>1</v>
      </c>
      <c r="M11" s="58" t="n">
        <f aca="false">O10</f>
        <v>4467.085625</v>
      </c>
      <c r="N11" s="58" t="n">
        <f aca="false">IF(L11=1,M11*$B$20,0)</f>
        <v>67.006284375</v>
      </c>
      <c r="O11" s="58" t="n">
        <f aca="false">IF(L11=1,M11+N11-$B$21,M11)</f>
        <v>4284.091909375</v>
      </c>
      <c r="P11" s="56" t="n">
        <f aca="false">IF(L11=1,IF($B$21&lt;=N11,1,0),0)</f>
        <v>0</v>
      </c>
      <c r="Q11" s="58" t="n">
        <f aca="false">Q10+N11</f>
        <v>284.091909375</v>
      </c>
    </row>
    <row r="12" customFormat="false" ht="15" hidden="false" customHeight="false" outlineLevel="0" collapsed="false">
      <c r="A12" s="7" t="s">
        <v>1076</v>
      </c>
      <c r="B12" s="33" t="n">
        <v>250</v>
      </c>
      <c r="C12" s="7" t="s">
        <v>257</v>
      </c>
      <c r="D12" s="34" t="n">
        <v>250</v>
      </c>
      <c r="E12" s="34" t="n">
        <v>10</v>
      </c>
      <c r="F12" s="34" t="n">
        <v>5000</v>
      </c>
      <c r="G12" s="34" t="n">
        <v>50000</v>
      </c>
      <c r="H12" s="34" t="n">
        <v>10</v>
      </c>
      <c r="I12" s="35" t="s">
        <v>1077</v>
      </c>
      <c r="K12" s="56" t="n">
        <f aca="false">K11+1</f>
        <v>5</v>
      </c>
      <c r="L12" s="57" t="n">
        <f aca="false">IF(AND(K12&lt;=Assumptions!$C$42,L11=1,P11=0,O11&gt;Assumptions!$C$43),1,0)</f>
        <v>1</v>
      </c>
      <c r="M12" s="58" t="n">
        <f aca="false">O11</f>
        <v>4284.091909375</v>
      </c>
      <c r="N12" s="58" t="n">
        <f aca="false">IF(L12=1,M12*$B$20,0)</f>
        <v>64.261378640625</v>
      </c>
      <c r="O12" s="58" t="n">
        <f aca="false">IF(L12=1,M12+N12-$B$21,M12)</f>
        <v>4098.35328801562</v>
      </c>
      <c r="P12" s="56" t="n">
        <f aca="false">IF(L12=1,IF($B$21&lt;=N12,1,0),0)</f>
        <v>0</v>
      </c>
      <c r="Q12" s="58" t="n">
        <f aca="false">Q11+N12</f>
        <v>348.353288015625</v>
      </c>
    </row>
    <row r="13" customFormat="false" ht="15" hidden="false" customHeight="false" outlineLevel="0" collapsed="false">
      <c r="K13" s="56" t="n">
        <f aca="false">K12+1</f>
        <v>6</v>
      </c>
      <c r="L13" s="57" t="n">
        <f aca="false">IF(AND(K13&lt;=Assumptions!$C$42,L12=1,P12=0,O12&gt;Assumptions!$C$43),1,0)</f>
        <v>1</v>
      </c>
      <c r="M13" s="58" t="n">
        <f aca="false">O12</f>
        <v>4098.35328801562</v>
      </c>
      <c r="N13" s="58" t="n">
        <f aca="false">IF(L13=1,M13*$B$20,0)</f>
        <v>61.4752993202344</v>
      </c>
      <c r="O13" s="58" t="n">
        <f aca="false">IF(L13=1,M13+N13-$B$21,M13)</f>
        <v>3909.82858733586</v>
      </c>
      <c r="P13" s="56" t="n">
        <f aca="false">IF(L13=1,IF($B$21&lt;=N13,1,0),0)</f>
        <v>0</v>
      </c>
      <c r="Q13" s="58" t="n">
        <f aca="false">Q12+N13</f>
        <v>409.828587335859</v>
      </c>
    </row>
    <row r="14" customFormat="false" ht="15" hidden="false" customHeight="false" outlineLevel="0" collapsed="false">
      <c r="A14" s="15" t="s">
        <v>389</v>
      </c>
      <c r="B14" s="16"/>
      <c r="C14" s="16"/>
      <c r="D14" s="16"/>
      <c r="E14" s="16"/>
      <c r="F14" s="16"/>
      <c r="G14" s="16"/>
      <c r="H14" s="16"/>
      <c r="I14" s="16"/>
      <c r="K14" s="56" t="n">
        <f aca="false">K13+1</f>
        <v>7</v>
      </c>
      <c r="L14" s="57" t="n">
        <f aca="false">IF(AND(K14&lt;=Assumptions!$C$42,L13=1,P13=0,O13&gt;Assumptions!$C$43),1,0)</f>
        <v>1</v>
      </c>
      <c r="M14" s="58" t="n">
        <f aca="false">O13</f>
        <v>3909.82858733586</v>
      </c>
      <c r="N14" s="58" t="n">
        <f aca="false">IF(L14=1,M14*$B$20,0)</f>
        <v>58.6474288100379</v>
      </c>
      <c r="O14" s="58" t="n">
        <f aca="false">IF(L14=1,M14+N14-$B$21,M14)</f>
        <v>3718.4760161459</v>
      </c>
      <c r="P14" s="56" t="n">
        <f aca="false">IF(L14=1,IF($B$21&lt;=N14,1,0),0)</f>
        <v>0</v>
      </c>
      <c r="Q14" s="58" t="n">
        <f aca="false">Q13+N14</f>
        <v>468.476016145897</v>
      </c>
    </row>
    <row r="15" customFormat="false" ht="15" hidden="false" customHeight="false" outlineLevel="0" collapsed="false">
      <c r="A15" s="17" t="s">
        <v>30</v>
      </c>
      <c r="B15" s="17" t="s">
        <v>192</v>
      </c>
      <c r="C15" s="17" t="s">
        <v>193</v>
      </c>
      <c r="D15" s="17" t="s">
        <v>371</v>
      </c>
      <c r="E15" s="17" t="s">
        <v>372</v>
      </c>
      <c r="F15" s="17" t="s">
        <v>373</v>
      </c>
      <c r="G15" s="17" t="s">
        <v>374</v>
      </c>
      <c r="H15" s="17" t="s">
        <v>375</v>
      </c>
      <c r="I15" s="17" t="s">
        <v>376</v>
      </c>
      <c r="K15" s="56" t="n">
        <f aca="false">K14+1</f>
        <v>8</v>
      </c>
      <c r="L15" s="57" t="n">
        <f aca="false">IF(AND(K15&lt;=Assumptions!$C$42,L14=1,P14=0,O14&gt;Assumptions!$C$43),1,0)</f>
        <v>1</v>
      </c>
      <c r="M15" s="58" t="n">
        <f aca="false">O14</f>
        <v>3718.4760161459</v>
      </c>
      <c r="N15" s="58" t="n">
        <f aca="false">IF(L15=1,M15*$B$20,0)</f>
        <v>55.7771402421885</v>
      </c>
      <c r="O15" s="58" t="n">
        <f aca="false">IF(L15=1,M15+N15-$B$21,M15)</f>
        <v>3524.25315638809</v>
      </c>
      <c r="P15" s="56" t="n">
        <f aca="false">IF(L15=1,IF($B$21&lt;=N15,1,0),0)</f>
        <v>0</v>
      </c>
      <c r="Q15" s="58" t="n">
        <f aca="false">Q14+N15</f>
        <v>524.253156388086</v>
      </c>
    </row>
    <row r="16" customFormat="false" ht="15" hidden="false" customHeight="false" outlineLevel="0" collapsed="false">
      <c r="A16" s="7" t="s">
        <v>1078</v>
      </c>
      <c r="B16" s="33" t="n">
        <v>0</v>
      </c>
      <c r="C16" s="7" t="s">
        <v>257</v>
      </c>
      <c r="D16" s="34" t="n">
        <v>0</v>
      </c>
      <c r="E16" s="34" t="n">
        <v>0</v>
      </c>
      <c r="F16" s="34" t="n">
        <v>1000</v>
      </c>
      <c r="G16" s="34" t="n">
        <v>10000</v>
      </c>
      <c r="H16" s="34" t="n">
        <v>10</v>
      </c>
      <c r="I16" s="35"/>
      <c r="K16" s="56" t="n">
        <f aca="false">K15+1</f>
        <v>9</v>
      </c>
      <c r="L16" s="57" t="n">
        <f aca="false">IF(AND(K16&lt;=Assumptions!$C$42,L15=1,P15=0,O15&gt;Assumptions!$C$43),1,0)</f>
        <v>1</v>
      </c>
      <c r="M16" s="58" t="n">
        <f aca="false">O15</f>
        <v>3524.25315638809</v>
      </c>
      <c r="N16" s="58" t="n">
        <f aca="false">IF(L16=1,M16*$B$20,0)</f>
        <v>52.8637973458213</v>
      </c>
      <c r="O16" s="58" t="n">
        <f aca="false">IF(L16=1,M16+N16-$B$21,M16)</f>
        <v>3327.11695373391</v>
      </c>
      <c r="P16" s="56" t="n">
        <f aca="false">IF(L16=1,IF($B$21&lt;=N16,1,0),0)</f>
        <v>0</v>
      </c>
      <c r="Q16" s="58" t="n">
        <f aca="false">Q15+N16</f>
        <v>577.116953733907</v>
      </c>
    </row>
    <row r="17" customFormat="false" ht="15" hidden="false" customHeight="false" outlineLevel="0" collapsed="false">
      <c r="K17" s="56" t="n">
        <f aca="false">K16+1</f>
        <v>10</v>
      </c>
      <c r="L17" s="57" t="n">
        <f aca="false">IF(AND(K17&lt;=Assumptions!$C$42,L16=1,P16=0,O16&gt;Assumptions!$C$43),1,0)</f>
        <v>1</v>
      </c>
      <c r="M17" s="58" t="n">
        <f aca="false">O16</f>
        <v>3327.11695373391</v>
      </c>
      <c r="N17" s="58" t="n">
        <f aca="false">IF(L17=1,M17*$B$20,0)</f>
        <v>49.9067543060086</v>
      </c>
      <c r="O17" s="58" t="n">
        <f aca="false">IF(L17=1,M17+N17-$B$21,M17)</f>
        <v>3127.02370803992</v>
      </c>
      <c r="P17" s="56" t="n">
        <f aca="false">IF(L17=1,IF($B$21&lt;=N17,1,0),0)</f>
        <v>0</v>
      </c>
      <c r="Q17" s="58" t="n">
        <f aca="false">Q16+N17</f>
        <v>627.023708039916</v>
      </c>
    </row>
    <row r="18" customFormat="false" ht="15" hidden="false" customHeight="false" outlineLevel="0" collapsed="false">
      <c r="A18" s="15" t="s">
        <v>391</v>
      </c>
      <c r="B18" s="16"/>
      <c r="C18" s="16"/>
      <c r="D18" s="16"/>
      <c r="E18" s="16"/>
      <c r="F18" s="16"/>
      <c r="G18" s="16"/>
      <c r="H18" s="16"/>
      <c r="I18" s="16"/>
      <c r="K18" s="56" t="n">
        <f aca="false">K17+1</f>
        <v>11</v>
      </c>
      <c r="L18" s="57" t="n">
        <f aca="false">IF(AND(K18&lt;=Assumptions!$C$42,L17=1,P17=0,O17&gt;Assumptions!$C$43),1,0)</f>
        <v>1</v>
      </c>
      <c r="M18" s="58" t="n">
        <f aca="false">O17</f>
        <v>3127.02370803992</v>
      </c>
      <c r="N18" s="58" t="n">
        <f aca="false">IF(L18=1,M18*$B$20,0)</f>
        <v>46.9053556205987</v>
      </c>
      <c r="O18" s="58" t="n">
        <f aca="false">IF(L18=1,M18+N18-$B$21,M18)</f>
        <v>2923.92906366051</v>
      </c>
      <c r="P18" s="56" t="n">
        <f aca="false">IF(L18=1,IF($B$21&lt;=N18,1,0),0)</f>
        <v>0</v>
      </c>
      <c r="Q18" s="58" t="n">
        <f aca="false">Q17+N18</f>
        <v>673.929063660514</v>
      </c>
    </row>
    <row r="19" customFormat="false" ht="15" hidden="false" customHeight="false" outlineLevel="0" collapsed="false">
      <c r="A19" s="17" t="s">
        <v>392</v>
      </c>
      <c r="B19" s="17" t="s">
        <v>192</v>
      </c>
      <c r="C19" s="17" t="s">
        <v>193</v>
      </c>
      <c r="D19" s="17" t="s">
        <v>393</v>
      </c>
      <c r="K19" s="56" t="n">
        <f aca="false">K18+1</f>
        <v>12</v>
      </c>
      <c r="L19" s="57" t="n">
        <f aca="false">IF(AND(K19&lt;=Assumptions!$C$42,L18=1,P18=0,O18&gt;Assumptions!$C$43),1,0)</f>
        <v>1</v>
      </c>
      <c r="M19" s="58" t="n">
        <f aca="false">O18</f>
        <v>2923.92906366051</v>
      </c>
      <c r="N19" s="58" t="n">
        <f aca="false">IF(L19=1,M19*$B$20,0)</f>
        <v>43.8589359549077</v>
      </c>
      <c r="O19" s="58" t="n">
        <f aca="false">IF(L19=1,M19+N19-$B$21,M19)</f>
        <v>2717.78799961542</v>
      </c>
      <c r="P19" s="56" t="n">
        <f aca="false">IF(L19=1,IF($B$21&lt;=N19,1,0),0)</f>
        <v>0</v>
      </c>
      <c r="Q19" s="58" t="n">
        <f aca="false">Q18+N19</f>
        <v>717.787999615422</v>
      </c>
    </row>
    <row r="20" customFormat="false" ht="15" hidden="false" customHeight="false" outlineLevel="0" collapsed="false">
      <c r="A20" s="7" t="s">
        <v>406</v>
      </c>
      <c r="B20" s="45" t="n">
        <f aca="false">$B$11/12</f>
        <v>0.015</v>
      </c>
      <c r="C20" s="41" t="s">
        <v>407</v>
      </c>
      <c r="D20" s="42" t="s">
        <v>408</v>
      </c>
      <c r="E20" s="42"/>
      <c r="F20" s="42"/>
      <c r="G20" s="42"/>
      <c r="H20" s="42"/>
      <c r="I20" s="42"/>
      <c r="K20" s="56" t="n">
        <f aca="false">K19+1</f>
        <v>13</v>
      </c>
      <c r="L20" s="57" t="n">
        <f aca="false">IF(AND(K20&lt;=Assumptions!$C$42,L19=1,P19=0,O19&gt;Assumptions!$C$43),1,0)</f>
        <v>1</v>
      </c>
      <c r="M20" s="58" t="n">
        <f aca="false">O19</f>
        <v>2717.78799961542</v>
      </c>
      <c r="N20" s="58" t="n">
        <f aca="false">IF(L20=1,M20*$B$20,0)</f>
        <v>40.7668199942313</v>
      </c>
      <c r="O20" s="58" t="n">
        <f aca="false">IF(L20=1,M20+N20-$B$21,M20)</f>
        <v>2508.55481960965</v>
      </c>
      <c r="P20" s="56" t="n">
        <f aca="false">IF(L20=1,IF($B$21&lt;=N20,1,0),0)</f>
        <v>0</v>
      </c>
      <c r="Q20" s="58" t="n">
        <f aca="false">Q19+N20</f>
        <v>758.554819609653</v>
      </c>
    </row>
    <row r="21" customFormat="false" ht="15" hidden="false" customHeight="false" outlineLevel="0" collapsed="false">
      <c r="A21" s="7" t="s">
        <v>1079</v>
      </c>
      <c r="B21" s="43" t="n">
        <f aca="false">$B$12+$B$16</f>
        <v>250</v>
      </c>
      <c r="C21" s="41" t="s">
        <v>257</v>
      </c>
      <c r="D21" s="42" t="s">
        <v>1080</v>
      </c>
      <c r="E21" s="42"/>
      <c r="F21" s="42"/>
      <c r="G21" s="42"/>
      <c r="H21" s="42"/>
      <c r="I21" s="42"/>
      <c r="K21" s="56" t="n">
        <f aca="false">K20+1</f>
        <v>14</v>
      </c>
      <c r="L21" s="57" t="n">
        <f aca="false">IF(AND(K21&lt;=Assumptions!$C$42,L20=1,P20=0,O20&gt;Assumptions!$C$43),1,0)</f>
        <v>1</v>
      </c>
      <c r="M21" s="58" t="n">
        <f aca="false">O20</f>
        <v>2508.55481960965</v>
      </c>
      <c r="N21" s="58" t="n">
        <f aca="false">IF(L21=1,M21*$B$20,0)</f>
        <v>37.6283222941448</v>
      </c>
      <c r="O21" s="58" t="n">
        <f aca="false">IF(L21=1,M21+N21-$B$21,M21)</f>
        <v>2296.1831419038</v>
      </c>
      <c r="P21" s="56" t="n">
        <f aca="false">IF(L21=1,IF($B$21&lt;=N21,1,0),0)</f>
        <v>0</v>
      </c>
      <c r="Q21" s="58" t="n">
        <f aca="false">Q20+N21</f>
        <v>796.183141903798</v>
      </c>
    </row>
    <row r="22" customFormat="false" ht="15" hidden="false" customHeight="false" outlineLevel="0" collapsed="false">
      <c r="A22" s="7" t="s">
        <v>1081</v>
      </c>
      <c r="B22" s="46" t="n">
        <f aca="false">MAX($P$8:$P$1207)</f>
        <v>0</v>
      </c>
      <c r="C22" s="41" t="s">
        <v>197</v>
      </c>
      <c r="D22" s="42" t="s">
        <v>1082</v>
      </c>
      <c r="E22" s="42"/>
      <c r="F22" s="42"/>
      <c r="G22" s="42"/>
      <c r="H22" s="42"/>
      <c r="I22" s="42"/>
      <c r="K22" s="56" t="n">
        <f aca="false">K21+1</f>
        <v>15</v>
      </c>
      <c r="L22" s="57" t="n">
        <f aca="false">IF(AND(K22&lt;=Assumptions!$C$42,L21=1,P21=0,O21&gt;Assumptions!$C$43),1,0)</f>
        <v>1</v>
      </c>
      <c r="M22" s="58" t="n">
        <f aca="false">O21</f>
        <v>2296.1831419038</v>
      </c>
      <c r="N22" s="58" t="n">
        <f aca="false">IF(L22=1,M22*$B$20,0)</f>
        <v>34.442747128557</v>
      </c>
      <c r="O22" s="58" t="n">
        <f aca="false">IF(L22=1,M22+N22-$B$21,M22)</f>
        <v>2080.62588903236</v>
      </c>
      <c r="P22" s="56" t="n">
        <f aca="false">IF(L22=1,IF($B$21&lt;=N22,1,0),0)</f>
        <v>0</v>
      </c>
      <c r="Q22" s="58" t="n">
        <f aca="false">Q21+N22</f>
        <v>830.625889032355</v>
      </c>
    </row>
    <row r="23" customFormat="false" ht="15" hidden="false" customHeight="false" outlineLevel="0" collapsed="false">
      <c r="A23" s="7" t="s">
        <v>1083</v>
      </c>
      <c r="B23" s="46" t="n">
        <f aca="false">SUM($L$8:$L$1207)</f>
        <v>24</v>
      </c>
      <c r="C23" s="41" t="s">
        <v>240</v>
      </c>
      <c r="D23" s="42" t="s">
        <v>1084</v>
      </c>
      <c r="E23" s="42"/>
      <c r="F23" s="42"/>
      <c r="G23" s="42"/>
      <c r="H23" s="42"/>
      <c r="I23" s="42"/>
      <c r="K23" s="56" t="n">
        <f aca="false">K22+1</f>
        <v>16</v>
      </c>
      <c r="L23" s="57" t="n">
        <f aca="false">IF(AND(K23&lt;=Assumptions!$C$42,L22=1,P22=0,O22&gt;Assumptions!$C$43),1,0)</f>
        <v>1</v>
      </c>
      <c r="M23" s="58" t="n">
        <f aca="false">O22</f>
        <v>2080.62588903236</v>
      </c>
      <c r="N23" s="58" t="n">
        <f aca="false">IF(L23=1,M23*$B$20,0)</f>
        <v>31.2093883354853</v>
      </c>
      <c r="O23" s="58" t="n">
        <f aca="false">IF(L23=1,M23+N23-$B$21,M23)</f>
        <v>1861.83527736784</v>
      </c>
      <c r="P23" s="56" t="n">
        <f aca="false">IF(L23=1,IF($B$21&lt;=N23,1,0),0)</f>
        <v>0</v>
      </c>
      <c r="Q23" s="58" t="n">
        <f aca="false">Q22+N23</f>
        <v>861.83527736784</v>
      </c>
    </row>
    <row r="24" customFormat="false" ht="15" hidden="false" customHeight="false" outlineLevel="0" collapsed="false">
      <c r="A24" s="7" t="s">
        <v>477</v>
      </c>
      <c r="B24" s="43" t="n">
        <f aca="false">$Q$1207</f>
        <v>989.13386082804</v>
      </c>
      <c r="C24" s="41" t="s">
        <v>257</v>
      </c>
      <c r="D24" s="42" t="s">
        <v>1085</v>
      </c>
      <c r="E24" s="42"/>
      <c r="F24" s="42"/>
      <c r="G24" s="42"/>
      <c r="H24" s="42"/>
      <c r="I24" s="42"/>
      <c r="K24" s="56" t="n">
        <f aca="false">K23+1</f>
        <v>17</v>
      </c>
      <c r="L24" s="57" t="n">
        <f aca="false">IF(AND(K24&lt;=Assumptions!$C$42,L23=1,P23=0,O23&gt;Assumptions!$C$43),1,0)</f>
        <v>1</v>
      </c>
      <c r="M24" s="58" t="n">
        <f aca="false">O23</f>
        <v>1861.83527736784</v>
      </c>
      <c r="N24" s="58" t="n">
        <f aca="false">IF(L24=1,M24*$B$20,0)</f>
        <v>27.9275291605176</v>
      </c>
      <c r="O24" s="58" t="n">
        <f aca="false">IF(L24=1,M24+N24-$B$21,M24)</f>
        <v>1639.76280652836</v>
      </c>
      <c r="P24" s="56" t="n">
        <f aca="false">IF(L24=1,IF($B$21&lt;=N24,1,0),0)</f>
        <v>0</v>
      </c>
      <c r="Q24" s="58" t="n">
        <f aca="false">Q23+N24</f>
        <v>889.762806528358</v>
      </c>
    </row>
    <row r="25" customFormat="false" ht="15" hidden="false" customHeight="false" outlineLevel="0" collapsed="false">
      <c r="K25" s="56" t="n">
        <f aca="false">K24+1</f>
        <v>18</v>
      </c>
      <c r="L25" s="57" t="n">
        <f aca="false">IF(AND(K25&lt;=Assumptions!$C$42,L24=1,P24=0,O24&gt;Assumptions!$C$43),1,0)</f>
        <v>1</v>
      </c>
      <c r="M25" s="58" t="n">
        <f aca="false">O24</f>
        <v>1639.76280652836</v>
      </c>
      <c r="N25" s="58" t="n">
        <f aca="false">IF(L25=1,M25*$B$20,0)</f>
        <v>24.5964420979254</v>
      </c>
      <c r="O25" s="58" t="n">
        <f aca="false">IF(L25=1,M25+N25-$B$21,M25)</f>
        <v>1414.35924862628</v>
      </c>
      <c r="P25" s="56" t="n">
        <f aca="false">IF(L25=1,IF($B$21&lt;=N25,1,0),0)</f>
        <v>0</v>
      </c>
      <c r="Q25" s="58" t="n">
        <f aca="false">Q24+N25</f>
        <v>914.359248626283</v>
      </c>
    </row>
    <row r="26" customFormat="false" ht="15" hidden="false" customHeight="false" outlineLevel="0" collapsed="false">
      <c r="A26" s="15" t="s">
        <v>415</v>
      </c>
      <c r="B26" s="16"/>
      <c r="C26" s="16"/>
      <c r="D26" s="16"/>
      <c r="E26" s="16"/>
      <c r="F26" s="16"/>
      <c r="G26" s="16"/>
      <c r="H26" s="16"/>
      <c r="I26" s="16"/>
      <c r="K26" s="56" t="n">
        <f aca="false">K25+1</f>
        <v>19</v>
      </c>
      <c r="L26" s="57" t="n">
        <f aca="false">IF(AND(K26&lt;=Assumptions!$C$42,L25=1,P25=0,O25&gt;Assumptions!$C$43),1,0)</f>
        <v>1</v>
      </c>
      <c r="M26" s="58" t="n">
        <f aca="false">O25</f>
        <v>1414.35924862628</v>
      </c>
      <c r="N26" s="58" t="n">
        <f aca="false">IF(L26=1,M26*$B$20,0)</f>
        <v>21.2153887293943</v>
      </c>
      <c r="O26" s="58" t="n">
        <f aca="false">IF(L26=1,M26+N26-$B$21,M26)</f>
        <v>1185.57463735568</v>
      </c>
      <c r="P26" s="56" t="n">
        <f aca="false">IF(L26=1,IF($B$21&lt;=N26,1,0),0)</f>
        <v>0</v>
      </c>
      <c r="Q26" s="58" t="n">
        <f aca="false">Q25+N26</f>
        <v>935.574637355678</v>
      </c>
    </row>
    <row r="27" customFormat="false" ht="15" hidden="false" customHeight="false" outlineLevel="0" collapsed="false">
      <c r="A27" s="17" t="s">
        <v>416</v>
      </c>
      <c r="B27" s="17" t="s">
        <v>192</v>
      </c>
      <c r="C27" s="17" t="s">
        <v>417</v>
      </c>
      <c r="D27" s="17" t="s">
        <v>418</v>
      </c>
      <c r="K27" s="56" t="n">
        <f aca="false">K26+1</f>
        <v>20</v>
      </c>
      <c r="L27" s="57" t="n">
        <f aca="false">IF(AND(K27&lt;=Assumptions!$C$42,L26=1,P26=0,O26&gt;Assumptions!$C$43),1,0)</f>
        <v>1</v>
      </c>
      <c r="M27" s="58" t="n">
        <f aca="false">O26</f>
        <v>1185.57463735568</v>
      </c>
      <c r="N27" s="58" t="n">
        <f aca="false">IF(L27=1,M27*$B$20,0)</f>
        <v>17.7836195603352</v>
      </c>
      <c r="O27" s="58" t="n">
        <f aca="false">IF(L27=1,M27+N27-$B$21,M27)</f>
        <v>953.358256916013</v>
      </c>
      <c r="P27" s="56" t="n">
        <f aca="false">IF(L27=1,IF($B$21&lt;=N27,1,0),0)</f>
        <v>0</v>
      </c>
      <c r="Q27" s="58" t="n">
        <f aca="false">Q26+N27</f>
        <v>953.358256916013</v>
      </c>
    </row>
    <row r="28" customFormat="false" ht="15" hidden="false" customHeight="false" outlineLevel="0" collapsed="false">
      <c r="A28" s="4" t="s">
        <v>419</v>
      </c>
      <c r="B28" s="48"/>
      <c r="C28" s="49" t="str">
        <f aca="false">"Debt free in"</f>
        <v>Debt free in</v>
      </c>
      <c r="D28" s="42" t="s">
        <v>420</v>
      </c>
      <c r="E28" s="42"/>
      <c r="F28" s="42"/>
      <c r="G28" s="42"/>
      <c r="H28" s="42"/>
      <c r="I28" s="42"/>
      <c r="K28" s="56" t="n">
        <f aca="false">K27+1</f>
        <v>21</v>
      </c>
      <c r="L28" s="57" t="n">
        <f aca="false">IF(AND(K28&lt;=Assumptions!$C$42,L27=1,P27=0,O27&gt;Assumptions!$C$43),1,0)</f>
        <v>1</v>
      </c>
      <c r="M28" s="58" t="n">
        <f aca="false">O27</f>
        <v>953.358256916013</v>
      </c>
      <c r="N28" s="58" t="n">
        <f aca="false">IF(L28=1,M28*$B$20,0)</f>
        <v>14.3003738537402</v>
      </c>
      <c r="O28" s="58" t="n">
        <f aca="false">IF(L28=1,M28+N28-$B$21,M28)</f>
        <v>717.658630769754</v>
      </c>
      <c r="P28" s="56" t="n">
        <f aca="false">IF(L28=1,IF($B$21&lt;=N28,1,0),0)</f>
        <v>0</v>
      </c>
      <c r="Q28" s="58" t="n">
        <f aca="false">Q27+N28</f>
        <v>967.658630769753</v>
      </c>
    </row>
    <row r="29" customFormat="false" ht="15" hidden="false" customHeight="false" outlineLevel="0" collapsed="false">
      <c r="A29" s="4" t="s">
        <v>1086</v>
      </c>
      <c r="B29" s="48" t="n">
        <f aca="false">IF($B$22=1,"Never",$B$23)</f>
        <v>24</v>
      </c>
      <c r="C29" s="49" t="str">
        <f aca="false">IF($B$22=1,"Payment too low",IF(INT($B$23/12)&gt;0,INT($B$23/12)&amp;" yr"&amp;IF(INT($B$23/12)&gt;1,"s","")&amp;IF(ROUND(MOD($B$23,12),0)&lt;&gt;0," "&amp;ROUND(MOD($B$23,12),0)&amp;" mo",""),ROUND(MOD($B$23,12),0)&amp;" months"))</f>
        <v>2 yrs</v>
      </c>
      <c r="D29" s="42" t="s">
        <v>512</v>
      </c>
      <c r="E29" s="42"/>
      <c r="F29" s="42"/>
      <c r="G29" s="42"/>
      <c r="H29" s="42"/>
      <c r="I29" s="42"/>
      <c r="K29" s="56" t="n">
        <f aca="false">K28+1</f>
        <v>22</v>
      </c>
      <c r="L29" s="57" t="n">
        <f aca="false">IF(AND(K29&lt;=Assumptions!$C$42,L28=1,P28=0,O28&gt;Assumptions!$C$43),1,0)</f>
        <v>1</v>
      </c>
      <c r="M29" s="58" t="n">
        <f aca="false">O28</f>
        <v>717.658630769754</v>
      </c>
      <c r="N29" s="58" t="n">
        <f aca="false">IF(L29=1,M29*$B$20,0)</f>
        <v>10.7648794615463</v>
      </c>
      <c r="O29" s="58" t="n">
        <f aca="false">IF(L29=1,M29+N29-$B$21,M29)</f>
        <v>478.4235102313</v>
      </c>
      <c r="P29" s="56" t="n">
        <f aca="false">IF(L29=1,IF($B$21&lt;=N29,1,0),0)</f>
        <v>0</v>
      </c>
      <c r="Q29" s="58" t="n">
        <f aca="false">Q28+N29</f>
        <v>978.423510231299</v>
      </c>
    </row>
    <row r="30" customFormat="false" ht="15" hidden="false" customHeight="false" outlineLevel="0" collapsed="false">
      <c r="A30" s="4" t="s">
        <v>1087</v>
      </c>
      <c r="B30" s="50" t="n">
        <f aca="false">IF($B$22=1,"",$B$24)</f>
        <v>989.13386082804</v>
      </c>
      <c r="C30" s="49" t="str">
        <f aca="false">IF($B$22=1,"",IF(($B$24)&lt;0,"−€","€")&amp;FIXED(ROUND(ABS($B$24),0),0))</f>
        <v>€989</v>
      </c>
      <c r="D30" s="42" t="s">
        <v>1088</v>
      </c>
      <c r="E30" s="42"/>
      <c r="F30" s="42"/>
      <c r="G30" s="42"/>
      <c r="H30" s="42"/>
      <c r="I30" s="42"/>
      <c r="K30" s="56" t="n">
        <f aca="false">K29+1</f>
        <v>23</v>
      </c>
      <c r="L30" s="57" t="n">
        <f aca="false">IF(AND(K30&lt;=Assumptions!$C$42,L29=1,P29=0,O29&gt;Assumptions!$C$43),1,0)</f>
        <v>1</v>
      </c>
      <c r="M30" s="58" t="n">
        <f aca="false">O29</f>
        <v>478.4235102313</v>
      </c>
      <c r="N30" s="58" t="n">
        <f aca="false">IF(L30=1,M30*$B$20,0)</f>
        <v>7.1763526534695</v>
      </c>
      <c r="O30" s="58" t="n">
        <f aca="false">IF(L30=1,M30+N30-$B$21,M30)</f>
        <v>235.599862884769</v>
      </c>
      <c r="P30" s="56" t="n">
        <f aca="false">IF(L30=1,IF($B$21&lt;=N30,1,0),0)</f>
        <v>0</v>
      </c>
      <c r="Q30" s="58" t="n">
        <f aca="false">Q29+N30</f>
        <v>985.599862884769</v>
      </c>
    </row>
    <row r="31" customFormat="false" ht="15" hidden="false" customHeight="false" outlineLevel="0" collapsed="false">
      <c r="A31" s="4" t="s">
        <v>477</v>
      </c>
      <c r="B31" s="50" t="n">
        <f aca="false">IF($B$22=1,"",$B$24)</f>
        <v>989.13386082804</v>
      </c>
      <c r="C31" s="49" t="str">
        <f aca="false">IF($B$22=1,"—",IF(($B$24)&lt;0,"−€","€")&amp;FIXED(ROUND(ABS($B$24),0),0))</f>
        <v>€989</v>
      </c>
      <c r="D31" s="42" t="s">
        <v>427</v>
      </c>
      <c r="E31" s="42"/>
      <c r="F31" s="42"/>
      <c r="G31" s="42"/>
      <c r="H31" s="42"/>
      <c r="I31" s="42"/>
      <c r="K31" s="56" t="n">
        <f aca="false">K30+1</f>
        <v>24</v>
      </c>
      <c r="L31" s="57" t="n">
        <f aca="false">IF(AND(K31&lt;=Assumptions!$C$42,L30=1,P30=0,O30&gt;Assumptions!$C$43),1,0)</f>
        <v>1</v>
      </c>
      <c r="M31" s="58" t="n">
        <f aca="false">O30</f>
        <v>235.599862884769</v>
      </c>
      <c r="N31" s="58" t="n">
        <f aca="false">IF(L31=1,M31*$B$20,0)</f>
        <v>3.53399794327154</v>
      </c>
      <c r="O31" s="58" t="n">
        <f aca="false">IF(L31=1,M31+N31-$B$21,M31)</f>
        <v>-10.8661391719591</v>
      </c>
      <c r="P31" s="56" t="n">
        <f aca="false">IF(L31=1,IF($B$21&lt;=N31,1,0),0)</f>
        <v>0</v>
      </c>
      <c r="Q31" s="58" t="n">
        <f aca="false">Q30+N31</f>
        <v>989.13386082804</v>
      </c>
    </row>
    <row r="32" customFormat="false" ht="15" hidden="false" customHeight="false" outlineLevel="0" collapsed="false">
      <c r="A32" s="4" t="s">
        <v>1089</v>
      </c>
      <c r="B32" s="50" t="n">
        <f aca="false">IF($B$22=1,"",$B$10)</f>
        <v>5000</v>
      </c>
      <c r="C32" s="49" t="str">
        <f aca="false">$B$32&amp;""</f>
        <v>5000</v>
      </c>
      <c r="D32" s="42" t="s">
        <v>1090</v>
      </c>
      <c r="E32" s="42"/>
      <c r="F32" s="42"/>
      <c r="G32" s="42"/>
      <c r="H32" s="42"/>
      <c r="I32" s="42"/>
      <c r="K32" s="56" t="n">
        <f aca="false">K31+1</f>
        <v>25</v>
      </c>
      <c r="L32" s="57" t="n">
        <f aca="false">IF(AND(K32&lt;=Assumptions!$C$42,L31=1,P31=0,O31&gt;Assumptions!$C$43),1,0)</f>
        <v>0</v>
      </c>
      <c r="M32" s="58" t="n">
        <f aca="false">O31</f>
        <v>-10.8661391719591</v>
      </c>
      <c r="N32" s="58" t="n">
        <f aca="false">IF(L32=1,M32*$B$20,0)</f>
        <v>0</v>
      </c>
      <c r="O32" s="58" t="n">
        <f aca="false">IF(L32=1,M32+N32-$B$21,M32)</f>
        <v>-10.8661391719591</v>
      </c>
      <c r="P32" s="56" t="n">
        <f aca="false">IF(L32=1,IF($B$21&lt;=N32,1,0),0)</f>
        <v>0</v>
      </c>
      <c r="Q32" s="58" t="n">
        <f aca="false">Q31+N32</f>
        <v>989.13386082804</v>
      </c>
    </row>
    <row r="33" customFormat="false" ht="15" hidden="false" customHeight="false" outlineLevel="0" collapsed="false">
      <c r="A33" s="4" t="s">
        <v>434</v>
      </c>
      <c r="B33" s="53" t="n">
        <f aca="false">IF($B$22=1,"",MAX(Assumptions!$C$75,(-INT(-($B$23/12)))))</f>
        <v>2</v>
      </c>
      <c r="C33" s="49" t="str">
        <f aca="false">$B$33&amp;""</f>
        <v>2</v>
      </c>
      <c r="D33" s="42" t="s">
        <v>1090</v>
      </c>
      <c r="E33" s="42"/>
      <c r="F33" s="42"/>
      <c r="G33" s="42"/>
      <c r="H33" s="42"/>
      <c r="I33" s="42"/>
      <c r="K33" s="56" t="n">
        <f aca="false">K32+1</f>
        <v>26</v>
      </c>
      <c r="L33" s="57" t="n">
        <f aca="false">IF(AND(K33&lt;=Assumptions!$C$42,L32=1,P32=0,O32&gt;Assumptions!$C$43),1,0)</f>
        <v>0</v>
      </c>
      <c r="M33" s="58" t="n">
        <f aca="false">O32</f>
        <v>-10.8661391719591</v>
      </c>
      <c r="N33" s="58" t="n">
        <f aca="false">IF(L33=1,M33*$B$20,0)</f>
        <v>0</v>
      </c>
      <c r="O33" s="58" t="n">
        <f aca="false">IF(L33=1,M33+N33-$B$21,M33)</f>
        <v>-10.8661391719591</v>
      </c>
      <c r="P33" s="56" t="n">
        <f aca="false">IF(L33=1,IF($B$21&lt;=N33,1,0),0)</f>
        <v>0</v>
      </c>
      <c r="Q33" s="58" t="n">
        <f aca="false">Q32+N33</f>
        <v>989.13386082804</v>
      </c>
    </row>
    <row r="34" customFormat="false" ht="15" hidden="false" customHeight="false" outlineLevel="0" collapsed="false">
      <c r="K34" s="56" t="n">
        <f aca="false">K33+1</f>
        <v>27</v>
      </c>
      <c r="L34" s="57" t="n">
        <f aca="false">IF(AND(K34&lt;=Assumptions!$C$42,L33=1,P33=0,O33&gt;Assumptions!$C$43),1,0)</f>
        <v>0</v>
      </c>
      <c r="M34" s="58" t="n">
        <f aca="false">O33</f>
        <v>-10.8661391719591</v>
      </c>
      <c r="N34" s="58" t="n">
        <f aca="false">IF(L34=1,M34*$B$20,0)</f>
        <v>0</v>
      </c>
      <c r="O34" s="58" t="n">
        <f aca="false">IF(L34=1,M34+N34-$B$21,M34)</f>
        <v>-10.8661391719591</v>
      </c>
      <c r="P34" s="56" t="n">
        <f aca="false">IF(L34=1,IF($B$21&lt;=N34,1,0),0)</f>
        <v>0</v>
      </c>
      <c r="Q34" s="58" t="n">
        <f aca="false">Q33+N34</f>
        <v>989.13386082804</v>
      </c>
    </row>
    <row r="35" customFormat="false" ht="15" hidden="false" customHeight="false" outlineLevel="0" collapsed="false">
      <c r="K35" s="56" t="n">
        <f aca="false">K34+1</f>
        <v>28</v>
      </c>
      <c r="L35" s="57" t="n">
        <f aca="false">IF(AND(K35&lt;=Assumptions!$C$42,L34=1,P34=0,O34&gt;Assumptions!$C$43),1,0)</f>
        <v>0</v>
      </c>
      <c r="M35" s="58" t="n">
        <f aca="false">O34</f>
        <v>-10.8661391719591</v>
      </c>
      <c r="N35" s="58" t="n">
        <f aca="false">IF(L35=1,M35*$B$20,0)</f>
        <v>0</v>
      </c>
      <c r="O35" s="58" t="n">
        <f aca="false">IF(L35=1,M35+N35-$B$21,M35)</f>
        <v>-10.8661391719591</v>
      </c>
      <c r="P35" s="56" t="n">
        <f aca="false">IF(L35=1,IF($B$21&lt;=N35,1,0),0)</f>
        <v>0</v>
      </c>
      <c r="Q35" s="58" t="n">
        <f aca="false">Q34+N35</f>
        <v>989.13386082804</v>
      </c>
    </row>
    <row r="36" customFormat="false" ht="15" hidden="false" customHeight="false" outlineLevel="0" collapsed="false">
      <c r="K36" s="56" t="n">
        <f aca="false">K35+1</f>
        <v>29</v>
      </c>
      <c r="L36" s="57" t="n">
        <f aca="false">IF(AND(K36&lt;=Assumptions!$C$42,L35=1,P35=0,O35&gt;Assumptions!$C$43),1,0)</f>
        <v>0</v>
      </c>
      <c r="M36" s="58" t="n">
        <f aca="false">O35</f>
        <v>-10.8661391719591</v>
      </c>
      <c r="N36" s="58" t="n">
        <f aca="false">IF(L36=1,M36*$B$20,0)</f>
        <v>0</v>
      </c>
      <c r="O36" s="58" t="n">
        <f aca="false">IF(L36=1,M36+N36-$B$21,M36)</f>
        <v>-10.8661391719591</v>
      </c>
      <c r="P36" s="56" t="n">
        <f aca="false">IF(L36=1,IF($B$21&lt;=N36,1,0),0)</f>
        <v>0</v>
      </c>
      <c r="Q36" s="58" t="n">
        <f aca="false">Q35+N36</f>
        <v>989.13386082804</v>
      </c>
    </row>
    <row r="37" customFormat="false" ht="15" hidden="false" customHeight="false" outlineLevel="0" collapsed="false">
      <c r="K37" s="56" t="n">
        <f aca="false">K36+1</f>
        <v>30</v>
      </c>
      <c r="L37" s="57" t="n">
        <f aca="false">IF(AND(K37&lt;=Assumptions!$C$42,L36=1,P36=0,O36&gt;Assumptions!$C$43),1,0)</f>
        <v>0</v>
      </c>
      <c r="M37" s="58" t="n">
        <f aca="false">O36</f>
        <v>-10.8661391719591</v>
      </c>
      <c r="N37" s="58" t="n">
        <f aca="false">IF(L37=1,M37*$B$20,0)</f>
        <v>0</v>
      </c>
      <c r="O37" s="58" t="n">
        <f aca="false">IF(L37=1,M37+N37-$B$21,M37)</f>
        <v>-10.8661391719591</v>
      </c>
      <c r="P37" s="56" t="n">
        <f aca="false">IF(L37=1,IF($B$21&lt;=N37,1,0),0)</f>
        <v>0</v>
      </c>
      <c r="Q37" s="58" t="n">
        <f aca="false">Q36+N37</f>
        <v>989.13386082804</v>
      </c>
    </row>
    <row r="38" customFormat="false" ht="15" hidden="false" customHeight="false" outlineLevel="0" collapsed="false">
      <c r="K38" s="56" t="n">
        <f aca="false">K37+1</f>
        <v>31</v>
      </c>
      <c r="L38" s="57" t="n">
        <f aca="false">IF(AND(K38&lt;=Assumptions!$C$42,L37=1,P37=0,O37&gt;Assumptions!$C$43),1,0)</f>
        <v>0</v>
      </c>
      <c r="M38" s="58" t="n">
        <f aca="false">O37</f>
        <v>-10.8661391719591</v>
      </c>
      <c r="N38" s="58" t="n">
        <f aca="false">IF(L38=1,M38*$B$20,0)</f>
        <v>0</v>
      </c>
      <c r="O38" s="58" t="n">
        <f aca="false">IF(L38=1,M38+N38-$B$21,M38)</f>
        <v>-10.8661391719591</v>
      </c>
      <c r="P38" s="56" t="n">
        <f aca="false">IF(L38=1,IF($B$21&lt;=N38,1,0),0)</f>
        <v>0</v>
      </c>
      <c r="Q38" s="58" t="n">
        <f aca="false">Q37+N38</f>
        <v>989.13386082804</v>
      </c>
    </row>
    <row r="39" customFormat="false" ht="15" hidden="false" customHeight="false" outlineLevel="0" collapsed="false">
      <c r="K39" s="56" t="n">
        <f aca="false">K38+1</f>
        <v>32</v>
      </c>
      <c r="L39" s="57" t="n">
        <f aca="false">IF(AND(K39&lt;=Assumptions!$C$42,L38=1,P38=0,O38&gt;Assumptions!$C$43),1,0)</f>
        <v>0</v>
      </c>
      <c r="M39" s="58" t="n">
        <f aca="false">O38</f>
        <v>-10.8661391719591</v>
      </c>
      <c r="N39" s="58" t="n">
        <f aca="false">IF(L39=1,M39*$B$20,0)</f>
        <v>0</v>
      </c>
      <c r="O39" s="58" t="n">
        <f aca="false">IF(L39=1,M39+N39-$B$21,M39)</f>
        <v>-10.8661391719591</v>
      </c>
      <c r="P39" s="56" t="n">
        <f aca="false">IF(L39=1,IF($B$21&lt;=N39,1,0),0)</f>
        <v>0</v>
      </c>
      <c r="Q39" s="58" t="n">
        <f aca="false">Q38+N39</f>
        <v>989.13386082804</v>
      </c>
    </row>
    <row r="40" customFormat="false" ht="15" hidden="false" customHeight="false" outlineLevel="0" collapsed="false">
      <c r="K40" s="56" t="n">
        <f aca="false">K39+1</f>
        <v>33</v>
      </c>
      <c r="L40" s="57" t="n">
        <f aca="false">IF(AND(K40&lt;=Assumptions!$C$42,L39=1,P39=0,O39&gt;Assumptions!$C$43),1,0)</f>
        <v>0</v>
      </c>
      <c r="M40" s="58" t="n">
        <f aca="false">O39</f>
        <v>-10.8661391719591</v>
      </c>
      <c r="N40" s="58" t="n">
        <f aca="false">IF(L40=1,M40*$B$20,0)</f>
        <v>0</v>
      </c>
      <c r="O40" s="58" t="n">
        <f aca="false">IF(L40=1,M40+N40-$B$21,M40)</f>
        <v>-10.8661391719591</v>
      </c>
      <c r="P40" s="56" t="n">
        <f aca="false">IF(L40=1,IF($B$21&lt;=N40,1,0),0)</f>
        <v>0</v>
      </c>
      <c r="Q40" s="58" t="n">
        <f aca="false">Q39+N40</f>
        <v>989.13386082804</v>
      </c>
    </row>
    <row r="41" customFormat="false" ht="15" hidden="false" customHeight="false" outlineLevel="0" collapsed="false">
      <c r="K41" s="56" t="n">
        <f aca="false">K40+1</f>
        <v>34</v>
      </c>
      <c r="L41" s="57" t="n">
        <f aca="false">IF(AND(K41&lt;=Assumptions!$C$42,L40=1,P40=0,O40&gt;Assumptions!$C$43),1,0)</f>
        <v>0</v>
      </c>
      <c r="M41" s="58" t="n">
        <f aca="false">O40</f>
        <v>-10.8661391719591</v>
      </c>
      <c r="N41" s="58" t="n">
        <f aca="false">IF(L41=1,M41*$B$20,0)</f>
        <v>0</v>
      </c>
      <c r="O41" s="58" t="n">
        <f aca="false">IF(L41=1,M41+N41-$B$21,M41)</f>
        <v>-10.8661391719591</v>
      </c>
      <c r="P41" s="56" t="n">
        <f aca="false">IF(L41=1,IF($B$21&lt;=N41,1,0),0)</f>
        <v>0</v>
      </c>
      <c r="Q41" s="58" t="n">
        <f aca="false">Q40+N41</f>
        <v>989.13386082804</v>
      </c>
    </row>
    <row r="42" customFormat="false" ht="15" hidden="false" customHeight="false" outlineLevel="0" collapsed="false">
      <c r="K42" s="56" t="n">
        <f aca="false">K41+1</f>
        <v>35</v>
      </c>
      <c r="L42" s="57" t="n">
        <f aca="false">IF(AND(K42&lt;=Assumptions!$C$42,L41=1,P41=0,O41&gt;Assumptions!$C$43),1,0)</f>
        <v>0</v>
      </c>
      <c r="M42" s="58" t="n">
        <f aca="false">O41</f>
        <v>-10.8661391719591</v>
      </c>
      <c r="N42" s="58" t="n">
        <f aca="false">IF(L42=1,M42*$B$20,0)</f>
        <v>0</v>
      </c>
      <c r="O42" s="58" t="n">
        <f aca="false">IF(L42=1,M42+N42-$B$21,M42)</f>
        <v>-10.8661391719591</v>
      </c>
      <c r="P42" s="56" t="n">
        <f aca="false">IF(L42=1,IF($B$21&lt;=N42,1,0),0)</f>
        <v>0</v>
      </c>
      <c r="Q42" s="58" t="n">
        <f aca="false">Q41+N42</f>
        <v>989.13386082804</v>
      </c>
    </row>
    <row r="43" customFormat="false" ht="15" hidden="false" customHeight="false" outlineLevel="0" collapsed="false">
      <c r="K43" s="56" t="n">
        <f aca="false">K42+1</f>
        <v>36</v>
      </c>
      <c r="L43" s="57" t="n">
        <f aca="false">IF(AND(K43&lt;=Assumptions!$C$42,L42=1,P42=0,O42&gt;Assumptions!$C$43),1,0)</f>
        <v>0</v>
      </c>
      <c r="M43" s="58" t="n">
        <f aca="false">O42</f>
        <v>-10.8661391719591</v>
      </c>
      <c r="N43" s="58" t="n">
        <f aca="false">IF(L43=1,M43*$B$20,0)</f>
        <v>0</v>
      </c>
      <c r="O43" s="58" t="n">
        <f aca="false">IF(L43=1,M43+N43-$B$21,M43)</f>
        <v>-10.8661391719591</v>
      </c>
      <c r="P43" s="56" t="n">
        <f aca="false">IF(L43=1,IF($B$21&lt;=N43,1,0),0)</f>
        <v>0</v>
      </c>
      <c r="Q43" s="58" t="n">
        <f aca="false">Q42+N43</f>
        <v>989.13386082804</v>
      </c>
    </row>
    <row r="44" customFormat="false" ht="15" hidden="false" customHeight="false" outlineLevel="0" collapsed="false">
      <c r="K44" s="56" t="n">
        <f aca="false">K43+1</f>
        <v>37</v>
      </c>
      <c r="L44" s="57" t="n">
        <f aca="false">IF(AND(K44&lt;=Assumptions!$C$42,L43=1,P43=0,O43&gt;Assumptions!$C$43),1,0)</f>
        <v>0</v>
      </c>
      <c r="M44" s="58" t="n">
        <f aca="false">O43</f>
        <v>-10.8661391719591</v>
      </c>
      <c r="N44" s="58" t="n">
        <f aca="false">IF(L44=1,M44*$B$20,0)</f>
        <v>0</v>
      </c>
      <c r="O44" s="58" t="n">
        <f aca="false">IF(L44=1,M44+N44-$B$21,M44)</f>
        <v>-10.8661391719591</v>
      </c>
      <c r="P44" s="56" t="n">
        <f aca="false">IF(L44=1,IF($B$21&lt;=N44,1,0),0)</f>
        <v>0</v>
      </c>
      <c r="Q44" s="58" t="n">
        <f aca="false">Q43+N44</f>
        <v>989.13386082804</v>
      </c>
    </row>
    <row r="45" customFormat="false" ht="15" hidden="false" customHeight="false" outlineLevel="0" collapsed="false">
      <c r="K45" s="56" t="n">
        <f aca="false">K44+1</f>
        <v>38</v>
      </c>
      <c r="L45" s="57" t="n">
        <f aca="false">IF(AND(K45&lt;=Assumptions!$C$42,L44=1,P44=0,O44&gt;Assumptions!$C$43),1,0)</f>
        <v>0</v>
      </c>
      <c r="M45" s="58" t="n">
        <f aca="false">O44</f>
        <v>-10.8661391719591</v>
      </c>
      <c r="N45" s="58" t="n">
        <f aca="false">IF(L45=1,M45*$B$20,0)</f>
        <v>0</v>
      </c>
      <c r="O45" s="58" t="n">
        <f aca="false">IF(L45=1,M45+N45-$B$21,M45)</f>
        <v>-10.8661391719591</v>
      </c>
      <c r="P45" s="56" t="n">
        <f aca="false">IF(L45=1,IF($B$21&lt;=N45,1,0),0)</f>
        <v>0</v>
      </c>
      <c r="Q45" s="58" t="n">
        <f aca="false">Q44+N45</f>
        <v>989.13386082804</v>
      </c>
    </row>
    <row r="46" customFormat="false" ht="15" hidden="false" customHeight="false" outlineLevel="0" collapsed="false">
      <c r="K46" s="56" t="n">
        <f aca="false">K45+1</f>
        <v>39</v>
      </c>
      <c r="L46" s="57" t="n">
        <f aca="false">IF(AND(K46&lt;=Assumptions!$C$42,L45=1,P45=0,O45&gt;Assumptions!$C$43),1,0)</f>
        <v>0</v>
      </c>
      <c r="M46" s="58" t="n">
        <f aca="false">O45</f>
        <v>-10.8661391719591</v>
      </c>
      <c r="N46" s="58" t="n">
        <f aca="false">IF(L46=1,M46*$B$20,0)</f>
        <v>0</v>
      </c>
      <c r="O46" s="58" t="n">
        <f aca="false">IF(L46=1,M46+N46-$B$21,M46)</f>
        <v>-10.8661391719591</v>
      </c>
      <c r="P46" s="56" t="n">
        <f aca="false">IF(L46=1,IF($B$21&lt;=N46,1,0),0)</f>
        <v>0</v>
      </c>
      <c r="Q46" s="58" t="n">
        <f aca="false">Q45+N46</f>
        <v>989.13386082804</v>
      </c>
    </row>
    <row r="47" customFormat="false" ht="15" hidden="false" customHeight="false" outlineLevel="0" collapsed="false">
      <c r="K47" s="56" t="n">
        <f aca="false">K46+1</f>
        <v>40</v>
      </c>
      <c r="L47" s="57" t="n">
        <f aca="false">IF(AND(K47&lt;=Assumptions!$C$42,L46=1,P46=0,O46&gt;Assumptions!$C$43),1,0)</f>
        <v>0</v>
      </c>
      <c r="M47" s="58" t="n">
        <f aca="false">O46</f>
        <v>-10.8661391719591</v>
      </c>
      <c r="N47" s="58" t="n">
        <f aca="false">IF(L47=1,M47*$B$20,0)</f>
        <v>0</v>
      </c>
      <c r="O47" s="58" t="n">
        <f aca="false">IF(L47=1,M47+N47-$B$21,M47)</f>
        <v>-10.8661391719591</v>
      </c>
      <c r="P47" s="56" t="n">
        <f aca="false">IF(L47=1,IF($B$21&lt;=N47,1,0),0)</f>
        <v>0</v>
      </c>
      <c r="Q47" s="58" t="n">
        <f aca="false">Q46+N47</f>
        <v>989.13386082804</v>
      </c>
    </row>
    <row r="48" customFormat="false" ht="15" hidden="false" customHeight="false" outlineLevel="0" collapsed="false">
      <c r="K48" s="56" t="n">
        <f aca="false">K47+1</f>
        <v>41</v>
      </c>
      <c r="L48" s="57" t="n">
        <f aca="false">IF(AND(K48&lt;=Assumptions!$C$42,L47=1,P47=0,O47&gt;Assumptions!$C$43),1,0)</f>
        <v>0</v>
      </c>
      <c r="M48" s="58" t="n">
        <f aca="false">O47</f>
        <v>-10.8661391719591</v>
      </c>
      <c r="N48" s="58" t="n">
        <f aca="false">IF(L48=1,M48*$B$20,0)</f>
        <v>0</v>
      </c>
      <c r="O48" s="58" t="n">
        <f aca="false">IF(L48=1,M48+N48-$B$21,M48)</f>
        <v>-10.8661391719591</v>
      </c>
      <c r="P48" s="56" t="n">
        <f aca="false">IF(L48=1,IF($B$21&lt;=N48,1,0),0)</f>
        <v>0</v>
      </c>
      <c r="Q48" s="58" t="n">
        <f aca="false">Q47+N48</f>
        <v>989.13386082804</v>
      </c>
    </row>
    <row r="49" customFormat="false" ht="15" hidden="false" customHeight="false" outlineLevel="0" collapsed="false">
      <c r="K49" s="56" t="n">
        <f aca="false">K48+1</f>
        <v>42</v>
      </c>
      <c r="L49" s="57" t="n">
        <f aca="false">IF(AND(K49&lt;=Assumptions!$C$42,L48=1,P48=0,O48&gt;Assumptions!$C$43),1,0)</f>
        <v>0</v>
      </c>
      <c r="M49" s="58" t="n">
        <f aca="false">O48</f>
        <v>-10.8661391719591</v>
      </c>
      <c r="N49" s="58" t="n">
        <f aca="false">IF(L49=1,M49*$B$20,0)</f>
        <v>0</v>
      </c>
      <c r="O49" s="58" t="n">
        <f aca="false">IF(L49=1,M49+N49-$B$21,M49)</f>
        <v>-10.8661391719591</v>
      </c>
      <c r="P49" s="56" t="n">
        <f aca="false">IF(L49=1,IF($B$21&lt;=N49,1,0),0)</f>
        <v>0</v>
      </c>
      <c r="Q49" s="58" t="n">
        <f aca="false">Q48+N49</f>
        <v>989.13386082804</v>
      </c>
    </row>
    <row r="50" customFormat="false" ht="15" hidden="false" customHeight="false" outlineLevel="0" collapsed="false">
      <c r="K50" s="56" t="n">
        <f aca="false">K49+1</f>
        <v>43</v>
      </c>
      <c r="L50" s="57" t="n">
        <f aca="false">IF(AND(K50&lt;=Assumptions!$C$42,L49=1,P49=0,O49&gt;Assumptions!$C$43),1,0)</f>
        <v>0</v>
      </c>
      <c r="M50" s="58" t="n">
        <f aca="false">O49</f>
        <v>-10.8661391719591</v>
      </c>
      <c r="N50" s="58" t="n">
        <f aca="false">IF(L50=1,M50*$B$20,0)</f>
        <v>0</v>
      </c>
      <c r="O50" s="58" t="n">
        <f aca="false">IF(L50=1,M50+N50-$B$21,M50)</f>
        <v>-10.8661391719591</v>
      </c>
      <c r="P50" s="56" t="n">
        <f aca="false">IF(L50=1,IF($B$21&lt;=N50,1,0),0)</f>
        <v>0</v>
      </c>
      <c r="Q50" s="58" t="n">
        <f aca="false">Q49+N50</f>
        <v>989.13386082804</v>
      </c>
    </row>
    <row r="51" customFormat="false" ht="15" hidden="false" customHeight="false" outlineLevel="0" collapsed="false">
      <c r="K51" s="56" t="n">
        <f aca="false">K50+1</f>
        <v>44</v>
      </c>
      <c r="L51" s="57" t="n">
        <f aca="false">IF(AND(K51&lt;=Assumptions!$C$42,L50=1,P50=0,O50&gt;Assumptions!$C$43),1,0)</f>
        <v>0</v>
      </c>
      <c r="M51" s="58" t="n">
        <f aca="false">O50</f>
        <v>-10.8661391719591</v>
      </c>
      <c r="N51" s="58" t="n">
        <f aca="false">IF(L51=1,M51*$B$20,0)</f>
        <v>0</v>
      </c>
      <c r="O51" s="58" t="n">
        <f aca="false">IF(L51=1,M51+N51-$B$21,M51)</f>
        <v>-10.8661391719591</v>
      </c>
      <c r="P51" s="56" t="n">
        <f aca="false">IF(L51=1,IF($B$21&lt;=N51,1,0),0)</f>
        <v>0</v>
      </c>
      <c r="Q51" s="58" t="n">
        <f aca="false">Q50+N51</f>
        <v>989.13386082804</v>
      </c>
    </row>
    <row r="52" customFormat="false" ht="15" hidden="false" customHeight="false" outlineLevel="0" collapsed="false">
      <c r="K52" s="56" t="n">
        <f aca="false">K51+1</f>
        <v>45</v>
      </c>
      <c r="L52" s="57" t="n">
        <f aca="false">IF(AND(K52&lt;=Assumptions!$C$42,L51=1,P51=0,O51&gt;Assumptions!$C$43),1,0)</f>
        <v>0</v>
      </c>
      <c r="M52" s="58" t="n">
        <f aca="false">O51</f>
        <v>-10.8661391719591</v>
      </c>
      <c r="N52" s="58" t="n">
        <f aca="false">IF(L52=1,M52*$B$20,0)</f>
        <v>0</v>
      </c>
      <c r="O52" s="58" t="n">
        <f aca="false">IF(L52=1,M52+N52-$B$21,M52)</f>
        <v>-10.8661391719591</v>
      </c>
      <c r="P52" s="56" t="n">
        <f aca="false">IF(L52=1,IF($B$21&lt;=N52,1,0),0)</f>
        <v>0</v>
      </c>
      <c r="Q52" s="58" t="n">
        <f aca="false">Q51+N52</f>
        <v>989.13386082804</v>
      </c>
    </row>
    <row r="53" customFormat="false" ht="15" hidden="false" customHeight="false" outlineLevel="0" collapsed="false">
      <c r="K53" s="56" t="n">
        <f aca="false">K52+1</f>
        <v>46</v>
      </c>
      <c r="L53" s="57" t="n">
        <f aca="false">IF(AND(K53&lt;=Assumptions!$C$42,L52=1,P52=0,O52&gt;Assumptions!$C$43),1,0)</f>
        <v>0</v>
      </c>
      <c r="M53" s="58" t="n">
        <f aca="false">O52</f>
        <v>-10.8661391719591</v>
      </c>
      <c r="N53" s="58" t="n">
        <f aca="false">IF(L53=1,M53*$B$20,0)</f>
        <v>0</v>
      </c>
      <c r="O53" s="58" t="n">
        <f aca="false">IF(L53=1,M53+N53-$B$21,M53)</f>
        <v>-10.8661391719591</v>
      </c>
      <c r="P53" s="56" t="n">
        <f aca="false">IF(L53=1,IF($B$21&lt;=N53,1,0),0)</f>
        <v>0</v>
      </c>
      <c r="Q53" s="58" t="n">
        <f aca="false">Q52+N53</f>
        <v>989.13386082804</v>
      </c>
    </row>
    <row r="54" customFormat="false" ht="15" hidden="false" customHeight="false" outlineLevel="0" collapsed="false">
      <c r="K54" s="56" t="n">
        <f aca="false">K53+1</f>
        <v>47</v>
      </c>
      <c r="L54" s="57" t="n">
        <f aca="false">IF(AND(K54&lt;=Assumptions!$C$42,L53=1,P53=0,O53&gt;Assumptions!$C$43),1,0)</f>
        <v>0</v>
      </c>
      <c r="M54" s="58" t="n">
        <f aca="false">O53</f>
        <v>-10.8661391719591</v>
      </c>
      <c r="N54" s="58" t="n">
        <f aca="false">IF(L54=1,M54*$B$20,0)</f>
        <v>0</v>
      </c>
      <c r="O54" s="58" t="n">
        <f aca="false">IF(L54=1,M54+N54-$B$21,M54)</f>
        <v>-10.8661391719591</v>
      </c>
      <c r="P54" s="56" t="n">
        <f aca="false">IF(L54=1,IF($B$21&lt;=N54,1,0),0)</f>
        <v>0</v>
      </c>
      <c r="Q54" s="58" t="n">
        <f aca="false">Q53+N54</f>
        <v>989.13386082804</v>
      </c>
    </row>
    <row r="55" customFormat="false" ht="15" hidden="false" customHeight="false" outlineLevel="0" collapsed="false">
      <c r="K55" s="56" t="n">
        <f aca="false">K54+1</f>
        <v>48</v>
      </c>
      <c r="L55" s="57" t="n">
        <f aca="false">IF(AND(K55&lt;=Assumptions!$C$42,L54=1,P54=0,O54&gt;Assumptions!$C$43),1,0)</f>
        <v>0</v>
      </c>
      <c r="M55" s="58" t="n">
        <f aca="false">O54</f>
        <v>-10.8661391719591</v>
      </c>
      <c r="N55" s="58" t="n">
        <f aca="false">IF(L55=1,M55*$B$20,0)</f>
        <v>0</v>
      </c>
      <c r="O55" s="58" t="n">
        <f aca="false">IF(L55=1,M55+N55-$B$21,M55)</f>
        <v>-10.8661391719591</v>
      </c>
      <c r="P55" s="56" t="n">
        <f aca="false">IF(L55=1,IF($B$21&lt;=N55,1,0),0)</f>
        <v>0</v>
      </c>
      <c r="Q55" s="58" t="n">
        <f aca="false">Q54+N55</f>
        <v>989.13386082804</v>
      </c>
    </row>
    <row r="56" customFormat="false" ht="15" hidden="false" customHeight="false" outlineLevel="0" collapsed="false">
      <c r="K56" s="56" t="n">
        <f aca="false">K55+1</f>
        <v>49</v>
      </c>
      <c r="L56" s="57" t="n">
        <f aca="false">IF(AND(K56&lt;=Assumptions!$C$42,L55=1,P55=0,O55&gt;Assumptions!$C$43),1,0)</f>
        <v>0</v>
      </c>
      <c r="M56" s="58" t="n">
        <f aca="false">O55</f>
        <v>-10.8661391719591</v>
      </c>
      <c r="N56" s="58" t="n">
        <f aca="false">IF(L56=1,M56*$B$20,0)</f>
        <v>0</v>
      </c>
      <c r="O56" s="58" t="n">
        <f aca="false">IF(L56=1,M56+N56-$B$21,M56)</f>
        <v>-10.8661391719591</v>
      </c>
      <c r="P56" s="56" t="n">
        <f aca="false">IF(L56=1,IF($B$21&lt;=N56,1,0),0)</f>
        <v>0</v>
      </c>
      <c r="Q56" s="58" t="n">
        <f aca="false">Q55+N56</f>
        <v>989.13386082804</v>
      </c>
    </row>
    <row r="57" customFormat="false" ht="15" hidden="false" customHeight="false" outlineLevel="0" collapsed="false">
      <c r="K57" s="56" t="n">
        <f aca="false">K56+1</f>
        <v>50</v>
      </c>
      <c r="L57" s="57" t="n">
        <f aca="false">IF(AND(K57&lt;=Assumptions!$C$42,L56=1,P56=0,O56&gt;Assumptions!$C$43),1,0)</f>
        <v>0</v>
      </c>
      <c r="M57" s="58" t="n">
        <f aca="false">O56</f>
        <v>-10.8661391719591</v>
      </c>
      <c r="N57" s="58" t="n">
        <f aca="false">IF(L57=1,M57*$B$20,0)</f>
        <v>0</v>
      </c>
      <c r="O57" s="58" t="n">
        <f aca="false">IF(L57=1,M57+N57-$B$21,M57)</f>
        <v>-10.8661391719591</v>
      </c>
      <c r="P57" s="56" t="n">
        <f aca="false">IF(L57=1,IF($B$21&lt;=N57,1,0),0)</f>
        <v>0</v>
      </c>
      <c r="Q57" s="58" t="n">
        <f aca="false">Q56+N57</f>
        <v>989.13386082804</v>
      </c>
    </row>
    <row r="58" customFormat="false" ht="15" hidden="false" customHeight="false" outlineLevel="0" collapsed="false">
      <c r="K58" s="56" t="n">
        <f aca="false">K57+1</f>
        <v>51</v>
      </c>
      <c r="L58" s="57" t="n">
        <f aca="false">IF(AND(K58&lt;=Assumptions!$C$42,L57=1,P57=0,O57&gt;Assumptions!$C$43),1,0)</f>
        <v>0</v>
      </c>
      <c r="M58" s="58" t="n">
        <f aca="false">O57</f>
        <v>-10.8661391719591</v>
      </c>
      <c r="N58" s="58" t="n">
        <f aca="false">IF(L58=1,M58*$B$20,0)</f>
        <v>0</v>
      </c>
      <c r="O58" s="58" t="n">
        <f aca="false">IF(L58=1,M58+N58-$B$21,M58)</f>
        <v>-10.8661391719591</v>
      </c>
      <c r="P58" s="56" t="n">
        <f aca="false">IF(L58=1,IF($B$21&lt;=N58,1,0),0)</f>
        <v>0</v>
      </c>
      <c r="Q58" s="58" t="n">
        <f aca="false">Q57+N58</f>
        <v>989.13386082804</v>
      </c>
    </row>
    <row r="59" customFormat="false" ht="15" hidden="false" customHeight="false" outlineLevel="0" collapsed="false">
      <c r="K59" s="56" t="n">
        <f aca="false">K58+1</f>
        <v>52</v>
      </c>
      <c r="L59" s="57" t="n">
        <f aca="false">IF(AND(K59&lt;=Assumptions!$C$42,L58=1,P58=0,O58&gt;Assumptions!$C$43),1,0)</f>
        <v>0</v>
      </c>
      <c r="M59" s="58" t="n">
        <f aca="false">O58</f>
        <v>-10.8661391719591</v>
      </c>
      <c r="N59" s="58" t="n">
        <f aca="false">IF(L59=1,M59*$B$20,0)</f>
        <v>0</v>
      </c>
      <c r="O59" s="58" t="n">
        <f aca="false">IF(L59=1,M59+N59-$B$21,M59)</f>
        <v>-10.8661391719591</v>
      </c>
      <c r="P59" s="56" t="n">
        <f aca="false">IF(L59=1,IF($B$21&lt;=N59,1,0),0)</f>
        <v>0</v>
      </c>
      <c r="Q59" s="58" t="n">
        <f aca="false">Q58+N59</f>
        <v>989.13386082804</v>
      </c>
    </row>
    <row r="60" customFormat="false" ht="15" hidden="false" customHeight="false" outlineLevel="0" collapsed="false">
      <c r="K60" s="56" t="n">
        <f aca="false">K59+1</f>
        <v>53</v>
      </c>
      <c r="L60" s="57" t="n">
        <f aca="false">IF(AND(K60&lt;=Assumptions!$C$42,L59=1,P59=0,O59&gt;Assumptions!$C$43),1,0)</f>
        <v>0</v>
      </c>
      <c r="M60" s="58" t="n">
        <f aca="false">O59</f>
        <v>-10.8661391719591</v>
      </c>
      <c r="N60" s="58" t="n">
        <f aca="false">IF(L60=1,M60*$B$20,0)</f>
        <v>0</v>
      </c>
      <c r="O60" s="58" t="n">
        <f aca="false">IF(L60=1,M60+N60-$B$21,M60)</f>
        <v>-10.8661391719591</v>
      </c>
      <c r="P60" s="56" t="n">
        <f aca="false">IF(L60=1,IF($B$21&lt;=N60,1,0),0)</f>
        <v>0</v>
      </c>
      <c r="Q60" s="58" t="n">
        <f aca="false">Q59+N60</f>
        <v>989.13386082804</v>
      </c>
    </row>
    <row r="61" customFormat="false" ht="15" hidden="false" customHeight="false" outlineLevel="0" collapsed="false">
      <c r="K61" s="56" t="n">
        <f aca="false">K60+1</f>
        <v>54</v>
      </c>
      <c r="L61" s="57" t="n">
        <f aca="false">IF(AND(K61&lt;=Assumptions!$C$42,L60=1,P60=0,O60&gt;Assumptions!$C$43),1,0)</f>
        <v>0</v>
      </c>
      <c r="M61" s="58" t="n">
        <f aca="false">O60</f>
        <v>-10.8661391719591</v>
      </c>
      <c r="N61" s="58" t="n">
        <f aca="false">IF(L61=1,M61*$B$20,0)</f>
        <v>0</v>
      </c>
      <c r="O61" s="58" t="n">
        <f aca="false">IF(L61=1,M61+N61-$B$21,M61)</f>
        <v>-10.8661391719591</v>
      </c>
      <c r="P61" s="56" t="n">
        <f aca="false">IF(L61=1,IF($B$21&lt;=N61,1,0),0)</f>
        <v>0</v>
      </c>
      <c r="Q61" s="58" t="n">
        <f aca="false">Q60+N61</f>
        <v>989.13386082804</v>
      </c>
    </row>
    <row r="62" customFormat="false" ht="15" hidden="false" customHeight="false" outlineLevel="0" collapsed="false">
      <c r="K62" s="56" t="n">
        <f aca="false">K61+1</f>
        <v>55</v>
      </c>
      <c r="L62" s="57" t="n">
        <f aca="false">IF(AND(K62&lt;=Assumptions!$C$42,L61=1,P61=0,O61&gt;Assumptions!$C$43),1,0)</f>
        <v>0</v>
      </c>
      <c r="M62" s="58" t="n">
        <f aca="false">O61</f>
        <v>-10.8661391719591</v>
      </c>
      <c r="N62" s="58" t="n">
        <f aca="false">IF(L62=1,M62*$B$20,0)</f>
        <v>0</v>
      </c>
      <c r="O62" s="58" t="n">
        <f aca="false">IF(L62=1,M62+N62-$B$21,M62)</f>
        <v>-10.8661391719591</v>
      </c>
      <c r="P62" s="56" t="n">
        <f aca="false">IF(L62=1,IF($B$21&lt;=N62,1,0),0)</f>
        <v>0</v>
      </c>
      <c r="Q62" s="58" t="n">
        <f aca="false">Q61+N62</f>
        <v>989.13386082804</v>
      </c>
    </row>
    <row r="63" customFormat="false" ht="15" hidden="false" customHeight="false" outlineLevel="0" collapsed="false">
      <c r="K63" s="56" t="n">
        <f aca="false">K62+1</f>
        <v>56</v>
      </c>
      <c r="L63" s="57" t="n">
        <f aca="false">IF(AND(K63&lt;=Assumptions!$C$42,L62=1,P62=0,O62&gt;Assumptions!$C$43),1,0)</f>
        <v>0</v>
      </c>
      <c r="M63" s="58" t="n">
        <f aca="false">O62</f>
        <v>-10.8661391719591</v>
      </c>
      <c r="N63" s="58" t="n">
        <f aca="false">IF(L63=1,M63*$B$20,0)</f>
        <v>0</v>
      </c>
      <c r="O63" s="58" t="n">
        <f aca="false">IF(L63=1,M63+N63-$B$21,M63)</f>
        <v>-10.8661391719591</v>
      </c>
      <c r="P63" s="56" t="n">
        <f aca="false">IF(L63=1,IF($B$21&lt;=N63,1,0),0)</f>
        <v>0</v>
      </c>
      <c r="Q63" s="58" t="n">
        <f aca="false">Q62+N63</f>
        <v>989.13386082804</v>
      </c>
    </row>
    <row r="64" customFormat="false" ht="15" hidden="false" customHeight="false" outlineLevel="0" collapsed="false">
      <c r="K64" s="56" t="n">
        <f aca="false">K63+1</f>
        <v>57</v>
      </c>
      <c r="L64" s="57" t="n">
        <f aca="false">IF(AND(K64&lt;=Assumptions!$C$42,L63=1,P63=0,O63&gt;Assumptions!$C$43),1,0)</f>
        <v>0</v>
      </c>
      <c r="M64" s="58" t="n">
        <f aca="false">O63</f>
        <v>-10.8661391719591</v>
      </c>
      <c r="N64" s="58" t="n">
        <f aca="false">IF(L64=1,M64*$B$20,0)</f>
        <v>0</v>
      </c>
      <c r="O64" s="58" t="n">
        <f aca="false">IF(L64=1,M64+N64-$B$21,M64)</f>
        <v>-10.8661391719591</v>
      </c>
      <c r="P64" s="56" t="n">
        <f aca="false">IF(L64=1,IF($B$21&lt;=N64,1,0),0)</f>
        <v>0</v>
      </c>
      <c r="Q64" s="58" t="n">
        <f aca="false">Q63+N64</f>
        <v>989.13386082804</v>
      </c>
    </row>
    <row r="65" customFormat="false" ht="15" hidden="false" customHeight="false" outlineLevel="0" collapsed="false">
      <c r="K65" s="56" t="n">
        <f aca="false">K64+1</f>
        <v>58</v>
      </c>
      <c r="L65" s="57" t="n">
        <f aca="false">IF(AND(K65&lt;=Assumptions!$C$42,L64=1,P64=0,O64&gt;Assumptions!$C$43),1,0)</f>
        <v>0</v>
      </c>
      <c r="M65" s="58" t="n">
        <f aca="false">O64</f>
        <v>-10.8661391719591</v>
      </c>
      <c r="N65" s="58" t="n">
        <f aca="false">IF(L65=1,M65*$B$20,0)</f>
        <v>0</v>
      </c>
      <c r="O65" s="58" t="n">
        <f aca="false">IF(L65=1,M65+N65-$B$21,M65)</f>
        <v>-10.8661391719591</v>
      </c>
      <c r="P65" s="56" t="n">
        <f aca="false">IF(L65=1,IF($B$21&lt;=N65,1,0),0)</f>
        <v>0</v>
      </c>
      <c r="Q65" s="58" t="n">
        <f aca="false">Q64+N65</f>
        <v>989.13386082804</v>
      </c>
    </row>
    <row r="66" customFormat="false" ht="15" hidden="false" customHeight="false" outlineLevel="0" collapsed="false">
      <c r="K66" s="56" t="n">
        <f aca="false">K65+1</f>
        <v>59</v>
      </c>
      <c r="L66" s="57" t="n">
        <f aca="false">IF(AND(K66&lt;=Assumptions!$C$42,L65=1,P65=0,O65&gt;Assumptions!$C$43),1,0)</f>
        <v>0</v>
      </c>
      <c r="M66" s="58" t="n">
        <f aca="false">O65</f>
        <v>-10.8661391719591</v>
      </c>
      <c r="N66" s="58" t="n">
        <f aca="false">IF(L66=1,M66*$B$20,0)</f>
        <v>0</v>
      </c>
      <c r="O66" s="58" t="n">
        <f aca="false">IF(L66=1,M66+N66-$B$21,M66)</f>
        <v>-10.8661391719591</v>
      </c>
      <c r="P66" s="56" t="n">
        <f aca="false">IF(L66=1,IF($B$21&lt;=N66,1,0),0)</f>
        <v>0</v>
      </c>
      <c r="Q66" s="58" t="n">
        <f aca="false">Q65+N66</f>
        <v>989.13386082804</v>
      </c>
    </row>
    <row r="67" customFormat="false" ht="15" hidden="false" customHeight="false" outlineLevel="0" collapsed="false">
      <c r="K67" s="56" t="n">
        <f aca="false">K66+1</f>
        <v>60</v>
      </c>
      <c r="L67" s="57" t="n">
        <f aca="false">IF(AND(K67&lt;=Assumptions!$C$42,L66=1,P66=0,O66&gt;Assumptions!$C$43),1,0)</f>
        <v>0</v>
      </c>
      <c r="M67" s="58" t="n">
        <f aca="false">O66</f>
        <v>-10.8661391719591</v>
      </c>
      <c r="N67" s="58" t="n">
        <f aca="false">IF(L67=1,M67*$B$20,0)</f>
        <v>0</v>
      </c>
      <c r="O67" s="58" t="n">
        <f aca="false">IF(L67=1,M67+N67-$B$21,M67)</f>
        <v>-10.8661391719591</v>
      </c>
      <c r="P67" s="56" t="n">
        <f aca="false">IF(L67=1,IF($B$21&lt;=N67,1,0),0)</f>
        <v>0</v>
      </c>
      <c r="Q67" s="58" t="n">
        <f aca="false">Q66+N67</f>
        <v>989.13386082804</v>
      </c>
    </row>
    <row r="68" customFormat="false" ht="15" hidden="false" customHeight="false" outlineLevel="0" collapsed="false">
      <c r="K68" s="56" t="n">
        <f aca="false">K67+1</f>
        <v>61</v>
      </c>
      <c r="L68" s="57" t="n">
        <f aca="false">IF(AND(K68&lt;=Assumptions!$C$42,L67=1,P67=0,O67&gt;Assumptions!$C$43),1,0)</f>
        <v>0</v>
      </c>
      <c r="M68" s="58" t="n">
        <f aca="false">O67</f>
        <v>-10.8661391719591</v>
      </c>
      <c r="N68" s="58" t="n">
        <f aca="false">IF(L68=1,M68*$B$20,0)</f>
        <v>0</v>
      </c>
      <c r="O68" s="58" t="n">
        <f aca="false">IF(L68=1,M68+N68-$B$21,M68)</f>
        <v>-10.8661391719591</v>
      </c>
      <c r="P68" s="56" t="n">
        <f aca="false">IF(L68=1,IF($B$21&lt;=N68,1,0),0)</f>
        <v>0</v>
      </c>
      <c r="Q68" s="58" t="n">
        <f aca="false">Q67+N68</f>
        <v>989.13386082804</v>
      </c>
    </row>
    <row r="69" customFormat="false" ht="15" hidden="false" customHeight="false" outlineLevel="0" collapsed="false">
      <c r="K69" s="56" t="n">
        <f aca="false">K68+1</f>
        <v>62</v>
      </c>
      <c r="L69" s="57" t="n">
        <f aca="false">IF(AND(K69&lt;=Assumptions!$C$42,L68=1,P68=0,O68&gt;Assumptions!$C$43),1,0)</f>
        <v>0</v>
      </c>
      <c r="M69" s="58" t="n">
        <f aca="false">O68</f>
        <v>-10.8661391719591</v>
      </c>
      <c r="N69" s="58" t="n">
        <f aca="false">IF(L69=1,M69*$B$20,0)</f>
        <v>0</v>
      </c>
      <c r="O69" s="58" t="n">
        <f aca="false">IF(L69=1,M69+N69-$B$21,M69)</f>
        <v>-10.8661391719591</v>
      </c>
      <c r="P69" s="56" t="n">
        <f aca="false">IF(L69=1,IF($B$21&lt;=N69,1,0),0)</f>
        <v>0</v>
      </c>
      <c r="Q69" s="58" t="n">
        <f aca="false">Q68+N69</f>
        <v>989.13386082804</v>
      </c>
    </row>
    <row r="70" customFormat="false" ht="15" hidden="false" customHeight="false" outlineLevel="0" collapsed="false">
      <c r="K70" s="56" t="n">
        <f aca="false">K69+1</f>
        <v>63</v>
      </c>
      <c r="L70" s="57" t="n">
        <f aca="false">IF(AND(K70&lt;=Assumptions!$C$42,L69=1,P69=0,O69&gt;Assumptions!$C$43),1,0)</f>
        <v>0</v>
      </c>
      <c r="M70" s="58" t="n">
        <f aca="false">O69</f>
        <v>-10.8661391719591</v>
      </c>
      <c r="N70" s="58" t="n">
        <f aca="false">IF(L70=1,M70*$B$20,0)</f>
        <v>0</v>
      </c>
      <c r="O70" s="58" t="n">
        <f aca="false">IF(L70=1,M70+N70-$B$21,M70)</f>
        <v>-10.8661391719591</v>
      </c>
      <c r="P70" s="56" t="n">
        <f aca="false">IF(L70=1,IF($B$21&lt;=N70,1,0),0)</f>
        <v>0</v>
      </c>
      <c r="Q70" s="58" t="n">
        <f aca="false">Q69+N70</f>
        <v>989.13386082804</v>
      </c>
    </row>
    <row r="71" customFormat="false" ht="15" hidden="false" customHeight="false" outlineLevel="0" collapsed="false">
      <c r="K71" s="56" t="n">
        <f aca="false">K70+1</f>
        <v>64</v>
      </c>
      <c r="L71" s="57" t="n">
        <f aca="false">IF(AND(K71&lt;=Assumptions!$C$42,L70=1,P70=0,O70&gt;Assumptions!$C$43),1,0)</f>
        <v>0</v>
      </c>
      <c r="M71" s="58" t="n">
        <f aca="false">O70</f>
        <v>-10.8661391719591</v>
      </c>
      <c r="N71" s="58" t="n">
        <f aca="false">IF(L71=1,M71*$B$20,0)</f>
        <v>0</v>
      </c>
      <c r="O71" s="58" t="n">
        <f aca="false">IF(L71=1,M71+N71-$B$21,M71)</f>
        <v>-10.8661391719591</v>
      </c>
      <c r="P71" s="56" t="n">
        <f aca="false">IF(L71=1,IF($B$21&lt;=N71,1,0),0)</f>
        <v>0</v>
      </c>
      <c r="Q71" s="58" t="n">
        <f aca="false">Q70+N71</f>
        <v>989.13386082804</v>
      </c>
    </row>
    <row r="72" customFormat="false" ht="15" hidden="false" customHeight="false" outlineLevel="0" collapsed="false">
      <c r="K72" s="56" t="n">
        <f aca="false">K71+1</f>
        <v>65</v>
      </c>
      <c r="L72" s="57" t="n">
        <f aca="false">IF(AND(K72&lt;=Assumptions!$C$42,L71=1,P71=0,O71&gt;Assumptions!$C$43),1,0)</f>
        <v>0</v>
      </c>
      <c r="M72" s="58" t="n">
        <f aca="false">O71</f>
        <v>-10.8661391719591</v>
      </c>
      <c r="N72" s="58" t="n">
        <f aca="false">IF(L72=1,M72*$B$20,0)</f>
        <v>0</v>
      </c>
      <c r="O72" s="58" t="n">
        <f aca="false">IF(L72=1,M72+N72-$B$21,M72)</f>
        <v>-10.8661391719591</v>
      </c>
      <c r="P72" s="56" t="n">
        <f aca="false">IF(L72=1,IF($B$21&lt;=N72,1,0),0)</f>
        <v>0</v>
      </c>
      <c r="Q72" s="58" t="n">
        <f aca="false">Q71+N72</f>
        <v>989.13386082804</v>
      </c>
    </row>
    <row r="73" customFormat="false" ht="15" hidden="false" customHeight="false" outlineLevel="0" collapsed="false">
      <c r="K73" s="56" t="n">
        <f aca="false">K72+1</f>
        <v>66</v>
      </c>
      <c r="L73" s="57" t="n">
        <f aca="false">IF(AND(K73&lt;=Assumptions!$C$42,L72=1,P72=0,O72&gt;Assumptions!$C$43),1,0)</f>
        <v>0</v>
      </c>
      <c r="M73" s="58" t="n">
        <f aca="false">O72</f>
        <v>-10.8661391719591</v>
      </c>
      <c r="N73" s="58" t="n">
        <f aca="false">IF(L73=1,M73*$B$20,0)</f>
        <v>0</v>
      </c>
      <c r="O73" s="58" t="n">
        <f aca="false">IF(L73=1,M73+N73-$B$21,M73)</f>
        <v>-10.8661391719591</v>
      </c>
      <c r="P73" s="56" t="n">
        <f aca="false">IF(L73=1,IF($B$21&lt;=N73,1,0),0)</f>
        <v>0</v>
      </c>
      <c r="Q73" s="58" t="n">
        <f aca="false">Q72+N73</f>
        <v>989.13386082804</v>
      </c>
    </row>
    <row r="74" customFormat="false" ht="15" hidden="false" customHeight="false" outlineLevel="0" collapsed="false">
      <c r="K74" s="56" t="n">
        <f aca="false">K73+1</f>
        <v>67</v>
      </c>
      <c r="L74" s="57" t="n">
        <f aca="false">IF(AND(K74&lt;=Assumptions!$C$42,L73=1,P73=0,O73&gt;Assumptions!$C$43),1,0)</f>
        <v>0</v>
      </c>
      <c r="M74" s="58" t="n">
        <f aca="false">O73</f>
        <v>-10.8661391719591</v>
      </c>
      <c r="N74" s="58" t="n">
        <f aca="false">IF(L74=1,M74*$B$20,0)</f>
        <v>0</v>
      </c>
      <c r="O74" s="58" t="n">
        <f aca="false">IF(L74=1,M74+N74-$B$21,M74)</f>
        <v>-10.8661391719591</v>
      </c>
      <c r="P74" s="56" t="n">
        <f aca="false">IF(L74=1,IF($B$21&lt;=N74,1,0),0)</f>
        <v>0</v>
      </c>
      <c r="Q74" s="58" t="n">
        <f aca="false">Q73+N74</f>
        <v>989.13386082804</v>
      </c>
    </row>
    <row r="75" customFormat="false" ht="15" hidden="false" customHeight="false" outlineLevel="0" collapsed="false">
      <c r="K75" s="56" t="n">
        <f aca="false">K74+1</f>
        <v>68</v>
      </c>
      <c r="L75" s="57" t="n">
        <f aca="false">IF(AND(K75&lt;=Assumptions!$C$42,L74=1,P74=0,O74&gt;Assumptions!$C$43),1,0)</f>
        <v>0</v>
      </c>
      <c r="M75" s="58" t="n">
        <f aca="false">O74</f>
        <v>-10.8661391719591</v>
      </c>
      <c r="N75" s="58" t="n">
        <f aca="false">IF(L75=1,M75*$B$20,0)</f>
        <v>0</v>
      </c>
      <c r="O75" s="58" t="n">
        <f aca="false">IF(L75=1,M75+N75-$B$21,M75)</f>
        <v>-10.8661391719591</v>
      </c>
      <c r="P75" s="56" t="n">
        <f aca="false">IF(L75=1,IF($B$21&lt;=N75,1,0),0)</f>
        <v>0</v>
      </c>
      <c r="Q75" s="58" t="n">
        <f aca="false">Q74+N75</f>
        <v>989.13386082804</v>
      </c>
    </row>
    <row r="76" customFormat="false" ht="15" hidden="false" customHeight="false" outlineLevel="0" collapsed="false">
      <c r="K76" s="56" t="n">
        <f aca="false">K75+1</f>
        <v>69</v>
      </c>
      <c r="L76" s="57" t="n">
        <f aca="false">IF(AND(K76&lt;=Assumptions!$C$42,L75=1,P75=0,O75&gt;Assumptions!$C$43),1,0)</f>
        <v>0</v>
      </c>
      <c r="M76" s="58" t="n">
        <f aca="false">O75</f>
        <v>-10.8661391719591</v>
      </c>
      <c r="N76" s="58" t="n">
        <f aca="false">IF(L76=1,M76*$B$20,0)</f>
        <v>0</v>
      </c>
      <c r="O76" s="58" t="n">
        <f aca="false">IF(L76=1,M76+N76-$B$21,M76)</f>
        <v>-10.8661391719591</v>
      </c>
      <c r="P76" s="56" t="n">
        <f aca="false">IF(L76=1,IF($B$21&lt;=N76,1,0),0)</f>
        <v>0</v>
      </c>
      <c r="Q76" s="58" t="n">
        <f aca="false">Q75+N76</f>
        <v>989.13386082804</v>
      </c>
    </row>
    <row r="77" customFormat="false" ht="15" hidden="false" customHeight="false" outlineLevel="0" collapsed="false">
      <c r="K77" s="56" t="n">
        <f aca="false">K76+1</f>
        <v>70</v>
      </c>
      <c r="L77" s="57" t="n">
        <f aca="false">IF(AND(K77&lt;=Assumptions!$C$42,L76=1,P76=0,O76&gt;Assumptions!$C$43),1,0)</f>
        <v>0</v>
      </c>
      <c r="M77" s="58" t="n">
        <f aca="false">O76</f>
        <v>-10.8661391719591</v>
      </c>
      <c r="N77" s="58" t="n">
        <f aca="false">IF(L77=1,M77*$B$20,0)</f>
        <v>0</v>
      </c>
      <c r="O77" s="58" t="n">
        <f aca="false">IF(L77=1,M77+N77-$B$21,M77)</f>
        <v>-10.8661391719591</v>
      </c>
      <c r="P77" s="56" t="n">
        <f aca="false">IF(L77=1,IF($B$21&lt;=N77,1,0),0)</f>
        <v>0</v>
      </c>
      <c r="Q77" s="58" t="n">
        <f aca="false">Q76+N77</f>
        <v>989.13386082804</v>
      </c>
    </row>
    <row r="78" customFormat="false" ht="15" hidden="false" customHeight="false" outlineLevel="0" collapsed="false">
      <c r="K78" s="56" t="n">
        <f aca="false">K77+1</f>
        <v>71</v>
      </c>
      <c r="L78" s="57" t="n">
        <f aca="false">IF(AND(K78&lt;=Assumptions!$C$42,L77=1,P77=0,O77&gt;Assumptions!$C$43),1,0)</f>
        <v>0</v>
      </c>
      <c r="M78" s="58" t="n">
        <f aca="false">O77</f>
        <v>-10.8661391719591</v>
      </c>
      <c r="N78" s="58" t="n">
        <f aca="false">IF(L78=1,M78*$B$20,0)</f>
        <v>0</v>
      </c>
      <c r="O78" s="58" t="n">
        <f aca="false">IF(L78=1,M78+N78-$B$21,M78)</f>
        <v>-10.8661391719591</v>
      </c>
      <c r="P78" s="56" t="n">
        <f aca="false">IF(L78=1,IF($B$21&lt;=N78,1,0),0)</f>
        <v>0</v>
      </c>
      <c r="Q78" s="58" t="n">
        <f aca="false">Q77+N78</f>
        <v>989.13386082804</v>
      </c>
    </row>
    <row r="79" customFormat="false" ht="15" hidden="false" customHeight="false" outlineLevel="0" collapsed="false">
      <c r="K79" s="56" t="n">
        <f aca="false">K78+1</f>
        <v>72</v>
      </c>
      <c r="L79" s="57" t="n">
        <f aca="false">IF(AND(K79&lt;=Assumptions!$C$42,L78=1,P78=0,O78&gt;Assumptions!$C$43),1,0)</f>
        <v>0</v>
      </c>
      <c r="M79" s="58" t="n">
        <f aca="false">O78</f>
        <v>-10.8661391719591</v>
      </c>
      <c r="N79" s="58" t="n">
        <f aca="false">IF(L79=1,M79*$B$20,0)</f>
        <v>0</v>
      </c>
      <c r="O79" s="58" t="n">
        <f aca="false">IF(L79=1,M79+N79-$B$21,M79)</f>
        <v>-10.8661391719591</v>
      </c>
      <c r="P79" s="56" t="n">
        <f aca="false">IF(L79=1,IF($B$21&lt;=N79,1,0),0)</f>
        <v>0</v>
      </c>
      <c r="Q79" s="58" t="n">
        <f aca="false">Q78+N79</f>
        <v>989.13386082804</v>
      </c>
    </row>
    <row r="80" customFormat="false" ht="15" hidden="false" customHeight="false" outlineLevel="0" collapsed="false">
      <c r="K80" s="56" t="n">
        <f aca="false">K79+1</f>
        <v>73</v>
      </c>
      <c r="L80" s="57" t="n">
        <f aca="false">IF(AND(K80&lt;=Assumptions!$C$42,L79=1,P79=0,O79&gt;Assumptions!$C$43),1,0)</f>
        <v>0</v>
      </c>
      <c r="M80" s="58" t="n">
        <f aca="false">O79</f>
        <v>-10.8661391719591</v>
      </c>
      <c r="N80" s="58" t="n">
        <f aca="false">IF(L80=1,M80*$B$20,0)</f>
        <v>0</v>
      </c>
      <c r="O80" s="58" t="n">
        <f aca="false">IF(L80=1,M80+N80-$B$21,M80)</f>
        <v>-10.8661391719591</v>
      </c>
      <c r="P80" s="56" t="n">
        <f aca="false">IF(L80=1,IF($B$21&lt;=N80,1,0),0)</f>
        <v>0</v>
      </c>
      <c r="Q80" s="58" t="n">
        <f aca="false">Q79+N80</f>
        <v>989.13386082804</v>
      </c>
    </row>
    <row r="81" customFormat="false" ht="15" hidden="false" customHeight="false" outlineLevel="0" collapsed="false">
      <c r="K81" s="56" t="n">
        <f aca="false">K80+1</f>
        <v>74</v>
      </c>
      <c r="L81" s="57" t="n">
        <f aca="false">IF(AND(K81&lt;=Assumptions!$C$42,L80=1,P80=0,O80&gt;Assumptions!$C$43),1,0)</f>
        <v>0</v>
      </c>
      <c r="M81" s="58" t="n">
        <f aca="false">O80</f>
        <v>-10.8661391719591</v>
      </c>
      <c r="N81" s="58" t="n">
        <f aca="false">IF(L81=1,M81*$B$20,0)</f>
        <v>0</v>
      </c>
      <c r="O81" s="58" t="n">
        <f aca="false">IF(L81=1,M81+N81-$B$21,M81)</f>
        <v>-10.8661391719591</v>
      </c>
      <c r="P81" s="56" t="n">
        <f aca="false">IF(L81=1,IF($B$21&lt;=N81,1,0),0)</f>
        <v>0</v>
      </c>
      <c r="Q81" s="58" t="n">
        <f aca="false">Q80+N81</f>
        <v>989.13386082804</v>
      </c>
    </row>
    <row r="82" customFormat="false" ht="15" hidden="false" customHeight="false" outlineLevel="0" collapsed="false">
      <c r="K82" s="56" t="n">
        <f aca="false">K81+1</f>
        <v>75</v>
      </c>
      <c r="L82" s="57" t="n">
        <f aca="false">IF(AND(K82&lt;=Assumptions!$C$42,L81=1,P81=0,O81&gt;Assumptions!$C$43),1,0)</f>
        <v>0</v>
      </c>
      <c r="M82" s="58" t="n">
        <f aca="false">O81</f>
        <v>-10.8661391719591</v>
      </c>
      <c r="N82" s="58" t="n">
        <f aca="false">IF(L82=1,M82*$B$20,0)</f>
        <v>0</v>
      </c>
      <c r="O82" s="58" t="n">
        <f aca="false">IF(L82=1,M82+N82-$B$21,M82)</f>
        <v>-10.8661391719591</v>
      </c>
      <c r="P82" s="56" t="n">
        <f aca="false">IF(L82=1,IF($B$21&lt;=N82,1,0),0)</f>
        <v>0</v>
      </c>
      <c r="Q82" s="58" t="n">
        <f aca="false">Q81+N82</f>
        <v>989.13386082804</v>
      </c>
    </row>
    <row r="83" customFormat="false" ht="15" hidden="false" customHeight="false" outlineLevel="0" collapsed="false">
      <c r="K83" s="56" t="n">
        <f aca="false">K82+1</f>
        <v>76</v>
      </c>
      <c r="L83" s="57" t="n">
        <f aca="false">IF(AND(K83&lt;=Assumptions!$C$42,L82=1,P82=0,O82&gt;Assumptions!$C$43),1,0)</f>
        <v>0</v>
      </c>
      <c r="M83" s="58" t="n">
        <f aca="false">O82</f>
        <v>-10.8661391719591</v>
      </c>
      <c r="N83" s="58" t="n">
        <f aca="false">IF(L83=1,M83*$B$20,0)</f>
        <v>0</v>
      </c>
      <c r="O83" s="58" t="n">
        <f aca="false">IF(L83=1,M83+N83-$B$21,M83)</f>
        <v>-10.8661391719591</v>
      </c>
      <c r="P83" s="56" t="n">
        <f aca="false">IF(L83=1,IF($B$21&lt;=N83,1,0),0)</f>
        <v>0</v>
      </c>
      <c r="Q83" s="58" t="n">
        <f aca="false">Q82+N83</f>
        <v>989.13386082804</v>
      </c>
    </row>
    <row r="84" customFormat="false" ht="15" hidden="false" customHeight="false" outlineLevel="0" collapsed="false">
      <c r="K84" s="56" t="n">
        <f aca="false">K83+1</f>
        <v>77</v>
      </c>
      <c r="L84" s="57" t="n">
        <f aca="false">IF(AND(K84&lt;=Assumptions!$C$42,L83=1,P83=0,O83&gt;Assumptions!$C$43),1,0)</f>
        <v>0</v>
      </c>
      <c r="M84" s="58" t="n">
        <f aca="false">O83</f>
        <v>-10.8661391719591</v>
      </c>
      <c r="N84" s="58" t="n">
        <f aca="false">IF(L84=1,M84*$B$20,0)</f>
        <v>0</v>
      </c>
      <c r="O84" s="58" t="n">
        <f aca="false">IF(L84=1,M84+N84-$B$21,M84)</f>
        <v>-10.8661391719591</v>
      </c>
      <c r="P84" s="56" t="n">
        <f aca="false">IF(L84=1,IF($B$21&lt;=N84,1,0),0)</f>
        <v>0</v>
      </c>
      <c r="Q84" s="58" t="n">
        <f aca="false">Q83+N84</f>
        <v>989.13386082804</v>
      </c>
    </row>
    <row r="85" customFormat="false" ht="15" hidden="false" customHeight="false" outlineLevel="0" collapsed="false">
      <c r="K85" s="56" t="n">
        <f aca="false">K84+1</f>
        <v>78</v>
      </c>
      <c r="L85" s="57" t="n">
        <f aca="false">IF(AND(K85&lt;=Assumptions!$C$42,L84=1,P84=0,O84&gt;Assumptions!$C$43),1,0)</f>
        <v>0</v>
      </c>
      <c r="M85" s="58" t="n">
        <f aca="false">O84</f>
        <v>-10.8661391719591</v>
      </c>
      <c r="N85" s="58" t="n">
        <f aca="false">IF(L85=1,M85*$B$20,0)</f>
        <v>0</v>
      </c>
      <c r="O85" s="58" t="n">
        <f aca="false">IF(L85=1,M85+N85-$B$21,M85)</f>
        <v>-10.8661391719591</v>
      </c>
      <c r="P85" s="56" t="n">
        <f aca="false">IF(L85=1,IF($B$21&lt;=N85,1,0),0)</f>
        <v>0</v>
      </c>
      <c r="Q85" s="58" t="n">
        <f aca="false">Q84+N85</f>
        <v>989.13386082804</v>
      </c>
    </row>
    <row r="86" customFormat="false" ht="15" hidden="false" customHeight="false" outlineLevel="0" collapsed="false">
      <c r="K86" s="56" t="n">
        <f aca="false">K85+1</f>
        <v>79</v>
      </c>
      <c r="L86" s="57" t="n">
        <f aca="false">IF(AND(K86&lt;=Assumptions!$C$42,L85=1,P85=0,O85&gt;Assumptions!$C$43),1,0)</f>
        <v>0</v>
      </c>
      <c r="M86" s="58" t="n">
        <f aca="false">O85</f>
        <v>-10.8661391719591</v>
      </c>
      <c r="N86" s="58" t="n">
        <f aca="false">IF(L86=1,M86*$B$20,0)</f>
        <v>0</v>
      </c>
      <c r="O86" s="58" t="n">
        <f aca="false">IF(L86=1,M86+N86-$B$21,M86)</f>
        <v>-10.8661391719591</v>
      </c>
      <c r="P86" s="56" t="n">
        <f aca="false">IF(L86=1,IF($B$21&lt;=N86,1,0),0)</f>
        <v>0</v>
      </c>
      <c r="Q86" s="58" t="n">
        <f aca="false">Q85+N86</f>
        <v>989.13386082804</v>
      </c>
    </row>
    <row r="87" customFormat="false" ht="15" hidden="false" customHeight="false" outlineLevel="0" collapsed="false">
      <c r="K87" s="56" t="n">
        <f aca="false">K86+1</f>
        <v>80</v>
      </c>
      <c r="L87" s="57" t="n">
        <f aca="false">IF(AND(K87&lt;=Assumptions!$C$42,L86=1,P86=0,O86&gt;Assumptions!$C$43),1,0)</f>
        <v>0</v>
      </c>
      <c r="M87" s="58" t="n">
        <f aca="false">O86</f>
        <v>-10.8661391719591</v>
      </c>
      <c r="N87" s="58" t="n">
        <f aca="false">IF(L87=1,M87*$B$20,0)</f>
        <v>0</v>
      </c>
      <c r="O87" s="58" t="n">
        <f aca="false">IF(L87=1,M87+N87-$B$21,M87)</f>
        <v>-10.8661391719591</v>
      </c>
      <c r="P87" s="56" t="n">
        <f aca="false">IF(L87=1,IF($B$21&lt;=N87,1,0),0)</f>
        <v>0</v>
      </c>
      <c r="Q87" s="58" t="n">
        <f aca="false">Q86+N87</f>
        <v>989.13386082804</v>
      </c>
    </row>
    <row r="88" customFormat="false" ht="15" hidden="false" customHeight="false" outlineLevel="0" collapsed="false">
      <c r="K88" s="56" t="n">
        <f aca="false">K87+1</f>
        <v>81</v>
      </c>
      <c r="L88" s="57" t="n">
        <f aca="false">IF(AND(K88&lt;=Assumptions!$C$42,L87=1,P87=0,O87&gt;Assumptions!$C$43),1,0)</f>
        <v>0</v>
      </c>
      <c r="M88" s="58" t="n">
        <f aca="false">O87</f>
        <v>-10.8661391719591</v>
      </c>
      <c r="N88" s="58" t="n">
        <f aca="false">IF(L88=1,M88*$B$20,0)</f>
        <v>0</v>
      </c>
      <c r="O88" s="58" t="n">
        <f aca="false">IF(L88=1,M88+N88-$B$21,M88)</f>
        <v>-10.8661391719591</v>
      </c>
      <c r="P88" s="56" t="n">
        <f aca="false">IF(L88=1,IF($B$21&lt;=N88,1,0),0)</f>
        <v>0</v>
      </c>
      <c r="Q88" s="58" t="n">
        <f aca="false">Q87+N88</f>
        <v>989.13386082804</v>
      </c>
    </row>
    <row r="89" customFormat="false" ht="15" hidden="false" customHeight="false" outlineLevel="0" collapsed="false">
      <c r="K89" s="56" t="n">
        <f aca="false">K88+1</f>
        <v>82</v>
      </c>
      <c r="L89" s="57" t="n">
        <f aca="false">IF(AND(K89&lt;=Assumptions!$C$42,L88=1,P88=0,O88&gt;Assumptions!$C$43),1,0)</f>
        <v>0</v>
      </c>
      <c r="M89" s="58" t="n">
        <f aca="false">O88</f>
        <v>-10.8661391719591</v>
      </c>
      <c r="N89" s="58" t="n">
        <f aca="false">IF(L89=1,M89*$B$20,0)</f>
        <v>0</v>
      </c>
      <c r="O89" s="58" t="n">
        <f aca="false">IF(L89=1,M89+N89-$B$21,M89)</f>
        <v>-10.8661391719591</v>
      </c>
      <c r="P89" s="56" t="n">
        <f aca="false">IF(L89=1,IF($B$21&lt;=N89,1,0),0)</f>
        <v>0</v>
      </c>
      <c r="Q89" s="58" t="n">
        <f aca="false">Q88+N89</f>
        <v>989.13386082804</v>
      </c>
    </row>
    <row r="90" customFormat="false" ht="15" hidden="false" customHeight="false" outlineLevel="0" collapsed="false">
      <c r="K90" s="56" t="n">
        <f aca="false">K89+1</f>
        <v>83</v>
      </c>
      <c r="L90" s="57" t="n">
        <f aca="false">IF(AND(K90&lt;=Assumptions!$C$42,L89=1,P89=0,O89&gt;Assumptions!$C$43),1,0)</f>
        <v>0</v>
      </c>
      <c r="M90" s="58" t="n">
        <f aca="false">O89</f>
        <v>-10.8661391719591</v>
      </c>
      <c r="N90" s="58" t="n">
        <f aca="false">IF(L90=1,M90*$B$20,0)</f>
        <v>0</v>
      </c>
      <c r="O90" s="58" t="n">
        <f aca="false">IF(L90=1,M90+N90-$B$21,M90)</f>
        <v>-10.8661391719591</v>
      </c>
      <c r="P90" s="56" t="n">
        <f aca="false">IF(L90=1,IF($B$21&lt;=N90,1,0),0)</f>
        <v>0</v>
      </c>
      <c r="Q90" s="58" t="n">
        <f aca="false">Q89+N90</f>
        <v>989.13386082804</v>
      </c>
    </row>
    <row r="91" customFormat="false" ht="15" hidden="false" customHeight="false" outlineLevel="0" collapsed="false">
      <c r="K91" s="56" t="n">
        <f aca="false">K90+1</f>
        <v>84</v>
      </c>
      <c r="L91" s="57" t="n">
        <f aca="false">IF(AND(K91&lt;=Assumptions!$C$42,L90=1,P90=0,O90&gt;Assumptions!$C$43),1,0)</f>
        <v>0</v>
      </c>
      <c r="M91" s="58" t="n">
        <f aca="false">O90</f>
        <v>-10.8661391719591</v>
      </c>
      <c r="N91" s="58" t="n">
        <f aca="false">IF(L91=1,M91*$B$20,0)</f>
        <v>0</v>
      </c>
      <c r="O91" s="58" t="n">
        <f aca="false">IF(L91=1,M91+N91-$B$21,M91)</f>
        <v>-10.8661391719591</v>
      </c>
      <c r="P91" s="56" t="n">
        <f aca="false">IF(L91=1,IF($B$21&lt;=N91,1,0),0)</f>
        <v>0</v>
      </c>
      <c r="Q91" s="58" t="n">
        <f aca="false">Q90+N91</f>
        <v>989.13386082804</v>
      </c>
    </row>
    <row r="92" customFormat="false" ht="15" hidden="false" customHeight="false" outlineLevel="0" collapsed="false">
      <c r="K92" s="56" t="n">
        <f aca="false">K91+1</f>
        <v>85</v>
      </c>
      <c r="L92" s="57" t="n">
        <f aca="false">IF(AND(K92&lt;=Assumptions!$C$42,L91=1,P91=0,O91&gt;Assumptions!$C$43),1,0)</f>
        <v>0</v>
      </c>
      <c r="M92" s="58" t="n">
        <f aca="false">O91</f>
        <v>-10.8661391719591</v>
      </c>
      <c r="N92" s="58" t="n">
        <f aca="false">IF(L92=1,M92*$B$20,0)</f>
        <v>0</v>
      </c>
      <c r="O92" s="58" t="n">
        <f aca="false">IF(L92=1,M92+N92-$B$21,M92)</f>
        <v>-10.8661391719591</v>
      </c>
      <c r="P92" s="56" t="n">
        <f aca="false">IF(L92=1,IF($B$21&lt;=N92,1,0),0)</f>
        <v>0</v>
      </c>
      <c r="Q92" s="58" t="n">
        <f aca="false">Q91+N92</f>
        <v>989.13386082804</v>
      </c>
    </row>
    <row r="93" customFormat="false" ht="15" hidden="false" customHeight="false" outlineLevel="0" collapsed="false">
      <c r="K93" s="56" t="n">
        <f aca="false">K92+1</f>
        <v>86</v>
      </c>
      <c r="L93" s="57" t="n">
        <f aca="false">IF(AND(K93&lt;=Assumptions!$C$42,L92=1,P92=0,O92&gt;Assumptions!$C$43),1,0)</f>
        <v>0</v>
      </c>
      <c r="M93" s="58" t="n">
        <f aca="false">O92</f>
        <v>-10.8661391719591</v>
      </c>
      <c r="N93" s="58" t="n">
        <f aca="false">IF(L93=1,M93*$B$20,0)</f>
        <v>0</v>
      </c>
      <c r="O93" s="58" t="n">
        <f aca="false">IF(L93=1,M93+N93-$B$21,M93)</f>
        <v>-10.8661391719591</v>
      </c>
      <c r="P93" s="56" t="n">
        <f aca="false">IF(L93=1,IF($B$21&lt;=N93,1,0),0)</f>
        <v>0</v>
      </c>
      <c r="Q93" s="58" t="n">
        <f aca="false">Q92+N93</f>
        <v>989.13386082804</v>
      </c>
    </row>
    <row r="94" customFormat="false" ht="15" hidden="false" customHeight="false" outlineLevel="0" collapsed="false">
      <c r="K94" s="56" t="n">
        <f aca="false">K93+1</f>
        <v>87</v>
      </c>
      <c r="L94" s="57" t="n">
        <f aca="false">IF(AND(K94&lt;=Assumptions!$C$42,L93=1,P93=0,O93&gt;Assumptions!$C$43),1,0)</f>
        <v>0</v>
      </c>
      <c r="M94" s="58" t="n">
        <f aca="false">O93</f>
        <v>-10.8661391719591</v>
      </c>
      <c r="N94" s="58" t="n">
        <f aca="false">IF(L94=1,M94*$B$20,0)</f>
        <v>0</v>
      </c>
      <c r="O94" s="58" t="n">
        <f aca="false">IF(L94=1,M94+N94-$B$21,M94)</f>
        <v>-10.8661391719591</v>
      </c>
      <c r="P94" s="56" t="n">
        <f aca="false">IF(L94=1,IF($B$21&lt;=N94,1,0),0)</f>
        <v>0</v>
      </c>
      <c r="Q94" s="58" t="n">
        <f aca="false">Q93+N94</f>
        <v>989.13386082804</v>
      </c>
    </row>
    <row r="95" customFormat="false" ht="15" hidden="false" customHeight="false" outlineLevel="0" collapsed="false">
      <c r="K95" s="56" t="n">
        <f aca="false">K94+1</f>
        <v>88</v>
      </c>
      <c r="L95" s="57" t="n">
        <f aca="false">IF(AND(K95&lt;=Assumptions!$C$42,L94=1,P94=0,O94&gt;Assumptions!$C$43),1,0)</f>
        <v>0</v>
      </c>
      <c r="M95" s="58" t="n">
        <f aca="false">O94</f>
        <v>-10.8661391719591</v>
      </c>
      <c r="N95" s="58" t="n">
        <f aca="false">IF(L95=1,M95*$B$20,0)</f>
        <v>0</v>
      </c>
      <c r="O95" s="58" t="n">
        <f aca="false">IF(L95=1,M95+N95-$B$21,M95)</f>
        <v>-10.8661391719591</v>
      </c>
      <c r="P95" s="56" t="n">
        <f aca="false">IF(L95=1,IF($B$21&lt;=N95,1,0),0)</f>
        <v>0</v>
      </c>
      <c r="Q95" s="58" t="n">
        <f aca="false">Q94+N95</f>
        <v>989.13386082804</v>
      </c>
    </row>
    <row r="96" customFormat="false" ht="15" hidden="false" customHeight="false" outlineLevel="0" collapsed="false">
      <c r="K96" s="56" t="n">
        <f aca="false">K95+1</f>
        <v>89</v>
      </c>
      <c r="L96" s="57" t="n">
        <f aca="false">IF(AND(K96&lt;=Assumptions!$C$42,L95=1,P95=0,O95&gt;Assumptions!$C$43),1,0)</f>
        <v>0</v>
      </c>
      <c r="M96" s="58" t="n">
        <f aca="false">O95</f>
        <v>-10.8661391719591</v>
      </c>
      <c r="N96" s="58" t="n">
        <f aca="false">IF(L96=1,M96*$B$20,0)</f>
        <v>0</v>
      </c>
      <c r="O96" s="58" t="n">
        <f aca="false">IF(L96=1,M96+N96-$B$21,M96)</f>
        <v>-10.8661391719591</v>
      </c>
      <c r="P96" s="56" t="n">
        <f aca="false">IF(L96=1,IF($B$21&lt;=N96,1,0),0)</f>
        <v>0</v>
      </c>
      <c r="Q96" s="58" t="n">
        <f aca="false">Q95+N96</f>
        <v>989.13386082804</v>
      </c>
    </row>
    <row r="97" customFormat="false" ht="15" hidden="false" customHeight="false" outlineLevel="0" collapsed="false">
      <c r="K97" s="56" t="n">
        <f aca="false">K96+1</f>
        <v>90</v>
      </c>
      <c r="L97" s="57" t="n">
        <f aca="false">IF(AND(K97&lt;=Assumptions!$C$42,L96=1,P96=0,O96&gt;Assumptions!$C$43),1,0)</f>
        <v>0</v>
      </c>
      <c r="M97" s="58" t="n">
        <f aca="false">O96</f>
        <v>-10.8661391719591</v>
      </c>
      <c r="N97" s="58" t="n">
        <f aca="false">IF(L97=1,M97*$B$20,0)</f>
        <v>0</v>
      </c>
      <c r="O97" s="58" t="n">
        <f aca="false">IF(L97=1,M97+N97-$B$21,M97)</f>
        <v>-10.8661391719591</v>
      </c>
      <c r="P97" s="56" t="n">
        <f aca="false">IF(L97=1,IF($B$21&lt;=N97,1,0),0)</f>
        <v>0</v>
      </c>
      <c r="Q97" s="58" t="n">
        <f aca="false">Q96+N97</f>
        <v>989.13386082804</v>
      </c>
    </row>
    <row r="98" customFormat="false" ht="15" hidden="false" customHeight="false" outlineLevel="0" collapsed="false">
      <c r="K98" s="56" t="n">
        <f aca="false">K97+1</f>
        <v>91</v>
      </c>
      <c r="L98" s="57" t="n">
        <f aca="false">IF(AND(K98&lt;=Assumptions!$C$42,L97=1,P97=0,O97&gt;Assumptions!$C$43),1,0)</f>
        <v>0</v>
      </c>
      <c r="M98" s="58" t="n">
        <f aca="false">O97</f>
        <v>-10.8661391719591</v>
      </c>
      <c r="N98" s="58" t="n">
        <f aca="false">IF(L98=1,M98*$B$20,0)</f>
        <v>0</v>
      </c>
      <c r="O98" s="58" t="n">
        <f aca="false">IF(L98=1,M98+N98-$B$21,M98)</f>
        <v>-10.8661391719591</v>
      </c>
      <c r="P98" s="56" t="n">
        <f aca="false">IF(L98=1,IF($B$21&lt;=N98,1,0),0)</f>
        <v>0</v>
      </c>
      <c r="Q98" s="58" t="n">
        <f aca="false">Q97+N98</f>
        <v>989.13386082804</v>
      </c>
    </row>
    <row r="99" customFormat="false" ht="15" hidden="false" customHeight="false" outlineLevel="0" collapsed="false">
      <c r="K99" s="56" t="n">
        <f aca="false">K98+1</f>
        <v>92</v>
      </c>
      <c r="L99" s="57" t="n">
        <f aca="false">IF(AND(K99&lt;=Assumptions!$C$42,L98=1,P98=0,O98&gt;Assumptions!$C$43),1,0)</f>
        <v>0</v>
      </c>
      <c r="M99" s="58" t="n">
        <f aca="false">O98</f>
        <v>-10.8661391719591</v>
      </c>
      <c r="N99" s="58" t="n">
        <f aca="false">IF(L99=1,M99*$B$20,0)</f>
        <v>0</v>
      </c>
      <c r="O99" s="58" t="n">
        <f aca="false">IF(L99=1,M99+N99-$B$21,M99)</f>
        <v>-10.8661391719591</v>
      </c>
      <c r="P99" s="56" t="n">
        <f aca="false">IF(L99=1,IF($B$21&lt;=N99,1,0),0)</f>
        <v>0</v>
      </c>
      <c r="Q99" s="58" t="n">
        <f aca="false">Q98+N99</f>
        <v>989.13386082804</v>
      </c>
    </row>
    <row r="100" customFormat="false" ht="15" hidden="false" customHeight="false" outlineLevel="0" collapsed="false">
      <c r="K100" s="56" t="n">
        <f aca="false">K99+1</f>
        <v>93</v>
      </c>
      <c r="L100" s="57" t="n">
        <f aca="false">IF(AND(K100&lt;=Assumptions!$C$42,L99=1,P99=0,O99&gt;Assumptions!$C$43),1,0)</f>
        <v>0</v>
      </c>
      <c r="M100" s="58" t="n">
        <f aca="false">O99</f>
        <v>-10.8661391719591</v>
      </c>
      <c r="N100" s="58" t="n">
        <f aca="false">IF(L100=1,M100*$B$20,0)</f>
        <v>0</v>
      </c>
      <c r="O100" s="58" t="n">
        <f aca="false">IF(L100=1,M100+N100-$B$21,M100)</f>
        <v>-10.8661391719591</v>
      </c>
      <c r="P100" s="56" t="n">
        <f aca="false">IF(L100=1,IF($B$21&lt;=N100,1,0),0)</f>
        <v>0</v>
      </c>
      <c r="Q100" s="58" t="n">
        <f aca="false">Q99+N100</f>
        <v>989.13386082804</v>
      </c>
    </row>
    <row r="101" customFormat="false" ht="15" hidden="false" customHeight="false" outlineLevel="0" collapsed="false">
      <c r="K101" s="56" t="n">
        <f aca="false">K100+1</f>
        <v>94</v>
      </c>
      <c r="L101" s="57" t="n">
        <f aca="false">IF(AND(K101&lt;=Assumptions!$C$42,L100=1,P100=0,O100&gt;Assumptions!$C$43),1,0)</f>
        <v>0</v>
      </c>
      <c r="M101" s="58" t="n">
        <f aca="false">O100</f>
        <v>-10.8661391719591</v>
      </c>
      <c r="N101" s="58" t="n">
        <f aca="false">IF(L101=1,M101*$B$20,0)</f>
        <v>0</v>
      </c>
      <c r="O101" s="58" t="n">
        <f aca="false">IF(L101=1,M101+N101-$B$21,M101)</f>
        <v>-10.8661391719591</v>
      </c>
      <c r="P101" s="56" t="n">
        <f aca="false">IF(L101=1,IF($B$21&lt;=N101,1,0),0)</f>
        <v>0</v>
      </c>
      <c r="Q101" s="58" t="n">
        <f aca="false">Q100+N101</f>
        <v>989.13386082804</v>
      </c>
    </row>
    <row r="102" customFormat="false" ht="15" hidden="false" customHeight="false" outlineLevel="0" collapsed="false">
      <c r="K102" s="56" t="n">
        <f aca="false">K101+1</f>
        <v>95</v>
      </c>
      <c r="L102" s="57" t="n">
        <f aca="false">IF(AND(K102&lt;=Assumptions!$C$42,L101=1,P101=0,O101&gt;Assumptions!$C$43),1,0)</f>
        <v>0</v>
      </c>
      <c r="M102" s="58" t="n">
        <f aca="false">O101</f>
        <v>-10.8661391719591</v>
      </c>
      <c r="N102" s="58" t="n">
        <f aca="false">IF(L102=1,M102*$B$20,0)</f>
        <v>0</v>
      </c>
      <c r="O102" s="58" t="n">
        <f aca="false">IF(L102=1,M102+N102-$B$21,M102)</f>
        <v>-10.8661391719591</v>
      </c>
      <c r="P102" s="56" t="n">
        <f aca="false">IF(L102=1,IF($B$21&lt;=N102,1,0),0)</f>
        <v>0</v>
      </c>
      <c r="Q102" s="58" t="n">
        <f aca="false">Q101+N102</f>
        <v>989.13386082804</v>
      </c>
    </row>
    <row r="103" customFormat="false" ht="15" hidden="false" customHeight="false" outlineLevel="0" collapsed="false">
      <c r="K103" s="56" t="n">
        <f aca="false">K102+1</f>
        <v>96</v>
      </c>
      <c r="L103" s="57" t="n">
        <f aca="false">IF(AND(K103&lt;=Assumptions!$C$42,L102=1,P102=0,O102&gt;Assumptions!$C$43),1,0)</f>
        <v>0</v>
      </c>
      <c r="M103" s="58" t="n">
        <f aca="false">O102</f>
        <v>-10.8661391719591</v>
      </c>
      <c r="N103" s="58" t="n">
        <f aca="false">IF(L103=1,M103*$B$20,0)</f>
        <v>0</v>
      </c>
      <c r="O103" s="58" t="n">
        <f aca="false">IF(L103=1,M103+N103-$B$21,M103)</f>
        <v>-10.8661391719591</v>
      </c>
      <c r="P103" s="56" t="n">
        <f aca="false">IF(L103=1,IF($B$21&lt;=N103,1,0),0)</f>
        <v>0</v>
      </c>
      <c r="Q103" s="58" t="n">
        <f aca="false">Q102+N103</f>
        <v>989.13386082804</v>
      </c>
    </row>
    <row r="104" customFormat="false" ht="15" hidden="false" customHeight="false" outlineLevel="0" collapsed="false">
      <c r="K104" s="56" t="n">
        <f aca="false">K103+1</f>
        <v>97</v>
      </c>
      <c r="L104" s="57" t="n">
        <f aca="false">IF(AND(K104&lt;=Assumptions!$C$42,L103=1,P103=0,O103&gt;Assumptions!$C$43),1,0)</f>
        <v>0</v>
      </c>
      <c r="M104" s="58" t="n">
        <f aca="false">O103</f>
        <v>-10.8661391719591</v>
      </c>
      <c r="N104" s="58" t="n">
        <f aca="false">IF(L104=1,M104*$B$20,0)</f>
        <v>0</v>
      </c>
      <c r="O104" s="58" t="n">
        <f aca="false">IF(L104=1,M104+N104-$B$21,M104)</f>
        <v>-10.8661391719591</v>
      </c>
      <c r="P104" s="56" t="n">
        <f aca="false">IF(L104=1,IF($B$21&lt;=N104,1,0),0)</f>
        <v>0</v>
      </c>
      <c r="Q104" s="58" t="n">
        <f aca="false">Q103+N104</f>
        <v>989.13386082804</v>
      </c>
    </row>
    <row r="105" customFormat="false" ht="15" hidden="false" customHeight="false" outlineLevel="0" collapsed="false">
      <c r="K105" s="56" t="n">
        <f aca="false">K104+1</f>
        <v>98</v>
      </c>
      <c r="L105" s="57" t="n">
        <f aca="false">IF(AND(K105&lt;=Assumptions!$C$42,L104=1,P104=0,O104&gt;Assumptions!$C$43),1,0)</f>
        <v>0</v>
      </c>
      <c r="M105" s="58" t="n">
        <f aca="false">O104</f>
        <v>-10.8661391719591</v>
      </c>
      <c r="N105" s="58" t="n">
        <f aca="false">IF(L105=1,M105*$B$20,0)</f>
        <v>0</v>
      </c>
      <c r="O105" s="58" t="n">
        <f aca="false">IF(L105=1,M105+N105-$B$21,M105)</f>
        <v>-10.8661391719591</v>
      </c>
      <c r="P105" s="56" t="n">
        <f aca="false">IF(L105=1,IF($B$21&lt;=N105,1,0),0)</f>
        <v>0</v>
      </c>
      <c r="Q105" s="58" t="n">
        <f aca="false">Q104+N105</f>
        <v>989.13386082804</v>
      </c>
    </row>
    <row r="106" customFormat="false" ht="15" hidden="false" customHeight="false" outlineLevel="0" collapsed="false">
      <c r="K106" s="56" t="n">
        <f aca="false">K105+1</f>
        <v>99</v>
      </c>
      <c r="L106" s="57" t="n">
        <f aca="false">IF(AND(K106&lt;=Assumptions!$C$42,L105=1,P105=0,O105&gt;Assumptions!$C$43),1,0)</f>
        <v>0</v>
      </c>
      <c r="M106" s="58" t="n">
        <f aca="false">O105</f>
        <v>-10.8661391719591</v>
      </c>
      <c r="N106" s="58" t="n">
        <f aca="false">IF(L106=1,M106*$B$20,0)</f>
        <v>0</v>
      </c>
      <c r="O106" s="58" t="n">
        <f aca="false">IF(L106=1,M106+N106-$B$21,M106)</f>
        <v>-10.8661391719591</v>
      </c>
      <c r="P106" s="56" t="n">
        <f aca="false">IF(L106=1,IF($B$21&lt;=N106,1,0),0)</f>
        <v>0</v>
      </c>
      <c r="Q106" s="58" t="n">
        <f aca="false">Q105+N106</f>
        <v>989.13386082804</v>
      </c>
    </row>
    <row r="107" customFormat="false" ht="15" hidden="false" customHeight="false" outlineLevel="0" collapsed="false">
      <c r="K107" s="56" t="n">
        <f aca="false">K106+1</f>
        <v>100</v>
      </c>
      <c r="L107" s="57" t="n">
        <f aca="false">IF(AND(K107&lt;=Assumptions!$C$42,L106=1,P106=0,O106&gt;Assumptions!$C$43),1,0)</f>
        <v>0</v>
      </c>
      <c r="M107" s="58" t="n">
        <f aca="false">O106</f>
        <v>-10.8661391719591</v>
      </c>
      <c r="N107" s="58" t="n">
        <f aca="false">IF(L107=1,M107*$B$20,0)</f>
        <v>0</v>
      </c>
      <c r="O107" s="58" t="n">
        <f aca="false">IF(L107=1,M107+N107-$B$21,M107)</f>
        <v>-10.8661391719591</v>
      </c>
      <c r="P107" s="56" t="n">
        <f aca="false">IF(L107=1,IF($B$21&lt;=N107,1,0),0)</f>
        <v>0</v>
      </c>
      <c r="Q107" s="58" t="n">
        <f aca="false">Q106+N107</f>
        <v>989.13386082804</v>
      </c>
    </row>
    <row r="108" customFormat="false" ht="15" hidden="false" customHeight="false" outlineLevel="0" collapsed="false">
      <c r="K108" s="56" t="n">
        <f aca="false">K107+1</f>
        <v>101</v>
      </c>
      <c r="L108" s="57" t="n">
        <f aca="false">IF(AND(K108&lt;=Assumptions!$C$42,L107=1,P107=0,O107&gt;Assumptions!$C$43),1,0)</f>
        <v>0</v>
      </c>
      <c r="M108" s="58" t="n">
        <f aca="false">O107</f>
        <v>-10.8661391719591</v>
      </c>
      <c r="N108" s="58" t="n">
        <f aca="false">IF(L108=1,M108*$B$20,0)</f>
        <v>0</v>
      </c>
      <c r="O108" s="58" t="n">
        <f aca="false">IF(L108=1,M108+N108-$B$21,M108)</f>
        <v>-10.8661391719591</v>
      </c>
      <c r="P108" s="56" t="n">
        <f aca="false">IF(L108=1,IF($B$21&lt;=N108,1,0),0)</f>
        <v>0</v>
      </c>
      <c r="Q108" s="58" t="n">
        <f aca="false">Q107+N108</f>
        <v>989.13386082804</v>
      </c>
    </row>
    <row r="109" customFormat="false" ht="15" hidden="false" customHeight="false" outlineLevel="0" collapsed="false">
      <c r="K109" s="56" t="n">
        <f aca="false">K108+1</f>
        <v>102</v>
      </c>
      <c r="L109" s="57" t="n">
        <f aca="false">IF(AND(K109&lt;=Assumptions!$C$42,L108=1,P108=0,O108&gt;Assumptions!$C$43),1,0)</f>
        <v>0</v>
      </c>
      <c r="M109" s="58" t="n">
        <f aca="false">O108</f>
        <v>-10.8661391719591</v>
      </c>
      <c r="N109" s="58" t="n">
        <f aca="false">IF(L109=1,M109*$B$20,0)</f>
        <v>0</v>
      </c>
      <c r="O109" s="58" t="n">
        <f aca="false">IF(L109=1,M109+N109-$B$21,M109)</f>
        <v>-10.8661391719591</v>
      </c>
      <c r="P109" s="56" t="n">
        <f aca="false">IF(L109=1,IF($B$21&lt;=N109,1,0),0)</f>
        <v>0</v>
      </c>
      <c r="Q109" s="58" t="n">
        <f aca="false">Q108+N109</f>
        <v>989.13386082804</v>
      </c>
    </row>
    <row r="110" customFormat="false" ht="15" hidden="false" customHeight="false" outlineLevel="0" collapsed="false">
      <c r="K110" s="56" t="n">
        <f aca="false">K109+1</f>
        <v>103</v>
      </c>
      <c r="L110" s="57" t="n">
        <f aca="false">IF(AND(K110&lt;=Assumptions!$C$42,L109=1,P109=0,O109&gt;Assumptions!$C$43),1,0)</f>
        <v>0</v>
      </c>
      <c r="M110" s="58" t="n">
        <f aca="false">O109</f>
        <v>-10.8661391719591</v>
      </c>
      <c r="N110" s="58" t="n">
        <f aca="false">IF(L110=1,M110*$B$20,0)</f>
        <v>0</v>
      </c>
      <c r="O110" s="58" t="n">
        <f aca="false">IF(L110=1,M110+N110-$B$21,M110)</f>
        <v>-10.8661391719591</v>
      </c>
      <c r="P110" s="56" t="n">
        <f aca="false">IF(L110=1,IF($B$21&lt;=N110,1,0),0)</f>
        <v>0</v>
      </c>
      <c r="Q110" s="58" t="n">
        <f aca="false">Q109+N110</f>
        <v>989.13386082804</v>
      </c>
    </row>
    <row r="111" customFormat="false" ht="15" hidden="false" customHeight="false" outlineLevel="0" collapsed="false">
      <c r="K111" s="56" t="n">
        <f aca="false">K110+1</f>
        <v>104</v>
      </c>
      <c r="L111" s="57" t="n">
        <f aca="false">IF(AND(K111&lt;=Assumptions!$C$42,L110=1,P110=0,O110&gt;Assumptions!$C$43),1,0)</f>
        <v>0</v>
      </c>
      <c r="M111" s="58" t="n">
        <f aca="false">O110</f>
        <v>-10.8661391719591</v>
      </c>
      <c r="N111" s="58" t="n">
        <f aca="false">IF(L111=1,M111*$B$20,0)</f>
        <v>0</v>
      </c>
      <c r="O111" s="58" t="n">
        <f aca="false">IF(L111=1,M111+N111-$B$21,M111)</f>
        <v>-10.8661391719591</v>
      </c>
      <c r="P111" s="56" t="n">
        <f aca="false">IF(L111=1,IF($B$21&lt;=N111,1,0),0)</f>
        <v>0</v>
      </c>
      <c r="Q111" s="58" t="n">
        <f aca="false">Q110+N111</f>
        <v>989.13386082804</v>
      </c>
    </row>
    <row r="112" customFormat="false" ht="15" hidden="false" customHeight="false" outlineLevel="0" collapsed="false">
      <c r="K112" s="56" t="n">
        <f aca="false">K111+1</f>
        <v>105</v>
      </c>
      <c r="L112" s="57" t="n">
        <f aca="false">IF(AND(K112&lt;=Assumptions!$C$42,L111=1,P111=0,O111&gt;Assumptions!$C$43),1,0)</f>
        <v>0</v>
      </c>
      <c r="M112" s="58" t="n">
        <f aca="false">O111</f>
        <v>-10.8661391719591</v>
      </c>
      <c r="N112" s="58" t="n">
        <f aca="false">IF(L112=1,M112*$B$20,0)</f>
        <v>0</v>
      </c>
      <c r="O112" s="58" t="n">
        <f aca="false">IF(L112=1,M112+N112-$B$21,M112)</f>
        <v>-10.8661391719591</v>
      </c>
      <c r="P112" s="56" t="n">
        <f aca="false">IF(L112=1,IF($B$21&lt;=N112,1,0),0)</f>
        <v>0</v>
      </c>
      <c r="Q112" s="58" t="n">
        <f aca="false">Q111+N112</f>
        <v>989.13386082804</v>
      </c>
    </row>
    <row r="113" customFormat="false" ht="15" hidden="false" customHeight="false" outlineLevel="0" collapsed="false">
      <c r="K113" s="56" t="n">
        <f aca="false">K112+1</f>
        <v>106</v>
      </c>
      <c r="L113" s="57" t="n">
        <f aca="false">IF(AND(K113&lt;=Assumptions!$C$42,L112=1,P112=0,O112&gt;Assumptions!$C$43),1,0)</f>
        <v>0</v>
      </c>
      <c r="M113" s="58" t="n">
        <f aca="false">O112</f>
        <v>-10.8661391719591</v>
      </c>
      <c r="N113" s="58" t="n">
        <f aca="false">IF(L113=1,M113*$B$20,0)</f>
        <v>0</v>
      </c>
      <c r="O113" s="58" t="n">
        <f aca="false">IF(L113=1,M113+N113-$B$21,M113)</f>
        <v>-10.8661391719591</v>
      </c>
      <c r="P113" s="56" t="n">
        <f aca="false">IF(L113=1,IF($B$21&lt;=N113,1,0),0)</f>
        <v>0</v>
      </c>
      <c r="Q113" s="58" t="n">
        <f aca="false">Q112+N113</f>
        <v>989.13386082804</v>
      </c>
    </row>
    <row r="114" customFormat="false" ht="15" hidden="false" customHeight="false" outlineLevel="0" collapsed="false">
      <c r="K114" s="56" t="n">
        <f aca="false">K113+1</f>
        <v>107</v>
      </c>
      <c r="L114" s="57" t="n">
        <f aca="false">IF(AND(K114&lt;=Assumptions!$C$42,L113=1,P113=0,O113&gt;Assumptions!$C$43),1,0)</f>
        <v>0</v>
      </c>
      <c r="M114" s="58" t="n">
        <f aca="false">O113</f>
        <v>-10.8661391719591</v>
      </c>
      <c r="N114" s="58" t="n">
        <f aca="false">IF(L114=1,M114*$B$20,0)</f>
        <v>0</v>
      </c>
      <c r="O114" s="58" t="n">
        <f aca="false">IF(L114=1,M114+N114-$B$21,M114)</f>
        <v>-10.8661391719591</v>
      </c>
      <c r="P114" s="56" t="n">
        <f aca="false">IF(L114=1,IF($B$21&lt;=N114,1,0),0)</f>
        <v>0</v>
      </c>
      <c r="Q114" s="58" t="n">
        <f aca="false">Q113+N114</f>
        <v>989.13386082804</v>
      </c>
    </row>
    <row r="115" customFormat="false" ht="15" hidden="false" customHeight="false" outlineLevel="0" collapsed="false">
      <c r="K115" s="56" t="n">
        <f aca="false">K114+1</f>
        <v>108</v>
      </c>
      <c r="L115" s="57" t="n">
        <f aca="false">IF(AND(K115&lt;=Assumptions!$C$42,L114=1,P114=0,O114&gt;Assumptions!$C$43),1,0)</f>
        <v>0</v>
      </c>
      <c r="M115" s="58" t="n">
        <f aca="false">O114</f>
        <v>-10.8661391719591</v>
      </c>
      <c r="N115" s="58" t="n">
        <f aca="false">IF(L115=1,M115*$B$20,0)</f>
        <v>0</v>
      </c>
      <c r="O115" s="58" t="n">
        <f aca="false">IF(L115=1,M115+N115-$B$21,M115)</f>
        <v>-10.8661391719591</v>
      </c>
      <c r="P115" s="56" t="n">
        <f aca="false">IF(L115=1,IF($B$21&lt;=N115,1,0),0)</f>
        <v>0</v>
      </c>
      <c r="Q115" s="58" t="n">
        <f aca="false">Q114+N115</f>
        <v>989.13386082804</v>
      </c>
    </row>
    <row r="116" customFormat="false" ht="15" hidden="false" customHeight="false" outlineLevel="0" collapsed="false">
      <c r="K116" s="56" t="n">
        <f aca="false">K115+1</f>
        <v>109</v>
      </c>
      <c r="L116" s="57" t="n">
        <f aca="false">IF(AND(K116&lt;=Assumptions!$C$42,L115=1,P115=0,O115&gt;Assumptions!$C$43),1,0)</f>
        <v>0</v>
      </c>
      <c r="M116" s="58" t="n">
        <f aca="false">O115</f>
        <v>-10.8661391719591</v>
      </c>
      <c r="N116" s="58" t="n">
        <f aca="false">IF(L116=1,M116*$B$20,0)</f>
        <v>0</v>
      </c>
      <c r="O116" s="58" t="n">
        <f aca="false">IF(L116=1,M116+N116-$B$21,M116)</f>
        <v>-10.8661391719591</v>
      </c>
      <c r="P116" s="56" t="n">
        <f aca="false">IF(L116=1,IF($B$21&lt;=N116,1,0),0)</f>
        <v>0</v>
      </c>
      <c r="Q116" s="58" t="n">
        <f aca="false">Q115+N116</f>
        <v>989.13386082804</v>
      </c>
    </row>
    <row r="117" customFormat="false" ht="15" hidden="false" customHeight="false" outlineLevel="0" collapsed="false">
      <c r="K117" s="56" t="n">
        <f aca="false">K116+1</f>
        <v>110</v>
      </c>
      <c r="L117" s="57" t="n">
        <f aca="false">IF(AND(K117&lt;=Assumptions!$C$42,L116=1,P116=0,O116&gt;Assumptions!$C$43),1,0)</f>
        <v>0</v>
      </c>
      <c r="M117" s="58" t="n">
        <f aca="false">O116</f>
        <v>-10.8661391719591</v>
      </c>
      <c r="N117" s="58" t="n">
        <f aca="false">IF(L117=1,M117*$B$20,0)</f>
        <v>0</v>
      </c>
      <c r="O117" s="58" t="n">
        <f aca="false">IF(L117=1,M117+N117-$B$21,M117)</f>
        <v>-10.8661391719591</v>
      </c>
      <c r="P117" s="56" t="n">
        <f aca="false">IF(L117=1,IF($B$21&lt;=N117,1,0),0)</f>
        <v>0</v>
      </c>
      <c r="Q117" s="58" t="n">
        <f aca="false">Q116+N117</f>
        <v>989.13386082804</v>
      </c>
    </row>
    <row r="118" customFormat="false" ht="15" hidden="false" customHeight="false" outlineLevel="0" collapsed="false">
      <c r="K118" s="56" t="n">
        <f aca="false">K117+1</f>
        <v>111</v>
      </c>
      <c r="L118" s="57" t="n">
        <f aca="false">IF(AND(K118&lt;=Assumptions!$C$42,L117=1,P117=0,O117&gt;Assumptions!$C$43),1,0)</f>
        <v>0</v>
      </c>
      <c r="M118" s="58" t="n">
        <f aca="false">O117</f>
        <v>-10.8661391719591</v>
      </c>
      <c r="N118" s="58" t="n">
        <f aca="false">IF(L118=1,M118*$B$20,0)</f>
        <v>0</v>
      </c>
      <c r="O118" s="58" t="n">
        <f aca="false">IF(L118=1,M118+N118-$B$21,M118)</f>
        <v>-10.8661391719591</v>
      </c>
      <c r="P118" s="56" t="n">
        <f aca="false">IF(L118=1,IF($B$21&lt;=N118,1,0),0)</f>
        <v>0</v>
      </c>
      <c r="Q118" s="58" t="n">
        <f aca="false">Q117+N118</f>
        <v>989.13386082804</v>
      </c>
    </row>
    <row r="119" customFormat="false" ht="15" hidden="false" customHeight="false" outlineLevel="0" collapsed="false">
      <c r="K119" s="56" t="n">
        <f aca="false">K118+1</f>
        <v>112</v>
      </c>
      <c r="L119" s="57" t="n">
        <f aca="false">IF(AND(K119&lt;=Assumptions!$C$42,L118=1,P118=0,O118&gt;Assumptions!$C$43),1,0)</f>
        <v>0</v>
      </c>
      <c r="M119" s="58" t="n">
        <f aca="false">O118</f>
        <v>-10.8661391719591</v>
      </c>
      <c r="N119" s="58" t="n">
        <f aca="false">IF(L119=1,M119*$B$20,0)</f>
        <v>0</v>
      </c>
      <c r="O119" s="58" t="n">
        <f aca="false">IF(L119=1,M119+N119-$B$21,M119)</f>
        <v>-10.8661391719591</v>
      </c>
      <c r="P119" s="56" t="n">
        <f aca="false">IF(L119=1,IF($B$21&lt;=N119,1,0),0)</f>
        <v>0</v>
      </c>
      <c r="Q119" s="58" t="n">
        <f aca="false">Q118+N119</f>
        <v>989.13386082804</v>
      </c>
    </row>
    <row r="120" customFormat="false" ht="15" hidden="false" customHeight="false" outlineLevel="0" collapsed="false">
      <c r="K120" s="56" t="n">
        <f aca="false">K119+1</f>
        <v>113</v>
      </c>
      <c r="L120" s="57" t="n">
        <f aca="false">IF(AND(K120&lt;=Assumptions!$C$42,L119=1,P119=0,O119&gt;Assumptions!$C$43),1,0)</f>
        <v>0</v>
      </c>
      <c r="M120" s="58" t="n">
        <f aca="false">O119</f>
        <v>-10.8661391719591</v>
      </c>
      <c r="N120" s="58" t="n">
        <f aca="false">IF(L120=1,M120*$B$20,0)</f>
        <v>0</v>
      </c>
      <c r="O120" s="58" t="n">
        <f aca="false">IF(L120=1,M120+N120-$B$21,M120)</f>
        <v>-10.8661391719591</v>
      </c>
      <c r="P120" s="56" t="n">
        <f aca="false">IF(L120=1,IF($B$21&lt;=N120,1,0),0)</f>
        <v>0</v>
      </c>
      <c r="Q120" s="58" t="n">
        <f aca="false">Q119+N120</f>
        <v>989.13386082804</v>
      </c>
    </row>
    <row r="121" customFormat="false" ht="15" hidden="false" customHeight="false" outlineLevel="0" collapsed="false">
      <c r="K121" s="56" t="n">
        <f aca="false">K120+1</f>
        <v>114</v>
      </c>
      <c r="L121" s="57" t="n">
        <f aca="false">IF(AND(K121&lt;=Assumptions!$C$42,L120=1,P120=0,O120&gt;Assumptions!$C$43),1,0)</f>
        <v>0</v>
      </c>
      <c r="M121" s="58" t="n">
        <f aca="false">O120</f>
        <v>-10.8661391719591</v>
      </c>
      <c r="N121" s="58" t="n">
        <f aca="false">IF(L121=1,M121*$B$20,0)</f>
        <v>0</v>
      </c>
      <c r="O121" s="58" t="n">
        <f aca="false">IF(L121=1,M121+N121-$B$21,M121)</f>
        <v>-10.8661391719591</v>
      </c>
      <c r="P121" s="56" t="n">
        <f aca="false">IF(L121=1,IF($B$21&lt;=N121,1,0),0)</f>
        <v>0</v>
      </c>
      <c r="Q121" s="58" t="n">
        <f aca="false">Q120+N121</f>
        <v>989.13386082804</v>
      </c>
    </row>
    <row r="122" customFormat="false" ht="15" hidden="false" customHeight="false" outlineLevel="0" collapsed="false">
      <c r="K122" s="56" t="n">
        <f aca="false">K121+1</f>
        <v>115</v>
      </c>
      <c r="L122" s="57" t="n">
        <f aca="false">IF(AND(K122&lt;=Assumptions!$C$42,L121=1,P121=0,O121&gt;Assumptions!$C$43),1,0)</f>
        <v>0</v>
      </c>
      <c r="M122" s="58" t="n">
        <f aca="false">O121</f>
        <v>-10.8661391719591</v>
      </c>
      <c r="N122" s="58" t="n">
        <f aca="false">IF(L122=1,M122*$B$20,0)</f>
        <v>0</v>
      </c>
      <c r="O122" s="58" t="n">
        <f aca="false">IF(L122=1,M122+N122-$B$21,M122)</f>
        <v>-10.8661391719591</v>
      </c>
      <c r="P122" s="56" t="n">
        <f aca="false">IF(L122=1,IF($B$21&lt;=N122,1,0),0)</f>
        <v>0</v>
      </c>
      <c r="Q122" s="58" t="n">
        <f aca="false">Q121+N122</f>
        <v>989.13386082804</v>
      </c>
    </row>
    <row r="123" customFormat="false" ht="15" hidden="false" customHeight="false" outlineLevel="0" collapsed="false">
      <c r="K123" s="56" t="n">
        <f aca="false">K122+1</f>
        <v>116</v>
      </c>
      <c r="L123" s="57" t="n">
        <f aca="false">IF(AND(K123&lt;=Assumptions!$C$42,L122=1,P122=0,O122&gt;Assumptions!$C$43),1,0)</f>
        <v>0</v>
      </c>
      <c r="M123" s="58" t="n">
        <f aca="false">O122</f>
        <v>-10.8661391719591</v>
      </c>
      <c r="N123" s="58" t="n">
        <f aca="false">IF(L123=1,M123*$B$20,0)</f>
        <v>0</v>
      </c>
      <c r="O123" s="58" t="n">
        <f aca="false">IF(L123=1,M123+N123-$B$21,M123)</f>
        <v>-10.8661391719591</v>
      </c>
      <c r="P123" s="56" t="n">
        <f aca="false">IF(L123=1,IF($B$21&lt;=N123,1,0),0)</f>
        <v>0</v>
      </c>
      <c r="Q123" s="58" t="n">
        <f aca="false">Q122+N123</f>
        <v>989.13386082804</v>
      </c>
    </row>
    <row r="124" customFormat="false" ht="15" hidden="false" customHeight="false" outlineLevel="0" collapsed="false">
      <c r="K124" s="56" t="n">
        <f aca="false">K123+1</f>
        <v>117</v>
      </c>
      <c r="L124" s="57" t="n">
        <f aca="false">IF(AND(K124&lt;=Assumptions!$C$42,L123=1,P123=0,O123&gt;Assumptions!$C$43),1,0)</f>
        <v>0</v>
      </c>
      <c r="M124" s="58" t="n">
        <f aca="false">O123</f>
        <v>-10.8661391719591</v>
      </c>
      <c r="N124" s="58" t="n">
        <f aca="false">IF(L124=1,M124*$B$20,0)</f>
        <v>0</v>
      </c>
      <c r="O124" s="58" t="n">
        <f aca="false">IF(L124=1,M124+N124-$B$21,M124)</f>
        <v>-10.8661391719591</v>
      </c>
      <c r="P124" s="56" t="n">
        <f aca="false">IF(L124=1,IF($B$21&lt;=N124,1,0),0)</f>
        <v>0</v>
      </c>
      <c r="Q124" s="58" t="n">
        <f aca="false">Q123+N124</f>
        <v>989.13386082804</v>
      </c>
    </row>
    <row r="125" customFormat="false" ht="15" hidden="false" customHeight="false" outlineLevel="0" collapsed="false">
      <c r="K125" s="56" t="n">
        <f aca="false">K124+1</f>
        <v>118</v>
      </c>
      <c r="L125" s="57" t="n">
        <f aca="false">IF(AND(K125&lt;=Assumptions!$C$42,L124=1,P124=0,O124&gt;Assumptions!$C$43),1,0)</f>
        <v>0</v>
      </c>
      <c r="M125" s="58" t="n">
        <f aca="false">O124</f>
        <v>-10.8661391719591</v>
      </c>
      <c r="N125" s="58" t="n">
        <f aca="false">IF(L125=1,M125*$B$20,0)</f>
        <v>0</v>
      </c>
      <c r="O125" s="58" t="n">
        <f aca="false">IF(L125=1,M125+N125-$B$21,M125)</f>
        <v>-10.8661391719591</v>
      </c>
      <c r="P125" s="56" t="n">
        <f aca="false">IF(L125=1,IF($B$21&lt;=N125,1,0),0)</f>
        <v>0</v>
      </c>
      <c r="Q125" s="58" t="n">
        <f aca="false">Q124+N125</f>
        <v>989.13386082804</v>
      </c>
    </row>
    <row r="126" customFormat="false" ht="15" hidden="false" customHeight="false" outlineLevel="0" collapsed="false">
      <c r="K126" s="56" t="n">
        <f aca="false">K125+1</f>
        <v>119</v>
      </c>
      <c r="L126" s="57" t="n">
        <f aca="false">IF(AND(K126&lt;=Assumptions!$C$42,L125=1,P125=0,O125&gt;Assumptions!$C$43),1,0)</f>
        <v>0</v>
      </c>
      <c r="M126" s="58" t="n">
        <f aca="false">O125</f>
        <v>-10.8661391719591</v>
      </c>
      <c r="N126" s="58" t="n">
        <f aca="false">IF(L126=1,M126*$B$20,0)</f>
        <v>0</v>
      </c>
      <c r="O126" s="58" t="n">
        <f aca="false">IF(L126=1,M126+N126-$B$21,M126)</f>
        <v>-10.8661391719591</v>
      </c>
      <c r="P126" s="56" t="n">
        <f aca="false">IF(L126=1,IF($B$21&lt;=N126,1,0),0)</f>
        <v>0</v>
      </c>
      <c r="Q126" s="58" t="n">
        <f aca="false">Q125+N126</f>
        <v>989.13386082804</v>
      </c>
    </row>
    <row r="127" customFormat="false" ht="15" hidden="false" customHeight="false" outlineLevel="0" collapsed="false">
      <c r="K127" s="56" t="n">
        <f aca="false">K126+1</f>
        <v>120</v>
      </c>
      <c r="L127" s="57" t="n">
        <f aca="false">IF(AND(K127&lt;=Assumptions!$C$42,L126=1,P126=0,O126&gt;Assumptions!$C$43),1,0)</f>
        <v>0</v>
      </c>
      <c r="M127" s="58" t="n">
        <f aca="false">O126</f>
        <v>-10.8661391719591</v>
      </c>
      <c r="N127" s="58" t="n">
        <f aca="false">IF(L127=1,M127*$B$20,0)</f>
        <v>0</v>
      </c>
      <c r="O127" s="58" t="n">
        <f aca="false">IF(L127=1,M127+N127-$B$21,M127)</f>
        <v>-10.8661391719591</v>
      </c>
      <c r="P127" s="56" t="n">
        <f aca="false">IF(L127=1,IF($B$21&lt;=N127,1,0),0)</f>
        <v>0</v>
      </c>
      <c r="Q127" s="58" t="n">
        <f aca="false">Q126+N127</f>
        <v>989.13386082804</v>
      </c>
    </row>
    <row r="128" customFormat="false" ht="15" hidden="false" customHeight="false" outlineLevel="0" collapsed="false">
      <c r="K128" s="56" t="n">
        <f aca="false">K127+1</f>
        <v>121</v>
      </c>
      <c r="L128" s="57" t="n">
        <f aca="false">IF(AND(K128&lt;=Assumptions!$C$42,L127=1,P127=0,O127&gt;Assumptions!$C$43),1,0)</f>
        <v>0</v>
      </c>
      <c r="M128" s="58" t="n">
        <f aca="false">O127</f>
        <v>-10.8661391719591</v>
      </c>
      <c r="N128" s="58" t="n">
        <f aca="false">IF(L128=1,M128*$B$20,0)</f>
        <v>0</v>
      </c>
      <c r="O128" s="58" t="n">
        <f aca="false">IF(L128=1,M128+N128-$B$21,M128)</f>
        <v>-10.8661391719591</v>
      </c>
      <c r="P128" s="56" t="n">
        <f aca="false">IF(L128=1,IF($B$21&lt;=N128,1,0),0)</f>
        <v>0</v>
      </c>
      <c r="Q128" s="58" t="n">
        <f aca="false">Q127+N128</f>
        <v>989.13386082804</v>
      </c>
    </row>
    <row r="129" customFormat="false" ht="15" hidden="false" customHeight="false" outlineLevel="0" collapsed="false">
      <c r="K129" s="56" t="n">
        <f aca="false">K128+1</f>
        <v>122</v>
      </c>
      <c r="L129" s="57" t="n">
        <f aca="false">IF(AND(K129&lt;=Assumptions!$C$42,L128=1,P128=0,O128&gt;Assumptions!$C$43),1,0)</f>
        <v>0</v>
      </c>
      <c r="M129" s="58" t="n">
        <f aca="false">O128</f>
        <v>-10.8661391719591</v>
      </c>
      <c r="N129" s="58" t="n">
        <f aca="false">IF(L129=1,M129*$B$20,0)</f>
        <v>0</v>
      </c>
      <c r="O129" s="58" t="n">
        <f aca="false">IF(L129=1,M129+N129-$B$21,M129)</f>
        <v>-10.8661391719591</v>
      </c>
      <c r="P129" s="56" t="n">
        <f aca="false">IF(L129=1,IF($B$21&lt;=N129,1,0),0)</f>
        <v>0</v>
      </c>
      <c r="Q129" s="58" t="n">
        <f aca="false">Q128+N129</f>
        <v>989.13386082804</v>
      </c>
    </row>
    <row r="130" customFormat="false" ht="15" hidden="false" customHeight="false" outlineLevel="0" collapsed="false">
      <c r="K130" s="56" t="n">
        <f aca="false">K129+1</f>
        <v>123</v>
      </c>
      <c r="L130" s="57" t="n">
        <f aca="false">IF(AND(K130&lt;=Assumptions!$C$42,L129=1,P129=0,O129&gt;Assumptions!$C$43),1,0)</f>
        <v>0</v>
      </c>
      <c r="M130" s="58" t="n">
        <f aca="false">O129</f>
        <v>-10.8661391719591</v>
      </c>
      <c r="N130" s="58" t="n">
        <f aca="false">IF(L130=1,M130*$B$20,0)</f>
        <v>0</v>
      </c>
      <c r="O130" s="58" t="n">
        <f aca="false">IF(L130=1,M130+N130-$B$21,M130)</f>
        <v>-10.8661391719591</v>
      </c>
      <c r="P130" s="56" t="n">
        <f aca="false">IF(L130=1,IF($B$21&lt;=N130,1,0),0)</f>
        <v>0</v>
      </c>
      <c r="Q130" s="58" t="n">
        <f aca="false">Q129+N130</f>
        <v>989.13386082804</v>
      </c>
    </row>
    <row r="131" customFormat="false" ht="15" hidden="false" customHeight="false" outlineLevel="0" collapsed="false">
      <c r="K131" s="56" t="n">
        <f aca="false">K130+1</f>
        <v>124</v>
      </c>
      <c r="L131" s="57" t="n">
        <f aca="false">IF(AND(K131&lt;=Assumptions!$C$42,L130=1,P130=0,O130&gt;Assumptions!$C$43),1,0)</f>
        <v>0</v>
      </c>
      <c r="M131" s="58" t="n">
        <f aca="false">O130</f>
        <v>-10.8661391719591</v>
      </c>
      <c r="N131" s="58" t="n">
        <f aca="false">IF(L131=1,M131*$B$20,0)</f>
        <v>0</v>
      </c>
      <c r="O131" s="58" t="n">
        <f aca="false">IF(L131=1,M131+N131-$B$21,M131)</f>
        <v>-10.8661391719591</v>
      </c>
      <c r="P131" s="56" t="n">
        <f aca="false">IF(L131=1,IF($B$21&lt;=N131,1,0),0)</f>
        <v>0</v>
      </c>
      <c r="Q131" s="58" t="n">
        <f aca="false">Q130+N131</f>
        <v>989.13386082804</v>
      </c>
    </row>
    <row r="132" customFormat="false" ht="15" hidden="false" customHeight="false" outlineLevel="0" collapsed="false">
      <c r="K132" s="56" t="n">
        <f aca="false">K131+1</f>
        <v>125</v>
      </c>
      <c r="L132" s="57" t="n">
        <f aca="false">IF(AND(K132&lt;=Assumptions!$C$42,L131=1,P131=0,O131&gt;Assumptions!$C$43),1,0)</f>
        <v>0</v>
      </c>
      <c r="M132" s="58" t="n">
        <f aca="false">O131</f>
        <v>-10.8661391719591</v>
      </c>
      <c r="N132" s="58" t="n">
        <f aca="false">IF(L132=1,M132*$B$20,0)</f>
        <v>0</v>
      </c>
      <c r="O132" s="58" t="n">
        <f aca="false">IF(L132=1,M132+N132-$B$21,M132)</f>
        <v>-10.8661391719591</v>
      </c>
      <c r="P132" s="56" t="n">
        <f aca="false">IF(L132=1,IF($B$21&lt;=N132,1,0),0)</f>
        <v>0</v>
      </c>
      <c r="Q132" s="58" t="n">
        <f aca="false">Q131+N132</f>
        <v>989.13386082804</v>
      </c>
    </row>
    <row r="133" customFormat="false" ht="15" hidden="false" customHeight="false" outlineLevel="0" collapsed="false">
      <c r="K133" s="56" t="n">
        <f aca="false">K132+1</f>
        <v>126</v>
      </c>
      <c r="L133" s="57" t="n">
        <f aca="false">IF(AND(K133&lt;=Assumptions!$C$42,L132=1,P132=0,O132&gt;Assumptions!$C$43),1,0)</f>
        <v>0</v>
      </c>
      <c r="M133" s="58" t="n">
        <f aca="false">O132</f>
        <v>-10.8661391719591</v>
      </c>
      <c r="N133" s="58" t="n">
        <f aca="false">IF(L133=1,M133*$B$20,0)</f>
        <v>0</v>
      </c>
      <c r="O133" s="58" t="n">
        <f aca="false">IF(L133=1,M133+N133-$B$21,M133)</f>
        <v>-10.8661391719591</v>
      </c>
      <c r="P133" s="56" t="n">
        <f aca="false">IF(L133=1,IF($B$21&lt;=N133,1,0),0)</f>
        <v>0</v>
      </c>
      <c r="Q133" s="58" t="n">
        <f aca="false">Q132+N133</f>
        <v>989.13386082804</v>
      </c>
    </row>
    <row r="134" customFormat="false" ht="15" hidden="false" customHeight="false" outlineLevel="0" collapsed="false">
      <c r="K134" s="56" t="n">
        <f aca="false">K133+1</f>
        <v>127</v>
      </c>
      <c r="L134" s="57" t="n">
        <f aca="false">IF(AND(K134&lt;=Assumptions!$C$42,L133=1,P133=0,O133&gt;Assumptions!$C$43),1,0)</f>
        <v>0</v>
      </c>
      <c r="M134" s="58" t="n">
        <f aca="false">O133</f>
        <v>-10.8661391719591</v>
      </c>
      <c r="N134" s="58" t="n">
        <f aca="false">IF(L134=1,M134*$B$20,0)</f>
        <v>0</v>
      </c>
      <c r="O134" s="58" t="n">
        <f aca="false">IF(L134=1,M134+N134-$B$21,M134)</f>
        <v>-10.8661391719591</v>
      </c>
      <c r="P134" s="56" t="n">
        <f aca="false">IF(L134=1,IF($B$21&lt;=N134,1,0),0)</f>
        <v>0</v>
      </c>
      <c r="Q134" s="58" t="n">
        <f aca="false">Q133+N134</f>
        <v>989.13386082804</v>
      </c>
    </row>
    <row r="135" customFormat="false" ht="15" hidden="false" customHeight="false" outlineLevel="0" collapsed="false">
      <c r="K135" s="56" t="n">
        <f aca="false">K134+1</f>
        <v>128</v>
      </c>
      <c r="L135" s="57" t="n">
        <f aca="false">IF(AND(K135&lt;=Assumptions!$C$42,L134=1,P134=0,O134&gt;Assumptions!$C$43),1,0)</f>
        <v>0</v>
      </c>
      <c r="M135" s="58" t="n">
        <f aca="false">O134</f>
        <v>-10.8661391719591</v>
      </c>
      <c r="N135" s="58" t="n">
        <f aca="false">IF(L135=1,M135*$B$20,0)</f>
        <v>0</v>
      </c>
      <c r="O135" s="58" t="n">
        <f aca="false">IF(L135=1,M135+N135-$B$21,M135)</f>
        <v>-10.8661391719591</v>
      </c>
      <c r="P135" s="56" t="n">
        <f aca="false">IF(L135=1,IF($B$21&lt;=N135,1,0),0)</f>
        <v>0</v>
      </c>
      <c r="Q135" s="58" t="n">
        <f aca="false">Q134+N135</f>
        <v>989.13386082804</v>
      </c>
    </row>
    <row r="136" customFormat="false" ht="15" hidden="false" customHeight="false" outlineLevel="0" collapsed="false">
      <c r="K136" s="56" t="n">
        <f aca="false">K135+1</f>
        <v>129</v>
      </c>
      <c r="L136" s="57" t="n">
        <f aca="false">IF(AND(K136&lt;=Assumptions!$C$42,L135=1,P135=0,O135&gt;Assumptions!$C$43),1,0)</f>
        <v>0</v>
      </c>
      <c r="M136" s="58" t="n">
        <f aca="false">O135</f>
        <v>-10.8661391719591</v>
      </c>
      <c r="N136" s="58" t="n">
        <f aca="false">IF(L136=1,M136*$B$20,0)</f>
        <v>0</v>
      </c>
      <c r="O136" s="58" t="n">
        <f aca="false">IF(L136=1,M136+N136-$B$21,M136)</f>
        <v>-10.8661391719591</v>
      </c>
      <c r="P136" s="56" t="n">
        <f aca="false">IF(L136=1,IF($B$21&lt;=N136,1,0),0)</f>
        <v>0</v>
      </c>
      <c r="Q136" s="58" t="n">
        <f aca="false">Q135+N136</f>
        <v>989.13386082804</v>
      </c>
    </row>
    <row r="137" customFormat="false" ht="15" hidden="false" customHeight="false" outlineLevel="0" collapsed="false">
      <c r="K137" s="56" t="n">
        <f aca="false">K136+1</f>
        <v>130</v>
      </c>
      <c r="L137" s="57" t="n">
        <f aca="false">IF(AND(K137&lt;=Assumptions!$C$42,L136=1,P136=0,O136&gt;Assumptions!$C$43),1,0)</f>
        <v>0</v>
      </c>
      <c r="M137" s="58" t="n">
        <f aca="false">O136</f>
        <v>-10.8661391719591</v>
      </c>
      <c r="N137" s="58" t="n">
        <f aca="false">IF(L137=1,M137*$B$20,0)</f>
        <v>0</v>
      </c>
      <c r="O137" s="58" t="n">
        <f aca="false">IF(L137=1,M137+N137-$B$21,M137)</f>
        <v>-10.8661391719591</v>
      </c>
      <c r="P137" s="56" t="n">
        <f aca="false">IF(L137=1,IF($B$21&lt;=N137,1,0),0)</f>
        <v>0</v>
      </c>
      <c r="Q137" s="58" t="n">
        <f aca="false">Q136+N137</f>
        <v>989.13386082804</v>
      </c>
    </row>
    <row r="138" customFormat="false" ht="15" hidden="false" customHeight="false" outlineLevel="0" collapsed="false">
      <c r="K138" s="56" t="n">
        <f aca="false">K137+1</f>
        <v>131</v>
      </c>
      <c r="L138" s="57" t="n">
        <f aca="false">IF(AND(K138&lt;=Assumptions!$C$42,L137=1,P137=0,O137&gt;Assumptions!$C$43),1,0)</f>
        <v>0</v>
      </c>
      <c r="M138" s="58" t="n">
        <f aca="false">O137</f>
        <v>-10.8661391719591</v>
      </c>
      <c r="N138" s="58" t="n">
        <f aca="false">IF(L138=1,M138*$B$20,0)</f>
        <v>0</v>
      </c>
      <c r="O138" s="58" t="n">
        <f aca="false">IF(L138=1,M138+N138-$B$21,M138)</f>
        <v>-10.8661391719591</v>
      </c>
      <c r="P138" s="56" t="n">
        <f aca="false">IF(L138=1,IF($B$21&lt;=N138,1,0),0)</f>
        <v>0</v>
      </c>
      <c r="Q138" s="58" t="n">
        <f aca="false">Q137+N138</f>
        <v>989.13386082804</v>
      </c>
    </row>
    <row r="139" customFormat="false" ht="15" hidden="false" customHeight="false" outlineLevel="0" collapsed="false">
      <c r="K139" s="56" t="n">
        <f aca="false">K138+1</f>
        <v>132</v>
      </c>
      <c r="L139" s="57" t="n">
        <f aca="false">IF(AND(K139&lt;=Assumptions!$C$42,L138=1,P138=0,O138&gt;Assumptions!$C$43),1,0)</f>
        <v>0</v>
      </c>
      <c r="M139" s="58" t="n">
        <f aca="false">O138</f>
        <v>-10.8661391719591</v>
      </c>
      <c r="N139" s="58" t="n">
        <f aca="false">IF(L139=1,M139*$B$20,0)</f>
        <v>0</v>
      </c>
      <c r="O139" s="58" t="n">
        <f aca="false">IF(L139=1,M139+N139-$B$21,M139)</f>
        <v>-10.8661391719591</v>
      </c>
      <c r="P139" s="56" t="n">
        <f aca="false">IF(L139=1,IF($B$21&lt;=N139,1,0),0)</f>
        <v>0</v>
      </c>
      <c r="Q139" s="58" t="n">
        <f aca="false">Q138+N139</f>
        <v>989.13386082804</v>
      </c>
    </row>
    <row r="140" customFormat="false" ht="15" hidden="false" customHeight="false" outlineLevel="0" collapsed="false">
      <c r="K140" s="56" t="n">
        <f aca="false">K139+1</f>
        <v>133</v>
      </c>
      <c r="L140" s="57" t="n">
        <f aca="false">IF(AND(K140&lt;=Assumptions!$C$42,L139=1,P139=0,O139&gt;Assumptions!$C$43),1,0)</f>
        <v>0</v>
      </c>
      <c r="M140" s="58" t="n">
        <f aca="false">O139</f>
        <v>-10.8661391719591</v>
      </c>
      <c r="N140" s="58" t="n">
        <f aca="false">IF(L140=1,M140*$B$20,0)</f>
        <v>0</v>
      </c>
      <c r="O140" s="58" t="n">
        <f aca="false">IF(L140=1,M140+N140-$B$21,M140)</f>
        <v>-10.8661391719591</v>
      </c>
      <c r="P140" s="56" t="n">
        <f aca="false">IF(L140=1,IF($B$21&lt;=N140,1,0),0)</f>
        <v>0</v>
      </c>
      <c r="Q140" s="58" t="n">
        <f aca="false">Q139+N140</f>
        <v>989.13386082804</v>
      </c>
    </row>
    <row r="141" customFormat="false" ht="15" hidden="false" customHeight="false" outlineLevel="0" collapsed="false">
      <c r="K141" s="56" t="n">
        <f aca="false">K140+1</f>
        <v>134</v>
      </c>
      <c r="L141" s="57" t="n">
        <f aca="false">IF(AND(K141&lt;=Assumptions!$C$42,L140=1,P140=0,O140&gt;Assumptions!$C$43),1,0)</f>
        <v>0</v>
      </c>
      <c r="M141" s="58" t="n">
        <f aca="false">O140</f>
        <v>-10.8661391719591</v>
      </c>
      <c r="N141" s="58" t="n">
        <f aca="false">IF(L141=1,M141*$B$20,0)</f>
        <v>0</v>
      </c>
      <c r="O141" s="58" t="n">
        <f aca="false">IF(L141=1,M141+N141-$B$21,M141)</f>
        <v>-10.8661391719591</v>
      </c>
      <c r="P141" s="56" t="n">
        <f aca="false">IF(L141=1,IF($B$21&lt;=N141,1,0),0)</f>
        <v>0</v>
      </c>
      <c r="Q141" s="58" t="n">
        <f aca="false">Q140+N141</f>
        <v>989.13386082804</v>
      </c>
    </row>
    <row r="142" customFormat="false" ht="15" hidden="false" customHeight="false" outlineLevel="0" collapsed="false">
      <c r="K142" s="56" t="n">
        <f aca="false">K141+1</f>
        <v>135</v>
      </c>
      <c r="L142" s="57" t="n">
        <f aca="false">IF(AND(K142&lt;=Assumptions!$C$42,L141=1,P141=0,O141&gt;Assumptions!$C$43),1,0)</f>
        <v>0</v>
      </c>
      <c r="M142" s="58" t="n">
        <f aca="false">O141</f>
        <v>-10.8661391719591</v>
      </c>
      <c r="N142" s="58" t="n">
        <f aca="false">IF(L142=1,M142*$B$20,0)</f>
        <v>0</v>
      </c>
      <c r="O142" s="58" t="n">
        <f aca="false">IF(L142=1,M142+N142-$B$21,M142)</f>
        <v>-10.8661391719591</v>
      </c>
      <c r="P142" s="56" t="n">
        <f aca="false">IF(L142=1,IF($B$21&lt;=N142,1,0),0)</f>
        <v>0</v>
      </c>
      <c r="Q142" s="58" t="n">
        <f aca="false">Q141+N142</f>
        <v>989.13386082804</v>
      </c>
    </row>
    <row r="143" customFormat="false" ht="15" hidden="false" customHeight="false" outlineLevel="0" collapsed="false">
      <c r="K143" s="56" t="n">
        <f aca="false">K142+1</f>
        <v>136</v>
      </c>
      <c r="L143" s="57" t="n">
        <f aca="false">IF(AND(K143&lt;=Assumptions!$C$42,L142=1,P142=0,O142&gt;Assumptions!$C$43),1,0)</f>
        <v>0</v>
      </c>
      <c r="M143" s="58" t="n">
        <f aca="false">O142</f>
        <v>-10.8661391719591</v>
      </c>
      <c r="N143" s="58" t="n">
        <f aca="false">IF(L143=1,M143*$B$20,0)</f>
        <v>0</v>
      </c>
      <c r="O143" s="58" t="n">
        <f aca="false">IF(L143=1,M143+N143-$B$21,M143)</f>
        <v>-10.8661391719591</v>
      </c>
      <c r="P143" s="56" t="n">
        <f aca="false">IF(L143=1,IF($B$21&lt;=N143,1,0),0)</f>
        <v>0</v>
      </c>
      <c r="Q143" s="58" t="n">
        <f aca="false">Q142+N143</f>
        <v>989.13386082804</v>
      </c>
    </row>
    <row r="144" customFormat="false" ht="15" hidden="false" customHeight="false" outlineLevel="0" collapsed="false">
      <c r="K144" s="56" t="n">
        <f aca="false">K143+1</f>
        <v>137</v>
      </c>
      <c r="L144" s="57" t="n">
        <f aca="false">IF(AND(K144&lt;=Assumptions!$C$42,L143=1,P143=0,O143&gt;Assumptions!$C$43),1,0)</f>
        <v>0</v>
      </c>
      <c r="M144" s="58" t="n">
        <f aca="false">O143</f>
        <v>-10.8661391719591</v>
      </c>
      <c r="N144" s="58" t="n">
        <f aca="false">IF(L144=1,M144*$B$20,0)</f>
        <v>0</v>
      </c>
      <c r="O144" s="58" t="n">
        <f aca="false">IF(L144=1,M144+N144-$B$21,M144)</f>
        <v>-10.8661391719591</v>
      </c>
      <c r="P144" s="56" t="n">
        <f aca="false">IF(L144=1,IF($B$21&lt;=N144,1,0),0)</f>
        <v>0</v>
      </c>
      <c r="Q144" s="58" t="n">
        <f aca="false">Q143+N144</f>
        <v>989.13386082804</v>
      </c>
    </row>
    <row r="145" customFormat="false" ht="15" hidden="false" customHeight="false" outlineLevel="0" collapsed="false">
      <c r="K145" s="56" t="n">
        <f aca="false">K144+1</f>
        <v>138</v>
      </c>
      <c r="L145" s="57" t="n">
        <f aca="false">IF(AND(K145&lt;=Assumptions!$C$42,L144=1,P144=0,O144&gt;Assumptions!$C$43),1,0)</f>
        <v>0</v>
      </c>
      <c r="M145" s="58" t="n">
        <f aca="false">O144</f>
        <v>-10.8661391719591</v>
      </c>
      <c r="N145" s="58" t="n">
        <f aca="false">IF(L145=1,M145*$B$20,0)</f>
        <v>0</v>
      </c>
      <c r="O145" s="58" t="n">
        <f aca="false">IF(L145=1,M145+N145-$B$21,M145)</f>
        <v>-10.8661391719591</v>
      </c>
      <c r="P145" s="56" t="n">
        <f aca="false">IF(L145=1,IF($B$21&lt;=N145,1,0),0)</f>
        <v>0</v>
      </c>
      <c r="Q145" s="58" t="n">
        <f aca="false">Q144+N145</f>
        <v>989.13386082804</v>
      </c>
    </row>
    <row r="146" customFormat="false" ht="15" hidden="false" customHeight="false" outlineLevel="0" collapsed="false">
      <c r="K146" s="56" t="n">
        <f aca="false">K145+1</f>
        <v>139</v>
      </c>
      <c r="L146" s="57" t="n">
        <f aca="false">IF(AND(K146&lt;=Assumptions!$C$42,L145=1,P145=0,O145&gt;Assumptions!$C$43),1,0)</f>
        <v>0</v>
      </c>
      <c r="M146" s="58" t="n">
        <f aca="false">O145</f>
        <v>-10.8661391719591</v>
      </c>
      <c r="N146" s="58" t="n">
        <f aca="false">IF(L146=1,M146*$B$20,0)</f>
        <v>0</v>
      </c>
      <c r="O146" s="58" t="n">
        <f aca="false">IF(L146=1,M146+N146-$B$21,M146)</f>
        <v>-10.8661391719591</v>
      </c>
      <c r="P146" s="56" t="n">
        <f aca="false">IF(L146=1,IF($B$21&lt;=N146,1,0),0)</f>
        <v>0</v>
      </c>
      <c r="Q146" s="58" t="n">
        <f aca="false">Q145+N146</f>
        <v>989.13386082804</v>
      </c>
    </row>
    <row r="147" customFormat="false" ht="15" hidden="false" customHeight="false" outlineLevel="0" collapsed="false">
      <c r="K147" s="56" t="n">
        <f aca="false">K146+1</f>
        <v>140</v>
      </c>
      <c r="L147" s="57" t="n">
        <f aca="false">IF(AND(K147&lt;=Assumptions!$C$42,L146=1,P146=0,O146&gt;Assumptions!$C$43),1,0)</f>
        <v>0</v>
      </c>
      <c r="M147" s="58" t="n">
        <f aca="false">O146</f>
        <v>-10.8661391719591</v>
      </c>
      <c r="N147" s="58" t="n">
        <f aca="false">IF(L147=1,M147*$B$20,0)</f>
        <v>0</v>
      </c>
      <c r="O147" s="58" t="n">
        <f aca="false">IF(L147=1,M147+N147-$B$21,M147)</f>
        <v>-10.8661391719591</v>
      </c>
      <c r="P147" s="56" t="n">
        <f aca="false">IF(L147=1,IF($B$21&lt;=N147,1,0),0)</f>
        <v>0</v>
      </c>
      <c r="Q147" s="58" t="n">
        <f aca="false">Q146+N147</f>
        <v>989.13386082804</v>
      </c>
    </row>
    <row r="148" customFormat="false" ht="15" hidden="false" customHeight="false" outlineLevel="0" collapsed="false">
      <c r="K148" s="56" t="n">
        <f aca="false">K147+1</f>
        <v>141</v>
      </c>
      <c r="L148" s="57" t="n">
        <f aca="false">IF(AND(K148&lt;=Assumptions!$C$42,L147=1,P147=0,O147&gt;Assumptions!$C$43),1,0)</f>
        <v>0</v>
      </c>
      <c r="M148" s="58" t="n">
        <f aca="false">O147</f>
        <v>-10.8661391719591</v>
      </c>
      <c r="N148" s="58" t="n">
        <f aca="false">IF(L148=1,M148*$B$20,0)</f>
        <v>0</v>
      </c>
      <c r="O148" s="58" t="n">
        <f aca="false">IF(L148=1,M148+N148-$B$21,M148)</f>
        <v>-10.8661391719591</v>
      </c>
      <c r="P148" s="56" t="n">
        <f aca="false">IF(L148=1,IF($B$21&lt;=N148,1,0),0)</f>
        <v>0</v>
      </c>
      <c r="Q148" s="58" t="n">
        <f aca="false">Q147+N148</f>
        <v>989.13386082804</v>
      </c>
    </row>
    <row r="149" customFormat="false" ht="15" hidden="false" customHeight="false" outlineLevel="0" collapsed="false">
      <c r="K149" s="56" t="n">
        <f aca="false">K148+1</f>
        <v>142</v>
      </c>
      <c r="L149" s="57" t="n">
        <f aca="false">IF(AND(K149&lt;=Assumptions!$C$42,L148=1,P148=0,O148&gt;Assumptions!$C$43),1,0)</f>
        <v>0</v>
      </c>
      <c r="M149" s="58" t="n">
        <f aca="false">O148</f>
        <v>-10.8661391719591</v>
      </c>
      <c r="N149" s="58" t="n">
        <f aca="false">IF(L149=1,M149*$B$20,0)</f>
        <v>0</v>
      </c>
      <c r="O149" s="58" t="n">
        <f aca="false">IF(L149=1,M149+N149-$B$21,M149)</f>
        <v>-10.8661391719591</v>
      </c>
      <c r="P149" s="56" t="n">
        <f aca="false">IF(L149=1,IF($B$21&lt;=N149,1,0),0)</f>
        <v>0</v>
      </c>
      <c r="Q149" s="58" t="n">
        <f aca="false">Q148+N149</f>
        <v>989.13386082804</v>
      </c>
    </row>
    <row r="150" customFormat="false" ht="15" hidden="false" customHeight="false" outlineLevel="0" collapsed="false">
      <c r="K150" s="56" t="n">
        <f aca="false">K149+1</f>
        <v>143</v>
      </c>
      <c r="L150" s="57" t="n">
        <f aca="false">IF(AND(K150&lt;=Assumptions!$C$42,L149=1,P149=0,O149&gt;Assumptions!$C$43),1,0)</f>
        <v>0</v>
      </c>
      <c r="M150" s="58" t="n">
        <f aca="false">O149</f>
        <v>-10.8661391719591</v>
      </c>
      <c r="N150" s="58" t="n">
        <f aca="false">IF(L150=1,M150*$B$20,0)</f>
        <v>0</v>
      </c>
      <c r="O150" s="58" t="n">
        <f aca="false">IF(L150=1,M150+N150-$B$21,M150)</f>
        <v>-10.8661391719591</v>
      </c>
      <c r="P150" s="56" t="n">
        <f aca="false">IF(L150=1,IF($B$21&lt;=N150,1,0),0)</f>
        <v>0</v>
      </c>
      <c r="Q150" s="58" t="n">
        <f aca="false">Q149+N150</f>
        <v>989.13386082804</v>
      </c>
    </row>
    <row r="151" customFormat="false" ht="15" hidden="false" customHeight="false" outlineLevel="0" collapsed="false">
      <c r="K151" s="56" t="n">
        <f aca="false">K150+1</f>
        <v>144</v>
      </c>
      <c r="L151" s="57" t="n">
        <f aca="false">IF(AND(K151&lt;=Assumptions!$C$42,L150=1,P150=0,O150&gt;Assumptions!$C$43),1,0)</f>
        <v>0</v>
      </c>
      <c r="M151" s="58" t="n">
        <f aca="false">O150</f>
        <v>-10.8661391719591</v>
      </c>
      <c r="N151" s="58" t="n">
        <f aca="false">IF(L151=1,M151*$B$20,0)</f>
        <v>0</v>
      </c>
      <c r="O151" s="58" t="n">
        <f aca="false">IF(L151=1,M151+N151-$B$21,M151)</f>
        <v>-10.8661391719591</v>
      </c>
      <c r="P151" s="56" t="n">
        <f aca="false">IF(L151=1,IF($B$21&lt;=N151,1,0),0)</f>
        <v>0</v>
      </c>
      <c r="Q151" s="58" t="n">
        <f aca="false">Q150+N151</f>
        <v>989.13386082804</v>
      </c>
    </row>
    <row r="152" customFormat="false" ht="15" hidden="false" customHeight="false" outlineLevel="0" collapsed="false">
      <c r="K152" s="56" t="n">
        <f aca="false">K151+1</f>
        <v>145</v>
      </c>
      <c r="L152" s="57" t="n">
        <f aca="false">IF(AND(K152&lt;=Assumptions!$C$42,L151=1,P151=0,O151&gt;Assumptions!$C$43),1,0)</f>
        <v>0</v>
      </c>
      <c r="M152" s="58" t="n">
        <f aca="false">O151</f>
        <v>-10.8661391719591</v>
      </c>
      <c r="N152" s="58" t="n">
        <f aca="false">IF(L152=1,M152*$B$20,0)</f>
        <v>0</v>
      </c>
      <c r="O152" s="58" t="n">
        <f aca="false">IF(L152=1,M152+N152-$B$21,M152)</f>
        <v>-10.8661391719591</v>
      </c>
      <c r="P152" s="56" t="n">
        <f aca="false">IF(L152=1,IF($B$21&lt;=N152,1,0),0)</f>
        <v>0</v>
      </c>
      <c r="Q152" s="58" t="n">
        <f aca="false">Q151+N152</f>
        <v>989.13386082804</v>
      </c>
    </row>
    <row r="153" customFormat="false" ht="15" hidden="false" customHeight="false" outlineLevel="0" collapsed="false">
      <c r="K153" s="56" t="n">
        <f aca="false">K152+1</f>
        <v>146</v>
      </c>
      <c r="L153" s="57" t="n">
        <f aca="false">IF(AND(K153&lt;=Assumptions!$C$42,L152=1,P152=0,O152&gt;Assumptions!$C$43),1,0)</f>
        <v>0</v>
      </c>
      <c r="M153" s="58" t="n">
        <f aca="false">O152</f>
        <v>-10.8661391719591</v>
      </c>
      <c r="N153" s="58" t="n">
        <f aca="false">IF(L153=1,M153*$B$20,0)</f>
        <v>0</v>
      </c>
      <c r="O153" s="58" t="n">
        <f aca="false">IF(L153=1,M153+N153-$B$21,M153)</f>
        <v>-10.8661391719591</v>
      </c>
      <c r="P153" s="56" t="n">
        <f aca="false">IF(L153=1,IF($B$21&lt;=N153,1,0),0)</f>
        <v>0</v>
      </c>
      <c r="Q153" s="58" t="n">
        <f aca="false">Q152+N153</f>
        <v>989.13386082804</v>
      </c>
    </row>
    <row r="154" customFormat="false" ht="15" hidden="false" customHeight="false" outlineLevel="0" collapsed="false">
      <c r="K154" s="56" t="n">
        <f aca="false">K153+1</f>
        <v>147</v>
      </c>
      <c r="L154" s="57" t="n">
        <f aca="false">IF(AND(K154&lt;=Assumptions!$C$42,L153=1,P153=0,O153&gt;Assumptions!$C$43),1,0)</f>
        <v>0</v>
      </c>
      <c r="M154" s="58" t="n">
        <f aca="false">O153</f>
        <v>-10.8661391719591</v>
      </c>
      <c r="N154" s="58" t="n">
        <f aca="false">IF(L154=1,M154*$B$20,0)</f>
        <v>0</v>
      </c>
      <c r="O154" s="58" t="n">
        <f aca="false">IF(L154=1,M154+N154-$B$21,M154)</f>
        <v>-10.8661391719591</v>
      </c>
      <c r="P154" s="56" t="n">
        <f aca="false">IF(L154=1,IF($B$21&lt;=N154,1,0),0)</f>
        <v>0</v>
      </c>
      <c r="Q154" s="58" t="n">
        <f aca="false">Q153+N154</f>
        <v>989.13386082804</v>
      </c>
    </row>
    <row r="155" customFormat="false" ht="15" hidden="false" customHeight="false" outlineLevel="0" collapsed="false">
      <c r="K155" s="56" t="n">
        <f aca="false">K154+1</f>
        <v>148</v>
      </c>
      <c r="L155" s="57" t="n">
        <f aca="false">IF(AND(K155&lt;=Assumptions!$C$42,L154=1,P154=0,O154&gt;Assumptions!$C$43),1,0)</f>
        <v>0</v>
      </c>
      <c r="M155" s="58" t="n">
        <f aca="false">O154</f>
        <v>-10.8661391719591</v>
      </c>
      <c r="N155" s="58" t="n">
        <f aca="false">IF(L155=1,M155*$B$20,0)</f>
        <v>0</v>
      </c>
      <c r="O155" s="58" t="n">
        <f aca="false">IF(L155=1,M155+N155-$B$21,M155)</f>
        <v>-10.8661391719591</v>
      </c>
      <c r="P155" s="56" t="n">
        <f aca="false">IF(L155=1,IF($B$21&lt;=N155,1,0),0)</f>
        <v>0</v>
      </c>
      <c r="Q155" s="58" t="n">
        <f aca="false">Q154+N155</f>
        <v>989.13386082804</v>
      </c>
    </row>
    <row r="156" customFormat="false" ht="15" hidden="false" customHeight="false" outlineLevel="0" collapsed="false">
      <c r="K156" s="56" t="n">
        <f aca="false">K155+1</f>
        <v>149</v>
      </c>
      <c r="L156" s="57" t="n">
        <f aca="false">IF(AND(K156&lt;=Assumptions!$C$42,L155=1,P155=0,O155&gt;Assumptions!$C$43),1,0)</f>
        <v>0</v>
      </c>
      <c r="M156" s="58" t="n">
        <f aca="false">O155</f>
        <v>-10.8661391719591</v>
      </c>
      <c r="N156" s="58" t="n">
        <f aca="false">IF(L156=1,M156*$B$20,0)</f>
        <v>0</v>
      </c>
      <c r="O156" s="58" t="n">
        <f aca="false">IF(L156=1,M156+N156-$B$21,M156)</f>
        <v>-10.8661391719591</v>
      </c>
      <c r="P156" s="56" t="n">
        <f aca="false">IF(L156=1,IF($B$21&lt;=N156,1,0),0)</f>
        <v>0</v>
      </c>
      <c r="Q156" s="58" t="n">
        <f aca="false">Q155+N156</f>
        <v>989.13386082804</v>
      </c>
    </row>
    <row r="157" customFormat="false" ht="15" hidden="false" customHeight="false" outlineLevel="0" collapsed="false">
      <c r="K157" s="56" t="n">
        <f aca="false">K156+1</f>
        <v>150</v>
      </c>
      <c r="L157" s="57" t="n">
        <f aca="false">IF(AND(K157&lt;=Assumptions!$C$42,L156=1,P156=0,O156&gt;Assumptions!$C$43),1,0)</f>
        <v>0</v>
      </c>
      <c r="M157" s="58" t="n">
        <f aca="false">O156</f>
        <v>-10.8661391719591</v>
      </c>
      <c r="N157" s="58" t="n">
        <f aca="false">IF(L157=1,M157*$B$20,0)</f>
        <v>0</v>
      </c>
      <c r="O157" s="58" t="n">
        <f aca="false">IF(L157=1,M157+N157-$B$21,M157)</f>
        <v>-10.8661391719591</v>
      </c>
      <c r="P157" s="56" t="n">
        <f aca="false">IF(L157=1,IF($B$21&lt;=N157,1,0),0)</f>
        <v>0</v>
      </c>
      <c r="Q157" s="58" t="n">
        <f aca="false">Q156+N157</f>
        <v>989.13386082804</v>
      </c>
    </row>
    <row r="158" customFormat="false" ht="15" hidden="false" customHeight="false" outlineLevel="0" collapsed="false">
      <c r="K158" s="56" t="n">
        <f aca="false">K157+1</f>
        <v>151</v>
      </c>
      <c r="L158" s="57" t="n">
        <f aca="false">IF(AND(K158&lt;=Assumptions!$C$42,L157=1,P157=0,O157&gt;Assumptions!$C$43),1,0)</f>
        <v>0</v>
      </c>
      <c r="M158" s="58" t="n">
        <f aca="false">O157</f>
        <v>-10.8661391719591</v>
      </c>
      <c r="N158" s="58" t="n">
        <f aca="false">IF(L158=1,M158*$B$20,0)</f>
        <v>0</v>
      </c>
      <c r="O158" s="58" t="n">
        <f aca="false">IF(L158=1,M158+N158-$B$21,M158)</f>
        <v>-10.8661391719591</v>
      </c>
      <c r="P158" s="56" t="n">
        <f aca="false">IF(L158=1,IF($B$21&lt;=N158,1,0),0)</f>
        <v>0</v>
      </c>
      <c r="Q158" s="58" t="n">
        <f aca="false">Q157+N158</f>
        <v>989.13386082804</v>
      </c>
    </row>
    <row r="159" customFormat="false" ht="15" hidden="false" customHeight="false" outlineLevel="0" collapsed="false">
      <c r="K159" s="56" t="n">
        <f aca="false">K158+1</f>
        <v>152</v>
      </c>
      <c r="L159" s="57" t="n">
        <f aca="false">IF(AND(K159&lt;=Assumptions!$C$42,L158=1,P158=0,O158&gt;Assumptions!$C$43),1,0)</f>
        <v>0</v>
      </c>
      <c r="M159" s="58" t="n">
        <f aca="false">O158</f>
        <v>-10.8661391719591</v>
      </c>
      <c r="N159" s="58" t="n">
        <f aca="false">IF(L159=1,M159*$B$20,0)</f>
        <v>0</v>
      </c>
      <c r="O159" s="58" t="n">
        <f aca="false">IF(L159=1,M159+N159-$B$21,M159)</f>
        <v>-10.8661391719591</v>
      </c>
      <c r="P159" s="56" t="n">
        <f aca="false">IF(L159=1,IF($B$21&lt;=N159,1,0),0)</f>
        <v>0</v>
      </c>
      <c r="Q159" s="58" t="n">
        <f aca="false">Q158+N159</f>
        <v>989.13386082804</v>
      </c>
    </row>
    <row r="160" customFormat="false" ht="15" hidden="false" customHeight="false" outlineLevel="0" collapsed="false">
      <c r="K160" s="56" t="n">
        <f aca="false">K159+1</f>
        <v>153</v>
      </c>
      <c r="L160" s="57" t="n">
        <f aca="false">IF(AND(K160&lt;=Assumptions!$C$42,L159=1,P159=0,O159&gt;Assumptions!$C$43),1,0)</f>
        <v>0</v>
      </c>
      <c r="M160" s="58" t="n">
        <f aca="false">O159</f>
        <v>-10.8661391719591</v>
      </c>
      <c r="N160" s="58" t="n">
        <f aca="false">IF(L160=1,M160*$B$20,0)</f>
        <v>0</v>
      </c>
      <c r="O160" s="58" t="n">
        <f aca="false">IF(L160=1,M160+N160-$B$21,M160)</f>
        <v>-10.8661391719591</v>
      </c>
      <c r="P160" s="56" t="n">
        <f aca="false">IF(L160=1,IF($B$21&lt;=N160,1,0),0)</f>
        <v>0</v>
      </c>
      <c r="Q160" s="58" t="n">
        <f aca="false">Q159+N160</f>
        <v>989.13386082804</v>
      </c>
    </row>
    <row r="161" customFormat="false" ht="15" hidden="false" customHeight="false" outlineLevel="0" collapsed="false">
      <c r="K161" s="56" t="n">
        <f aca="false">K160+1</f>
        <v>154</v>
      </c>
      <c r="L161" s="57" t="n">
        <f aca="false">IF(AND(K161&lt;=Assumptions!$C$42,L160=1,P160=0,O160&gt;Assumptions!$C$43),1,0)</f>
        <v>0</v>
      </c>
      <c r="M161" s="58" t="n">
        <f aca="false">O160</f>
        <v>-10.8661391719591</v>
      </c>
      <c r="N161" s="58" t="n">
        <f aca="false">IF(L161=1,M161*$B$20,0)</f>
        <v>0</v>
      </c>
      <c r="O161" s="58" t="n">
        <f aca="false">IF(L161=1,M161+N161-$B$21,M161)</f>
        <v>-10.8661391719591</v>
      </c>
      <c r="P161" s="56" t="n">
        <f aca="false">IF(L161=1,IF($B$21&lt;=N161,1,0),0)</f>
        <v>0</v>
      </c>
      <c r="Q161" s="58" t="n">
        <f aca="false">Q160+N161</f>
        <v>989.13386082804</v>
      </c>
    </row>
    <row r="162" customFormat="false" ht="15" hidden="false" customHeight="false" outlineLevel="0" collapsed="false">
      <c r="K162" s="56" t="n">
        <f aca="false">K161+1</f>
        <v>155</v>
      </c>
      <c r="L162" s="57" t="n">
        <f aca="false">IF(AND(K162&lt;=Assumptions!$C$42,L161=1,P161=0,O161&gt;Assumptions!$C$43),1,0)</f>
        <v>0</v>
      </c>
      <c r="M162" s="58" t="n">
        <f aca="false">O161</f>
        <v>-10.8661391719591</v>
      </c>
      <c r="N162" s="58" t="n">
        <f aca="false">IF(L162=1,M162*$B$20,0)</f>
        <v>0</v>
      </c>
      <c r="O162" s="58" t="n">
        <f aca="false">IF(L162=1,M162+N162-$B$21,M162)</f>
        <v>-10.8661391719591</v>
      </c>
      <c r="P162" s="56" t="n">
        <f aca="false">IF(L162=1,IF($B$21&lt;=N162,1,0),0)</f>
        <v>0</v>
      </c>
      <c r="Q162" s="58" t="n">
        <f aca="false">Q161+N162</f>
        <v>989.13386082804</v>
      </c>
    </row>
    <row r="163" customFormat="false" ht="15" hidden="false" customHeight="false" outlineLevel="0" collapsed="false">
      <c r="K163" s="56" t="n">
        <f aca="false">K162+1</f>
        <v>156</v>
      </c>
      <c r="L163" s="57" t="n">
        <f aca="false">IF(AND(K163&lt;=Assumptions!$C$42,L162=1,P162=0,O162&gt;Assumptions!$C$43),1,0)</f>
        <v>0</v>
      </c>
      <c r="M163" s="58" t="n">
        <f aca="false">O162</f>
        <v>-10.8661391719591</v>
      </c>
      <c r="N163" s="58" t="n">
        <f aca="false">IF(L163=1,M163*$B$20,0)</f>
        <v>0</v>
      </c>
      <c r="O163" s="58" t="n">
        <f aca="false">IF(L163=1,M163+N163-$B$21,M163)</f>
        <v>-10.8661391719591</v>
      </c>
      <c r="P163" s="56" t="n">
        <f aca="false">IF(L163=1,IF($B$21&lt;=N163,1,0),0)</f>
        <v>0</v>
      </c>
      <c r="Q163" s="58" t="n">
        <f aca="false">Q162+N163</f>
        <v>989.13386082804</v>
      </c>
    </row>
    <row r="164" customFormat="false" ht="15" hidden="false" customHeight="false" outlineLevel="0" collapsed="false">
      <c r="K164" s="56" t="n">
        <f aca="false">K163+1</f>
        <v>157</v>
      </c>
      <c r="L164" s="57" t="n">
        <f aca="false">IF(AND(K164&lt;=Assumptions!$C$42,L163=1,P163=0,O163&gt;Assumptions!$C$43),1,0)</f>
        <v>0</v>
      </c>
      <c r="M164" s="58" t="n">
        <f aca="false">O163</f>
        <v>-10.8661391719591</v>
      </c>
      <c r="N164" s="58" t="n">
        <f aca="false">IF(L164=1,M164*$B$20,0)</f>
        <v>0</v>
      </c>
      <c r="O164" s="58" t="n">
        <f aca="false">IF(L164=1,M164+N164-$B$21,M164)</f>
        <v>-10.8661391719591</v>
      </c>
      <c r="P164" s="56" t="n">
        <f aca="false">IF(L164=1,IF($B$21&lt;=N164,1,0),0)</f>
        <v>0</v>
      </c>
      <c r="Q164" s="58" t="n">
        <f aca="false">Q163+N164</f>
        <v>989.13386082804</v>
      </c>
    </row>
    <row r="165" customFormat="false" ht="15" hidden="false" customHeight="false" outlineLevel="0" collapsed="false">
      <c r="K165" s="56" t="n">
        <f aca="false">K164+1</f>
        <v>158</v>
      </c>
      <c r="L165" s="57" t="n">
        <f aca="false">IF(AND(K165&lt;=Assumptions!$C$42,L164=1,P164=0,O164&gt;Assumptions!$C$43),1,0)</f>
        <v>0</v>
      </c>
      <c r="M165" s="58" t="n">
        <f aca="false">O164</f>
        <v>-10.8661391719591</v>
      </c>
      <c r="N165" s="58" t="n">
        <f aca="false">IF(L165=1,M165*$B$20,0)</f>
        <v>0</v>
      </c>
      <c r="O165" s="58" t="n">
        <f aca="false">IF(L165=1,M165+N165-$B$21,M165)</f>
        <v>-10.8661391719591</v>
      </c>
      <c r="P165" s="56" t="n">
        <f aca="false">IF(L165=1,IF($B$21&lt;=N165,1,0),0)</f>
        <v>0</v>
      </c>
      <c r="Q165" s="58" t="n">
        <f aca="false">Q164+N165</f>
        <v>989.13386082804</v>
      </c>
    </row>
    <row r="166" customFormat="false" ht="15" hidden="false" customHeight="false" outlineLevel="0" collapsed="false">
      <c r="K166" s="56" t="n">
        <f aca="false">K165+1</f>
        <v>159</v>
      </c>
      <c r="L166" s="57" t="n">
        <f aca="false">IF(AND(K166&lt;=Assumptions!$C$42,L165=1,P165=0,O165&gt;Assumptions!$C$43),1,0)</f>
        <v>0</v>
      </c>
      <c r="M166" s="58" t="n">
        <f aca="false">O165</f>
        <v>-10.8661391719591</v>
      </c>
      <c r="N166" s="58" t="n">
        <f aca="false">IF(L166=1,M166*$B$20,0)</f>
        <v>0</v>
      </c>
      <c r="O166" s="58" t="n">
        <f aca="false">IF(L166=1,M166+N166-$B$21,M166)</f>
        <v>-10.8661391719591</v>
      </c>
      <c r="P166" s="56" t="n">
        <f aca="false">IF(L166=1,IF($B$21&lt;=N166,1,0),0)</f>
        <v>0</v>
      </c>
      <c r="Q166" s="58" t="n">
        <f aca="false">Q165+N166</f>
        <v>989.13386082804</v>
      </c>
    </row>
    <row r="167" customFormat="false" ht="15" hidden="false" customHeight="false" outlineLevel="0" collapsed="false">
      <c r="K167" s="56" t="n">
        <f aca="false">K166+1</f>
        <v>160</v>
      </c>
      <c r="L167" s="57" t="n">
        <f aca="false">IF(AND(K167&lt;=Assumptions!$C$42,L166=1,P166=0,O166&gt;Assumptions!$C$43),1,0)</f>
        <v>0</v>
      </c>
      <c r="M167" s="58" t="n">
        <f aca="false">O166</f>
        <v>-10.8661391719591</v>
      </c>
      <c r="N167" s="58" t="n">
        <f aca="false">IF(L167=1,M167*$B$20,0)</f>
        <v>0</v>
      </c>
      <c r="O167" s="58" t="n">
        <f aca="false">IF(L167=1,M167+N167-$B$21,M167)</f>
        <v>-10.8661391719591</v>
      </c>
      <c r="P167" s="56" t="n">
        <f aca="false">IF(L167=1,IF($B$21&lt;=N167,1,0),0)</f>
        <v>0</v>
      </c>
      <c r="Q167" s="58" t="n">
        <f aca="false">Q166+N167</f>
        <v>989.13386082804</v>
      </c>
    </row>
    <row r="168" customFormat="false" ht="15" hidden="false" customHeight="false" outlineLevel="0" collapsed="false">
      <c r="K168" s="56" t="n">
        <f aca="false">K167+1</f>
        <v>161</v>
      </c>
      <c r="L168" s="57" t="n">
        <f aca="false">IF(AND(K168&lt;=Assumptions!$C$42,L167=1,P167=0,O167&gt;Assumptions!$C$43),1,0)</f>
        <v>0</v>
      </c>
      <c r="M168" s="58" t="n">
        <f aca="false">O167</f>
        <v>-10.8661391719591</v>
      </c>
      <c r="N168" s="58" t="n">
        <f aca="false">IF(L168=1,M168*$B$20,0)</f>
        <v>0</v>
      </c>
      <c r="O168" s="58" t="n">
        <f aca="false">IF(L168=1,M168+N168-$B$21,M168)</f>
        <v>-10.8661391719591</v>
      </c>
      <c r="P168" s="56" t="n">
        <f aca="false">IF(L168=1,IF($B$21&lt;=N168,1,0),0)</f>
        <v>0</v>
      </c>
      <c r="Q168" s="58" t="n">
        <f aca="false">Q167+N168</f>
        <v>989.13386082804</v>
      </c>
    </row>
    <row r="169" customFormat="false" ht="15" hidden="false" customHeight="false" outlineLevel="0" collapsed="false">
      <c r="K169" s="56" t="n">
        <f aca="false">K168+1</f>
        <v>162</v>
      </c>
      <c r="L169" s="57" t="n">
        <f aca="false">IF(AND(K169&lt;=Assumptions!$C$42,L168=1,P168=0,O168&gt;Assumptions!$C$43),1,0)</f>
        <v>0</v>
      </c>
      <c r="M169" s="58" t="n">
        <f aca="false">O168</f>
        <v>-10.8661391719591</v>
      </c>
      <c r="N169" s="58" t="n">
        <f aca="false">IF(L169=1,M169*$B$20,0)</f>
        <v>0</v>
      </c>
      <c r="O169" s="58" t="n">
        <f aca="false">IF(L169=1,M169+N169-$B$21,M169)</f>
        <v>-10.8661391719591</v>
      </c>
      <c r="P169" s="56" t="n">
        <f aca="false">IF(L169=1,IF($B$21&lt;=N169,1,0),0)</f>
        <v>0</v>
      </c>
      <c r="Q169" s="58" t="n">
        <f aca="false">Q168+N169</f>
        <v>989.13386082804</v>
      </c>
    </row>
    <row r="170" customFormat="false" ht="15" hidden="false" customHeight="false" outlineLevel="0" collapsed="false">
      <c r="K170" s="56" t="n">
        <f aca="false">K169+1</f>
        <v>163</v>
      </c>
      <c r="L170" s="57" t="n">
        <f aca="false">IF(AND(K170&lt;=Assumptions!$C$42,L169=1,P169=0,O169&gt;Assumptions!$C$43),1,0)</f>
        <v>0</v>
      </c>
      <c r="M170" s="58" t="n">
        <f aca="false">O169</f>
        <v>-10.8661391719591</v>
      </c>
      <c r="N170" s="58" t="n">
        <f aca="false">IF(L170=1,M170*$B$20,0)</f>
        <v>0</v>
      </c>
      <c r="O170" s="58" t="n">
        <f aca="false">IF(L170=1,M170+N170-$B$21,M170)</f>
        <v>-10.8661391719591</v>
      </c>
      <c r="P170" s="56" t="n">
        <f aca="false">IF(L170=1,IF($B$21&lt;=N170,1,0),0)</f>
        <v>0</v>
      </c>
      <c r="Q170" s="58" t="n">
        <f aca="false">Q169+N170</f>
        <v>989.13386082804</v>
      </c>
    </row>
    <row r="171" customFormat="false" ht="15" hidden="false" customHeight="false" outlineLevel="0" collapsed="false">
      <c r="K171" s="56" t="n">
        <f aca="false">K170+1</f>
        <v>164</v>
      </c>
      <c r="L171" s="57" t="n">
        <f aca="false">IF(AND(K171&lt;=Assumptions!$C$42,L170=1,P170=0,O170&gt;Assumptions!$C$43),1,0)</f>
        <v>0</v>
      </c>
      <c r="M171" s="58" t="n">
        <f aca="false">O170</f>
        <v>-10.8661391719591</v>
      </c>
      <c r="N171" s="58" t="n">
        <f aca="false">IF(L171=1,M171*$B$20,0)</f>
        <v>0</v>
      </c>
      <c r="O171" s="58" t="n">
        <f aca="false">IF(L171=1,M171+N171-$B$21,M171)</f>
        <v>-10.8661391719591</v>
      </c>
      <c r="P171" s="56" t="n">
        <f aca="false">IF(L171=1,IF($B$21&lt;=N171,1,0),0)</f>
        <v>0</v>
      </c>
      <c r="Q171" s="58" t="n">
        <f aca="false">Q170+N171</f>
        <v>989.13386082804</v>
      </c>
    </row>
    <row r="172" customFormat="false" ht="15" hidden="false" customHeight="false" outlineLevel="0" collapsed="false">
      <c r="K172" s="56" t="n">
        <f aca="false">K171+1</f>
        <v>165</v>
      </c>
      <c r="L172" s="57" t="n">
        <f aca="false">IF(AND(K172&lt;=Assumptions!$C$42,L171=1,P171=0,O171&gt;Assumptions!$C$43),1,0)</f>
        <v>0</v>
      </c>
      <c r="M172" s="58" t="n">
        <f aca="false">O171</f>
        <v>-10.8661391719591</v>
      </c>
      <c r="N172" s="58" t="n">
        <f aca="false">IF(L172=1,M172*$B$20,0)</f>
        <v>0</v>
      </c>
      <c r="O172" s="58" t="n">
        <f aca="false">IF(L172=1,M172+N172-$B$21,M172)</f>
        <v>-10.8661391719591</v>
      </c>
      <c r="P172" s="56" t="n">
        <f aca="false">IF(L172=1,IF($B$21&lt;=N172,1,0),0)</f>
        <v>0</v>
      </c>
      <c r="Q172" s="58" t="n">
        <f aca="false">Q171+N172</f>
        <v>989.13386082804</v>
      </c>
    </row>
    <row r="173" customFormat="false" ht="15" hidden="false" customHeight="false" outlineLevel="0" collapsed="false">
      <c r="K173" s="56" t="n">
        <f aca="false">K172+1</f>
        <v>166</v>
      </c>
      <c r="L173" s="57" t="n">
        <f aca="false">IF(AND(K173&lt;=Assumptions!$C$42,L172=1,P172=0,O172&gt;Assumptions!$C$43),1,0)</f>
        <v>0</v>
      </c>
      <c r="M173" s="58" t="n">
        <f aca="false">O172</f>
        <v>-10.8661391719591</v>
      </c>
      <c r="N173" s="58" t="n">
        <f aca="false">IF(L173=1,M173*$B$20,0)</f>
        <v>0</v>
      </c>
      <c r="O173" s="58" t="n">
        <f aca="false">IF(L173=1,M173+N173-$B$21,M173)</f>
        <v>-10.8661391719591</v>
      </c>
      <c r="P173" s="56" t="n">
        <f aca="false">IF(L173=1,IF($B$21&lt;=N173,1,0),0)</f>
        <v>0</v>
      </c>
      <c r="Q173" s="58" t="n">
        <f aca="false">Q172+N173</f>
        <v>989.13386082804</v>
      </c>
    </row>
    <row r="174" customFormat="false" ht="15" hidden="false" customHeight="false" outlineLevel="0" collapsed="false">
      <c r="K174" s="56" t="n">
        <f aca="false">K173+1</f>
        <v>167</v>
      </c>
      <c r="L174" s="57" t="n">
        <f aca="false">IF(AND(K174&lt;=Assumptions!$C$42,L173=1,P173=0,O173&gt;Assumptions!$C$43),1,0)</f>
        <v>0</v>
      </c>
      <c r="M174" s="58" t="n">
        <f aca="false">O173</f>
        <v>-10.8661391719591</v>
      </c>
      <c r="N174" s="58" t="n">
        <f aca="false">IF(L174=1,M174*$B$20,0)</f>
        <v>0</v>
      </c>
      <c r="O174" s="58" t="n">
        <f aca="false">IF(L174=1,M174+N174-$B$21,M174)</f>
        <v>-10.8661391719591</v>
      </c>
      <c r="P174" s="56" t="n">
        <f aca="false">IF(L174=1,IF($B$21&lt;=N174,1,0),0)</f>
        <v>0</v>
      </c>
      <c r="Q174" s="58" t="n">
        <f aca="false">Q173+N174</f>
        <v>989.13386082804</v>
      </c>
    </row>
    <row r="175" customFormat="false" ht="15" hidden="false" customHeight="false" outlineLevel="0" collapsed="false">
      <c r="K175" s="56" t="n">
        <f aca="false">K174+1</f>
        <v>168</v>
      </c>
      <c r="L175" s="57" t="n">
        <f aca="false">IF(AND(K175&lt;=Assumptions!$C$42,L174=1,P174=0,O174&gt;Assumptions!$C$43),1,0)</f>
        <v>0</v>
      </c>
      <c r="M175" s="58" t="n">
        <f aca="false">O174</f>
        <v>-10.8661391719591</v>
      </c>
      <c r="N175" s="58" t="n">
        <f aca="false">IF(L175=1,M175*$B$20,0)</f>
        <v>0</v>
      </c>
      <c r="O175" s="58" t="n">
        <f aca="false">IF(L175=1,M175+N175-$B$21,M175)</f>
        <v>-10.8661391719591</v>
      </c>
      <c r="P175" s="56" t="n">
        <f aca="false">IF(L175=1,IF($B$21&lt;=N175,1,0),0)</f>
        <v>0</v>
      </c>
      <c r="Q175" s="58" t="n">
        <f aca="false">Q174+N175</f>
        <v>989.13386082804</v>
      </c>
    </row>
    <row r="176" customFormat="false" ht="15" hidden="false" customHeight="false" outlineLevel="0" collapsed="false">
      <c r="K176" s="56" t="n">
        <f aca="false">K175+1</f>
        <v>169</v>
      </c>
      <c r="L176" s="57" t="n">
        <f aca="false">IF(AND(K176&lt;=Assumptions!$C$42,L175=1,P175=0,O175&gt;Assumptions!$C$43),1,0)</f>
        <v>0</v>
      </c>
      <c r="M176" s="58" t="n">
        <f aca="false">O175</f>
        <v>-10.8661391719591</v>
      </c>
      <c r="N176" s="58" t="n">
        <f aca="false">IF(L176=1,M176*$B$20,0)</f>
        <v>0</v>
      </c>
      <c r="O176" s="58" t="n">
        <f aca="false">IF(L176=1,M176+N176-$B$21,M176)</f>
        <v>-10.8661391719591</v>
      </c>
      <c r="P176" s="56" t="n">
        <f aca="false">IF(L176=1,IF($B$21&lt;=N176,1,0),0)</f>
        <v>0</v>
      </c>
      <c r="Q176" s="58" t="n">
        <f aca="false">Q175+N176</f>
        <v>989.13386082804</v>
      </c>
    </row>
    <row r="177" customFormat="false" ht="15" hidden="false" customHeight="false" outlineLevel="0" collapsed="false">
      <c r="K177" s="56" t="n">
        <f aca="false">K176+1</f>
        <v>170</v>
      </c>
      <c r="L177" s="57" t="n">
        <f aca="false">IF(AND(K177&lt;=Assumptions!$C$42,L176=1,P176=0,O176&gt;Assumptions!$C$43),1,0)</f>
        <v>0</v>
      </c>
      <c r="M177" s="58" t="n">
        <f aca="false">O176</f>
        <v>-10.8661391719591</v>
      </c>
      <c r="N177" s="58" t="n">
        <f aca="false">IF(L177=1,M177*$B$20,0)</f>
        <v>0</v>
      </c>
      <c r="O177" s="58" t="n">
        <f aca="false">IF(L177=1,M177+N177-$B$21,M177)</f>
        <v>-10.8661391719591</v>
      </c>
      <c r="P177" s="56" t="n">
        <f aca="false">IF(L177=1,IF($B$21&lt;=N177,1,0),0)</f>
        <v>0</v>
      </c>
      <c r="Q177" s="58" t="n">
        <f aca="false">Q176+N177</f>
        <v>989.13386082804</v>
      </c>
    </row>
    <row r="178" customFormat="false" ht="15" hidden="false" customHeight="false" outlineLevel="0" collapsed="false">
      <c r="K178" s="56" t="n">
        <f aca="false">K177+1</f>
        <v>171</v>
      </c>
      <c r="L178" s="57" t="n">
        <f aca="false">IF(AND(K178&lt;=Assumptions!$C$42,L177=1,P177=0,O177&gt;Assumptions!$C$43),1,0)</f>
        <v>0</v>
      </c>
      <c r="M178" s="58" t="n">
        <f aca="false">O177</f>
        <v>-10.8661391719591</v>
      </c>
      <c r="N178" s="58" t="n">
        <f aca="false">IF(L178=1,M178*$B$20,0)</f>
        <v>0</v>
      </c>
      <c r="O178" s="58" t="n">
        <f aca="false">IF(L178=1,M178+N178-$B$21,M178)</f>
        <v>-10.8661391719591</v>
      </c>
      <c r="P178" s="56" t="n">
        <f aca="false">IF(L178=1,IF($B$21&lt;=N178,1,0),0)</f>
        <v>0</v>
      </c>
      <c r="Q178" s="58" t="n">
        <f aca="false">Q177+N178</f>
        <v>989.13386082804</v>
      </c>
    </row>
    <row r="179" customFormat="false" ht="15" hidden="false" customHeight="false" outlineLevel="0" collapsed="false">
      <c r="K179" s="56" t="n">
        <f aca="false">K178+1</f>
        <v>172</v>
      </c>
      <c r="L179" s="57" t="n">
        <f aca="false">IF(AND(K179&lt;=Assumptions!$C$42,L178=1,P178=0,O178&gt;Assumptions!$C$43),1,0)</f>
        <v>0</v>
      </c>
      <c r="M179" s="58" t="n">
        <f aca="false">O178</f>
        <v>-10.8661391719591</v>
      </c>
      <c r="N179" s="58" t="n">
        <f aca="false">IF(L179=1,M179*$B$20,0)</f>
        <v>0</v>
      </c>
      <c r="O179" s="58" t="n">
        <f aca="false">IF(L179=1,M179+N179-$B$21,M179)</f>
        <v>-10.8661391719591</v>
      </c>
      <c r="P179" s="56" t="n">
        <f aca="false">IF(L179=1,IF($B$21&lt;=N179,1,0),0)</f>
        <v>0</v>
      </c>
      <c r="Q179" s="58" t="n">
        <f aca="false">Q178+N179</f>
        <v>989.13386082804</v>
      </c>
    </row>
    <row r="180" customFormat="false" ht="15" hidden="false" customHeight="false" outlineLevel="0" collapsed="false">
      <c r="K180" s="56" t="n">
        <f aca="false">K179+1</f>
        <v>173</v>
      </c>
      <c r="L180" s="57" t="n">
        <f aca="false">IF(AND(K180&lt;=Assumptions!$C$42,L179=1,P179=0,O179&gt;Assumptions!$C$43),1,0)</f>
        <v>0</v>
      </c>
      <c r="M180" s="58" t="n">
        <f aca="false">O179</f>
        <v>-10.8661391719591</v>
      </c>
      <c r="N180" s="58" t="n">
        <f aca="false">IF(L180=1,M180*$B$20,0)</f>
        <v>0</v>
      </c>
      <c r="O180" s="58" t="n">
        <f aca="false">IF(L180=1,M180+N180-$B$21,M180)</f>
        <v>-10.8661391719591</v>
      </c>
      <c r="P180" s="56" t="n">
        <f aca="false">IF(L180=1,IF($B$21&lt;=N180,1,0),0)</f>
        <v>0</v>
      </c>
      <c r="Q180" s="58" t="n">
        <f aca="false">Q179+N180</f>
        <v>989.13386082804</v>
      </c>
    </row>
    <row r="181" customFormat="false" ht="15" hidden="false" customHeight="false" outlineLevel="0" collapsed="false">
      <c r="K181" s="56" t="n">
        <f aca="false">K180+1</f>
        <v>174</v>
      </c>
      <c r="L181" s="57" t="n">
        <f aca="false">IF(AND(K181&lt;=Assumptions!$C$42,L180=1,P180=0,O180&gt;Assumptions!$C$43),1,0)</f>
        <v>0</v>
      </c>
      <c r="M181" s="58" t="n">
        <f aca="false">O180</f>
        <v>-10.8661391719591</v>
      </c>
      <c r="N181" s="58" t="n">
        <f aca="false">IF(L181=1,M181*$B$20,0)</f>
        <v>0</v>
      </c>
      <c r="O181" s="58" t="n">
        <f aca="false">IF(L181=1,M181+N181-$B$21,M181)</f>
        <v>-10.8661391719591</v>
      </c>
      <c r="P181" s="56" t="n">
        <f aca="false">IF(L181=1,IF($B$21&lt;=N181,1,0),0)</f>
        <v>0</v>
      </c>
      <c r="Q181" s="58" t="n">
        <f aca="false">Q180+N181</f>
        <v>989.13386082804</v>
      </c>
    </row>
    <row r="182" customFormat="false" ht="15" hidden="false" customHeight="false" outlineLevel="0" collapsed="false">
      <c r="K182" s="56" t="n">
        <f aca="false">K181+1</f>
        <v>175</v>
      </c>
      <c r="L182" s="57" t="n">
        <f aca="false">IF(AND(K182&lt;=Assumptions!$C$42,L181=1,P181=0,O181&gt;Assumptions!$C$43),1,0)</f>
        <v>0</v>
      </c>
      <c r="M182" s="58" t="n">
        <f aca="false">O181</f>
        <v>-10.8661391719591</v>
      </c>
      <c r="N182" s="58" t="n">
        <f aca="false">IF(L182=1,M182*$B$20,0)</f>
        <v>0</v>
      </c>
      <c r="O182" s="58" t="n">
        <f aca="false">IF(L182=1,M182+N182-$B$21,M182)</f>
        <v>-10.8661391719591</v>
      </c>
      <c r="P182" s="56" t="n">
        <f aca="false">IF(L182=1,IF($B$21&lt;=N182,1,0),0)</f>
        <v>0</v>
      </c>
      <c r="Q182" s="58" t="n">
        <f aca="false">Q181+N182</f>
        <v>989.13386082804</v>
      </c>
    </row>
    <row r="183" customFormat="false" ht="15" hidden="false" customHeight="false" outlineLevel="0" collapsed="false">
      <c r="K183" s="56" t="n">
        <f aca="false">K182+1</f>
        <v>176</v>
      </c>
      <c r="L183" s="57" t="n">
        <f aca="false">IF(AND(K183&lt;=Assumptions!$C$42,L182=1,P182=0,O182&gt;Assumptions!$C$43),1,0)</f>
        <v>0</v>
      </c>
      <c r="M183" s="58" t="n">
        <f aca="false">O182</f>
        <v>-10.8661391719591</v>
      </c>
      <c r="N183" s="58" t="n">
        <f aca="false">IF(L183=1,M183*$B$20,0)</f>
        <v>0</v>
      </c>
      <c r="O183" s="58" t="n">
        <f aca="false">IF(L183=1,M183+N183-$B$21,M183)</f>
        <v>-10.8661391719591</v>
      </c>
      <c r="P183" s="56" t="n">
        <f aca="false">IF(L183=1,IF($B$21&lt;=N183,1,0),0)</f>
        <v>0</v>
      </c>
      <c r="Q183" s="58" t="n">
        <f aca="false">Q182+N183</f>
        <v>989.13386082804</v>
      </c>
    </row>
    <row r="184" customFormat="false" ht="15" hidden="false" customHeight="false" outlineLevel="0" collapsed="false">
      <c r="K184" s="56" t="n">
        <f aca="false">K183+1</f>
        <v>177</v>
      </c>
      <c r="L184" s="57" t="n">
        <f aca="false">IF(AND(K184&lt;=Assumptions!$C$42,L183=1,P183=0,O183&gt;Assumptions!$C$43),1,0)</f>
        <v>0</v>
      </c>
      <c r="M184" s="58" t="n">
        <f aca="false">O183</f>
        <v>-10.8661391719591</v>
      </c>
      <c r="N184" s="58" t="n">
        <f aca="false">IF(L184=1,M184*$B$20,0)</f>
        <v>0</v>
      </c>
      <c r="O184" s="58" t="n">
        <f aca="false">IF(L184=1,M184+N184-$B$21,M184)</f>
        <v>-10.8661391719591</v>
      </c>
      <c r="P184" s="56" t="n">
        <f aca="false">IF(L184=1,IF($B$21&lt;=N184,1,0),0)</f>
        <v>0</v>
      </c>
      <c r="Q184" s="58" t="n">
        <f aca="false">Q183+N184</f>
        <v>989.13386082804</v>
      </c>
    </row>
    <row r="185" customFormat="false" ht="15" hidden="false" customHeight="false" outlineLevel="0" collapsed="false">
      <c r="K185" s="56" t="n">
        <f aca="false">K184+1</f>
        <v>178</v>
      </c>
      <c r="L185" s="57" t="n">
        <f aca="false">IF(AND(K185&lt;=Assumptions!$C$42,L184=1,P184=0,O184&gt;Assumptions!$C$43),1,0)</f>
        <v>0</v>
      </c>
      <c r="M185" s="58" t="n">
        <f aca="false">O184</f>
        <v>-10.8661391719591</v>
      </c>
      <c r="N185" s="58" t="n">
        <f aca="false">IF(L185=1,M185*$B$20,0)</f>
        <v>0</v>
      </c>
      <c r="O185" s="58" t="n">
        <f aca="false">IF(L185=1,M185+N185-$B$21,M185)</f>
        <v>-10.8661391719591</v>
      </c>
      <c r="P185" s="56" t="n">
        <f aca="false">IF(L185=1,IF($B$21&lt;=N185,1,0),0)</f>
        <v>0</v>
      </c>
      <c r="Q185" s="58" t="n">
        <f aca="false">Q184+N185</f>
        <v>989.13386082804</v>
      </c>
    </row>
    <row r="186" customFormat="false" ht="15" hidden="false" customHeight="false" outlineLevel="0" collapsed="false">
      <c r="K186" s="56" t="n">
        <f aca="false">K185+1</f>
        <v>179</v>
      </c>
      <c r="L186" s="57" t="n">
        <f aca="false">IF(AND(K186&lt;=Assumptions!$C$42,L185=1,P185=0,O185&gt;Assumptions!$C$43),1,0)</f>
        <v>0</v>
      </c>
      <c r="M186" s="58" t="n">
        <f aca="false">O185</f>
        <v>-10.8661391719591</v>
      </c>
      <c r="N186" s="58" t="n">
        <f aca="false">IF(L186=1,M186*$B$20,0)</f>
        <v>0</v>
      </c>
      <c r="O186" s="58" t="n">
        <f aca="false">IF(L186=1,M186+N186-$B$21,M186)</f>
        <v>-10.8661391719591</v>
      </c>
      <c r="P186" s="56" t="n">
        <f aca="false">IF(L186=1,IF($B$21&lt;=N186,1,0),0)</f>
        <v>0</v>
      </c>
      <c r="Q186" s="58" t="n">
        <f aca="false">Q185+N186</f>
        <v>989.13386082804</v>
      </c>
    </row>
    <row r="187" customFormat="false" ht="15" hidden="false" customHeight="false" outlineLevel="0" collapsed="false">
      <c r="K187" s="56" t="n">
        <f aca="false">K186+1</f>
        <v>180</v>
      </c>
      <c r="L187" s="57" t="n">
        <f aca="false">IF(AND(K187&lt;=Assumptions!$C$42,L186=1,P186=0,O186&gt;Assumptions!$C$43),1,0)</f>
        <v>0</v>
      </c>
      <c r="M187" s="58" t="n">
        <f aca="false">O186</f>
        <v>-10.8661391719591</v>
      </c>
      <c r="N187" s="58" t="n">
        <f aca="false">IF(L187=1,M187*$B$20,0)</f>
        <v>0</v>
      </c>
      <c r="O187" s="58" t="n">
        <f aca="false">IF(L187=1,M187+N187-$B$21,M187)</f>
        <v>-10.8661391719591</v>
      </c>
      <c r="P187" s="56" t="n">
        <f aca="false">IF(L187=1,IF($B$21&lt;=N187,1,0),0)</f>
        <v>0</v>
      </c>
      <c r="Q187" s="58" t="n">
        <f aca="false">Q186+N187</f>
        <v>989.13386082804</v>
      </c>
    </row>
    <row r="188" customFormat="false" ht="15" hidden="false" customHeight="false" outlineLevel="0" collapsed="false">
      <c r="K188" s="56" t="n">
        <f aca="false">K187+1</f>
        <v>181</v>
      </c>
      <c r="L188" s="57" t="n">
        <f aca="false">IF(AND(K188&lt;=Assumptions!$C$42,L187=1,P187=0,O187&gt;Assumptions!$C$43),1,0)</f>
        <v>0</v>
      </c>
      <c r="M188" s="58" t="n">
        <f aca="false">O187</f>
        <v>-10.8661391719591</v>
      </c>
      <c r="N188" s="58" t="n">
        <f aca="false">IF(L188=1,M188*$B$20,0)</f>
        <v>0</v>
      </c>
      <c r="O188" s="58" t="n">
        <f aca="false">IF(L188=1,M188+N188-$B$21,M188)</f>
        <v>-10.8661391719591</v>
      </c>
      <c r="P188" s="56" t="n">
        <f aca="false">IF(L188=1,IF($B$21&lt;=N188,1,0),0)</f>
        <v>0</v>
      </c>
      <c r="Q188" s="58" t="n">
        <f aca="false">Q187+N188</f>
        <v>989.13386082804</v>
      </c>
    </row>
    <row r="189" customFormat="false" ht="15" hidden="false" customHeight="false" outlineLevel="0" collapsed="false">
      <c r="K189" s="56" t="n">
        <f aca="false">K188+1</f>
        <v>182</v>
      </c>
      <c r="L189" s="57" t="n">
        <f aca="false">IF(AND(K189&lt;=Assumptions!$C$42,L188=1,P188=0,O188&gt;Assumptions!$C$43),1,0)</f>
        <v>0</v>
      </c>
      <c r="M189" s="58" t="n">
        <f aca="false">O188</f>
        <v>-10.8661391719591</v>
      </c>
      <c r="N189" s="58" t="n">
        <f aca="false">IF(L189=1,M189*$B$20,0)</f>
        <v>0</v>
      </c>
      <c r="O189" s="58" t="n">
        <f aca="false">IF(L189=1,M189+N189-$B$21,M189)</f>
        <v>-10.8661391719591</v>
      </c>
      <c r="P189" s="56" t="n">
        <f aca="false">IF(L189=1,IF($B$21&lt;=N189,1,0),0)</f>
        <v>0</v>
      </c>
      <c r="Q189" s="58" t="n">
        <f aca="false">Q188+N189</f>
        <v>989.13386082804</v>
      </c>
    </row>
    <row r="190" customFormat="false" ht="15" hidden="false" customHeight="false" outlineLevel="0" collapsed="false">
      <c r="K190" s="56" t="n">
        <f aca="false">K189+1</f>
        <v>183</v>
      </c>
      <c r="L190" s="57" t="n">
        <f aca="false">IF(AND(K190&lt;=Assumptions!$C$42,L189=1,P189=0,O189&gt;Assumptions!$C$43),1,0)</f>
        <v>0</v>
      </c>
      <c r="M190" s="58" t="n">
        <f aca="false">O189</f>
        <v>-10.8661391719591</v>
      </c>
      <c r="N190" s="58" t="n">
        <f aca="false">IF(L190=1,M190*$B$20,0)</f>
        <v>0</v>
      </c>
      <c r="O190" s="58" t="n">
        <f aca="false">IF(L190=1,M190+N190-$B$21,M190)</f>
        <v>-10.8661391719591</v>
      </c>
      <c r="P190" s="56" t="n">
        <f aca="false">IF(L190=1,IF($B$21&lt;=N190,1,0),0)</f>
        <v>0</v>
      </c>
      <c r="Q190" s="58" t="n">
        <f aca="false">Q189+N190</f>
        <v>989.13386082804</v>
      </c>
    </row>
    <row r="191" customFormat="false" ht="15" hidden="false" customHeight="false" outlineLevel="0" collapsed="false">
      <c r="K191" s="56" t="n">
        <f aca="false">K190+1</f>
        <v>184</v>
      </c>
      <c r="L191" s="57" t="n">
        <f aca="false">IF(AND(K191&lt;=Assumptions!$C$42,L190=1,P190=0,O190&gt;Assumptions!$C$43),1,0)</f>
        <v>0</v>
      </c>
      <c r="M191" s="58" t="n">
        <f aca="false">O190</f>
        <v>-10.8661391719591</v>
      </c>
      <c r="N191" s="58" t="n">
        <f aca="false">IF(L191=1,M191*$B$20,0)</f>
        <v>0</v>
      </c>
      <c r="O191" s="58" t="n">
        <f aca="false">IF(L191=1,M191+N191-$B$21,M191)</f>
        <v>-10.8661391719591</v>
      </c>
      <c r="P191" s="56" t="n">
        <f aca="false">IF(L191=1,IF($B$21&lt;=N191,1,0),0)</f>
        <v>0</v>
      </c>
      <c r="Q191" s="58" t="n">
        <f aca="false">Q190+N191</f>
        <v>989.13386082804</v>
      </c>
    </row>
    <row r="192" customFormat="false" ht="15" hidden="false" customHeight="false" outlineLevel="0" collapsed="false">
      <c r="K192" s="56" t="n">
        <f aca="false">K191+1</f>
        <v>185</v>
      </c>
      <c r="L192" s="57" t="n">
        <f aca="false">IF(AND(K192&lt;=Assumptions!$C$42,L191=1,P191=0,O191&gt;Assumptions!$C$43),1,0)</f>
        <v>0</v>
      </c>
      <c r="M192" s="58" t="n">
        <f aca="false">O191</f>
        <v>-10.8661391719591</v>
      </c>
      <c r="N192" s="58" t="n">
        <f aca="false">IF(L192=1,M192*$B$20,0)</f>
        <v>0</v>
      </c>
      <c r="O192" s="58" t="n">
        <f aca="false">IF(L192=1,M192+N192-$B$21,M192)</f>
        <v>-10.8661391719591</v>
      </c>
      <c r="P192" s="56" t="n">
        <f aca="false">IF(L192=1,IF($B$21&lt;=N192,1,0),0)</f>
        <v>0</v>
      </c>
      <c r="Q192" s="58" t="n">
        <f aca="false">Q191+N192</f>
        <v>989.13386082804</v>
      </c>
    </row>
    <row r="193" customFormat="false" ht="15" hidden="false" customHeight="false" outlineLevel="0" collapsed="false">
      <c r="K193" s="56" t="n">
        <f aca="false">K192+1</f>
        <v>186</v>
      </c>
      <c r="L193" s="57" t="n">
        <f aca="false">IF(AND(K193&lt;=Assumptions!$C$42,L192=1,P192=0,O192&gt;Assumptions!$C$43),1,0)</f>
        <v>0</v>
      </c>
      <c r="M193" s="58" t="n">
        <f aca="false">O192</f>
        <v>-10.8661391719591</v>
      </c>
      <c r="N193" s="58" t="n">
        <f aca="false">IF(L193=1,M193*$B$20,0)</f>
        <v>0</v>
      </c>
      <c r="O193" s="58" t="n">
        <f aca="false">IF(L193=1,M193+N193-$B$21,M193)</f>
        <v>-10.8661391719591</v>
      </c>
      <c r="P193" s="56" t="n">
        <f aca="false">IF(L193=1,IF($B$21&lt;=N193,1,0),0)</f>
        <v>0</v>
      </c>
      <c r="Q193" s="58" t="n">
        <f aca="false">Q192+N193</f>
        <v>989.13386082804</v>
      </c>
    </row>
    <row r="194" customFormat="false" ht="15" hidden="false" customHeight="false" outlineLevel="0" collapsed="false">
      <c r="K194" s="56" t="n">
        <f aca="false">K193+1</f>
        <v>187</v>
      </c>
      <c r="L194" s="57" t="n">
        <f aca="false">IF(AND(K194&lt;=Assumptions!$C$42,L193=1,P193=0,O193&gt;Assumptions!$C$43),1,0)</f>
        <v>0</v>
      </c>
      <c r="M194" s="58" t="n">
        <f aca="false">O193</f>
        <v>-10.8661391719591</v>
      </c>
      <c r="N194" s="58" t="n">
        <f aca="false">IF(L194=1,M194*$B$20,0)</f>
        <v>0</v>
      </c>
      <c r="O194" s="58" t="n">
        <f aca="false">IF(L194=1,M194+N194-$B$21,M194)</f>
        <v>-10.8661391719591</v>
      </c>
      <c r="P194" s="56" t="n">
        <f aca="false">IF(L194=1,IF($B$21&lt;=N194,1,0),0)</f>
        <v>0</v>
      </c>
      <c r="Q194" s="58" t="n">
        <f aca="false">Q193+N194</f>
        <v>989.13386082804</v>
      </c>
    </row>
    <row r="195" customFormat="false" ht="15" hidden="false" customHeight="false" outlineLevel="0" collapsed="false">
      <c r="K195" s="56" t="n">
        <f aca="false">K194+1</f>
        <v>188</v>
      </c>
      <c r="L195" s="57" t="n">
        <f aca="false">IF(AND(K195&lt;=Assumptions!$C$42,L194=1,P194=0,O194&gt;Assumptions!$C$43),1,0)</f>
        <v>0</v>
      </c>
      <c r="M195" s="58" t="n">
        <f aca="false">O194</f>
        <v>-10.8661391719591</v>
      </c>
      <c r="N195" s="58" t="n">
        <f aca="false">IF(L195=1,M195*$B$20,0)</f>
        <v>0</v>
      </c>
      <c r="O195" s="58" t="n">
        <f aca="false">IF(L195=1,M195+N195-$B$21,M195)</f>
        <v>-10.8661391719591</v>
      </c>
      <c r="P195" s="56" t="n">
        <f aca="false">IF(L195=1,IF($B$21&lt;=N195,1,0),0)</f>
        <v>0</v>
      </c>
      <c r="Q195" s="58" t="n">
        <f aca="false">Q194+N195</f>
        <v>989.13386082804</v>
      </c>
    </row>
    <row r="196" customFormat="false" ht="15" hidden="false" customHeight="false" outlineLevel="0" collapsed="false">
      <c r="K196" s="56" t="n">
        <f aca="false">K195+1</f>
        <v>189</v>
      </c>
      <c r="L196" s="57" t="n">
        <f aca="false">IF(AND(K196&lt;=Assumptions!$C$42,L195=1,P195=0,O195&gt;Assumptions!$C$43),1,0)</f>
        <v>0</v>
      </c>
      <c r="M196" s="58" t="n">
        <f aca="false">O195</f>
        <v>-10.8661391719591</v>
      </c>
      <c r="N196" s="58" t="n">
        <f aca="false">IF(L196=1,M196*$B$20,0)</f>
        <v>0</v>
      </c>
      <c r="O196" s="58" t="n">
        <f aca="false">IF(L196=1,M196+N196-$B$21,M196)</f>
        <v>-10.8661391719591</v>
      </c>
      <c r="P196" s="56" t="n">
        <f aca="false">IF(L196=1,IF($B$21&lt;=N196,1,0),0)</f>
        <v>0</v>
      </c>
      <c r="Q196" s="58" t="n">
        <f aca="false">Q195+N196</f>
        <v>989.13386082804</v>
      </c>
    </row>
    <row r="197" customFormat="false" ht="15" hidden="false" customHeight="false" outlineLevel="0" collapsed="false">
      <c r="K197" s="56" t="n">
        <f aca="false">K196+1</f>
        <v>190</v>
      </c>
      <c r="L197" s="57" t="n">
        <f aca="false">IF(AND(K197&lt;=Assumptions!$C$42,L196=1,P196=0,O196&gt;Assumptions!$C$43),1,0)</f>
        <v>0</v>
      </c>
      <c r="M197" s="58" t="n">
        <f aca="false">O196</f>
        <v>-10.8661391719591</v>
      </c>
      <c r="N197" s="58" t="n">
        <f aca="false">IF(L197=1,M197*$B$20,0)</f>
        <v>0</v>
      </c>
      <c r="O197" s="58" t="n">
        <f aca="false">IF(L197=1,M197+N197-$B$21,M197)</f>
        <v>-10.8661391719591</v>
      </c>
      <c r="P197" s="56" t="n">
        <f aca="false">IF(L197=1,IF($B$21&lt;=N197,1,0),0)</f>
        <v>0</v>
      </c>
      <c r="Q197" s="58" t="n">
        <f aca="false">Q196+N197</f>
        <v>989.13386082804</v>
      </c>
    </row>
    <row r="198" customFormat="false" ht="15" hidden="false" customHeight="false" outlineLevel="0" collapsed="false">
      <c r="K198" s="56" t="n">
        <f aca="false">K197+1</f>
        <v>191</v>
      </c>
      <c r="L198" s="57" t="n">
        <f aca="false">IF(AND(K198&lt;=Assumptions!$C$42,L197=1,P197=0,O197&gt;Assumptions!$C$43),1,0)</f>
        <v>0</v>
      </c>
      <c r="M198" s="58" t="n">
        <f aca="false">O197</f>
        <v>-10.8661391719591</v>
      </c>
      <c r="N198" s="58" t="n">
        <f aca="false">IF(L198=1,M198*$B$20,0)</f>
        <v>0</v>
      </c>
      <c r="O198" s="58" t="n">
        <f aca="false">IF(L198=1,M198+N198-$B$21,M198)</f>
        <v>-10.8661391719591</v>
      </c>
      <c r="P198" s="56" t="n">
        <f aca="false">IF(L198=1,IF($B$21&lt;=N198,1,0),0)</f>
        <v>0</v>
      </c>
      <c r="Q198" s="58" t="n">
        <f aca="false">Q197+N198</f>
        <v>989.13386082804</v>
      </c>
    </row>
    <row r="199" customFormat="false" ht="15" hidden="false" customHeight="false" outlineLevel="0" collapsed="false">
      <c r="K199" s="56" t="n">
        <f aca="false">K198+1</f>
        <v>192</v>
      </c>
      <c r="L199" s="57" t="n">
        <f aca="false">IF(AND(K199&lt;=Assumptions!$C$42,L198=1,P198=0,O198&gt;Assumptions!$C$43),1,0)</f>
        <v>0</v>
      </c>
      <c r="M199" s="58" t="n">
        <f aca="false">O198</f>
        <v>-10.8661391719591</v>
      </c>
      <c r="N199" s="58" t="n">
        <f aca="false">IF(L199=1,M199*$B$20,0)</f>
        <v>0</v>
      </c>
      <c r="O199" s="58" t="n">
        <f aca="false">IF(L199=1,M199+N199-$B$21,M199)</f>
        <v>-10.8661391719591</v>
      </c>
      <c r="P199" s="56" t="n">
        <f aca="false">IF(L199=1,IF($B$21&lt;=N199,1,0),0)</f>
        <v>0</v>
      </c>
      <c r="Q199" s="58" t="n">
        <f aca="false">Q198+N199</f>
        <v>989.13386082804</v>
      </c>
    </row>
    <row r="200" customFormat="false" ht="15" hidden="false" customHeight="false" outlineLevel="0" collapsed="false">
      <c r="K200" s="56" t="n">
        <f aca="false">K199+1</f>
        <v>193</v>
      </c>
      <c r="L200" s="57" t="n">
        <f aca="false">IF(AND(K200&lt;=Assumptions!$C$42,L199=1,P199=0,O199&gt;Assumptions!$C$43),1,0)</f>
        <v>0</v>
      </c>
      <c r="M200" s="58" t="n">
        <f aca="false">O199</f>
        <v>-10.8661391719591</v>
      </c>
      <c r="N200" s="58" t="n">
        <f aca="false">IF(L200=1,M200*$B$20,0)</f>
        <v>0</v>
      </c>
      <c r="O200" s="58" t="n">
        <f aca="false">IF(L200=1,M200+N200-$B$21,M200)</f>
        <v>-10.8661391719591</v>
      </c>
      <c r="P200" s="56" t="n">
        <f aca="false">IF(L200=1,IF($B$21&lt;=N200,1,0),0)</f>
        <v>0</v>
      </c>
      <c r="Q200" s="58" t="n">
        <f aca="false">Q199+N200</f>
        <v>989.13386082804</v>
      </c>
    </row>
    <row r="201" customFormat="false" ht="15" hidden="false" customHeight="false" outlineLevel="0" collapsed="false">
      <c r="K201" s="56" t="n">
        <f aca="false">K200+1</f>
        <v>194</v>
      </c>
      <c r="L201" s="57" t="n">
        <f aca="false">IF(AND(K201&lt;=Assumptions!$C$42,L200=1,P200=0,O200&gt;Assumptions!$C$43),1,0)</f>
        <v>0</v>
      </c>
      <c r="M201" s="58" t="n">
        <f aca="false">O200</f>
        <v>-10.8661391719591</v>
      </c>
      <c r="N201" s="58" t="n">
        <f aca="false">IF(L201=1,M201*$B$20,0)</f>
        <v>0</v>
      </c>
      <c r="O201" s="58" t="n">
        <f aca="false">IF(L201=1,M201+N201-$B$21,M201)</f>
        <v>-10.8661391719591</v>
      </c>
      <c r="P201" s="56" t="n">
        <f aca="false">IF(L201=1,IF($B$21&lt;=N201,1,0),0)</f>
        <v>0</v>
      </c>
      <c r="Q201" s="58" t="n">
        <f aca="false">Q200+N201</f>
        <v>989.13386082804</v>
      </c>
    </row>
    <row r="202" customFormat="false" ht="15" hidden="false" customHeight="false" outlineLevel="0" collapsed="false">
      <c r="K202" s="56" t="n">
        <f aca="false">K201+1</f>
        <v>195</v>
      </c>
      <c r="L202" s="57" t="n">
        <f aca="false">IF(AND(K202&lt;=Assumptions!$C$42,L201=1,P201=0,O201&gt;Assumptions!$C$43),1,0)</f>
        <v>0</v>
      </c>
      <c r="M202" s="58" t="n">
        <f aca="false">O201</f>
        <v>-10.8661391719591</v>
      </c>
      <c r="N202" s="58" t="n">
        <f aca="false">IF(L202=1,M202*$B$20,0)</f>
        <v>0</v>
      </c>
      <c r="O202" s="58" t="n">
        <f aca="false">IF(L202=1,M202+N202-$B$21,M202)</f>
        <v>-10.8661391719591</v>
      </c>
      <c r="P202" s="56" t="n">
        <f aca="false">IF(L202=1,IF($B$21&lt;=N202,1,0),0)</f>
        <v>0</v>
      </c>
      <c r="Q202" s="58" t="n">
        <f aca="false">Q201+N202</f>
        <v>989.13386082804</v>
      </c>
    </row>
    <row r="203" customFormat="false" ht="15" hidden="false" customHeight="false" outlineLevel="0" collapsed="false">
      <c r="K203" s="56" t="n">
        <f aca="false">K202+1</f>
        <v>196</v>
      </c>
      <c r="L203" s="57" t="n">
        <f aca="false">IF(AND(K203&lt;=Assumptions!$C$42,L202=1,P202=0,O202&gt;Assumptions!$C$43),1,0)</f>
        <v>0</v>
      </c>
      <c r="M203" s="58" t="n">
        <f aca="false">O202</f>
        <v>-10.8661391719591</v>
      </c>
      <c r="N203" s="58" t="n">
        <f aca="false">IF(L203=1,M203*$B$20,0)</f>
        <v>0</v>
      </c>
      <c r="O203" s="58" t="n">
        <f aca="false">IF(L203=1,M203+N203-$B$21,M203)</f>
        <v>-10.8661391719591</v>
      </c>
      <c r="P203" s="56" t="n">
        <f aca="false">IF(L203=1,IF($B$21&lt;=N203,1,0),0)</f>
        <v>0</v>
      </c>
      <c r="Q203" s="58" t="n">
        <f aca="false">Q202+N203</f>
        <v>989.13386082804</v>
      </c>
    </row>
    <row r="204" customFormat="false" ht="15" hidden="false" customHeight="false" outlineLevel="0" collapsed="false">
      <c r="K204" s="56" t="n">
        <f aca="false">K203+1</f>
        <v>197</v>
      </c>
      <c r="L204" s="57" t="n">
        <f aca="false">IF(AND(K204&lt;=Assumptions!$C$42,L203=1,P203=0,O203&gt;Assumptions!$C$43),1,0)</f>
        <v>0</v>
      </c>
      <c r="M204" s="58" t="n">
        <f aca="false">O203</f>
        <v>-10.8661391719591</v>
      </c>
      <c r="N204" s="58" t="n">
        <f aca="false">IF(L204=1,M204*$B$20,0)</f>
        <v>0</v>
      </c>
      <c r="O204" s="58" t="n">
        <f aca="false">IF(L204=1,M204+N204-$B$21,M204)</f>
        <v>-10.8661391719591</v>
      </c>
      <c r="P204" s="56" t="n">
        <f aca="false">IF(L204=1,IF($B$21&lt;=N204,1,0),0)</f>
        <v>0</v>
      </c>
      <c r="Q204" s="58" t="n">
        <f aca="false">Q203+N204</f>
        <v>989.13386082804</v>
      </c>
    </row>
    <row r="205" customFormat="false" ht="15" hidden="false" customHeight="false" outlineLevel="0" collapsed="false">
      <c r="K205" s="56" t="n">
        <f aca="false">K204+1</f>
        <v>198</v>
      </c>
      <c r="L205" s="57" t="n">
        <f aca="false">IF(AND(K205&lt;=Assumptions!$C$42,L204=1,P204=0,O204&gt;Assumptions!$C$43),1,0)</f>
        <v>0</v>
      </c>
      <c r="M205" s="58" t="n">
        <f aca="false">O204</f>
        <v>-10.8661391719591</v>
      </c>
      <c r="N205" s="58" t="n">
        <f aca="false">IF(L205=1,M205*$B$20,0)</f>
        <v>0</v>
      </c>
      <c r="O205" s="58" t="n">
        <f aca="false">IF(L205=1,M205+N205-$B$21,M205)</f>
        <v>-10.8661391719591</v>
      </c>
      <c r="P205" s="56" t="n">
        <f aca="false">IF(L205=1,IF($B$21&lt;=N205,1,0),0)</f>
        <v>0</v>
      </c>
      <c r="Q205" s="58" t="n">
        <f aca="false">Q204+N205</f>
        <v>989.13386082804</v>
      </c>
    </row>
    <row r="206" customFormat="false" ht="15" hidden="false" customHeight="false" outlineLevel="0" collapsed="false">
      <c r="K206" s="56" t="n">
        <f aca="false">K205+1</f>
        <v>199</v>
      </c>
      <c r="L206" s="57" t="n">
        <f aca="false">IF(AND(K206&lt;=Assumptions!$C$42,L205=1,P205=0,O205&gt;Assumptions!$C$43),1,0)</f>
        <v>0</v>
      </c>
      <c r="M206" s="58" t="n">
        <f aca="false">O205</f>
        <v>-10.8661391719591</v>
      </c>
      <c r="N206" s="58" t="n">
        <f aca="false">IF(L206=1,M206*$B$20,0)</f>
        <v>0</v>
      </c>
      <c r="O206" s="58" t="n">
        <f aca="false">IF(L206=1,M206+N206-$B$21,M206)</f>
        <v>-10.8661391719591</v>
      </c>
      <c r="P206" s="56" t="n">
        <f aca="false">IF(L206=1,IF($B$21&lt;=N206,1,0),0)</f>
        <v>0</v>
      </c>
      <c r="Q206" s="58" t="n">
        <f aca="false">Q205+N206</f>
        <v>989.13386082804</v>
      </c>
    </row>
    <row r="207" customFormat="false" ht="15" hidden="false" customHeight="false" outlineLevel="0" collapsed="false">
      <c r="K207" s="56" t="n">
        <f aca="false">K206+1</f>
        <v>200</v>
      </c>
      <c r="L207" s="57" t="n">
        <f aca="false">IF(AND(K207&lt;=Assumptions!$C$42,L206=1,P206=0,O206&gt;Assumptions!$C$43),1,0)</f>
        <v>0</v>
      </c>
      <c r="M207" s="58" t="n">
        <f aca="false">O206</f>
        <v>-10.8661391719591</v>
      </c>
      <c r="N207" s="58" t="n">
        <f aca="false">IF(L207=1,M207*$B$20,0)</f>
        <v>0</v>
      </c>
      <c r="O207" s="58" t="n">
        <f aca="false">IF(L207=1,M207+N207-$B$21,M207)</f>
        <v>-10.8661391719591</v>
      </c>
      <c r="P207" s="56" t="n">
        <f aca="false">IF(L207=1,IF($B$21&lt;=N207,1,0),0)</f>
        <v>0</v>
      </c>
      <c r="Q207" s="58" t="n">
        <f aca="false">Q206+N207</f>
        <v>989.13386082804</v>
      </c>
    </row>
    <row r="208" customFormat="false" ht="15" hidden="false" customHeight="false" outlineLevel="0" collapsed="false">
      <c r="K208" s="56" t="n">
        <f aca="false">K207+1</f>
        <v>201</v>
      </c>
      <c r="L208" s="57" t="n">
        <f aca="false">IF(AND(K208&lt;=Assumptions!$C$42,L207=1,P207=0,O207&gt;Assumptions!$C$43),1,0)</f>
        <v>0</v>
      </c>
      <c r="M208" s="58" t="n">
        <f aca="false">O207</f>
        <v>-10.8661391719591</v>
      </c>
      <c r="N208" s="58" t="n">
        <f aca="false">IF(L208=1,M208*$B$20,0)</f>
        <v>0</v>
      </c>
      <c r="O208" s="58" t="n">
        <f aca="false">IF(L208=1,M208+N208-$B$21,M208)</f>
        <v>-10.8661391719591</v>
      </c>
      <c r="P208" s="56" t="n">
        <f aca="false">IF(L208=1,IF($B$21&lt;=N208,1,0),0)</f>
        <v>0</v>
      </c>
      <c r="Q208" s="58" t="n">
        <f aca="false">Q207+N208</f>
        <v>989.13386082804</v>
      </c>
    </row>
    <row r="209" customFormat="false" ht="15" hidden="false" customHeight="false" outlineLevel="0" collapsed="false">
      <c r="K209" s="56" t="n">
        <f aca="false">K208+1</f>
        <v>202</v>
      </c>
      <c r="L209" s="57" t="n">
        <f aca="false">IF(AND(K209&lt;=Assumptions!$C$42,L208=1,P208=0,O208&gt;Assumptions!$C$43),1,0)</f>
        <v>0</v>
      </c>
      <c r="M209" s="58" t="n">
        <f aca="false">O208</f>
        <v>-10.8661391719591</v>
      </c>
      <c r="N209" s="58" t="n">
        <f aca="false">IF(L209=1,M209*$B$20,0)</f>
        <v>0</v>
      </c>
      <c r="O209" s="58" t="n">
        <f aca="false">IF(L209=1,M209+N209-$B$21,M209)</f>
        <v>-10.8661391719591</v>
      </c>
      <c r="P209" s="56" t="n">
        <f aca="false">IF(L209=1,IF($B$21&lt;=N209,1,0),0)</f>
        <v>0</v>
      </c>
      <c r="Q209" s="58" t="n">
        <f aca="false">Q208+N209</f>
        <v>989.13386082804</v>
      </c>
    </row>
    <row r="210" customFormat="false" ht="15" hidden="false" customHeight="false" outlineLevel="0" collapsed="false">
      <c r="K210" s="56" t="n">
        <f aca="false">K209+1</f>
        <v>203</v>
      </c>
      <c r="L210" s="57" t="n">
        <f aca="false">IF(AND(K210&lt;=Assumptions!$C$42,L209=1,P209=0,O209&gt;Assumptions!$C$43),1,0)</f>
        <v>0</v>
      </c>
      <c r="M210" s="58" t="n">
        <f aca="false">O209</f>
        <v>-10.8661391719591</v>
      </c>
      <c r="N210" s="58" t="n">
        <f aca="false">IF(L210=1,M210*$B$20,0)</f>
        <v>0</v>
      </c>
      <c r="O210" s="58" t="n">
        <f aca="false">IF(L210=1,M210+N210-$B$21,M210)</f>
        <v>-10.8661391719591</v>
      </c>
      <c r="P210" s="56" t="n">
        <f aca="false">IF(L210=1,IF($B$21&lt;=N210,1,0),0)</f>
        <v>0</v>
      </c>
      <c r="Q210" s="58" t="n">
        <f aca="false">Q209+N210</f>
        <v>989.13386082804</v>
      </c>
    </row>
    <row r="211" customFormat="false" ht="15" hidden="false" customHeight="false" outlineLevel="0" collapsed="false">
      <c r="K211" s="56" t="n">
        <f aca="false">K210+1</f>
        <v>204</v>
      </c>
      <c r="L211" s="57" t="n">
        <f aca="false">IF(AND(K211&lt;=Assumptions!$C$42,L210=1,P210=0,O210&gt;Assumptions!$C$43),1,0)</f>
        <v>0</v>
      </c>
      <c r="M211" s="58" t="n">
        <f aca="false">O210</f>
        <v>-10.8661391719591</v>
      </c>
      <c r="N211" s="58" t="n">
        <f aca="false">IF(L211=1,M211*$B$20,0)</f>
        <v>0</v>
      </c>
      <c r="O211" s="58" t="n">
        <f aca="false">IF(L211=1,M211+N211-$B$21,M211)</f>
        <v>-10.8661391719591</v>
      </c>
      <c r="P211" s="56" t="n">
        <f aca="false">IF(L211=1,IF($B$21&lt;=N211,1,0),0)</f>
        <v>0</v>
      </c>
      <c r="Q211" s="58" t="n">
        <f aca="false">Q210+N211</f>
        <v>989.13386082804</v>
      </c>
    </row>
    <row r="212" customFormat="false" ht="15" hidden="false" customHeight="false" outlineLevel="0" collapsed="false">
      <c r="K212" s="56" t="n">
        <f aca="false">K211+1</f>
        <v>205</v>
      </c>
      <c r="L212" s="57" t="n">
        <f aca="false">IF(AND(K212&lt;=Assumptions!$C$42,L211=1,P211=0,O211&gt;Assumptions!$C$43),1,0)</f>
        <v>0</v>
      </c>
      <c r="M212" s="58" t="n">
        <f aca="false">O211</f>
        <v>-10.8661391719591</v>
      </c>
      <c r="N212" s="58" t="n">
        <f aca="false">IF(L212=1,M212*$B$20,0)</f>
        <v>0</v>
      </c>
      <c r="O212" s="58" t="n">
        <f aca="false">IF(L212=1,M212+N212-$B$21,M212)</f>
        <v>-10.8661391719591</v>
      </c>
      <c r="P212" s="56" t="n">
        <f aca="false">IF(L212=1,IF($B$21&lt;=N212,1,0),0)</f>
        <v>0</v>
      </c>
      <c r="Q212" s="58" t="n">
        <f aca="false">Q211+N212</f>
        <v>989.13386082804</v>
      </c>
    </row>
    <row r="213" customFormat="false" ht="15" hidden="false" customHeight="false" outlineLevel="0" collapsed="false">
      <c r="K213" s="56" t="n">
        <f aca="false">K212+1</f>
        <v>206</v>
      </c>
      <c r="L213" s="57" t="n">
        <f aca="false">IF(AND(K213&lt;=Assumptions!$C$42,L212=1,P212=0,O212&gt;Assumptions!$C$43),1,0)</f>
        <v>0</v>
      </c>
      <c r="M213" s="58" t="n">
        <f aca="false">O212</f>
        <v>-10.8661391719591</v>
      </c>
      <c r="N213" s="58" t="n">
        <f aca="false">IF(L213=1,M213*$B$20,0)</f>
        <v>0</v>
      </c>
      <c r="O213" s="58" t="n">
        <f aca="false">IF(L213=1,M213+N213-$B$21,M213)</f>
        <v>-10.8661391719591</v>
      </c>
      <c r="P213" s="56" t="n">
        <f aca="false">IF(L213=1,IF($B$21&lt;=N213,1,0),0)</f>
        <v>0</v>
      </c>
      <c r="Q213" s="58" t="n">
        <f aca="false">Q212+N213</f>
        <v>989.13386082804</v>
      </c>
    </row>
    <row r="214" customFormat="false" ht="15" hidden="false" customHeight="false" outlineLevel="0" collapsed="false">
      <c r="K214" s="56" t="n">
        <f aca="false">K213+1</f>
        <v>207</v>
      </c>
      <c r="L214" s="57" t="n">
        <f aca="false">IF(AND(K214&lt;=Assumptions!$C$42,L213=1,P213=0,O213&gt;Assumptions!$C$43),1,0)</f>
        <v>0</v>
      </c>
      <c r="M214" s="58" t="n">
        <f aca="false">O213</f>
        <v>-10.8661391719591</v>
      </c>
      <c r="N214" s="58" t="n">
        <f aca="false">IF(L214=1,M214*$B$20,0)</f>
        <v>0</v>
      </c>
      <c r="O214" s="58" t="n">
        <f aca="false">IF(L214=1,M214+N214-$B$21,M214)</f>
        <v>-10.8661391719591</v>
      </c>
      <c r="P214" s="56" t="n">
        <f aca="false">IF(L214=1,IF($B$21&lt;=N214,1,0),0)</f>
        <v>0</v>
      </c>
      <c r="Q214" s="58" t="n">
        <f aca="false">Q213+N214</f>
        <v>989.13386082804</v>
      </c>
    </row>
    <row r="215" customFormat="false" ht="15" hidden="false" customHeight="false" outlineLevel="0" collapsed="false">
      <c r="K215" s="56" t="n">
        <f aca="false">K214+1</f>
        <v>208</v>
      </c>
      <c r="L215" s="57" t="n">
        <f aca="false">IF(AND(K215&lt;=Assumptions!$C$42,L214=1,P214=0,O214&gt;Assumptions!$C$43),1,0)</f>
        <v>0</v>
      </c>
      <c r="M215" s="58" t="n">
        <f aca="false">O214</f>
        <v>-10.8661391719591</v>
      </c>
      <c r="N215" s="58" t="n">
        <f aca="false">IF(L215=1,M215*$B$20,0)</f>
        <v>0</v>
      </c>
      <c r="O215" s="58" t="n">
        <f aca="false">IF(L215=1,M215+N215-$B$21,M215)</f>
        <v>-10.8661391719591</v>
      </c>
      <c r="P215" s="56" t="n">
        <f aca="false">IF(L215=1,IF($B$21&lt;=N215,1,0),0)</f>
        <v>0</v>
      </c>
      <c r="Q215" s="58" t="n">
        <f aca="false">Q214+N215</f>
        <v>989.13386082804</v>
      </c>
    </row>
    <row r="216" customFormat="false" ht="15" hidden="false" customHeight="false" outlineLevel="0" collapsed="false">
      <c r="K216" s="56" t="n">
        <f aca="false">K215+1</f>
        <v>209</v>
      </c>
      <c r="L216" s="57" t="n">
        <f aca="false">IF(AND(K216&lt;=Assumptions!$C$42,L215=1,P215=0,O215&gt;Assumptions!$C$43),1,0)</f>
        <v>0</v>
      </c>
      <c r="M216" s="58" t="n">
        <f aca="false">O215</f>
        <v>-10.8661391719591</v>
      </c>
      <c r="N216" s="58" t="n">
        <f aca="false">IF(L216=1,M216*$B$20,0)</f>
        <v>0</v>
      </c>
      <c r="O216" s="58" t="n">
        <f aca="false">IF(L216=1,M216+N216-$B$21,M216)</f>
        <v>-10.8661391719591</v>
      </c>
      <c r="P216" s="56" t="n">
        <f aca="false">IF(L216=1,IF($B$21&lt;=N216,1,0),0)</f>
        <v>0</v>
      </c>
      <c r="Q216" s="58" t="n">
        <f aca="false">Q215+N216</f>
        <v>989.13386082804</v>
      </c>
    </row>
    <row r="217" customFormat="false" ht="15" hidden="false" customHeight="false" outlineLevel="0" collapsed="false">
      <c r="K217" s="56" t="n">
        <f aca="false">K216+1</f>
        <v>210</v>
      </c>
      <c r="L217" s="57" t="n">
        <f aca="false">IF(AND(K217&lt;=Assumptions!$C$42,L216=1,P216=0,O216&gt;Assumptions!$C$43),1,0)</f>
        <v>0</v>
      </c>
      <c r="M217" s="58" t="n">
        <f aca="false">O216</f>
        <v>-10.8661391719591</v>
      </c>
      <c r="N217" s="58" t="n">
        <f aca="false">IF(L217=1,M217*$B$20,0)</f>
        <v>0</v>
      </c>
      <c r="O217" s="58" t="n">
        <f aca="false">IF(L217=1,M217+N217-$B$21,M217)</f>
        <v>-10.8661391719591</v>
      </c>
      <c r="P217" s="56" t="n">
        <f aca="false">IF(L217=1,IF($B$21&lt;=N217,1,0),0)</f>
        <v>0</v>
      </c>
      <c r="Q217" s="58" t="n">
        <f aca="false">Q216+N217</f>
        <v>989.13386082804</v>
      </c>
    </row>
    <row r="218" customFormat="false" ht="15" hidden="false" customHeight="false" outlineLevel="0" collapsed="false">
      <c r="K218" s="56" t="n">
        <f aca="false">K217+1</f>
        <v>211</v>
      </c>
      <c r="L218" s="57" t="n">
        <f aca="false">IF(AND(K218&lt;=Assumptions!$C$42,L217=1,P217=0,O217&gt;Assumptions!$C$43),1,0)</f>
        <v>0</v>
      </c>
      <c r="M218" s="58" t="n">
        <f aca="false">O217</f>
        <v>-10.8661391719591</v>
      </c>
      <c r="N218" s="58" t="n">
        <f aca="false">IF(L218=1,M218*$B$20,0)</f>
        <v>0</v>
      </c>
      <c r="O218" s="58" t="n">
        <f aca="false">IF(L218=1,M218+N218-$B$21,M218)</f>
        <v>-10.8661391719591</v>
      </c>
      <c r="P218" s="56" t="n">
        <f aca="false">IF(L218=1,IF($B$21&lt;=N218,1,0),0)</f>
        <v>0</v>
      </c>
      <c r="Q218" s="58" t="n">
        <f aca="false">Q217+N218</f>
        <v>989.13386082804</v>
      </c>
    </row>
    <row r="219" customFormat="false" ht="15" hidden="false" customHeight="false" outlineLevel="0" collapsed="false">
      <c r="K219" s="56" t="n">
        <f aca="false">K218+1</f>
        <v>212</v>
      </c>
      <c r="L219" s="57" t="n">
        <f aca="false">IF(AND(K219&lt;=Assumptions!$C$42,L218=1,P218=0,O218&gt;Assumptions!$C$43),1,0)</f>
        <v>0</v>
      </c>
      <c r="M219" s="58" t="n">
        <f aca="false">O218</f>
        <v>-10.8661391719591</v>
      </c>
      <c r="N219" s="58" t="n">
        <f aca="false">IF(L219=1,M219*$B$20,0)</f>
        <v>0</v>
      </c>
      <c r="O219" s="58" t="n">
        <f aca="false">IF(L219=1,M219+N219-$B$21,M219)</f>
        <v>-10.8661391719591</v>
      </c>
      <c r="P219" s="56" t="n">
        <f aca="false">IF(L219=1,IF($B$21&lt;=N219,1,0),0)</f>
        <v>0</v>
      </c>
      <c r="Q219" s="58" t="n">
        <f aca="false">Q218+N219</f>
        <v>989.13386082804</v>
      </c>
    </row>
    <row r="220" customFormat="false" ht="15" hidden="false" customHeight="false" outlineLevel="0" collapsed="false">
      <c r="K220" s="56" t="n">
        <f aca="false">K219+1</f>
        <v>213</v>
      </c>
      <c r="L220" s="57" t="n">
        <f aca="false">IF(AND(K220&lt;=Assumptions!$C$42,L219=1,P219=0,O219&gt;Assumptions!$C$43),1,0)</f>
        <v>0</v>
      </c>
      <c r="M220" s="58" t="n">
        <f aca="false">O219</f>
        <v>-10.8661391719591</v>
      </c>
      <c r="N220" s="58" t="n">
        <f aca="false">IF(L220=1,M220*$B$20,0)</f>
        <v>0</v>
      </c>
      <c r="O220" s="58" t="n">
        <f aca="false">IF(L220=1,M220+N220-$B$21,M220)</f>
        <v>-10.8661391719591</v>
      </c>
      <c r="P220" s="56" t="n">
        <f aca="false">IF(L220=1,IF($B$21&lt;=N220,1,0),0)</f>
        <v>0</v>
      </c>
      <c r="Q220" s="58" t="n">
        <f aca="false">Q219+N220</f>
        <v>989.13386082804</v>
      </c>
    </row>
    <row r="221" customFormat="false" ht="15" hidden="false" customHeight="false" outlineLevel="0" collapsed="false">
      <c r="K221" s="56" t="n">
        <f aca="false">K220+1</f>
        <v>214</v>
      </c>
      <c r="L221" s="57" t="n">
        <f aca="false">IF(AND(K221&lt;=Assumptions!$C$42,L220=1,P220=0,O220&gt;Assumptions!$C$43),1,0)</f>
        <v>0</v>
      </c>
      <c r="M221" s="58" t="n">
        <f aca="false">O220</f>
        <v>-10.8661391719591</v>
      </c>
      <c r="N221" s="58" t="n">
        <f aca="false">IF(L221=1,M221*$B$20,0)</f>
        <v>0</v>
      </c>
      <c r="O221" s="58" t="n">
        <f aca="false">IF(L221=1,M221+N221-$B$21,M221)</f>
        <v>-10.8661391719591</v>
      </c>
      <c r="P221" s="56" t="n">
        <f aca="false">IF(L221=1,IF($B$21&lt;=N221,1,0),0)</f>
        <v>0</v>
      </c>
      <c r="Q221" s="58" t="n">
        <f aca="false">Q220+N221</f>
        <v>989.13386082804</v>
      </c>
    </row>
    <row r="222" customFormat="false" ht="15" hidden="false" customHeight="false" outlineLevel="0" collapsed="false">
      <c r="K222" s="56" t="n">
        <f aca="false">K221+1</f>
        <v>215</v>
      </c>
      <c r="L222" s="57" t="n">
        <f aca="false">IF(AND(K222&lt;=Assumptions!$C$42,L221=1,P221=0,O221&gt;Assumptions!$C$43),1,0)</f>
        <v>0</v>
      </c>
      <c r="M222" s="58" t="n">
        <f aca="false">O221</f>
        <v>-10.8661391719591</v>
      </c>
      <c r="N222" s="58" t="n">
        <f aca="false">IF(L222=1,M222*$B$20,0)</f>
        <v>0</v>
      </c>
      <c r="O222" s="58" t="n">
        <f aca="false">IF(L222=1,M222+N222-$B$21,M222)</f>
        <v>-10.8661391719591</v>
      </c>
      <c r="P222" s="56" t="n">
        <f aca="false">IF(L222=1,IF($B$21&lt;=N222,1,0),0)</f>
        <v>0</v>
      </c>
      <c r="Q222" s="58" t="n">
        <f aca="false">Q221+N222</f>
        <v>989.13386082804</v>
      </c>
    </row>
    <row r="223" customFormat="false" ht="15" hidden="false" customHeight="false" outlineLevel="0" collapsed="false">
      <c r="K223" s="56" t="n">
        <f aca="false">K222+1</f>
        <v>216</v>
      </c>
      <c r="L223" s="57" t="n">
        <f aca="false">IF(AND(K223&lt;=Assumptions!$C$42,L222=1,P222=0,O222&gt;Assumptions!$C$43),1,0)</f>
        <v>0</v>
      </c>
      <c r="M223" s="58" t="n">
        <f aca="false">O222</f>
        <v>-10.8661391719591</v>
      </c>
      <c r="N223" s="58" t="n">
        <f aca="false">IF(L223=1,M223*$B$20,0)</f>
        <v>0</v>
      </c>
      <c r="O223" s="58" t="n">
        <f aca="false">IF(L223=1,M223+N223-$B$21,M223)</f>
        <v>-10.8661391719591</v>
      </c>
      <c r="P223" s="56" t="n">
        <f aca="false">IF(L223=1,IF($B$21&lt;=N223,1,0),0)</f>
        <v>0</v>
      </c>
      <c r="Q223" s="58" t="n">
        <f aca="false">Q222+N223</f>
        <v>989.13386082804</v>
      </c>
    </row>
    <row r="224" customFormat="false" ht="15" hidden="false" customHeight="false" outlineLevel="0" collapsed="false">
      <c r="K224" s="56" t="n">
        <f aca="false">K223+1</f>
        <v>217</v>
      </c>
      <c r="L224" s="57" t="n">
        <f aca="false">IF(AND(K224&lt;=Assumptions!$C$42,L223=1,P223=0,O223&gt;Assumptions!$C$43),1,0)</f>
        <v>0</v>
      </c>
      <c r="M224" s="58" t="n">
        <f aca="false">O223</f>
        <v>-10.8661391719591</v>
      </c>
      <c r="N224" s="58" t="n">
        <f aca="false">IF(L224=1,M224*$B$20,0)</f>
        <v>0</v>
      </c>
      <c r="O224" s="58" t="n">
        <f aca="false">IF(L224=1,M224+N224-$B$21,M224)</f>
        <v>-10.8661391719591</v>
      </c>
      <c r="P224" s="56" t="n">
        <f aca="false">IF(L224=1,IF($B$21&lt;=N224,1,0),0)</f>
        <v>0</v>
      </c>
      <c r="Q224" s="58" t="n">
        <f aca="false">Q223+N224</f>
        <v>989.13386082804</v>
      </c>
    </row>
    <row r="225" customFormat="false" ht="15" hidden="false" customHeight="false" outlineLevel="0" collapsed="false">
      <c r="K225" s="56" t="n">
        <f aca="false">K224+1</f>
        <v>218</v>
      </c>
      <c r="L225" s="57" t="n">
        <f aca="false">IF(AND(K225&lt;=Assumptions!$C$42,L224=1,P224=0,O224&gt;Assumptions!$C$43),1,0)</f>
        <v>0</v>
      </c>
      <c r="M225" s="58" t="n">
        <f aca="false">O224</f>
        <v>-10.8661391719591</v>
      </c>
      <c r="N225" s="58" t="n">
        <f aca="false">IF(L225=1,M225*$B$20,0)</f>
        <v>0</v>
      </c>
      <c r="O225" s="58" t="n">
        <f aca="false">IF(L225=1,M225+N225-$B$21,M225)</f>
        <v>-10.8661391719591</v>
      </c>
      <c r="P225" s="56" t="n">
        <f aca="false">IF(L225=1,IF($B$21&lt;=N225,1,0),0)</f>
        <v>0</v>
      </c>
      <c r="Q225" s="58" t="n">
        <f aca="false">Q224+N225</f>
        <v>989.13386082804</v>
      </c>
    </row>
    <row r="226" customFormat="false" ht="15" hidden="false" customHeight="false" outlineLevel="0" collapsed="false">
      <c r="K226" s="56" t="n">
        <f aca="false">K225+1</f>
        <v>219</v>
      </c>
      <c r="L226" s="57" t="n">
        <f aca="false">IF(AND(K226&lt;=Assumptions!$C$42,L225=1,P225=0,O225&gt;Assumptions!$C$43),1,0)</f>
        <v>0</v>
      </c>
      <c r="M226" s="58" t="n">
        <f aca="false">O225</f>
        <v>-10.8661391719591</v>
      </c>
      <c r="N226" s="58" t="n">
        <f aca="false">IF(L226=1,M226*$B$20,0)</f>
        <v>0</v>
      </c>
      <c r="O226" s="58" t="n">
        <f aca="false">IF(L226=1,M226+N226-$B$21,M226)</f>
        <v>-10.8661391719591</v>
      </c>
      <c r="P226" s="56" t="n">
        <f aca="false">IF(L226=1,IF($B$21&lt;=N226,1,0),0)</f>
        <v>0</v>
      </c>
      <c r="Q226" s="58" t="n">
        <f aca="false">Q225+N226</f>
        <v>989.13386082804</v>
      </c>
    </row>
    <row r="227" customFormat="false" ht="15" hidden="false" customHeight="false" outlineLevel="0" collapsed="false">
      <c r="K227" s="56" t="n">
        <f aca="false">K226+1</f>
        <v>220</v>
      </c>
      <c r="L227" s="57" t="n">
        <f aca="false">IF(AND(K227&lt;=Assumptions!$C$42,L226=1,P226=0,O226&gt;Assumptions!$C$43),1,0)</f>
        <v>0</v>
      </c>
      <c r="M227" s="58" t="n">
        <f aca="false">O226</f>
        <v>-10.8661391719591</v>
      </c>
      <c r="N227" s="58" t="n">
        <f aca="false">IF(L227=1,M227*$B$20,0)</f>
        <v>0</v>
      </c>
      <c r="O227" s="58" t="n">
        <f aca="false">IF(L227=1,M227+N227-$B$21,M227)</f>
        <v>-10.8661391719591</v>
      </c>
      <c r="P227" s="56" t="n">
        <f aca="false">IF(L227=1,IF($B$21&lt;=N227,1,0),0)</f>
        <v>0</v>
      </c>
      <c r="Q227" s="58" t="n">
        <f aca="false">Q226+N227</f>
        <v>989.13386082804</v>
      </c>
    </row>
    <row r="228" customFormat="false" ht="15" hidden="false" customHeight="false" outlineLevel="0" collapsed="false">
      <c r="K228" s="56" t="n">
        <f aca="false">K227+1</f>
        <v>221</v>
      </c>
      <c r="L228" s="57" t="n">
        <f aca="false">IF(AND(K228&lt;=Assumptions!$C$42,L227=1,P227=0,O227&gt;Assumptions!$C$43),1,0)</f>
        <v>0</v>
      </c>
      <c r="M228" s="58" t="n">
        <f aca="false">O227</f>
        <v>-10.8661391719591</v>
      </c>
      <c r="N228" s="58" t="n">
        <f aca="false">IF(L228=1,M228*$B$20,0)</f>
        <v>0</v>
      </c>
      <c r="O228" s="58" t="n">
        <f aca="false">IF(L228=1,M228+N228-$B$21,M228)</f>
        <v>-10.8661391719591</v>
      </c>
      <c r="P228" s="56" t="n">
        <f aca="false">IF(L228=1,IF($B$21&lt;=N228,1,0),0)</f>
        <v>0</v>
      </c>
      <c r="Q228" s="58" t="n">
        <f aca="false">Q227+N228</f>
        <v>989.13386082804</v>
      </c>
    </row>
    <row r="229" customFormat="false" ht="15" hidden="false" customHeight="false" outlineLevel="0" collapsed="false">
      <c r="K229" s="56" t="n">
        <f aca="false">K228+1</f>
        <v>222</v>
      </c>
      <c r="L229" s="57" t="n">
        <f aca="false">IF(AND(K229&lt;=Assumptions!$C$42,L228=1,P228=0,O228&gt;Assumptions!$C$43),1,0)</f>
        <v>0</v>
      </c>
      <c r="M229" s="58" t="n">
        <f aca="false">O228</f>
        <v>-10.8661391719591</v>
      </c>
      <c r="N229" s="58" t="n">
        <f aca="false">IF(L229=1,M229*$B$20,0)</f>
        <v>0</v>
      </c>
      <c r="O229" s="58" t="n">
        <f aca="false">IF(L229=1,M229+N229-$B$21,M229)</f>
        <v>-10.8661391719591</v>
      </c>
      <c r="P229" s="56" t="n">
        <f aca="false">IF(L229=1,IF($B$21&lt;=N229,1,0),0)</f>
        <v>0</v>
      </c>
      <c r="Q229" s="58" t="n">
        <f aca="false">Q228+N229</f>
        <v>989.13386082804</v>
      </c>
    </row>
    <row r="230" customFormat="false" ht="15" hidden="false" customHeight="false" outlineLevel="0" collapsed="false">
      <c r="K230" s="56" t="n">
        <f aca="false">K229+1</f>
        <v>223</v>
      </c>
      <c r="L230" s="57" t="n">
        <f aca="false">IF(AND(K230&lt;=Assumptions!$C$42,L229=1,P229=0,O229&gt;Assumptions!$C$43),1,0)</f>
        <v>0</v>
      </c>
      <c r="M230" s="58" t="n">
        <f aca="false">O229</f>
        <v>-10.8661391719591</v>
      </c>
      <c r="N230" s="58" t="n">
        <f aca="false">IF(L230=1,M230*$B$20,0)</f>
        <v>0</v>
      </c>
      <c r="O230" s="58" t="n">
        <f aca="false">IF(L230=1,M230+N230-$B$21,M230)</f>
        <v>-10.8661391719591</v>
      </c>
      <c r="P230" s="56" t="n">
        <f aca="false">IF(L230=1,IF($B$21&lt;=N230,1,0),0)</f>
        <v>0</v>
      </c>
      <c r="Q230" s="58" t="n">
        <f aca="false">Q229+N230</f>
        <v>989.13386082804</v>
      </c>
    </row>
    <row r="231" customFormat="false" ht="15" hidden="false" customHeight="false" outlineLevel="0" collapsed="false">
      <c r="K231" s="56" t="n">
        <f aca="false">K230+1</f>
        <v>224</v>
      </c>
      <c r="L231" s="57" t="n">
        <f aca="false">IF(AND(K231&lt;=Assumptions!$C$42,L230=1,P230=0,O230&gt;Assumptions!$C$43),1,0)</f>
        <v>0</v>
      </c>
      <c r="M231" s="58" t="n">
        <f aca="false">O230</f>
        <v>-10.8661391719591</v>
      </c>
      <c r="N231" s="58" t="n">
        <f aca="false">IF(L231=1,M231*$B$20,0)</f>
        <v>0</v>
      </c>
      <c r="O231" s="58" t="n">
        <f aca="false">IF(L231=1,M231+N231-$B$21,M231)</f>
        <v>-10.8661391719591</v>
      </c>
      <c r="P231" s="56" t="n">
        <f aca="false">IF(L231=1,IF($B$21&lt;=N231,1,0),0)</f>
        <v>0</v>
      </c>
      <c r="Q231" s="58" t="n">
        <f aca="false">Q230+N231</f>
        <v>989.13386082804</v>
      </c>
    </row>
    <row r="232" customFormat="false" ht="15" hidden="false" customHeight="false" outlineLevel="0" collapsed="false">
      <c r="K232" s="56" t="n">
        <f aca="false">K231+1</f>
        <v>225</v>
      </c>
      <c r="L232" s="57" t="n">
        <f aca="false">IF(AND(K232&lt;=Assumptions!$C$42,L231=1,P231=0,O231&gt;Assumptions!$C$43),1,0)</f>
        <v>0</v>
      </c>
      <c r="M232" s="58" t="n">
        <f aca="false">O231</f>
        <v>-10.8661391719591</v>
      </c>
      <c r="N232" s="58" t="n">
        <f aca="false">IF(L232=1,M232*$B$20,0)</f>
        <v>0</v>
      </c>
      <c r="O232" s="58" t="n">
        <f aca="false">IF(L232=1,M232+N232-$B$21,M232)</f>
        <v>-10.8661391719591</v>
      </c>
      <c r="P232" s="56" t="n">
        <f aca="false">IF(L232=1,IF($B$21&lt;=N232,1,0),0)</f>
        <v>0</v>
      </c>
      <c r="Q232" s="58" t="n">
        <f aca="false">Q231+N232</f>
        <v>989.13386082804</v>
      </c>
    </row>
    <row r="233" customFormat="false" ht="15" hidden="false" customHeight="false" outlineLevel="0" collapsed="false">
      <c r="K233" s="56" t="n">
        <f aca="false">K232+1</f>
        <v>226</v>
      </c>
      <c r="L233" s="57" t="n">
        <f aca="false">IF(AND(K233&lt;=Assumptions!$C$42,L232=1,P232=0,O232&gt;Assumptions!$C$43),1,0)</f>
        <v>0</v>
      </c>
      <c r="M233" s="58" t="n">
        <f aca="false">O232</f>
        <v>-10.8661391719591</v>
      </c>
      <c r="N233" s="58" t="n">
        <f aca="false">IF(L233=1,M233*$B$20,0)</f>
        <v>0</v>
      </c>
      <c r="O233" s="58" t="n">
        <f aca="false">IF(L233=1,M233+N233-$B$21,M233)</f>
        <v>-10.8661391719591</v>
      </c>
      <c r="P233" s="56" t="n">
        <f aca="false">IF(L233=1,IF($B$21&lt;=N233,1,0),0)</f>
        <v>0</v>
      </c>
      <c r="Q233" s="58" t="n">
        <f aca="false">Q232+N233</f>
        <v>989.13386082804</v>
      </c>
    </row>
    <row r="234" customFormat="false" ht="15" hidden="false" customHeight="false" outlineLevel="0" collapsed="false">
      <c r="K234" s="56" t="n">
        <f aca="false">K233+1</f>
        <v>227</v>
      </c>
      <c r="L234" s="57" t="n">
        <f aca="false">IF(AND(K234&lt;=Assumptions!$C$42,L233=1,P233=0,O233&gt;Assumptions!$C$43),1,0)</f>
        <v>0</v>
      </c>
      <c r="M234" s="58" t="n">
        <f aca="false">O233</f>
        <v>-10.8661391719591</v>
      </c>
      <c r="N234" s="58" t="n">
        <f aca="false">IF(L234=1,M234*$B$20,0)</f>
        <v>0</v>
      </c>
      <c r="O234" s="58" t="n">
        <f aca="false">IF(L234=1,M234+N234-$B$21,M234)</f>
        <v>-10.8661391719591</v>
      </c>
      <c r="P234" s="56" t="n">
        <f aca="false">IF(L234=1,IF($B$21&lt;=N234,1,0),0)</f>
        <v>0</v>
      </c>
      <c r="Q234" s="58" t="n">
        <f aca="false">Q233+N234</f>
        <v>989.13386082804</v>
      </c>
    </row>
    <row r="235" customFormat="false" ht="15" hidden="false" customHeight="false" outlineLevel="0" collapsed="false">
      <c r="K235" s="56" t="n">
        <f aca="false">K234+1</f>
        <v>228</v>
      </c>
      <c r="L235" s="57" t="n">
        <f aca="false">IF(AND(K235&lt;=Assumptions!$C$42,L234=1,P234=0,O234&gt;Assumptions!$C$43),1,0)</f>
        <v>0</v>
      </c>
      <c r="M235" s="58" t="n">
        <f aca="false">O234</f>
        <v>-10.8661391719591</v>
      </c>
      <c r="N235" s="58" t="n">
        <f aca="false">IF(L235=1,M235*$B$20,0)</f>
        <v>0</v>
      </c>
      <c r="O235" s="58" t="n">
        <f aca="false">IF(L235=1,M235+N235-$B$21,M235)</f>
        <v>-10.8661391719591</v>
      </c>
      <c r="P235" s="56" t="n">
        <f aca="false">IF(L235=1,IF($B$21&lt;=N235,1,0),0)</f>
        <v>0</v>
      </c>
      <c r="Q235" s="58" t="n">
        <f aca="false">Q234+N235</f>
        <v>989.13386082804</v>
      </c>
    </row>
    <row r="236" customFormat="false" ht="15" hidden="false" customHeight="false" outlineLevel="0" collapsed="false">
      <c r="K236" s="56" t="n">
        <f aca="false">K235+1</f>
        <v>229</v>
      </c>
      <c r="L236" s="57" t="n">
        <f aca="false">IF(AND(K236&lt;=Assumptions!$C$42,L235=1,P235=0,O235&gt;Assumptions!$C$43),1,0)</f>
        <v>0</v>
      </c>
      <c r="M236" s="58" t="n">
        <f aca="false">O235</f>
        <v>-10.8661391719591</v>
      </c>
      <c r="N236" s="58" t="n">
        <f aca="false">IF(L236=1,M236*$B$20,0)</f>
        <v>0</v>
      </c>
      <c r="O236" s="58" t="n">
        <f aca="false">IF(L236=1,M236+N236-$B$21,M236)</f>
        <v>-10.8661391719591</v>
      </c>
      <c r="P236" s="56" t="n">
        <f aca="false">IF(L236=1,IF($B$21&lt;=N236,1,0),0)</f>
        <v>0</v>
      </c>
      <c r="Q236" s="58" t="n">
        <f aca="false">Q235+N236</f>
        <v>989.13386082804</v>
      </c>
    </row>
    <row r="237" customFormat="false" ht="15" hidden="false" customHeight="false" outlineLevel="0" collapsed="false">
      <c r="K237" s="56" t="n">
        <f aca="false">K236+1</f>
        <v>230</v>
      </c>
      <c r="L237" s="57" t="n">
        <f aca="false">IF(AND(K237&lt;=Assumptions!$C$42,L236=1,P236=0,O236&gt;Assumptions!$C$43),1,0)</f>
        <v>0</v>
      </c>
      <c r="M237" s="58" t="n">
        <f aca="false">O236</f>
        <v>-10.8661391719591</v>
      </c>
      <c r="N237" s="58" t="n">
        <f aca="false">IF(L237=1,M237*$B$20,0)</f>
        <v>0</v>
      </c>
      <c r="O237" s="58" t="n">
        <f aca="false">IF(L237=1,M237+N237-$B$21,M237)</f>
        <v>-10.8661391719591</v>
      </c>
      <c r="P237" s="56" t="n">
        <f aca="false">IF(L237=1,IF($B$21&lt;=N237,1,0),0)</f>
        <v>0</v>
      </c>
      <c r="Q237" s="58" t="n">
        <f aca="false">Q236+N237</f>
        <v>989.13386082804</v>
      </c>
    </row>
    <row r="238" customFormat="false" ht="15" hidden="false" customHeight="false" outlineLevel="0" collapsed="false">
      <c r="K238" s="56" t="n">
        <f aca="false">K237+1</f>
        <v>231</v>
      </c>
      <c r="L238" s="57" t="n">
        <f aca="false">IF(AND(K238&lt;=Assumptions!$C$42,L237=1,P237=0,O237&gt;Assumptions!$C$43),1,0)</f>
        <v>0</v>
      </c>
      <c r="M238" s="58" t="n">
        <f aca="false">O237</f>
        <v>-10.8661391719591</v>
      </c>
      <c r="N238" s="58" t="n">
        <f aca="false">IF(L238=1,M238*$B$20,0)</f>
        <v>0</v>
      </c>
      <c r="O238" s="58" t="n">
        <f aca="false">IF(L238=1,M238+N238-$B$21,M238)</f>
        <v>-10.8661391719591</v>
      </c>
      <c r="P238" s="56" t="n">
        <f aca="false">IF(L238=1,IF($B$21&lt;=N238,1,0),0)</f>
        <v>0</v>
      </c>
      <c r="Q238" s="58" t="n">
        <f aca="false">Q237+N238</f>
        <v>989.13386082804</v>
      </c>
    </row>
    <row r="239" customFormat="false" ht="15" hidden="false" customHeight="false" outlineLevel="0" collapsed="false">
      <c r="K239" s="56" t="n">
        <f aca="false">K238+1</f>
        <v>232</v>
      </c>
      <c r="L239" s="57" t="n">
        <f aca="false">IF(AND(K239&lt;=Assumptions!$C$42,L238=1,P238=0,O238&gt;Assumptions!$C$43),1,0)</f>
        <v>0</v>
      </c>
      <c r="M239" s="58" t="n">
        <f aca="false">O238</f>
        <v>-10.8661391719591</v>
      </c>
      <c r="N239" s="58" t="n">
        <f aca="false">IF(L239=1,M239*$B$20,0)</f>
        <v>0</v>
      </c>
      <c r="O239" s="58" t="n">
        <f aca="false">IF(L239=1,M239+N239-$B$21,M239)</f>
        <v>-10.8661391719591</v>
      </c>
      <c r="P239" s="56" t="n">
        <f aca="false">IF(L239=1,IF($B$21&lt;=N239,1,0),0)</f>
        <v>0</v>
      </c>
      <c r="Q239" s="58" t="n">
        <f aca="false">Q238+N239</f>
        <v>989.13386082804</v>
      </c>
    </row>
    <row r="240" customFormat="false" ht="15" hidden="false" customHeight="false" outlineLevel="0" collapsed="false">
      <c r="K240" s="56" t="n">
        <f aca="false">K239+1</f>
        <v>233</v>
      </c>
      <c r="L240" s="57" t="n">
        <f aca="false">IF(AND(K240&lt;=Assumptions!$C$42,L239=1,P239=0,O239&gt;Assumptions!$C$43),1,0)</f>
        <v>0</v>
      </c>
      <c r="M240" s="58" t="n">
        <f aca="false">O239</f>
        <v>-10.8661391719591</v>
      </c>
      <c r="N240" s="58" t="n">
        <f aca="false">IF(L240=1,M240*$B$20,0)</f>
        <v>0</v>
      </c>
      <c r="O240" s="58" t="n">
        <f aca="false">IF(L240=1,M240+N240-$B$21,M240)</f>
        <v>-10.8661391719591</v>
      </c>
      <c r="P240" s="56" t="n">
        <f aca="false">IF(L240=1,IF($B$21&lt;=N240,1,0),0)</f>
        <v>0</v>
      </c>
      <c r="Q240" s="58" t="n">
        <f aca="false">Q239+N240</f>
        <v>989.13386082804</v>
      </c>
    </row>
    <row r="241" customFormat="false" ht="15" hidden="false" customHeight="false" outlineLevel="0" collapsed="false">
      <c r="K241" s="56" t="n">
        <f aca="false">K240+1</f>
        <v>234</v>
      </c>
      <c r="L241" s="57" t="n">
        <f aca="false">IF(AND(K241&lt;=Assumptions!$C$42,L240=1,P240=0,O240&gt;Assumptions!$C$43),1,0)</f>
        <v>0</v>
      </c>
      <c r="M241" s="58" t="n">
        <f aca="false">O240</f>
        <v>-10.8661391719591</v>
      </c>
      <c r="N241" s="58" t="n">
        <f aca="false">IF(L241=1,M241*$B$20,0)</f>
        <v>0</v>
      </c>
      <c r="O241" s="58" t="n">
        <f aca="false">IF(L241=1,M241+N241-$B$21,M241)</f>
        <v>-10.8661391719591</v>
      </c>
      <c r="P241" s="56" t="n">
        <f aca="false">IF(L241=1,IF($B$21&lt;=N241,1,0),0)</f>
        <v>0</v>
      </c>
      <c r="Q241" s="58" t="n">
        <f aca="false">Q240+N241</f>
        <v>989.13386082804</v>
      </c>
    </row>
    <row r="242" customFormat="false" ht="15" hidden="false" customHeight="false" outlineLevel="0" collapsed="false">
      <c r="K242" s="56" t="n">
        <f aca="false">K241+1</f>
        <v>235</v>
      </c>
      <c r="L242" s="57" t="n">
        <f aca="false">IF(AND(K242&lt;=Assumptions!$C$42,L241=1,P241=0,O241&gt;Assumptions!$C$43),1,0)</f>
        <v>0</v>
      </c>
      <c r="M242" s="58" t="n">
        <f aca="false">O241</f>
        <v>-10.8661391719591</v>
      </c>
      <c r="N242" s="58" t="n">
        <f aca="false">IF(L242=1,M242*$B$20,0)</f>
        <v>0</v>
      </c>
      <c r="O242" s="58" t="n">
        <f aca="false">IF(L242=1,M242+N242-$B$21,M242)</f>
        <v>-10.8661391719591</v>
      </c>
      <c r="P242" s="56" t="n">
        <f aca="false">IF(L242=1,IF($B$21&lt;=N242,1,0),0)</f>
        <v>0</v>
      </c>
      <c r="Q242" s="58" t="n">
        <f aca="false">Q241+N242</f>
        <v>989.13386082804</v>
      </c>
    </row>
    <row r="243" customFormat="false" ht="15" hidden="false" customHeight="false" outlineLevel="0" collapsed="false">
      <c r="K243" s="56" t="n">
        <f aca="false">K242+1</f>
        <v>236</v>
      </c>
      <c r="L243" s="57" t="n">
        <f aca="false">IF(AND(K243&lt;=Assumptions!$C$42,L242=1,P242=0,O242&gt;Assumptions!$C$43),1,0)</f>
        <v>0</v>
      </c>
      <c r="M243" s="58" t="n">
        <f aca="false">O242</f>
        <v>-10.8661391719591</v>
      </c>
      <c r="N243" s="58" t="n">
        <f aca="false">IF(L243=1,M243*$B$20,0)</f>
        <v>0</v>
      </c>
      <c r="O243" s="58" t="n">
        <f aca="false">IF(L243=1,M243+N243-$B$21,M243)</f>
        <v>-10.8661391719591</v>
      </c>
      <c r="P243" s="56" t="n">
        <f aca="false">IF(L243=1,IF($B$21&lt;=N243,1,0),0)</f>
        <v>0</v>
      </c>
      <c r="Q243" s="58" t="n">
        <f aca="false">Q242+N243</f>
        <v>989.13386082804</v>
      </c>
    </row>
    <row r="244" customFormat="false" ht="15" hidden="false" customHeight="false" outlineLevel="0" collapsed="false">
      <c r="K244" s="56" t="n">
        <f aca="false">K243+1</f>
        <v>237</v>
      </c>
      <c r="L244" s="57" t="n">
        <f aca="false">IF(AND(K244&lt;=Assumptions!$C$42,L243=1,P243=0,O243&gt;Assumptions!$C$43),1,0)</f>
        <v>0</v>
      </c>
      <c r="M244" s="58" t="n">
        <f aca="false">O243</f>
        <v>-10.8661391719591</v>
      </c>
      <c r="N244" s="58" t="n">
        <f aca="false">IF(L244=1,M244*$B$20,0)</f>
        <v>0</v>
      </c>
      <c r="O244" s="58" t="n">
        <f aca="false">IF(L244=1,M244+N244-$B$21,M244)</f>
        <v>-10.8661391719591</v>
      </c>
      <c r="P244" s="56" t="n">
        <f aca="false">IF(L244=1,IF($B$21&lt;=N244,1,0),0)</f>
        <v>0</v>
      </c>
      <c r="Q244" s="58" t="n">
        <f aca="false">Q243+N244</f>
        <v>989.13386082804</v>
      </c>
    </row>
    <row r="245" customFormat="false" ht="15" hidden="false" customHeight="false" outlineLevel="0" collapsed="false">
      <c r="K245" s="56" t="n">
        <f aca="false">K244+1</f>
        <v>238</v>
      </c>
      <c r="L245" s="57" t="n">
        <f aca="false">IF(AND(K245&lt;=Assumptions!$C$42,L244=1,P244=0,O244&gt;Assumptions!$C$43),1,0)</f>
        <v>0</v>
      </c>
      <c r="M245" s="58" t="n">
        <f aca="false">O244</f>
        <v>-10.8661391719591</v>
      </c>
      <c r="N245" s="58" t="n">
        <f aca="false">IF(L245=1,M245*$B$20,0)</f>
        <v>0</v>
      </c>
      <c r="O245" s="58" t="n">
        <f aca="false">IF(L245=1,M245+N245-$B$21,M245)</f>
        <v>-10.8661391719591</v>
      </c>
      <c r="P245" s="56" t="n">
        <f aca="false">IF(L245=1,IF($B$21&lt;=N245,1,0),0)</f>
        <v>0</v>
      </c>
      <c r="Q245" s="58" t="n">
        <f aca="false">Q244+N245</f>
        <v>989.13386082804</v>
      </c>
    </row>
    <row r="246" customFormat="false" ht="15" hidden="false" customHeight="false" outlineLevel="0" collapsed="false">
      <c r="K246" s="56" t="n">
        <f aca="false">K245+1</f>
        <v>239</v>
      </c>
      <c r="L246" s="57" t="n">
        <f aca="false">IF(AND(K246&lt;=Assumptions!$C$42,L245=1,P245=0,O245&gt;Assumptions!$C$43),1,0)</f>
        <v>0</v>
      </c>
      <c r="M246" s="58" t="n">
        <f aca="false">O245</f>
        <v>-10.8661391719591</v>
      </c>
      <c r="N246" s="58" t="n">
        <f aca="false">IF(L246=1,M246*$B$20,0)</f>
        <v>0</v>
      </c>
      <c r="O246" s="58" t="n">
        <f aca="false">IF(L246=1,M246+N246-$B$21,M246)</f>
        <v>-10.8661391719591</v>
      </c>
      <c r="P246" s="56" t="n">
        <f aca="false">IF(L246=1,IF($B$21&lt;=N246,1,0),0)</f>
        <v>0</v>
      </c>
      <c r="Q246" s="58" t="n">
        <f aca="false">Q245+N246</f>
        <v>989.13386082804</v>
      </c>
    </row>
    <row r="247" customFormat="false" ht="15" hidden="false" customHeight="false" outlineLevel="0" collapsed="false">
      <c r="K247" s="56" t="n">
        <f aca="false">K246+1</f>
        <v>240</v>
      </c>
      <c r="L247" s="57" t="n">
        <f aca="false">IF(AND(K247&lt;=Assumptions!$C$42,L246=1,P246=0,O246&gt;Assumptions!$C$43),1,0)</f>
        <v>0</v>
      </c>
      <c r="M247" s="58" t="n">
        <f aca="false">O246</f>
        <v>-10.8661391719591</v>
      </c>
      <c r="N247" s="58" t="n">
        <f aca="false">IF(L247=1,M247*$B$20,0)</f>
        <v>0</v>
      </c>
      <c r="O247" s="58" t="n">
        <f aca="false">IF(L247=1,M247+N247-$B$21,M247)</f>
        <v>-10.8661391719591</v>
      </c>
      <c r="P247" s="56" t="n">
        <f aca="false">IF(L247=1,IF($B$21&lt;=N247,1,0),0)</f>
        <v>0</v>
      </c>
      <c r="Q247" s="58" t="n">
        <f aca="false">Q246+N247</f>
        <v>989.13386082804</v>
      </c>
    </row>
    <row r="248" customFormat="false" ht="15" hidden="false" customHeight="false" outlineLevel="0" collapsed="false">
      <c r="K248" s="56" t="n">
        <f aca="false">K247+1</f>
        <v>241</v>
      </c>
      <c r="L248" s="57" t="n">
        <f aca="false">IF(AND(K248&lt;=Assumptions!$C$42,L247=1,P247=0,O247&gt;Assumptions!$C$43),1,0)</f>
        <v>0</v>
      </c>
      <c r="M248" s="58" t="n">
        <f aca="false">O247</f>
        <v>-10.8661391719591</v>
      </c>
      <c r="N248" s="58" t="n">
        <f aca="false">IF(L248=1,M248*$B$20,0)</f>
        <v>0</v>
      </c>
      <c r="O248" s="58" t="n">
        <f aca="false">IF(L248=1,M248+N248-$B$21,M248)</f>
        <v>-10.8661391719591</v>
      </c>
      <c r="P248" s="56" t="n">
        <f aca="false">IF(L248=1,IF($B$21&lt;=N248,1,0),0)</f>
        <v>0</v>
      </c>
      <c r="Q248" s="58" t="n">
        <f aca="false">Q247+N248</f>
        <v>989.13386082804</v>
      </c>
    </row>
    <row r="249" customFormat="false" ht="15" hidden="false" customHeight="false" outlineLevel="0" collapsed="false">
      <c r="K249" s="56" t="n">
        <f aca="false">K248+1</f>
        <v>242</v>
      </c>
      <c r="L249" s="57" t="n">
        <f aca="false">IF(AND(K249&lt;=Assumptions!$C$42,L248=1,P248=0,O248&gt;Assumptions!$C$43),1,0)</f>
        <v>0</v>
      </c>
      <c r="M249" s="58" t="n">
        <f aca="false">O248</f>
        <v>-10.8661391719591</v>
      </c>
      <c r="N249" s="58" t="n">
        <f aca="false">IF(L249=1,M249*$B$20,0)</f>
        <v>0</v>
      </c>
      <c r="O249" s="58" t="n">
        <f aca="false">IF(L249=1,M249+N249-$B$21,M249)</f>
        <v>-10.8661391719591</v>
      </c>
      <c r="P249" s="56" t="n">
        <f aca="false">IF(L249=1,IF($B$21&lt;=N249,1,0),0)</f>
        <v>0</v>
      </c>
      <c r="Q249" s="58" t="n">
        <f aca="false">Q248+N249</f>
        <v>989.13386082804</v>
      </c>
    </row>
    <row r="250" customFormat="false" ht="15" hidden="false" customHeight="false" outlineLevel="0" collapsed="false">
      <c r="K250" s="56" t="n">
        <f aca="false">K249+1</f>
        <v>243</v>
      </c>
      <c r="L250" s="57" t="n">
        <f aca="false">IF(AND(K250&lt;=Assumptions!$C$42,L249=1,P249=0,O249&gt;Assumptions!$C$43),1,0)</f>
        <v>0</v>
      </c>
      <c r="M250" s="58" t="n">
        <f aca="false">O249</f>
        <v>-10.8661391719591</v>
      </c>
      <c r="N250" s="58" t="n">
        <f aca="false">IF(L250=1,M250*$B$20,0)</f>
        <v>0</v>
      </c>
      <c r="O250" s="58" t="n">
        <f aca="false">IF(L250=1,M250+N250-$B$21,M250)</f>
        <v>-10.8661391719591</v>
      </c>
      <c r="P250" s="56" t="n">
        <f aca="false">IF(L250=1,IF($B$21&lt;=N250,1,0),0)</f>
        <v>0</v>
      </c>
      <c r="Q250" s="58" t="n">
        <f aca="false">Q249+N250</f>
        <v>989.13386082804</v>
      </c>
    </row>
    <row r="251" customFormat="false" ht="15" hidden="false" customHeight="false" outlineLevel="0" collapsed="false">
      <c r="K251" s="56" t="n">
        <f aca="false">K250+1</f>
        <v>244</v>
      </c>
      <c r="L251" s="57" t="n">
        <f aca="false">IF(AND(K251&lt;=Assumptions!$C$42,L250=1,P250=0,O250&gt;Assumptions!$C$43),1,0)</f>
        <v>0</v>
      </c>
      <c r="M251" s="58" t="n">
        <f aca="false">O250</f>
        <v>-10.8661391719591</v>
      </c>
      <c r="N251" s="58" t="n">
        <f aca="false">IF(L251=1,M251*$B$20,0)</f>
        <v>0</v>
      </c>
      <c r="O251" s="58" t="n">
        <f aca="false">IF(L251=1,M251+N251-$B$21,M251)</f>
        <v>-10.8661391719591</v>
      </c>
      <c r="P251" s="56" t="n">
        <f aca="false">IF(L251=1,IF($B$21&lt;=N251,1,0),0)</f>
        <v>0</v>
      </c>
      <c r="Q251" s="58" t="n">
        <f aca="false">Q250+N251</f>
        <v>989.13386082804</v>
      </c>
    </row>
    <row r="252" customFormat="false" ht="15" hidden="false" customHeight="false" outlineLevel="0" collapsed="false">
      <c r="K252" s="56" t="n">
        <f aca="false">K251+1</f>
        <v>245</v>
      </c>
      <c r="L252" s="57" t="n">
        <f aca="false">IF(AND(K252&lt;=Assumptions!$C$42,L251=1,P251=0,O251&gt;Assumptions!$C$43),1,0)</f>
        <v>0</v>
      </c>
      <c r="M252" s="58" t="n">
        <f aca="false">O251</f>
        <v>-10.8661391719591</v>
      </c>
      <c r="N252" s="58" t="n">
        <f aca="false">IF(L252=1,M252*$B$20,0)</f>
        <v>0</v>
      </c>
      <c r="O252" s="58" t="n">
        <f aca="false">IF(L252=1,M252+N252-$B$21,M252)</f>
        <v>-10.8661391719591</v>
      </c>
      <c r="P252" s="56" t="n">
        <f aca="false">IF(L252=1,IF($B$21&lt;=N252,1,0),0)</f>
        <v>0</v>
      </c>
      <c r="Q252" s="58" t="n">
        <f aca="false">Q251+N252</f>
        <v>989.13386082804</v>
      </c>
    </row>
    <row r="253" customFormat="false" ht="15" hidden="false" customHeight="false" outlineLevel="0" collapsed="false">
      <c r="K253" s="56" t="n">
        <f aca="false">K252+1</f>
        <v>246</v>
      </c>
      <c r="L253" s="57" t="n">
        <f aca="false">IF(AND(K253&lt;=Assumptions!$C$42,L252=1,P252=0,O252&gt;Assumptions!$C$43),1,0)</f>
        <v>0</v>
      </c>
      <c r="M253" s="58" t="n">
        <f aca="false">O252</f>
        <v>-10.8661391719591</v>
      </c>
      <c r="N253" s="58" t="n">
        <f aca="false">IF(L253=1,M253*$B$20,0)</f>
        <v>0</v>
      </c>
      <c r="O253" s="58" t="n">
        <f aca="false">IF(L253=1,M253+N253-$B$21,M253)</f>
        <v>-10.8661391719591</v>
      </c>
      <c r="P253" s="56" t="n">
        <f aca="false">IF(L253=1,IF($B$21&lt;=N253,1,0),0)</f>
        <v>0</v>
      </c>
      <c r="Q253" s="58" t="n">
        <f aca="false">Q252+N253</f>
        <v>989.13386082804</v>
      </c>
    </row>
    <row r="254" customFormat="false" ht="15" hidden="false" customHeight="false" outlineLevel="0" collapsed="false">
      <c r="K254" s="56" t="n">
        <f aca="false">K253+1</f>
        <v>247</v>
      </c>
      <c r="L254" s="57" t="n">
        <f aca="false">IF(AND(K254&lt;=Assumptions!$C$42,L253=1,P253=0,O253&gt;Assumptions!$C$43),1,0)</f>
        <v>0</v>
      </c>
      <c r="M254" s="58" t="n">
        <f aca="false">O253</f>
        <v>-10.8661391719591</v>
      </c>
      <c r="N254" s="58" t="n">
        <f aca="false">IF(L254=1,M254*$B$20,0)</f>
        <v>0</v>
      </c>
      <c r="O254" s="58" t="n">
        <f aca="false">IF(L254=1,M254+N254-$B$21,M254)</f>
        <v>-10.8661391719591</v>
      </c>
      <c r="P254" s="56" t="n">
        <f aca="false">IF(L254=1,IF($B$21&lt;=N254,1,0),0)</f>
        <v>0</v>
      </c>
      <c r="Q254" s="58" t="n">
        <f aca="false">Q253+N254</f>
        <v>989.13386082804</v>
      </c>
    </row>
    <row r="255" customFormat="false" ht="15" hidden="false" customHeight="false" outlineLevel="0" collapsed="false">
      <c r="K255" s="56" t="n">
        <f aca="false">K254+1</f>
        <v>248</v>
      </c>
      <c r="L255" s="57" t="n">
        <f aca="false">IF(AND(K255&lt;=Assumptions!$C$42,L254=1,P254=0,O254&gt;Assumptions!$C$43),1,0)</f>
        <v>0</v>
      </c>
      <c r="M255" s="58" t="n">
        <f aca="false">O254</f>
        <v>-10.8661391719591</v>
      </c>
      <c r="N255" s="58" t="n">
        <f aca="false">IF(L255=1,M255*$B$20,0)</f>
        <v>0</v>
      </c>
      <c r="O255" s="58" t="n">
        <f aca="false">IF(L255=1,M255+N255-$B$21,M255)</f>
        <v>-10.8661391719591</v>
      </c>
      <c r="P255" s="56" t="n">
        <f aca="false">IF(L255=1,IF($B$21&lt;=N255,1,0),0)</f>
        <v>0</v>
      </c>
      <c r="Q255" s="58" t="n">
        <f aca="false">Q254+N255</f>
        <v>989.13386082804</v>
      </c>
    </row>
    <row r="256" customFormat="false" ht="15" hidden="false" customHeight="false" outlineLevel="0" collapsed="false">
      <c r="K256" s="56" t="n">
        <f aca="false">K255+1</f>
        <v>249</v>
      </c>
      <c r="L256" s="57" t="n">
        <f aca="false">IF(AND(K256&lt;=Assumptions!$C$42,L255=1,P255=0,O255&gt;Assumptions!$C$43),1,0)</f>
        <v>0</v>
      </c>
      <c r="M256" s="58" t="n">
        <f aca="false">O255</f>
        <v>-10.8661391719591</v>
      </c>
      <c r="N256" s="58" t="n">
        <f aca="false">IF(L256=1,M256*$B$20,0)</f>
        <v>0</v>
      </c>
      <c r="O256" s="58" t="n">
        <f aca="false">IF(L256=1,M256+N256-$B$21,M256)</f>
        <v>-10.8661391719591</v>
      </c>
      <c r="P256" s="56" t="n">
        <f aca="false">IF(L256=1,IF($B$21&lt;=N256,1,0),0)</f>
        <v>0</v>
      </c>
      <c r="Q256" s="58" t="n">
        <f aca="false">Q255+N256</f>
        <v>989.13386082804</v>
      </c>
    </row>
    <row r="257" customFormat="false" ht="15" hidden="false" customHeight="false" outlineLevel="0" collapsed="false">
      <c r="K257" s="56" t="n">
        <f aca="false">K256+1</f>
        <v>250</v>
      </c>
      <c r="L257" s="57" t="n">
        <f aca="false">IF(AND(K257&lt;=Assumptions!$C$42,L256=1,P256=0,O256&gt;Assumptions!$C$43),1,0)</f>
        <v>0</v>
      </c>
      <c r="M257" s="58" t="n">
        <f aca="false">O256</f>
        <v>-10.8661391719591</v>
      </c>
      <c r="N257" s="58" t="n">
        <f aca="false">IF(L257=1,M257*$B$20,0)</f>
        <v>0</v>
      </c>
      <c r="O257" s="58" t="n">
        <f aca="false">IF(L257=1,M257+N257-$B$21,M257)</f>
        <v>-10.8661391719591</v>
      </c>
      <c r="P257" s="56" t="n">
        <f aca="false">IF(L257=1,IF($B$21&lt;=N257,1,0),0)</f>
        <v>0</v>
      </c>
      <c r="Q257" s="58" t="n">
        <f aca="false">Q256+N257</f>
        <v>989.13386082804</v>
      </c>
    </row>
    <row r="258" customFormat="false" ht="15" hidden="false" customHeight="false" outlineLevel="0" collapsed="false">
      <c r="K258" s="56" t="n">
        <f aca="false">K257+1</f>
        <v>251</v>
      </c>
      <c r="L258" s="57" t="n">
        <f aca="false">IF(AND(K258&lt;=Assumptions!$C$42,L257=1,P257=0,O257&gt;Assumptions!$C$43),1,0)</f>
        <v>0</v>
      </c>
      <c r="M258" s="58" t="n">
        <f aca="false">O257</f>
        <v>-10.8661391719591</v>
      </c>
      <c r="N258" s="58" t="n">
        <f aca="false">IF(L258=1,M258*$B$20,0)</f>
        <v>0</v>
      </c>
      <c r="O258" s="58" t="n">
        <f aca="false">IF(L258=1,M258+N258-$B$21,M258)</f>
        <v>-10.8661391719591</v>
      </c>
      <c r="P258" s="56" t="n">
        <f aca="false">IF(L258=1,IF($B$21&lt;=N258,1,0),0)</f>
        <v>0</v>
      </c>
      <c r="Q258" s="58" t="n">
        <f aca="false">Q257+N258</f>
        <v>989.13386082804</v>
      </c>
    </row>
    <row r="259" customFormat="false" ht="15" hidden="false" customHeight="false" outlineLevel="0" collapsed="false">
      <c r="K259" s="56" t="n">
        <f aca="false">K258+1</f>
        <v>252</v>
      </c>
      <c r="L259" s="57" t="n">
        <f aca="false">IF(AND(K259&lt;=Assumptions!$C$42,L258=1,P258=0,O258&gt;Assumptions!$C$43),1,0)</f>
        <v>0</v>
      </c>
      <c r="M259" s="58" t="n">
        <f aca="false">O258</f>
        <v>-10.8661391719591</v>
      </c>
      <c r="N259" s="58" t="n">
        <f aca="false">IF(L259=1,M259*$B$20,0)</f>
        <v>0</v>
      </c>
      <c r="O259" s="58" t="n">
        <f aca="false">IF(L259=1,M259+N259-$B$21,M259)</f>
        <v>-10.8661391719591</v>
      </c>
      <c r="P259" s="56" t="n">
        <f aca="false">IF(L259=1,IF($B$21&lt;=N259,1,0),0)</f>
        <v>0</v>
      </c>
      <c r="Q259" s="58" t="n">
        <f aca="false">Q258+N259</f>
        <v>989.13386082804</v>
      </c>
    </row>
    <row r="260" customFormat="false" ht="15" hidden="false" customHeight="false" outlineLevel="0" collapsed="false">
      <c r="K260" s="56" t="n">
        <f aca="false">K259+1</f>
        <v>253</v>
      </c>
      <c r="L260" s="57" t="n">
        <f aca="false">IF(AND(K260&lt;=Assumptions!$C$42,L259=1,P259=0,O259&gt;Assumptions!$C$43),1,0)</f>
        <v>0</v>
      </c>
      <c r="M260" s="58" t="n">
        <f aca="false">O259</f>
        <v>-10.8661391719591</v>
      </c>
      <c r="N260" s="58" t="n">
        <f aca="false">IF(L260=1,M260*$B$20,0)</f>
        <v>0</v>
      </c>
      <c r="O260" s="58" t="n">
        <f aca="false">IF(L260=1,M260+N260-$B$21,M260)</f>
        <v>-10.8661391719591</v>
      </c>
      <c r="P260" s="56" t="n">
        <f aca="false">IF(L260=1,IF($B$21&lt;=N260,1,0),0)</f>
        <v>0</v>
      </c>
      <c r="Q260" s="58" t="n">
        <f aca="false">Q259+N260</f>
        <v>989.13386082804</v>
      </c>
    </row>
    <row r="261" customFormat="false" ht="15" hidden="false" customHeight="false" outlineLevel="0" collapsed="false">
      <c r="K261" s="56" t="n">
        <f aca="false">K260+1</f>
        <v>254</v>
      </c>
      <c r="L261" s="57" t="n">
        <f aca="false">IF(AND(K261&lt;=Assumptions!$C$42,L260=1,P260=0,O260&gt;Assumptions!$C$43),1,0)</f>
        <v>0</v>
      </c>
      <c r="M261" s="58" t="n">
        <f aca="false">O260</f>
        <v>-10.8661391719591</v>
      </c>
      <c r="N261" s="58" t="n">
        <f aca="false">IF(L261=1,M261*$B$20,0)</f>
        <v>0</v>
      </c>
      <c r="O261" s="58" t="n">
        <f aca="false">IF(L261=1,M261+N261-$B$21,M261)</f>
        <v>-10.8661391719591</v>
      </c>
      <c r="P261" s="56" t="n">
        <f aca="false">IF(L261=1,IF($B$21&lt;=N261,1,0),0)</f>
        <v>0</v>
      </c>
      <c r="Q261" s="58" t="n">
        <f aca="false">Q260+N261</f>
        <v>989.13386082804</v>
      </c>
    </row>
    <row r="262" customFormat="false" ht="15" hidden="false" customHeight="false" outlineLevel="0" collapsed="false">
      <c r="K262" s="56" t="n">
        <f aca="false">K261+1</f>
        <v>255</v>
      </c>
      <c r="L262" s="57" t="n">
        <f aca="false">IF(AND(K262&lt;=Assumptions!$C$42,L261=1,P261=0,O261&gt;Assumptions!$C$43),1,0)</f>
        <v>0</v>
      </c>
      <c r="M262" s="58" t="n">
        <f aca="false">O261</f>
        <v>-10.8661391719591</v>
      </c>
      <c r="N262" s="58" t="n">
        <f aca="false">IF(L262=1,M262*$B$20,0)</f>
        <v>0</v>
      </c>
      <c r="O262" s="58" t="n">
        <f aca="false">IF(L262=1,M262+N262-$B$21,M262)</f>
        <v>-10.8661391719591</v>
      </c>
      <c r="P262" s="56" t="n">
        <f aca="false">IF(L262=1,IF($B$21&lt;=N262,1,0),0)</f>
        <v>0</v>
      </c>
      <c r="Q262" s="58" t="n">
        <f aca="false">Q261+N262</f>
        <v>989.13386082804</v>
      </c>
    </row>
    <row r="263" customFormat="false" ht="15" hidden="false" customHeight="false" outlineLevel="0" collapsed="false">
      <c r="K263" s="56" t="n">
        <f aca="false">K262+1</f>
        <v>256</v>
      </c>
      <c r="L263" s="57" t="n">
        <f aca="false">IF(AND(K263&lt;=Assumptions!$C$42,L262=1,P262=0,O262&gt;Assumptions!$C$43),1,0)</f>
        <v>0</v>
      </c>
      <c r="M263" s="58" t="n">
        <f aca="false">O262</f>
        <v>-10.8661391719591</v>
      </c>
      <c r="N263" s="58" t="n">
        <f aca="false">IF(L263=1,M263*$B$20,0)</f>
        <v>0</v>
      </c>
      <c r="O263" s="58" t="n">
        <f aca="false">IF(L263=1,M263+N263-$B$21,M263)</f>
        <v>-10.8661391719591</v>
      </c>
      <c r="P263" s="56" t="n">
        <f aca="false">IF(L263=1,IF($B$21&lt;=N263,1,0),0)</f>
        <v>0</v>
      </c>
      <c r="Q263" s="58" t="n">
        <f aca="false">Q262+N263</f>
        <v>989.13386082804</v>
      </c>
    </row>
    <row r="264" customFormat="false" ht="15" hidden="false" customHeight="false" outlineLevel="0" collapsed="false">
      <c r="K264" s="56" t="n">
        <f aca="false">K263+1</f>
        <v>257</v>
      </c>
      <c r="L264" s="57" t="n">
        <f aca="false">IF(AND(K264&lt;=Assumptions!$C$42,L263=1,P263=0,O263&gt;Assumptions!$C$43),1,0)</f>
        <v>0</v>
      </c>
      <c r="M264" s="58" t="n">
        <f aca="false">O263</f>
        <v>-10.8661391719591</v>
      </c>
      <c r="N264" s="58" t="n">
        <f aca="false">IF(L264=1,M264*$B$20,0)</f>
        <v>0</v>
      </c>
      <c r="O264" s="58" t="n">
        <f aca="false">IF(L264=1,M264+N264-$B$21,M264)</f>
        <v>-10.8661391719591</v>
      </c>
      <c r="P264" s="56" t="n">
        <f aca="false">IF(L264=1,IF($B$21&lt;=N264,1,0),0)</f>
        <v>0</v>
      </c>
      <c r="Q264" s="58" t="n">
        <f aca="false">Q263+N264</f>
        <v>989.13386082804</v>
      </c>
    </row>
    <row r="265" customFormat="false" ht="15" hidden="false" customHeight="false" outlineLevel="0" collapsed="false">
      <c r="K265" s="56" t="n">
        <f aca="false">K264+1</f>
        <v>258</v>
      </c>
      <c r="L265" s="57" t="n">
        <f aca="false">IF(AND(K265&lt;=Assumptions!$C$42,L264=1,P264=0,O264&gt;Assumptions!$C$43),1,0)</f>
        <v>0</v>
      </c>
      <c r="M265" s="58" t="n">
        <f aca="false">O264</f>
        <v>-10.8661391719591</v>
      </c>
      <c r="N265" s="58" t="n">
        <f aca="false">IF(L265=1,M265*$B$20,0)</f>
        <v>0</v>
      </c>
      <c r="O265" s="58" t="n">
        <f aca="false">IF(L265=1,M265+N265-$B$21,M265)</f>
        <v>-10.8661391719591</v>
      </c>
      <c r="P265" s="56" t="n">
        <f aca="false">IF(L265=1,IF($B$21&lt;=N265,1,0),0)</f>
        <v>0</v>
      </c>
      <c r="Q265" s="58" t="n">
        <f aca="false">Q264+N265</f>
        <v>989.13386082804</v>
      </c>
    </row>
    <row r="266" customFormat="false" ht="15" hidden="false" customHeight="false" outlineLevel="0" collapsed="false">
      <c r="K266" s="56" t="n">
        <f aca="false">K265+1</f>
        <v>259</v>
      </c>
      <c r="L266" s="57" t="n">
        <f aca="false">IF(AND(K266&lt;=Assumptions!$C$42,L265=1,P265=0,O265&gt;Assumptions!$C$43),1,0)</f>
        <v>0</v>
      </c>
      <c r="M266" s="58" t="n">
        <f aca="false">O265</f>
        <v>-10.8661391719591</v>
      </c>
      <c r="N266" s="58" t="n">
        <f aca="false">IF(L266=1,M266*$B$20,0)</f>
        <v>0</v>
      </c>
      <c r="O266" s="58" t="n">
        <f aca="false">IF(L266=1,M266+N266-$B$21,M266)</f>
        <v>-10.8661391719591</v>
      </c>
      <c r="P266" s="56" t="n">
        <f aca="false">IF(L266=1,IF($B$21&lt;=N266,1,0),0)</f>
        <v>0</v>
      </c>
      <c r="Q266" s="58" t="n">
        <f aca="false">Q265+N266</f>
        <v>989.13386082804</v>
      </c>
    </row>
    <row r="267" customFormat="false" ht="15" hidden="false" customHeight="false" outlineLevel="0" collapsed="false">
      <c r="K267" s="56" t="n">
        <f aca="false">K266+1</f>
        <v>260</v>
      </c>
      <c r="L267" s="57" t="n">
        <f aca="false">IF(AND(K267&lt;=Assumptions!$C$42,L266=1,P266=0,O266&gt;Assumptions!$C$43),1,0)</f>
        <v>0</v>
      </c>
      <c r="M267" s="58" t="n">
        <f aca="false">O266</f>
        <v>-10.8661391719591</v>
      </c>
      <c r="N267" s="58" t="n">
        <f aca="false">IF(L267=1,M267*$B$20,0)</f>
        <v>0</v>
      </c>
      <c r="O267" s="58" t="n">
        <f aca="false">IF(L267=1,M267+N267-$B$21,M267)</f>
        <v>-10.8661391719591</v>
      </c>
      <c r="P267" s="56" t="n">
        <f aca="false">IF(L267=1,IF($B$21&lt;=N267,1,0),0)</f>
        <v>0</v>
      </c>
      <c r="Q267" s="58" t="n">
        <f aca="false">Q266+N267</f>
        <v>989.13386082804</v>
      </c>
    </row>
    <row r="268" customFormat="false" ht="15" hidden="false" customHeight="false" outlineLevel="0" collapsed="false">
      <c r="K268" s="56" t="n">
        <f aca="false">K267+1</f>
        <v>261</v>
      </c>
      <c r="L268" s="57" t="n">
        <f aca="false">IF(AND(K268&lt;=Assumptions!$C$42,L267=1,P267=0,O267&gt;Assumptions!$C$43),1,0)</f>
        <v>0</v>
      </c>
      <c r="M268" s="58" t="n">
        <f aca="false">O267</f>
        <v>-10.8661391719591</v>
      </c>
      <c r="N268" s="58" t="n">
        <f aca="false">IF(L268=1,M268*$B$20,0)</f>
        <v>0</v>
      </c>
      <c r="O268" s="58" t="n">
        <f aca="false">IF(L268=1,M268+N268-$B$21,M268)</f>
        <v>-10.8661391719591</v>
      </c>
      <c r="P268" s="56" t="n">
        <f aca="false">IF(L268=1,IF($B$21&lt;=N268,1,0),0)</f>
        <v>0</v>
      </c>
      <c r="Q268" s="58" t="n">
        <f aca="false">Q267+N268</f>
        <v>989.13386082804</v>
      </c>
    </row>
    <row r="269" customFormat="false" ht="15" hidden="false" customHeight="false" outlineLevel="0" collapsed="false">
      <c r="K269" s="56" t="n">
        <f aca="false">K268+1</f>
        <v>262</v>
      </c>
      <c r="L269" s="57" t="n">
        <f aca="false">IF(AND(K269&lt;=Assumptions!$C$42,L268=1,P268=0,O268&gt;Assumptions!$C$43),1,0)</f>
        <v>0</v>
      </c>
      <c r="M269" s="58" t="n">
        <f aca="false">O268</f>
        <v>-10.8661391719591</v>
      </c>
      <c r="N269" s="58" t="n">
        <f aca="false">IF(L269=1,M269*$B$20,0)</f>
        <v>0</v>
      </c>
      <c r="O269" s="58" t="n">
        <f aca="false">IF(L269=1,M269+N269-$B$21,M269)</f>
        <v>-10.8661391719591</v>
      </c>
      <c r="P269" s="56" t="n">
        <f aca="false">IF(L269=1,IF($B$21&lt;=N269,1,0),0)</f>
        <v>0</v>
      </c>
      <c r="Q269" s="58" t="n">
        <f aca="false">Q268+N269</f>
        <v>989.13386082804</v>
      </c>
    </row>
    <row r="270" customFormat="false" ht="15" hidden="false" customHeight="false" outlineLevel="0" collapsed="false">
      <c r="K270" s="56" t="n">
        <f aca="false">K269+1</f>
        <v>263</v>
      </c>
      <c r="L270" s="57" t="n">
        <f aca="false">IF(AND(K270&lt;=Assumptions!$C$42,L269=1,P269=0,O269&gt;Assumptions!$C$43),1,0)</f>
        <v>0</v>
      </c>
      <c r="M270" s="58" t="n">
        <f aca="false">O269</f>
        <v>-10.8661391719591</v>
      </c>
      <c r="N270" s="58" t="n">
        <f aca="false">IF(L270=1,M270*$B$20,0)</f>
        <v>0</v>
      </c>
      <c r="O270" s="58" t="n">
        <f aca="false">IF(L270=1,M270+N270-$B$21,M270)</f>
        <v>-10.8661391719591</v>
      </c>
      <c r="P270" s="56" t="n">
        <f aca="false">IF(L270=1,IF($B$21&lt;=N270,1,0),0)</f>
        <v>0</v>
      </c>
      <c r="Q270" s="58" t="n">
        <f aca="false">Q269+N270</f>
        <v>989.13386082804</v>
      </c>
    </row>
    <row r="271" customFormat="false" ht="15" hidden="false" customHeight="false" outlineLevel="0" collapsed="false">
      <c r="K271" s="56" t="n">
        <f aca="false">K270+1</f>
        <v>264</v>
      </c>
      <c r="L271" s="57" t="n">
        <f aca="false">IF(AND(K271&lt;=Assumptions!$C$42,L270=1,P270=0,O270&gt;Assumptions!$C$43),1,0)</f>
        <v>0</v>
      </c>
      <c r="M271" s="58" t="n">
        <f aca="false">O270</f>
        <v>-10.8661391719591</v>
      </c>
      <c r="N271" s="58" t="n">
        <f aca="false">IF(L271=1,M271*$B$20,0)</f>
        <v>0</v>
      </c>
      <c r="O271" s="58" t="n">
        <f aca="false">IF(L271=1,M271+N271-$B$21,M271)</f>
        <v>-10.8661391719591</v>
      </c>
      <c r="P271" s="56" t="n">
        <f aca="false">IF(L271=1,IF($B$21&lt;=N271,1,0),0)</f>
        <v>0</v>
      </c>
      <c r="Q271" s="58" t="n">
        <f aca="false">Q270+N271</f>
        <v>989.13386082804</v>
      </c>
    </row>
    <row r="272" customFormat="false" ht="15" hidden="false" customHeight="false" outlineLevel="0" collapsed="false">
      <c r="K272" s="56" t="n">
        <f aca="false">K271+1</f>
        <v>265</v>
      </c>
      <c r="L272" s="57" t="n">
        <f aca="false">IF(AND(K272&lt;=Assumptions!$C$42,L271=1,P271=0,O271&gt;Assumptions!$C$43),1,0)</f>
        <v>0</v>
      </c>
      <c r="M272" s="58" t="n">
        <f aca="false">O271</f>
        <v>-10.8661391719591</v>
      </c>
      <c r="N272" s="58" t="n">
        <f aca="false">IF(L272=1,M272*$B$20,0)</f>
        <v>0</v>
      </c>
      <c r="O272" s="58" t="n">
        <f aca="false">IF(L272=1,M272+N272-$B$21,M272)</f>
        <v>-10.8661391719591</v>
      </c>
      <c r="P272" s="56" t="n">
        <f aca="false">IF(L272=1,IF($B$21&lt;=N272,1,0),0)</f>
        <v>0</v>
      </c>
      <c r="Q272" s="58" t="n">
        <f aca="false">Q271+N272</f>
        <v>989.13386082804</v>
      </c>
    </row>
    <row r="273" customFormat="false" ht="15" hidden="false" customHeight="false" outlineLevel="0" collapsed="false">
      <c r="K273" s="56" t="n">
        <f aca="false">K272+1</f>
        <v>266</v>
      </c>
      <c r="L273" s="57" t="n">
        <f aca="false">IF(AND(K273&lt;=Assumptions!$C$42,L272=1,P272=0,O272&gt;Assumptions!$C$43),1,0)</f>
        <v>0</v>
      </c>
      <c r="M273" s="58" t="n">
        <f aca="false">O272</f>
        <v>-10.8661391719591</v>
      </c>
      <c r="N273" s="58" t="n">
        <f aca="false">IF(L273=1,M273*$B$20,0)</f>
        <v>0</v>
      </c>
      <c r="O273" s="58" t="n">
        <f aca="false">IF(L273=1,M273+N273-$B$21,M273)</f>
        <v>-10.8661391719591</v>
      </c>
      <c r="P273" s="56" t="n">
        <f aca="false">IF(L273=1,IF($B$21&lt;=N273,1,0),0)</f>
        <v>0</v>
      </c>
      <c r="Q273" s="58" t="n">
        <f aca="false">Q272+N273</f>
        <v>989.13386082804</v>
      </c>
    </row>
    <row r="274" customFormat="false" ht="15" hidden="false" customHeight="false" outlineLevel="0" collapsed="false">
      <c r="K274" s="56" t="n">
        <f aca="false">K273+1</f>
        <v>267</v>
      </c>
      <c r="L274" s="57" t="n">
        <f aca="false">IF(AND(K274&lt;=Assumptions!$C$42,L273=1,P273=0,O273&gt;Assumptions!$C$43),1,0)</f>
        <v>0</v>
      </c>
      <c r="M274" s="58" t="n">
        <f aca="false">O273</f>
        <v>-10.8661391719591</v>
      </c>
      <c r="N274" s="58" t="n">
        <f aca="false">IF(L274=1,M274*$B$20,0)</f>
        <v>0</v>
      </c>
      <c r="O274" s="58" t="n">
        <f aca="false">IF(L274=1,M274+N274-$B$21,M274)</f>
        <v>-10.8661391719591</v>
      </c>
      <c r="P274" s="56" t="n">
        <f aca="false">IF(L274=1,IF($B$21&lt;=N274,1,0),0)</f>
        <v>0</v>
      </c>
      <c r="Q274" s="58" t="n">
        <f aca="false">Q273+N274</f>
        <v>989.13386082804</v>
      </c>
    </row>
    <row r="275" customFormat="false" ht="15" hidden="false" customHeight="false" outlineLevel="0" collapsed="false">
      <c r="K275" s="56" t="n">
        <f aca="false">K274+1</f>
        <v>268</v>
      </c>
      <c r="L275" s="57" t="n">
        <f aca="false">IF(AND(K275&lt;=Assumptions!$C$42,L274=1,P274=0,O274&gt;Assumptions!$C$43),1,0)</f>
        <v>0</v>
      </c>
      <c r="M275" s="58" t="n">
        <f aca="false">O274</f>
        <v>-10.8661391719591</v>
      </c>
      <c r="N275" s="58" t="n">
        <f aca="false">IF(L275=1,M275*$B$20,0)</f>
        <v>0</v>
      </c>
      <c r="O275" s="58" t="n">
        <f aca="false">IF(L275=1,M275+N275-$B$21,M275)</f>
        <v>-10.8661391719591</v>
      </c>
      <c r="P275" s="56" t="n">
        <f aca="false">IF(L275=1,IF($B$21&lt;=N275,1,0),0)</f>
        <v>0</v>
      </c>
      <c r="Q275" s="58" t="n">
        <f aca="false">Q274+N275</f>
        <v>989.13386082804</v>
      </c>
    </row>
    <row r="276" customFormat="false" ht="15" hidden="false" customHeight="false" outlineLevel="0" collapsed="false">
      <c r="K276" s="56" t="n">
        <f aca="false">K275+1</f>
        <v>269</v>
      </c>
      <c r="L276" s="57" t="n">
        <f aca="false">IF(AND(K276&lt;=Assumptions!$C$42,L275=1,P275=0,O275&gt;Assumptions!$C$43),1,0)</f>
        <v>0</v>
      </c>
      <c r="M276" s="58" t="n">
        <f aca="false">O275</f>
        <v>-10.8661391719591</v>
      </c>
      <c r="N276" s="58" t="n">
        <f aca="false">IF(L276=1,M276*$B$20,0)</f>
        <v>0</v>
      </c>
      <c r="O276" s="58" t="n">
        <f aca="false">IF(L276=1,M276+N276-$B$21,M276)</f>
        <v>-10.8661391719591</v>
      </c>
      <c r="P276" s="56" t="n">
        <f aca="false">IF(L276=1,IF($B$21&lt;=N276,1,0),0)</f>
        <v>0</v>
      </c>
      <c r="Q276" s="58" t="n">
        <f aca="false">Q275+N276</f>
        <v>989.13386082804</v>
      </c>
    </row>
    <row r="277" customFormat="false" ht="15" hidden="false" customHeight="false" outlineLevel="0" collapsed="false">
      <c r="K277" s="56" t="n">
        <f aca="false">K276+1</f>
        <v>270</v>
      </c>
      <c r="L277" s="57" t="n">
        <f aca="false">IF(AND(K277&lt;=Assumptions!$C$42,L276=1,P276=0,O276&gt;Assumptions!$C$43),1,0)</f>
        <v>0</v>
      </c>
      <c r="M277" s="58" t="n">
        <f aca="false">O276</f>
        <v>-10.8661391719591</v>
      </c>
      <c r="N277" s="58" t="n">
        <f aca="false">IF(L277=1,M277*$B$20,0)</f>
        <v>0</v>
      </c>
      <c r="O277" s="58" t="n">
        <f aca="false">IF(L277=1,M277+N277-$B$21,M277)</f>
        <v>-10.8661391719591</v>
      </c>
      <c r="P277" s="56" t="n">
        <f aca="false">IF(L277=1,IF($B$21&lt;=N277,1,0),0)</f>
        <v>0</v>
      </c>
      <c r="Q277" s="58" t="n">
        <f aca="false">Q276+N277</f>
        <v>989.13386082804</v>
      </c>
    </row>
    <row r="278" customFormat="false" ht="15" hidden="false" customHeight="false" outlineLevel="0" collapsed="false">
      <c r="K278" s="56" t="n">
        <f aca="false">K277+1</f>
        <v>271</v>
      </c>
      <c r="L278" s="57" t="n">
        <f aca="false">IF(AND(K278&lt;=Assumptions!$C$42,L277=1,P277=0,O277&gt;Assumptions!$C$43),1,0)</f>
        <v>0</v>
      </c>
      <c r="M278" s="58" t="n">
        <f aca="false">O277</f>
        <v>-10.8661391719591</v>
      </c>
      <c r="N278" s="58" t="n">
        <f aca="false">IF(L278=1,M278*$B$20,0)</f>
        <v>0</v>
      </c>
      <c r="O278" s="58" t="n">
        <f aca="false">IF(L278=1,M278+N278-$B$21,M278)</f>
        <v>-10.8661391719591</v>
      </c>
      <c r="P278" s="56" t="n">
        <f aca="false">IF(L278=1,IF($B$21&lt;=N278,1,0),0)</f>
        <v>0</v>
      </c>
      <c r="Q278" s="58" t="n">
        <f aca="false">Q277+N278</f>
        <v>989.13386082804</v>
      </c>
    </row>
    <row r="279" customFormat="false" ht="15" hidden="false" customHeight="false" outlineLevel="0" collapsed="false">
      <c r="K279" s="56" t="n">
        <f aca="false">K278+1</f>
        <v>272</v>
      </c>
      <c r="L279" s="57" t="n">
        <f aca="false">IF(AND(K279&lt;=Assumptions!$C$42,L278=1,P278=0,O278&gt;Assumptions!$C$43),1,0)</f>
        <v>0</v>
      </c>
      <c r="M279" s="58" t="n">
        <f aca="false">O278</f>
        <v>-10.8661391719591</v>
      </c>
      <c r="N279" s="58" t="n">
        <f aca="false">IF(L279=1,M279*$B$20,0)</f>
        <v>0</v>
      </c>
      <c r="O279" s="58" t="n">
        <f aca="false">IF(L279=1,M279+N279-$B$21,M279)</f>
        <v>-10.8661391719591</v>
      </c>
      <c r="P279" s="56" t="n">
        <f aca="false">IF(L279=1,IF($B$21&lt;=N279,1,0),0)</f>
        <v>0</v>
      </c>
      <c r="Q279" s="58" t="n">
        <f aca="false">Q278+N279</f>
        <v>989.13386082804</v>
      </c>
    </row>
    <row r="280" customFormat="false" ht="15" hidden="false" customHeight="false" outlineLevel="0" collapsed="false">
      <c r="K280" s="56" t="n">
        <f aca="false">K279+1</f>
        <v>273</v>
      </c>
      <c r="L280" s="57" t="n">
        <f aca="false">IF(AND(K280&lt;=Assumptions!$C$42,L279=1,P279=0,O279&gt;Assumptions!$C$43),1,0)</f>
        <v>0</v>
      </c>
      <c r="M280" s="58" t="n">
        <f aca="false">O279</f>
        <v>-10.8661391719591</v>
      </c>
      <c r="N280" s="58" t="n">
        <f aca="false">IF(L280=1,M280*$B$20,0)</f>
        <v>0</v>
      </c>
      <c r="O280" s="58" t="n">
        <f aca="false">IF(L280=1,M280+N280-$B$21,M280)</f>
        <v>-10.8661391719591</v>
      </c>
      <c r="P280" s="56" t="n">
        <f aca="false">IF(L280=1,IF($B$21&lt;=N280,1,0),0)</f>
        <v>0</v>
      </c>
      <c r="Q280" s="58" t="n">
        <f aca="false">Q279+N280</f>
        <v>989.13386082804</v>
      </c>
    </row>
    <row r="281" customFormat="false" ht="15" hidden="false" customHeight="false" outlineLevel="0" collapsed="false">
      <c r="K281" s="56" t="n">
        <f aca="false">K280+1</f>
        <v>274</v>
      </c>
      <c r="L281" s="57" t="n">
        <f aca="false">IF(AND(K281&lt;=Assumptions!$C$42,L280=1,P280=0,O280&gt;Assumptions!$C$43),1,0)</f>
        <v>0</v>
      </c>
      <c r="M281" s="58" t="n">
        <f aca="false">O280</f>
        <v>-10.8661391719591</v>
      </c>
      <c r="N281" s="58" t="n">
        <f aca="false">IF(L281=1,M281*$B$20,0)</f>
        <v>0</v>
      </c>
      <c r="O281" s="58" t="n">
        <f aca="false">IF(L281=1,M281+N281-$B$21,M281)</f>
        <v>-10.8661391719591</v>
      </c>
      <c r="P281" s="56" t="n">
        <f aca="false">IF(L281=1,IF($B$21&lt;=N281,1,0),0)</f>
        <v>0</v>
      </c>
      <c r="Q281" s="58" t="n">
        <f aca="false">Q280+N281</f>
        <v>989.13386082804</v>
      </c>
    </row>
    <row r="282" customFormat="false" ht="15" hidden="false" customHeight="false" outlineLevel="0" collapsed="false">
      <c r="K282" s="56" t="n">
        <f aca="false">K281+1</f>
        <v>275</v>
      </c>
      <c r="L282" s="57" t="n">
        <f aca="false">IF(AND(K282&lt;=Assumptions!$C$42,L281=1,P281=0,O281&gt;Assumptions!$C$43),1,0)</f>
        <v>0</v>
      </c>
      <c r="M282" s="58" t="n">
        <f aca="false">O281</f>
        <v>-10.8661391719591</v>
      </c>
      <c r="N282" s="58" t="n">
        <f aca="false">IF(L282=1,M282*$B$20,0)</f>
        <v>0</v>
      </c>
      <c r="O282" s="58" t="n">
        <f aca="false">IF(L282=1,M282+N282-$B$21,M282)</f>
        <v>-10.8661391719591</v>
      </c>
      <c r="P282" s="56" t="n">
        <f aca="false">IF(L282=1,IF($B$21&lt;=N282,1,0),0)</f>
        <v>0</v>
      </c>
      <c r="Q282" s="58" t="n">
        <f aca="false">Q281+N282</f>
        <v>989.13386082804</v>
      </c>
    </row>
    <row r="283" customFormat="false" ht="15" hidden="false" customHeight="false" outlineLevel="0" collapsed="false">
      <c r="K283" s="56" t="n">
        <f aca="false">K282+1</f>
        <v>276</v>
      </c>
      <c r="L283" s="57" t="n">
        <f aca="false">IF(AND(K283&lt;=Assumptions!$C$42,L282=1,P282=0,O282&gt;Assumptions!$C$43),1,0)</f>
        <v>0</v>
      </c>
      <c r="M283" s="58" t="n">
        <f aca="false">O282</f>
        <v>-10.8661391719591</v>
      </c>
      <c r="N283" s="58" t="n">
        <f aca="false">IF(L283=1,M283*$B$20,0)</f>
        <v>0</v>
      </c>
      <c r="O283" s="58" t="n">
        <f aca="false">IF(L283=1,M283+N283-$B$21,M283)</f>
        <v>-10.8661391719591</v>
      </c>
      <c r="P283" s="56" t="n">
        <f aca="false">IF(L283=1,IF($B$21&lt;=N283,1,0),0)</f>
        <v>0</v>
      </c>
      <c r="Q283" s="58" t="n">
        <f aca="false">Q282+N283</f>
        <v>989.13386082804</v>
      </c>
    </row>
    <row r="284" customFormat="false" ht="15" hidden="false" customHeight="false" outlineLevel="0" collapsed="false">
      <c r="K284" s="56" t="n">
        <f aca="false">K283+1</f>
        <v>277</v>
      </c>
      <c r="L284" s="57" t="n">
        <f aca="false">IF(AND(K284&lt;=Assumptions!$C$42,L283=1,P283=0,O283&gt;Assumptions!$C$43),1,0)</f>
        <v>0</v>
      </c>
      <c r="M284" s="58" t="n">
        <f aca="false">O283</f>
        <v>-10.8661391719591</v>
      </c>
      <c r="N284" s="58" t="n">
        <f aca="false">IF(L284=1,M284*$B$20,0)</f>
        <v>0</v>
      </c>
      <c r="O284" s="58" t="n">
        <f aca="false">IF(L284=1,M284+N284-$B$21,M284)</f>
        <v>-10.8661391719591</v>
      </c>
      <c r="P284" s="56" t="n">
        <f aca="false">IF(L284=1,IF($B$21&lt;=N284,1,0),0)</f>
        <v>0</v>
      </c>
      <c r="Q284" s="58" t="n">
        <f aca="false">Q283+N284</f>
        <v>989.13386082804</v>
      </c>
    </row>
    <row r="285" customFormat="false" ht="15" hidden="false" customHeight="false" outlineLevel="0" collapsed="false">
      <c r="K285" s="56" t="n">
        <f aca="false">K284+1</f>
        <v>278</v>
      </c>
      <c r="L285" s="57" t="n">
        <f aca="false">IF(AND(K285&lt;=Assumptions!$C$42,L284=1,P284=0,O284&gt;Assumptions!$C$43),1,0)</f>
        <v>0</v>
      </c>
      <c r="M285" s="58" t="n">
        <f aca="false">O284</f>
        <v>-10.8661391719591</v>
      </c>
      <c r="N285" s="58" t="n">
        <f aca="false">IF(L285=1,M285*$B$20,0)</f>
        <v>0</v>
      </c>
      <c r="O285" s="58" t="n">
        <f aca="false">IF(L285=1,M285+N285-$B$21,M285)</f>
        <v>-10.8661391719591</v>
      </c>
      <c r="P285" s="56" t="n">
        <f aca="false">IF(L285=1,IF($B$21&lt;=N285,1,0),0)</f>
        <v>0</v>
      </c>
      <c r="Q285" s="58" t="n">
        <f aca="false">Q284+N285</f>
        <v>989.13386082804</v>
      </c>
    </row>
    <row r="286" customFormat="false" ht="15" hidden="false" customHeight="false" outlineLevel="0" collapsed="false">
      <c r="K286" s="56" t="n">
        <f aca="false">K285+1</f>
        <v>279</v>
      </c>
      <c r="L286" s="57" t="n">
        <f aca="false">IF(AND(K286&lt;=Assumptions!$C$42,L285=1,P285=0,O285&gt;Assumptions!$C$43),1,0)</f>
        <v>0</v>
      </c>
      <c r="M286" s="58" t="n">
        <f aca="false">O285</f>
        <v>-10.8661391719591</v>
      </c>
      <c r="N286" s="58" t="n">
        <f aca="false">IF(L286=1,M286*$B$20,0)</f>
        <v>0</v>
      </c>
      <c r="O286" s="58" t="n">
        <f aca="false">IF(L286=1,M286+N286-$B$21,M286)</f>
        <v>-10.8661391719591</v>
      </c>
      <c r="P286" s="56" t="n">
        <f aca="false">IF(L286=1,IF($B$21&lt;=N286,1,0),0)</f>
        <v>0</v>
      </c>
      <c r="Q286" s="58" t="n">
        <f aca="false">Q285+N286</f>
        <v>989.13386082804</v>
      </c>
    </row>
    <row r="287" customFormat="false" ht="15" hidden="false" customHeight="false" outlineLevel="0" collapsed="false">
      <c r="K287" s="56" t="n">
        <f aca="false">K286+1</f>
        <v>280</v>
      </c>
      <c r="L287" s="57" t="n">
        <f aca="false">IF(AND(K287&lt;=Assumptions!$C$42,L286=1,P286=0,O286&gt;Assumptions!$C$43),1,0)</f>
        <v>0</v>
      </c>
      <c r="M287" s="58" t="n">
        <f aca="false">O286</f>
        <v>-10.8661391719591</v>
      </c>
      <c r="N287" s="58" t="n">
        <f aca="false">IF(L287=1,M287*$B$20,0)</f>
        <v>0</v>
      </c>
      <c r="O287" s="58" t="n">
        <f aca="false">IF(L287=1,M287+N287-$B$21,M287)</f>
        <v>-10.8661391719591</v>
      </c>
      <c r="P287" s="56" t="n">
        <f aca="false">IF(L287=1,IF($B$21&lt;=N287,1,0),0)</f>
        <v>0</v>
      </c>
      <c r="Q287" s="58" t="n">
        <f aca="false">Q286+N287</f>
        <v>989.13386082804</v>
      </c>
    </row>
    <row r="288" customFormat="false" ht="15" hidden="false" customHeight="false" outlineLevel="0" collapsed="false">
      <c r="K288" s="56" t="n">
        <f aca="false">K287+1</f>
        <v>281</v>
      </c>
      <c r="L288" s="57" t="n">
        <f aca="false">IF(AND(K288&lt;=Assumptions!$C$42,L287=1,P287=0,O287&gt;Assumptions!$C$43),1,0)</f>
        <v>0</v>
      </c>
      <c r="M288" s="58" t="n">
        <f aca="false">O287</f>
        <v>-10.8661391719591</v>
      </c>
      <c r="N288" s="58" t="n">
        <f aca="false">IF(L288=1,M288*$B$20,0)</f>
        <v>0</v>
      </c>
      <c r="O288" s="58" t="n">
        <f aca="false">IF(L288=1,M288+N288-$B$21,M288)</f>
        <v>-10.8661391719591</v>
      </c>
      <c r="P288" s="56" t="n">
        <f aca="false">IF(L288=1,IF($B$21&lt;=N288,1,0),0)</f>
        <v>0</v>
      </c>
      <c r="Q288" s="58" t="n">
        <f aca="false">Q287+N288</f>
        <v>989.13386082804</v>
      </c>
    </row>
    <row r="289" customFormat="false" ht="15" hidden="false" customHeight="false" outlineLevel="0" collapsed="false">
      <c r="K289" s="56" t="n">
        <f aca="false">K288+1</f>
        <v>282</v>
      </c>
      <c r="L289" s="57" t="n">
        <f aca="false">IF(AND(K289&lt;=Assumptions!$C$42,L288=1,P288=0,O288&gt;Assumptions!$C$43),1,0)</f>
        <v>0</v>
      </c>
      <c r="M289" s="58" t="n">
        <f aca="false">O288</f>
        <v>-10.8661391719591</v>
      </c>
      <c r="N289" s="58" t="n">
        <f aca="false">IF(L289=1,M289*$B$20,0)</f>
        <v>0</v>
      </c>
      <c r="O289" s="58" t="n">
        <f aca="false">IF(L289=1,M289+N289-$B$21,M289)</f>
        <v>-10.8661391719591</v>
      </c>
      <c r="P289" s="56" t="n">
        <f aca="false">IF(L289=1,IF($B$21&lt;=N289,1,0),0)</f>
        <v>0</v>
      </c>
      <c r="Q289" s="58" t="n">
        <f aca="false">Q288+N289</f>
        <v>989.13386082804</v>
      </c>
    </row>
    <row r="290" customFormat="false" ht="15" hidden="false" customHeight="false" outlineLevel="0" collapsed="false">
      <c r="K290" s="56" t="n">
        <f aca="false">K289+1</f>
        <v>283</v>
      </c>
      <c r="L290" s="57" t="n">
        <f aca="false">IF(AND(K290&lt;=Assumptions!$C$42,L289=1,P289=0,O289&gt;Assumptions!$C$43),1,0)</f>
        <v>0</v>
      </c>
      <c r="M290" s="58" t="n">
        <f aca="false">O289</f>
        <v>-10.8661391719591</v>
      </c>
      <c r="N290" s="58" t="n">
        <f aca="false">IF(L290=1,M290*$B$20,0)</f>
        <v>0</v>
      </c>
      <c r="O290" s="58" t="n">
        <f aca="false">IF(L290=1,M290+N290-$B$21,M290)</f>
        <v>-10.8661391719591</v>
      </c>
      <c r="P290" s="56" t="n">
        <f aca="false">IF(L290=1,IF($B$21&lt;=N290,1,0),0)</f>
        <v>0</v>
      </c>
      <c r="Q290" s="58" t="n">
        <f aca="false">Q289+N290</f>
        <v>989.13386082804</v>
      </c>
    </row>
    <row r="291" customFormat="false" ht="15" hidden="false" customHeight="false" outlineLevel="0" collapsed="false">
      <c r="K291" s="56" t="n">
        <f aca="false">K290+1</f>
        <v>284</v>
      </c>
      <c r="L291" s="57" t="n">
        <f aca="false">IF(AND(K291&lt;=Assumptions!$C$42,L290=1,P290=0,O290&gt;Assumptions!$C$43),1,0)</f>
        <v>0</v>
      </c>
      <c r="M291" s="58" t="n">
        <f aca="false">O290</f>
        <v>-10.8661391719591</v>
      </c>
      <c r="N291" s="58" t="n">
        <f aca="false">IF(L291=1,M291*$B$20,0)</f>
        <v>0</v>
      </c>
      <c r="O291" s="58" t="n">
        <f aca="false">IF(L291=1,M291+N291-$B$21,M291)</f>
        <v>-10.8661391719591</v>
      </c>
      <c r="P291" s="56" t="n">
        <f aca="false">IF(L291=1,IF($B$21&lt;=N291,1,0),0)</f>
        <v>0</v>
      </c>
      <c r="Q291" s="58" t="n">
        <f aca="false">Q290+N291</f>
        <v>989.13386082804</v>
      </c>
    </row>
    <row r="292" customFormat="false" ht="15" hidden="false" customHeight="false" outlineLevel="0" collapsed="false">
      <c r="K292" s="56" t="n">
        <f aca="false">K291+1</f>
        <v>285</v>
      </c>
      <c r="L292" s="57" t="n">
        <f aca="false">IF(AND(K292&lt;=Assumptions!$C$42,L291=1,P291=0,O291&gt;Assumptions!$C$43),1,0)</f>
        <v>0</v>
      </c>
      <c r="M292" s="58" t="n">
        <f aca="false">O291</f>
        <v>-10.8661391719591</v>
      </c>
      <c r="N292" s="58" t="n">
        <f aca="false">IF(L292=1,M292*$B$20,0)</f>
        <v>0</v>
      </c>
      <c r="O292" s="58" t="n">
        <f aca="false">IF(L292=1,M292+N292-$B$21,M292)</f>
        <v>-10.8661391719591</v>
      </c>
      <c r="P292" s="56" t="n">
        <f aca="false">IF(L292=1,IF($B$21&lt;=N292,1,0),0)</f>
        <v>0</v>
      </c>
      <c r="Q292" s="58" t="n">
        <f aca="false">Q291+N292</f>
        <v>989.13386082804</v>
      </c>
    </row>
    <row r="293" customFormat="false" ht="15" hidden="false" customHeight="false" outlineLevel="0" collapsed="false">
      <c r="K293" s="56" t="n">
        <f aca="false">K292+1</f>
        <v>286</v>
      </c>
      <c r="L293" s="57" t="n">
        <f aca="false">IF(AND(K293&lt;=Assumptions!$C$42,L292=1,P292=0,O292&gt;Assumptions!$C$43),1,0)</f>
        <v>0</v>
      </c>
      <c r="M293" s="58" t="n">
        <f aca="false">O292</f>
        <v>-10.8661391719591</v>
      </c>
      <c r="N293" s="58" t="n">
        <f aca="false">IF(L293=1,M293*$B$20,0)</f>
        <v>0</v>
      </c>
      <c r="O293" s="58" t="n">
        <f aca="false">IF(L293=1,M293+N293-$B$21,M293)</f>
        <v>-10.8661391719591</v>
      </c>
      <c r="P293" s="56" t="n">
        <f aca="false">IF(L293=1,IF($B$21&lt;=N293,1,0),0)</f>
        <v>0</v>
      </c>
      <c r="Q293" s="58" t="n">
        <f aca="false">Q292+N293</f>
        <v>989.13386082804</v>
      </c>
    </row>
    <row r="294" customFormat="false" ht="15" hidden="false" customHeight="false" outlineLevel="0" collapsed="false">
      <c r="K294" s="56" t="n">
        <f aca="false">K293+1</f>
        <v>287</v>
      </c>
      <c r="L294" s="57" t="n">
        <f aca="false">IF(AND(K294&lt;=Assumptions!$C$42,L293=1,P293=0,O293&gt;Assumptions!$C$43),1,0)</f>
        <v>0</v>
      </c>
      <c r="M294" s="58" t="n">
        <f aca="false">O293</f>
        <v>-10.8661391719591</v>
      </c>
      <c r="N294" s="58" t="n">
        <f aca="false">IF(L294=1,M294*$B$20,0)</f>
        <v>0</v>
      </c>
      <c r="O294" s="58" t="n">
        <f aca="false">IF(L294=1,M294+N294-$B$21,M294)</f>
        <v>-10.8661391719591</v>
      </c>
      <c r="P294" s="56" t="n">
        <f aca="false">IF(L294=1,IF($B$21&lt;=N294,1,0),0)</f>
        <v>0</v>
      </c>
      <c r="Q294" s="58" t="n">
        <f aca="false">Q293+N294</f>
        <v>989.13386082804</v>
      </c>
    </row>
    <row r="295" customFormat="false" ht="15" hidden="false" customHeight="false" outlineLevel="0" collapsed="false">
      <c r="K295" s="56" t="n">
        <f aca="false">K294+1</f>
        <v>288</v>
      </c>
      <c r="L295" s="57" t="n">
        <f aca="false">IF(AND(K295&lt;=Assumptions!$C$42,L294=1,P294=0,O294&gt;Assumptions!$C$43),1,0)</f>
        <v>0</v>
      </c>
      <c r="M295" s="58" t="n">
        <f aca="false">O294</f>
        <v>-10.8661391719591</v>
      </c>
      <c r="N295" s="58" t="n">
        <f aca="false">IF(L295=1,M295*$B$20,0)</f>
        <v>0</v>
      </c>
      <c r="O295" s="58" t="n">
        <f aca="false">IF(L295=1,M295+N295-$B$21,M295)</f>
        <v>-10.8661391719591</v>
      </c>
      <c r="P295" s="56" t="n">
        <f aca="false">IF(L295=1,IF($B$21&lt;=N295,1,0),0)</f>
        <v>0</v>
      </c>
      <c r="Q295" s="58" t="n">
        <f aca="false">Q294+N295</f>
        <v>989.13386082804</v>
      </c>
    </row>
    <row r="296" customFormat="false" ht="15" hidden="false" customHeight="false" outlineLevel="0" collapsed="false">
      <c r="K296" s="56" t="n">
        <f aca="false">K295+1</f>
        <v>289</v>
      </c>
      <c r="L296" s="57" t="n">
        <f aca="false">IF(AND(K296&lt;=Assumptions!$C$42,L295=1,P295=0,O295&gt;Assumptions!$C$43),1,0)</f>
        <v>0</v>
      </c>
      <c r="M296" s="58" t="n">
        <f aca="false">O295</f>
        <v>-10.8661391719591</v>
      </c>
      <c r="N296" s="58" t="n">
        <f aca="false">IF(L296=1,M296*$B$20,0)</f>
        <v>0</v>
      </c>
      <c r="O296" s="58" t="n">
        <f aca="false">IF(L296=1,M296+N296-$B$21,M296)</f>
        <v>-10.8661391719591</v>
      </c>
      <c r="P296" s="56" t="n">
        <f aca="false">IF(L296=1,IF($B$21&lt;=N296,1,0),0)</f>
        <v>0</v>
      </c>
      <c r="Q296" s="58" t="n">
        <f aca="false">Q295+N296</f>
        <v>989.13386082804</v>
      </c>
    </row>
    <row r="297" customFormat="false" ht="15" hidden="false" customHeight="false" outlineLevel="0" collapsed="false">
      <c r="K297" s="56" t="n">
        <f aca="false">K296+1</f>
        <v>290</v>
      </c>
      <c r="L297" s="57" t="n">
        <f aca="false">IF(AND(K297&lt;=Assumptions!$C$42,L296=1,P296=0,O296&gt;Assumptions!$C$43),1,0)</f>
        <v>0</v>
      </c>
      <c r="M297" s="58" t="n">
        <f aca="false">O296</f>
        <v>-10.8661391719591</v>
      </c>
      <c r="N297" s="58" t="n">
        <f aca="false">IF(L297=1,M297*$B$20,0)</f>
        <v>0</v>
      </c>
      <c r="O297" s="58" t="n">
        <f aca="false">IF(L297=1,M297+N297-$B$21,M297)</f>
        <v>-10.8661391719591</v>
      </c>
      <c r="P297" s="56" t="n">
        <f aca="false">IF(L297=1,IF($B$21&lt;=N297,1,0),0)</f>
        <v>0</v>
      </c>
      <c r="Q297" s="58" t="n">
        <f aca="false">Q296+N297</f>
        <v>989.13386082804</v>
      </c>
    </row>
    <row r="298" customFormat="false" ht="15" hidden="false" customHeight="false" outlineLevel="0" collapsed="false">
      <c r="K298" s="56" t="n">
        <f aca="false">K297+1</f>
        <v>291</v>
      </c>
      <c r="L298" s="57" t="n">
        <f aca="false">IF(AND(K298&lt;=Assumptions!$C$42,L297=1,P297=0,O297&gt;Assumptions!$C$43),1,0)</f>
        <v>0</v>
      </c>
      <c r="M298" s="58" t="n">
        <f aca="false">O297</f>
        <v>-10.8661391719591</v>
      </c>
      <c r="N298" s="58" t="n">
        <f aca="false">IF(L298=1,M298*$B$20,0)</f>
        <v>0</v>
      </c>
      <c r="O298" s="58" t="n">
        <f aca="false">IF(L298=1,M298+N298-$B$21,M298)</f>
        <v>-10.8661391719591</v>
      </c>
      <c r="P298" s="56" t="n">
        <f aca="false">IF(L298=1,IF($B$21&lt;=N298,1,0),0)</f>
        <v>0</v>
      </c>
      <c r="Q298" s="58" t="n">
        <f aca="false">Q297+N298</f>
        <v>989.13386082804</v>
      </c>
    </row>
    <row r="299" customFormat="false" ht="15" hidden="false" customHeight="false" outlineLevel="0" collapsed="false">
      <c r="K299" s="56" t="n">
        <f aca="false">K298+1</f>
        <v>292</v>
      </c>
      <c r="L299" s="57" t="n">
        <f aca="false">IF(AND(K299&lt;=Assumptions!$C$42,L298=1,P298=0,O298&gt;Assumptions!$C$43),1,0)</f>
        <v>0</v>
      </c>
      <c r="M299" s="58" t="n">
        <f aca="false">O298</f>
        <v>-10.8661391719591</v>
      </c>
      <c r="N299" s="58" t="n">
        <f aca="false">IF(L299=1,M299*$B$20,0)</f>
        <v>0</v>
      </c>
      <c r="O299" s="58" t="n">
        <f aca="false">IF(L299=1,M299+N299-$B$21,M299)</f>
        <v>-10.8661391719591</v>
      </c>
      <c r="P299" s="56" t="n">
        <f aca="false">IF(L299=1,IF($B$21&lt;=N299,1,0),0)</f>
        <v>0</v>
      </c>
      <c r="Q299" s="58" t="n">
        <f aca="false">Q298+N299</f>
        <v>989.13386082804</v>
      </c>
    </row>
    <row r="300" customFormat="false" ht="15" hidden="false" customHeight="false" outlineLevel="0" collapsed="false">
      <c r="K300" s="56" t="n">
        <f aca="false">K299+1</f>
        <v>293</v>
      </c>
      <c r="L300" s="57" t="n">
        <f aca="false">IF(AND(K300&lt;=Assumptions!$C$42,L299=1,P299=0,O299&gt;Assumptions!$C$43),1,0)</f>
        <v>0</v>
      </c>
      <c r="M300" s="58" t="n">
        <f aca="false">O299</f>
        <v>-10.8661391719591</v>
      </c>
      <c r="N300" s="58" t="n">
        <f aca="false">IF(L300=1,M300*$B$20,0)</f>
        <v>0</v>
      </c>
      <c r="O300" s="58" t="n">
        <f aca="false">IF(L300=1,M300+N300-$B$21,M300)</f>
        <v>-10.8661391719591</v>
      </c>
      <c r="P300" s="56" t="n">
        <f aca="false">IF(L300=1,IF($B$21&lt;=N300,1,0),0)</f>
        <v>0</v>
      </c>
      <c r="Q300" s="58" t="n">
        <f aca="false">Q299+N300</f>
        <v>989.13386082804</v>
      </c>
    </row>
    <row r="301" customFormat="false" ht="15" hidden="false" customHeight="false" outlineLevel="0" collapsed="false">
      <c r="K301" s="56" t="n">
        <f aca="false">K300+1</f>
        <v>294</v>
      </c>
      <c r="L301" s="57" t="n">
        <f aca="false">IF(AND(K301&lt;=Assumptions!$C$42,L300=1,P300=0,O300&gt;Assumptions!$C$43),1,0)</f>
        <v>0</v>
      </c>
      <c r="M301" s="58" t="n">
        <f aca="false">O300</f>
        <v>-10.8661391719591</v>
      </c>
      <c r="N301" s="58" t="n">
        <f aca="false">IF(L301=1,M301*$B$20,0)</f>
        <v>0</v>
      </c>
      <c r="O301" s="58" t="n">
        <f aca="false">IF(L301=1,M301+N301-$B$21,M301)</f>
        <v>-10.8661391719591</v>
      </c>
      <c r="P301" s="56" t="n">
        <f aca="false">IF(L301=1,IF($B$21&lt;=N301,1,0),0)</f>
        <v>0</v>
      </c>
      <c r="Q301" s="58" t="n">
        <f aca="false">Q300+N301</f>
        <v>989.13386082804</v>
      </c>
    </row>
    <row r="302" customFormat="false" ht="15" hidden="false" customHeight="false" outlineLevel="0" collapsed="false">
      <c r="K302" s="56" t="n">
        <f aca="false">K301+1</f>
        <v>295</v>
      </c>
      <c r="L302" s="57" t="n">
        <f aca="false">IF(AND(K302&lt;=Assumptions!$C$42,L301=1,P301=0,O301&gt;Assumptions!$C$43),1,0)</f>
        <v>0</v>
      </c>
      <c r="M302" s="58" t="n">
        <f aca="false">O301</f>
        <v>-10.8661391719591</v>
      </c>
      <c r="N302" s="58" t="n">
        <f aca="false">IF(L302=1,M302*$B$20,0)</f>
        <v>0</v>
      </c>
      <c r="O302" s="58" t="n">
        <f aca="false">IF(L302=1,M302+N302-$B$21,M302)</f>
        <v>-10.8661391719591</v>
      </c>
      <c r="P302" s="56" t="n">
        <f aca="false">IF(L302=1,IF($B$21&lt;=N302,1,0),0)</f>
        <v>0</v>
      </c>
      <c r="Q302" s="58" t="n">
        <f aca="false">Q301+N302</f>
        <v>989.13386082804</v>
      </c>
    </row>
    <row r="303" customFormat="false" ht="15" hidden="false" customHeight="false" outlineLevel="0" collapsed="false">
      <c r="K303" s="56" t="n">
        <f aca="false">K302+1</f>
        <v>296</v>
      </c>
      <c r="L303" s="57" t="n">
        <f aca="false">IF(AND(K303&lt;=Assumptions!$C$42,L302=1,P302=0,O302&gt;Assumptions!$C$43),1,0)</f>
        <v>0</v>
      </c>
      <c r="M303" s="58" t="n">
        <f aca="false">O302</f>
        <v>-10.8661391719591</v>
      </c>
      <c r="N303" s="58" t="n">
        <f aca="false">IF(L303=1,M303*$B$20,0)</f>
        <v>0</v>
      </c>
      <c r="O303" s="58" t="n">
        <f aca="false">IF(L303=1,M303+N303-$B$21,M303)</f>
        <v>-10.8661391719591</v>
      </c>
      <c r="P303" s="56" t="n">
        <f aca="false">IF(L303=1,IF($B$21&lt;=N303,1,0),0)</f>
        <v>0</v>
      </c>
      <c r="Q303" s="58" t="n">
        <f aca="false">Q302+N303</f>
        <v>989.13386082804</v>
      </c>
    </row>
    <row r="304" customFormat="false" ht="15" hidden="false" customHeight="false" outlineLevel="0" collapsed="false">
      <c r="K304" s="56" t="n">
        <f aca="false">K303+1</f>
        <v>297</v>
      </c>
      <c r="L304" s="57" t="n">
        <f aca="false">IF(AND(K304&lt;=Assumptions!$C$42,L303=1,P303=0,O303&gt;Assumptions!$C$43),1,0)</f>
        <v>0</v>
      </c>
      <c r="M304" s="58" t="n">
        <f aca="false">O303</f>
        <v>-10.8661391719591</v>
      </c>
      <c r="N304" s="58" t="n">
        <f aca="false">IF(L304=1,M304*$B$20,0)</f>
        <v>0</v>
      </c>
      <c r="O304" s="58" t="n">
        <f aca="false">IF(L304=1,M304+N304-$B$21,M304)</f>
        <v>-10.8661391719591</v>
      </c>
      <c r="P304" s="56" t="n">
        <f aca="false">IF(L304=1,IF($B$21&lt;=N304,1,0),0)</f>
        <v>0</v>
      </c>
      <c r="Q304" s="58" t="n">
        <f aca="false">Q303+N304</f>
        <v>989.13386082804</v>
      </c>
    </row>
    <row r="305" customFormat="false" ht="15" hidden="false" customHeight="false" outlineLevel="0" collapsed="false">
      <c r="K305" s="56" t="n">
        <f aca="false">K304+1</f>
        <v>298</v>
      </c>
      <c r="L305" s="57" t="n">
        <f aca="false">IF(AND(K305&lt;=Assumptions!$C$42,L304=1,P304=0,O304&gt;Assumptions!$C$43),1,0)</f>
        <v>0</v>
      </c>
      <c r="M305" s="58" t="n">
        <f aca="false">O304</f>
        <v>-10.8661391719591</v>
      </c>
      <c r="N305" s="58" t="n">
        <f aca="false">IF(L305=1,M305*$B$20,0)</f>
        <v>0</v>
      </c>
      <c r="O305" s="58" t="n">
        <f aca="false">IF(L305=1,M305+N305-$B$21,M305)</f>
        <v>-10.8661391719591</v>
      </c>
      <c r="P305" s="56" t="n">
        <f aca="false">IF(L305=1,IF($B$21&lt;=N305,1,0),0)</f>
        <v>0</v>
      </c>
      <c r="Q305" s="58" t="n">
        <f aca="false">Q304+N305</f>
        <v>989.13386082804</v>
      </c>
    </row>
    <row r="306" customFormat="false" ht="15" hidden="false" customHeight="false" outlineLevel="0" collapsed="false">
      <c r="K306" s="56" t="n">
        <f aca="false">K305+1</f>
        <v>299</v>
      </c>
      <c r="L306" s="57" t="n">
        <f aca="false">IF(AND(K306&lt;=Assumptions!$C$42,L305=1,P305=0,O305&gt;Assumptions!$C$43),1,0)</f>
        <v>0</v>
      </c>
      <c r="M306" s="58" t="n">
        <f aca="false">O305</f>
        <v>-10.8661391719591</v>
      </c>
      <c r="N306" s="58" t="n">
        <f aca="false">IF(L306=1,M306*$B$20,0)</f>
        <v>0</v>
      </c>
      <c r="O306" s="58" t="n">
        <f aca="false">IF(L306=1,M306+N306-$B$21,M306)</f>
        <v>-10.8661391719591</v>
      </c>
      <c r="P306" s="56" t="n">
        <f aca="false">IF(L306=1,IF($B$21&lt;=N306,1,0),0)</f>
        <v>0</v>
      </c>
      <c r="Q306" s="58" t="n">
        <f aca="false">Q305+N306</f>
        <v>989.13386082804</v>
      </c>
    </row>
    <row r="307" customFormat="false" ht="15" hidden="false" customHeight="false" outlineLevel="0" collapsed="false">
      <c r="K307" s="56" t="n">
        <f aca="false">K306+1</f>
        <v>300</v>
      </c>
      <c r="L307" s="57" t="n">
        <f aca="false">IF(AND(K307&lt;=Assumptions!$C$42,L306=1,P306=0,O306&gt;Assumptions!$C$43),1,0)</f>
        <v>0</v>
      </c>
      <c r="M307" s="58" t="n">
        <f aca="false">O306</f>
        <v>-10.8661391719591</v>
      </c>
      <c r="N307" s="58" t="n">
        <f aca="false">IF(L307=1,M307*$B$20,0)</f>
        <v>0</v>
      </c>
      <c r="O307" s="58" t="n">
        <f aca="false">IF(L307=1,M307+N307-$B$21,M307)</f>
        <v>-10.8661391719591</v>
      </c>
      <c r="P307" s="56" t="n">
        <f aca="false">IF(L307=1,IF($B$21&lt;=N307,1,0),0)</f>
        <v>0</v>
      </c>
      <c r="Q307" s="58" t="n">
        <f aca="false">Q306+N307</f>
        <v>989.13386082804</v>
      </c>
    </row>
    <row r="308" customFormat="false" ht="15" hidden="false" customHeight="false" outlineLevel="0" collapsed="false">
      <c r="K308" s="56" t="n">
        <f aca="false">K307+1</f>
        <v>301</v>
      </c>
      <c r="L308" s="57" t="n">
        <f aca="false">IF(AND(K308&lt;=Assumptions!$C$42,L307=1,P307=0,O307&gt;Assumptions!$C$43),1,0)</f>
        <v>0</v>
      </c>
      <c r="M308" s="58" t="n">
        <f aca="false">O307</f>
        <v>-10.8661391719591</v>
      </c>
      <c r="N308" s="58" t="n">
        <f aca="false">IF(L308=1,M308*$B$20,0)</f>
        <v>0</v>
      </c>
      <c r="O308" s="58" t="n">
        <f aca="false">IF(L308=1,M308+N308-$B$21,M308)</f>
        <v>-10.8661391719591</v>
      </c>
      <c r="P308" s="56" t="n">
        <f aca="false">IF(L308=1,IF($B$21&lt;=N308,1,0),0)</f>
        <v>0</v>
      </c>
      <c r="Q308" s="58" t="n">
        <f aca="false">Q307+N308</f>
        <v>989.13386082804</v>
      </c>
    </row>
    <row r="309" customFormat="false" ht="15" hidden="false" customHeight="false" outlineLevel="0" collapsed="false">
      <c r="K309" s="56" t="n">
        <f aca="false">K308+1</f>
        <v>302</v>
      </c>
      <c r="L309" s="57" t="n">
        <f aca="false">IF(AND(K309&lt;=Assumptions!$C$42,L308=1,P308=0,O308&gt;Assumptions!$C$43),1,0)</f>
        <v>0</v>
      </c>
      <c r="M309" s="58" t="n">
        <f aca="false">O308</f>
        <v>-10.8661391719591</v>
      </c>
      <c r="N309" s="58" t="n">
        <f aca="false">IF(L309=1,M309*$B$20,0)</f>
        <v>0</v>
      </c>
      <c r="O309" s="58" t="n">
        <f aca="false">IF(L309=1,M309+N309-$B$21,M309)</f>
        <v>-10.8661391719591</v>
      </c>
      <c r="P309" s="56" t="n">
        <f aca="false">IF(L309=1,IF($B$21&lt;=N309,1,0),0)</f>
        <v>0</v>
      </c>
      <c r="Q309" s="58" t="n">
        <f aca="false">Q308+N309</f>
        <v>989.13386082804</v>
      </c>
    </row>
    <row r="310" customFormat="false" ht="15" hidden="false" customHeight="false" outlineLevel="0" collapsed="false">
      <c r="K310" s="56" t="n">
        <f aca="false">K309+1</f>
        <v>303</v>
      </c>
      <c r="L310" s="57" t="n">
        <f aca="false">IF(AND(K310&lt;=Assumptions!$C$42,L309=1,P309=0,O309&gt;Assumptions!$C$43),1,0)</f>
        <v>0</v>
      </c>
      <c r="M310" s="58" t="n">
        <f aca="false">O309</f>
        <v>-10.8661391719591</v>
      </c>
      <c r="N310" s="58" t="n">
        <f aca="false">IF(L310=1,M310*$B$20,0)</f>
        <v>0</v>
      </c>
      <c r="O310" s="58" t="n">
        <f aca="false">IF(L310=1,M310+N310-$B$21,M310)</f>
        <v>-10.8661391719591</v>
      </c>
      <c r="P310" s="56" t="n">
        <f aca="false">IF(L310=1,IF($B$21&lt;=N310,1,0),0)</f>
        <v>0</v>
      </c>
      <c r="Q310" s="58" t="n">
        <f aca="false">Q309+N310</f>
        <v>989.13386082804</v>
      </c>
    </row>
    <row r="311" customFormat="false" ht="15" hidden="false" customHeight="false" outlineLevel="0" collapsed="false">
      <c r="K311" s="56" t="n">
        <f aca="false">K310+1</f>
        <v>304</v>
      </c>
      <c r="L311" s="57" t="n">
        <f aca="false">IF(AND(K311&lt;=Assumptions!$C$42,L310=1,P310=0,O310&gt;Assumptions!$C$43),1,0)</f>
        <v>0</v>
      </c>
      <c r="M311" s="58" t="n">
        <f aca="false">O310</f>
        <v>-10.8661391719591</v>
      </c>
      <c r="N311" s="58" t="n">
        <f aca="false">IF(L311=1,M311*$B$20,0)</f>
        <v>0</v>
      </c>
      <c r="O311" s="58" t="n">
        <f aca="false">IF(L311=1,M311+N311-$B$21,M311)</f>
        <v>-10.8661391719591</v>
      </c>
      <c r="P311" s="56" t="n">
        <f aca="false">IF(L311=1,IF($B$21&lt;=N311,1,0),0)</f>
        <v>0</v>
      </c>
      <c r="Q311" s="58" t="n">
        <f aca="false">Q310+N311</f>
        <v>989.13386082804</v>
      </c>
    </row>
    <row r="312" customFormat="false" ht="15" hidden="false" customHeight="false" outlineLevel="0" collapsed="false">
      <c r="K312" s="56" t="n">
        <f aca="false">K311+1</f>
        <v>305</v>
      </c>
      <c r="L312" s="57" t="n">
        <f aca="false">IF(AND(K312&lt;=Assumptions!$C$42,L311=1,P311=0,O311&gt;Assumptions!$C$43),1,0)</f>
        <v>0</v>
      </c>
      <c r="M312" s="58" t="n">
        <f aca="false">O311</f>
        <v>-10.8661391719591</v>
      </c>
      <c r="N312" s="58" t="n">
        <f aca="false">IF(L312=1,M312*$B$20,0)</f>
        <v>0</v>
      </c>
      <c r="O312" s="58" t="n">
        <f aca="false">IF(L312=1,M312+N312-$B$21,M312)</f>
        <v>-10.8661391719591</v>
      </c>
      <c r="P312" s="56" t="n">
        <f aca="false">IF(L312=1,IF($B$21&lt;=N312,1,0),0)</f>
        <v>0</v>
      </c>
      <c r="Q312" s="58" t="n">
        <f aca="false">Q311+N312</f>
        <v>989.13386082804</v>
      </c>
    </row>
    <row r="313" customFormat="false" ht="15" hidden="false" customHeight="false" outlineLevel="0" collapsed="false">
      <c r="K313" s="56" t="n">
        <f aca="false">K312+1</f>
        <v>306</v>
      </c>
      <c r="L313" s="57" t="n">
        <f aca="false">IF(AND(K313&lt;=Assumptions!$C$42,L312=1,P312=0,O312&gt;Assumptions!$C$43),1,0)</f>
        <v>0</v>
      </c>
      <c r="M313" s="58" t="n">
        <f aca="false">O312</f>
        <v>-10.8661391719591</v>
      </c>
      <c r="N313" s="58" t="n">
        <f aca="false">IF(L313=1,M313*$B$20,0)</f>
        <v>0</v>
      </c>
      <c r="O313" s="58" t="n">
        <f aca="false">IF(L313=1,M313+N313-$B$21,M313)</f>
        <v>-10.8661391719591</v>
      </c>
      <c r="P313" s="56" t="n">
        <f aca="false">IF(L313=1,IF($B$21&lt;=N313,1,0),0)</f>
        <v>0</v>
      </c>
      <c r="Q313" s="58" t="n">
        <f aca="false">Q312+N313</f>
        <v>989.13386082804</v>
      </c>
    </row>
    <row r="314" customFormat="false" ht="15" hidden="false" customHeight="false" outlineLevel="0" collapsed="false">
      <c r="K314" s="56" t="n">
        <f aca="false">K313+1</f>
        <v>307</v>
      </c>
      <c r="L314" s="57" t="n">
        <f aca="false">IF(AND(K314&lt;=Assumptions!$C$42,L313=1,P313=0,O313&gt;Assumptions!$C$43),1,0)</f>
        <v>0</v>
      </c>
      <c r="M314" s="58" t="n">
        <f aca="false">O313</f>
        <v>-10.8661391719591</v>
      </c>
      <c r="N314" s="58" t="n">
        <f aca="false">IF(L314=1,M314*$B$20,0)</f>
        <v>0</v>
      </c>
      <c r="O314" s="58" t="n">
        <f aca="false">IF(L314=1,M314+N314-$B$21,M314)</f>
        <v>-10.8661391719591</v>
      </c>
      <c r="P314" s="56" t="n">
        <f aca="false">IF(L314=1,IF($B$21&lt;=N314,1,0),0)</f>
        <v>0</v>
      </c>
      <c r="Q314" s="58" t="n">
        <f aca="false">Q313+N314</f>
        <v>989.13386082804</v>
      </c>
    </row>
    <row r="315" customFormat="false" ht="15" hidden="false" customHeight="false" outlineLevel="0" collapsed="false">
      <c r="K315" s="56" t="n">
        <f aca="false">K314+1</f>
        <v>308</v>
      </c>
      <c r="L315" s="57" t="n">
        <f aca="false">IF(AND(K315&lt;=Assumptions!$C$42,L314=1,P314=0,O314&gt;Assumptions!$C$43),1,0)</f>
        <v>0</v>
      </c>
      <c r="M315" s="58" t="n">
        <f aca="false">O314</f>
        <v>-10.8661391719591</v>
      </c>
      <c r="N315" s="58" t="n">
        <f aca="false">IF(L315=1,M315*$B$20,0)</f>
        <v>0</v>
      </c>
      <c r="O315" s="58" t="n">
        <f aca="false">IF(L315=1,M315+N315-$B$21,M315)</f>
        <v>-10.8661391719591</v>
      </c>
      <c r="P315" s="56" t="n">
        <f aca="false">IF(L315=1,IF($B$21&lt;=N315,1,0),0)</f>
        <v>0</v>
      </c>
      <c r="Q315" s="58" t="n">
        <f aca="false">Q314+N315</f>
        <v>989.13386082804</v>
      </c>
    </row>
    <row r="316" customFormat="false" ht="15" hidden="false" customHeight="false" outlineLevel="0" collapsed="false">
      <c r="K316" s="56" t="n">
        <f aca="false">K315+1</f>
        <v>309</v>
      </c>
      <c r="L316" s="57" t="n">
        <f aca="false">IF(AND(K316&lt;=Assumptions!$C$42,L315=1,P315=0,O315&gt;Assumptions!$C$43),1,0)</f>
        <v>0</v>
      </c>
      <c r="M316" s="58" t="n">
        <f aca="false">O315</f>
        <v>-10.8661391719591</v>
      </c>
      <c r="N316" s="58" t="n">
        <f aca="false">IF(L316=1,M316*$B$20,0)</f>
        <v>0</v>
      </c>
      <c r="O316" s="58" t="n">
        <f aca="false">IF(L316=1,M316+N316-$B$21,M316)</f>
        <v>-10.8661391719591</v>
      </c>
      <c r="P316" s="56" t="n">
        <f aca="false">IF(L316=1,IF($B$21&lt;=N316,1,0),0)</f>
        <v>0</v>
      </c>
      <c r="Q316" s="58" t="n">
        <f aca="false">Q315+N316</f>
        <v>989.13386082804</v>
      </c>
    </row>
    <row r="317" customFormat="false" ht="15" hidden="false" customHeight="false" outlineLevel="0" collapsed="false">
      <c r="K317" s="56" t="n">
        <f aca="false">K316+1</f>
        <v>310</v>
      </c>
      <c r="L317" s="57" t="n">
        <f aca="false">IF(AND(K317&lt;=Assumptions!$C$42,L316=1,P316=0,O316&gt;Assumptions!$C$43),1,0)</f>
        <v>0</v>
      </c>
      <c r="M317" s="58" t="n">
        <f aca="false">O316</f>
        <v>-10.8661391719591</v>
      </c>
      <c r="N317" s="58" t="n">
        <f aca="false">IF(L317=1,M317*$B$20,0)</f>
        <v>0</v>
      </c>
      <c r="O317" s="58" t="n">
        <f aca="false">IF(L317=1,M317+N317-$B$21,M317)</f>
        <v>-10.8661391719591</v>
      </c>
      <c r="P317" s="56" t="n">
        <f aca="false">IF(L317=1,IF($B$21&lt;=N317,1,0),0)</f>
        <v>0</v>
      </c>
      <c r="Q317" s="58" t="n">
        <f aca="false">Q316+N317</f>
        <v>989.13386082804</v>
      </c>
    </row>
    <row r="318" customFormat="false" ht="15" hidden="false" customHeight="false" outlineLevel="0" collapsed="false">
      <c r="K318" s="56" t="n">
        <f aca="false">K317+1</f>
        <v>311</v>
      </c>
      <c r="L318" s="57" t="n">
        <f aca="false">IF(AND(K318&lt;=Assumptions!$C$42,L317=1,P317=0,O317&gt;Assumptions!$C$43),1,0)</f>
        <v>0</v>
      </c>
      <c r="M318" s="58" t="n">
        <f aca="false">O317</f>
        <v>-10.8661391719591</v>
      </c>
      <c r="N318" s="58" t="n">
        <f aca="false">IF(L318=1,M318*$B$20,0)</f>
        <v>0</v>
      </c>
      <c r="O318" s="58" t="n">
        <f aca="false">IF(L318=1,M318+N318-$B$21,M318)</f>
        <v>-10.8661391719591</v>
      </c>
      <c r="P318" s="56" t="n">
        <f aca="false">IF(L318=1,IF($B$21&lt;=N318,1,0),0)</f>
        <v>0</v>
      </c>
      <c r="Q318" s="58" t="n">
        <f aca="false">Q317+N318</f>
        <v>989.13386082804</v>
      </c>
    </row>
    <row r="319" customFormat="false" ht="15" hidden="false" customHeight="false" outlineLevel="0" collapsed="false">
      <c r="K319" s="56" t="n">
        <f aca="false">K318+1</f>
        <v>312</v>
      </c>
      <c r="L319" s="57" t="n">
        <f aca="false">IF(AND(K319&lt;=Assumptions!$C$42,L318=1,P318=0,O318&gt;Assumptions!$C$43),1,0)</f>
        <v>0</v>
      </c>
      <c r="M319" s="58" t="n">
        <f aca="false">O318</f>
        <v>-10.8661391719591</v>
      </c>
      <c r="N319" s="58" t="n">
        <f aca="false">IF(L319=1,M319*$B$20,0)</f>
        <v>0</v>
      </c>
      <c r="O319" s="58" t="n">
        <f aca="false">IF(L319=1,M319+N319-$B$21,M319)</f>
        <v>-10.8661391719591</v>
      </c>
      <c r="P319" s="56" t="n">
        <f aca="false">IF(L319=1,IF($B$21&lt;=N319,1,0),0)</f>
        <v>0</v>
      </c>
      <c r="Q319" s="58" t="n">
        <f aca="false">Q318+N319</f>
        <v>989.13386082804</v>
      </c>
    </row>
    <row r="320" customFormat="false" ht="15" hidden="false" customHeight="false" outlineLevel="0" collapsed="false">
      <c r="K320" s="56" t="n">
        <f aca="false">K319+1</f>
        <v>313</v>
      </c>
      <c r="L320" s="57" t="n">
        <f aca="false">IF(AND(K320&lt;=Assumptions!$C$42,L319=1,P319=0,O319&gt;Assumptions!$C$43),1,0)</f>
        <v>0</v>
      </c>
      <c r="M320" s="58" t="n">
        <f aca="false">O319</f>
        <v>-10.8661391719591</v>
      </c>
      <c r="N320" s="58" t="n">
        <f aca="false">IF(L320=1,M320*$B$20,0)</f>
        <v>0</v>
      </c>
      <c r="O320" s="58" t="n">
        <f aca="false">IF(L320=1,M320+N320-$B$21,M320)</f>
        <v>-10.8661391719591</v>
      </c>
      <c r="P320" s="56" t="n">
        <f aca="false">IF(L320=1,IF($B$21&lt;=N320,1,0),0)</f>
        <v>0</v>
      </c>
      <c r="Q320" s="58" t="n">
        <f aca="false">Q319+N320</f>
        <v>989.13386082804</v>
      </c>
    </row>
    <row r="321" customFormat="false" ht="15" hidden="false" customHeight="false" outlineLevel="0" collapsed="false">
      <c r="K321" s="56" t="n">
        <f aca="false">K320+1</f>
        <v>314</v>
      </c>
      <c r="L321" s="57" t="n">
        <f aca="false">IF(AND(K321&lt;=Assumptions!$C$42,L320=1,P320=0,O320&gt;Assumptions!$C$43),1,0)</f>
        <v>0</v>
      </c>
      <c r="M321" s="58" t="n">
        <f aca="false">O320</f>
        <v>-10.8661391719591</v>
      </c>
      <c r="N321" s="58" t="n">
        <f aca="false">IF(L321=1,M321*$B$20,0)</f>
        <v>0</v>
      </c>
      <c r="O321" s="58" t="n">
        <f aca="false">IF(L321=1,M321+N321-$B$21,M321)</f>
        <v>-10.8661391719591</v>
      </c>
      <c r="P321" s="56" t="n">
        <f aca="false">IF(L321=1,IF($B$21&lt;=N321,1,0),0)</f>
        <v>0</v>
      </c>
      <c r="Q321" s="58" t="n">
        <f aca="false">Q320+N321</f>
        <v>989.13386082804</v>
      </c>
    </row>
    <row r="322" customFormat="false" ht="15" hidden="false" customHeight="false" outlineLevel="0" collapsed="false">
      <c r="K322" s="56" t="n">
        <f aca="false">K321+1</f>
        <v>315</v>
      </c>
      <c r="L322" s="57" t="n">
        <f aca="false">IF(AND(K322&lt;=Assumptions!$C$42,L321=1,P321=0,O321&gt;Assumptions!$C$43),1,0)</f>
        <v>0</v>
      </c>
      <c r="M322" s="58" t="n">
        <f aca="false">O321</f>
        <v>-10.8661391719591</v>
      </c>
      <c r="N322" s="58" t="n">
        <f aca="false">IF(L322=1,M322*$B$20,0)</f>
        <v>0</v>
      </c>
      <c r="O322" s="58" t="n">
        <f aca="false">IF(L322=1,M322+N322-$B$21,M322)</f>
        <v>-10.8661391719591</v>
      </c>
      <c r="P322" s="56" t="n">
        <f aca="false">IF(L322=1,IF($B$21&lt;=N322,1,0),0)</f>
        <v>0</v>
      </c>
      <c r="Q322" s="58" t="n">
        <f aca="false">Q321+N322</f>
        <v>989.13386082804</v>
      </c>
    </row>
    <row r="323" customFormat="false" ht="15" hidden="false" customHeight="false" outlineLevel="0" collapsed="false">
      <c r="K323" s="56" t="n">
        <f aca="false">K322+1</f>
        <v>316</v>
      </c>
      <c r="L323" s="57" t="n">
        <f aca="false">IF(AND(K323&lt;=Assumptions!$C$42,L322=1,P322=0,O322&gt;Assumptions!$C$43),1,0)</f>
        <v>0</v>
      </c>
      <c r="M323" s="58" t="n">
        <f aca="false">O322</f>
        <v>-10.8661391719591</v>
      </c>
      <c r="N323" s="58" t="n">
        <f aca="false">IF(L323=1,M323*$B$20,0)</f>
        <v>0</v>
      </c>
      <c r="O323" s="58" t="n">
        <f aca="false">IF(L323=1,M323+N323-$B$21,M323)</f>
        <v>-10.8661391719591</v>
      </c>
      <c r="P323" s="56" t="n">
        <f aca="false">IF(L323=1,IF($B$21&lt;=N323,1,0),0)</f>
        <v>0</v>
      </c>
      <c r="Q323" s="58" t="n">
        <f aca="false">Q322+N323</f>
        <v>989.13386082804</v>
      </c>
    </row>
    <row r="324" customFormat="false" ht="15" hidden="false" customHeight="false" outlineLevel="0" collapsed="false">
      <c r="K324" s="56" t="n">
        <f aca="false">K323+1</f>
        <v>317</v>
      </c>
      <c r="L324" s="57" t="n">
        <f aca="false">IF(AND(K324&lt;=Assumptions!$C$42,L323=1,P323=0,O323&gt;Assumptions!$C$43),1,0)</f>
        <v>0</v>
      </c>
      <c r="M324" s="58" t="n">
        <f aca="false">O323</f>
        <v>-10.8661391719591</v>
      </c>
      <c r="N324" s="58" t="n">
        <f aca="false">IF(L324=1,M324*$B$20,0)</f>
        <v>0</v>
      </c>
      <c r="O324" s="58" t="n">
        <f aca="false">IF(L324=1,M324+N324-$B$21,M324)</f>
        <v>-10.8661391719591</v>
      </c>
      <c r="P324" s="56" t="n">
        <f aca="false">IF(L324=1,IF($B$21&lt;=N324,1,0),0)</f>
        <v>0</v>
      </c>
      <c r="Q324" s="58" t="n">
        <f aca="false">Q323+N324</f>
        <v>989.13386082804</v>
      </c>
    </row>
    <row r="325" customFormat="false" ht="15" hidden="false" customHeight="false" outlineLevel="0" collapsed="false">
      <c r="K325" s="56" t="n">
        <f aca="false">K324+1</f>
        <v>318</v>
      </c>
      <c r="L325" s="57" t="n">
        <f aca="false">IF(AND(K325&lt;=Assumptions!$C$42,L324=1,P324=0,O324&gt;Assumptions!$C$43),1,0)</f>
        <v>0</v>
      </c>
      <c r="M325" s="58" t="n">
        <f aca="false">O324</f>
        <v>-10.8661391719591</v>
      </c>
      <c r="N325" s="58" t="n">
        <f aca="false">IF(L325=1,M325*$B$20,0)</f>
        <v>0</v>
      </c>
      <c r="O325" s="58" t="n">
        <f aca="false">IF(L325=1,M325+N325-$B$21,M325)</f>
        <v>-10.8661391719591</v>
      </c>
      <c r="P325" s="56" t="n">
        <f aca="false">IF(L325=1,IF($B$21&lt;=N325,1,0),0)</f>
        <v>0</v>
      </c>
      <c r="Q325" s="58" t="n">
        <f aca="false">Q324+N325</f>
        <v>989.13386082804</v>
      </c>
    </row>
    <row r="326" customFormat="false" ht="15" hidden="false" customHeight="false" outlineLevel="0" collapsed="false">
      <c r="K326" s="56" t="n">
        <f aca="false">K325+1</f>
        <v>319</v>
      </c>
      <c r="L326" s="57" t="n">
        <f aca="false">IF(AND(K326&lt;=Assumptions!$C$42,L325=1,P325=0,O325&gt;Assumptions!$C$43),1,0)</f>
        <v>0</v>
      </c>
      <c r="M326" s="58" t="n">
        <f aca="false">O325</f>
        <v>-10.8661391719591</v>
      </c>
      <c r="N326" s="58" t="n">
        <f aca="false">IF(L326=1,M326*$B$20,0)</f>
        <v>0</v>
      </c>
      <c r="O326" s="58" t="n">
        <f aca="false">IF(L326=1,M326+N326-$B$21,M326)</f>
        <v>-10.8661391719591</v>
      </c>
      <c r="P326" s="56" t="n">
        <f aca="false">IF(L326=1,IF($B$21&lt;=N326,1,0),0)</f>
        <v>0</v>
      </c>
      <c r="Q326" s="58" t="n">
        <f aca="false">Q325+N326</f>
        <v>989.13386082804</v>
      </c>
    </row>
    <row r="327" customFormat="false" ht="15" hidden="false" customHeight="false" outlineLevel="0" collapsed="false">
      <c r="K327" s="56" t="n">
        <f aca="false">K326+1</f>
        <v>320</v>
      </c>
      <c r="L327" s="57" t="n">
        <f aca="false">IF(AND(K327&lt;=Assumptions!$C$42,L326=1,P326=0,O326&gt;Assumptions!$C$43),1,0)</f>
        <v>0</v>
      </c>
      <c r="M327" s="58" t="n">
        <f aca="false">O326</f>
        <v>-10.8661391719591</v>
      </c>
      <c r="N327" s="58" t="n">
        <f aca="false">IF(L327=1,M327*$B$20,0)</f>
        <v>0</v>
      </c>
      <c r="O327" s="58" t="n">
        <f aca="false">IF(L327=1,M327+N327-$B$21,M327)</f>
        <v>-10.8661391719591</v>
      </c>
      <c r="P327" s="56" t="n">
        <f aca="false">IF(L327=1,IF($B$21&lt;=N327,1,0),0)</f>
        <v>0</v>
      </c>
      <c r="Q327" s="58" t="n">
        <f aca="false">Q326+N327</f>
        <v>989.13386082804</v>
      </c>
    </row>
    <row r="328" customFormat="false" ht="15" hidden="false" customHeight="false" outlineLevel="0" collapsed="false">
      <c r="K328" s="56" t="n">
        <f aca="false">K327+1</f>
        <v>321</v>
      </c>
      <c r="L328" s="57" t="n">
        <f aca="false">IF(AND(K328&lt;=Assumptions!$C$42,L327=1,P327=0,O327&gt;Assumptions!$C$43),1,0)</f>
        <v>0</v>
      </c>
      <c r="M328" s="58" t="n">
        <f aca="false">O327</f>
        <v>-10.8661391719591</v>
      </c>
      <c r="N328" s="58" t="n">
        <f aca="false">IF(L328=1,M328*$B$20,0)</f>
        <v>0</v>
      </c>
      <c r="O328" s="58" t="n">
        <f aca="false">IF(L328=1,M328+N328-$B$21,M328)</f>
        <v>-10.8661391719591</v>
      </c>
      <c r="P328" s="56" t="n">
        <f aca="false">IF(L328=1,IF($B$21&lt;=N328,1,0),0)</f>
        <v>0</v>
      </c>
      <c r="Q328" s="58" t="n">
        <f aca="false">Q327+N328</f>
        <v>989.13386082804</v>
      </c>
    </row>
    <row r="329" customFormat="false" ht="15" hidden="false" customHeight="false" outlineLevel="0" collapsed="false">
      <c r="K329" s="56" t="n">
        <f aca="false">K328+1</f>
        <v>322</v>
      </c>
      <c r="L329" s="57" t="n">
        <f aca="false">IF(AND(K329&lt;=Assumptions!$C$42,L328=1,P328=0,O328&gt;Assumptions!$C$43),1,0)</f>
        <v>0</v>
      </c>
      <c r="M329" s="58" t="n">
        <f aca="false">O328</f>
        <v>-10.8661391719591</v>
      </c>
      <c r="N329" s="58" t="n">
        <f aca="false">IF(L329=1,M329*$B$20,0)</f>
        <v>0</v>
      </c>
      <c r="O329" s="58" t="n">
        <f aca="false">IF(L329=1,M329+N329-$B$21,M329)</f>
        <v>-10.8661391719591</v>
      </c>
      <c r="P329" s="56" t="n">
        <f aca="false">IF(L329=1,IF($B$21&lt;=N329,1,0),0)</f>
        <v>0</v>
      </c>
      <c r="Q329" s="58" t="n">
        <f aca="false">Q328+N329</f>
        <v>989.13386082804</v>
      </c>
    </row>
    <row r="330" customFormat="false" ht="15" hidden="false" customHeight="false" outlineLevel="0" collapsed="false">
      <c r="K330" s="56" t="n">
        <f aca="false">K329+1</f>
        <v>323</v>
      </c>
      <c r="L330" s="57" t="n">
        <f aca="false">IF(AND(K330&lt;=Assumptions!$C$42,L329=1,P329=0,O329&gt;Assumptions!$C$43),1,0)</f>
        <v>0</v>
      </c>
      <c r="M330" s="58" t="n">
        <f aca="false">O329</f>
        <v>-10.8661391719591</v>
      </c>
      <c r="N330" s="58" t="n">
        <f aca="false">IF(L330=1,M330*$B$20,0)</f>
        <v>0</v>
      </c>
      <c r="O330" s="58" t="n">
        <f aca="false">IF(L330=1,M330+N330-$B$21,M330)</f>
        <v>-10.8661391719591</v>
      </c>
      <c r="P330" s="56" t="n">
        <f aca="false">IF(L330=1,IF($B$21&lt;=N330,1,0),0)</f>
        <v>0</v>
      </c>
      <c r="Q330" s="58" t="n">
        <f aca="false">Q329+N330</f>
        <v>989.13386082804</v>
      </c>
    </row>
    <row r="331" customFormat="false" ht="15" hidden="false" customHeight="false" outlineLevel="0" collapsed="false">
      <c r="K331" s="56" t="n">
        <f aca="false">K330+1</f>
        <v>324</v>
      </c>
      <c r="L331" s="57" t="n">
        <f aca="false">IF(AND(K331&lt;=Assumptions!$C$42,L330=1,P330=0,O330&gt;Assumptions!$C$43),1,0)</f>
        <v>0</v>
      </c>
      <c r="M331" s="58" t="n">
        <f aca="false">O330</f>
        <v>-10.8661391719591</v>
      </c>
      <c r="N331" s="58" t="n">
        <f aca="false">IF(L331=1,M331*$B$20,0)</f>
        <v>0</v>
      </c>
      <c r="O331" s="58" t="n">
        <f aca="false">IF(L331=1,M331+N331-$B$21,M331)</f>
        <v>-10.8661391719591</v>
      </c>
      <c r="P331" s="56" t="n">
        <f aca="false">IF(L331=1,IF($B$21&lt;=N331,1,0),0)</f>
        <v>0</v>
      </c>
      <c r="Q331" s="58" t="n">
        <f aca="false">Q330+N331</f>
        <v>989.13386082804</v>
      </c>
    </row>
    <row r="332" customFormat="false" ht="15" hidden="false" customHeight="false" outlineLevel="0" collapsed="false">
      <c r="K332" s="56" t="n">
        <f aca="false">K331+1</f>
        <v>325</v>
      </c>
      <c r="L332" s="57" t="n">
        <f aca="false">IF(AND(K332&lt;=Assumptions!$C$42,L331=1,P331=0,O331&gt;Assumptions!$C$43),1,0)</f>
        <v>0</v>
      </c>
      <c r="M332" s="58" t="n">
        <f aca="false">O331</f>
        <v>-10.8661391719591</v>
      </c>
      <c r="N332" s="58" t="n">
        <f aca="false">IF(L332=1,M332*$B$20,0)</f>
        <v>0</v>
      </c>
      <c r="O332" s="58" t="n">
        <f aca="false">IF(L332=1,M332+N332-$B$21,M332)</f>
        <v>-10.8661391719591</v>
      </c>
      <c r="P332" s="56" t="n">
        <f aca="false">IF(L332=1,IF($B$21&lt;=N332,1,0),0)</f>
        <v>0</v>
      </c>
      <c r="Q332" s="58" t="n">
        <f aca="false">Q331+N332</f>
        <v>989.13386082804</v>
      </c>
    </row>
    <row r="333" customFormat="false" ht="15" hidden="false" customHeight="false" outlineLevel="0" collapsed="false">
      <c r="K333" s="56" t="n">
        <f aca="false">K332+1</f>
        <v>326</v>
      </c>
      <c r="L333" s="57" t="n">
        <f aca="false">IF(AND(K333&lt;=Assumptions!$C$42,L332=1,P332=0,O332&gt;Assumptions!$C$43),1,0)</f>
        <v>0</v>
      </c>
      <c r="M333" s="58" t="n">
        <f aca="false">O332</f>
        <v>-10.8661391719591</v>
      </c>
      <c r="N333" s="58" t="n">
        <f aca="false">IF(L333=1,M333*$B$20,0)</f>
        <v>0</v>
      </c>
      <c r="O333" s="58" t="n">
        <f aca="false">IF(L333=1,M333+N333-$B$21,M333)</f>
        <v>-10.8661391719591</v>
      </c>
      <c r="P333" s="56" t="n">
        <f aca="false">IF(L333=1,IF($B$21&lt;=N333,1,0),0)</f>
        <v>0</v>
      </c>
      <c r="Q333" s="58" t="n">
        <f aca="false">Q332+N333</f>
        <v>989.13386082804</v>
      </c>
    </row>
    <row r="334" customFormat="false" ht="15" hidden="false" customHeight="false" outlineLevel="0" collapsed="false">
      <c r="K334" s="56" t="n">
        <f aca="false">K333+1</f>
        <v>327</v>
      </c>
      <c r="L334" s="57" t="n">
        <f aca="false">IF(AND(K334&lt;=Assumptions!$C$42,L333=1,P333=0,O333&gt;Assumptions!$C$43),1,0)</f>
        <v>0</v>
      </c>
      <c r="M334" s="58" t="n">
        <f aca="false">O333</f>
        <v>-10.8661391719591</v>
      </c>
      <c r="N334" s="58" t="n">
        <f aca="false">IF(L334=1,M334*$B$20,0)</f>
        <v>0</v>
      </c>
      <c r="O334" s="58" t="n">
        <f aca="false">IF(L334=1,M334+N334-$B$21,M334)</f>
        <v>-10.8661391719591</v>
      </c>
      <c r="P334" s="56" t="n">
        <f aca="false">IF(L334=1,IF($B$21&lt;=N334,1,0),0)</f>
        <v>0</v>
      </c>
      <c r="Q334" s="58" t="n">
        <f aca="false">Q333+N334</f>
        <v>989.13386082804</v>
      </c>
    </row>
    <row r="335" customFormat="false" ht="15" hidden="false" customHeight="false" outlineLevel="0" collapsed="false">
      <c r="K335" s="56" t="n">
        <f aca="false">K334+1</f>
        <v>328</v>
      </c>
      <c r="L335" s="57" t="n">
        <f aca="false">IF(AND(K335&lt;=Assumptions!$C$42,L334=1,P334=0,O334&gt;Assumptions!$C$43),1,0)</f>
        <v>0</v>
      </c>
      <c r="M335" s="58" t="n">
        <f aca="false">O334</f>
        <v>-10.8661391719591</v>
      </c>
      <c r="N335" s="58" t="n">
        <f aca="false">IF(L335=1,M335*$B$20,0)</f>
        <v>0</v>
      </c>
      <c r="O335" s="58" t="n">
        <f aca="false">IF(L335=1,M335+N335-$B$21,M335)</f>
        <v>-10.8661391719591</v>
      </c>
      <c r="P335" s="56" t="n">
        <f aca="false">IF(L335=1,IF($B$21&lt;=N335,1,0),0)</f>
        <v>0</v>
      </c>
      <c r="Q335" s="58" t="n">
        <f aca="false">Q334+N335</f>
        <v>989.13386082804</v>
      </c>
    </row>
    <row r="336" customFormat="false" ht="15" hidden="false" customHeight="false" outlineLevel="0" collapsed="false">
      <c r="K336" s="56" t="n">
        <f aca="false">K335+1</f>
        <v>329</v>
      </c>
      <c r="L336" s="57" t="n">
        <f aca="false">IF(AND(K336&lt;=Assumptions!$C$42,L335=1,P335=0,O335&gt;Assumptions!$C$43),1,0)</f>
        <v>0</v>
      </c>
      <c r="M336" s="58" t="n">
        <f aca="false">O335</f>
        <v>-10.8661391719591</v>
      </c>
      <c r="N336" s="58" t="n">
        <f aca="false">IF(L336=1,M336*$B$20,0)</f>
        <v>0</v>
      </c>
      <c r="O336" s="58" t="n">
        <f aca="false">IF(L336=1,M336+N336-$B$21,M336)</f>
        <v>-10.8661391719591</v>
      </c>
      <c r="P336" s="56" t="n">
        <f aca="false">IF(L336=1,IF($B$21&lt;=N336,1,0),0)</f>
        <v>0</v>
      </c>
      <c r="Q336" s="58" t="n">
        <f aca="false">Q335+N336</f>
        <v>989.13386082804</v>
      </c>
    </row>
    <row r="337" customFormat="false" ht="15" hidden="false" customHeight="false" outlineLevel="0" collapsed="false">
      <c r="K337" s="56" t="n">
        <f aca="false">K336+1</f>
        <v>330</v>
      </c>
      <c r="L337" s="57" t="n">
        <f aca="false">IF(AND(K337&lt;=Assumptions!$C$42,L336=1,P336=0,O336&gt;Assumptions!$C$43),1,0)</f>
        <v>0</v>
      </c>
      <c r="M337" s="58" t="n">
        <f aca="false">O336</f>
        <v>-10.8661391719591</v>
      </c>
      <c r="N337" s="58" t="n">
        <f aca="false">IF(L337=1,M337*$B$20,0)</f>
        <v>0</v>
      </c>
      <c r="O337" s="58" t="n">
        <f aca="false">IF(L337=1,M337+N337-$B$21,M337)</f>
        <v>-10.8661391719591</v>
      </c>
      <c r="P337" s="56" t="n">
        <f aca="false">IF(L337=1,IF($B$21&lt;=N337,1,0),0)</f>
        <v>0</v>
      </c>
      <c r="Q337" s="58" t="n">
        <f aca="false">Q336+N337</f>
        <v>989.13386082804</v>
      </c>
    </row>
    <row r="338" customFormat="false" ht="15" hidden="false" customHeight="false" outlineLevel="0" collapsed="false">
      <c r="K338" s="56" t="n">
        <f aca="false">K337+1</f>
        <v>331</v>
      </c>
      <c r="L338" s="57" t="n">
        <f aca="false">IF(AND(K338&lt;=Assumptions!$C$42,L337=1,P337=0,O337&gt;Assumptions!$C$43),1,0)</f>
        <v>0</v>
      </c>
      <c r="M338" s="58" t="n">
        <f aca="false">O337</f>
        <v>-10.8661391719591</v>
      </c>
      <c r="N338" s="58" t="n">
        <f aca="false">IF(L338=1,M338*$B$20,0)</f>
        <v>0</v>
      </c>
      <c r="O338" s="58" t="n">
        <f aca="false">IF(L338=1,M338+N338-$B$21,M338)</f>
        <v>-10.8661391719591</v>
      </c>
      <c r="P338" s="56" t="n">
        <f aca="false">IF(L338=1,IF($B$21&lt;=N338,1,0),0)</f>
        <v>0</v>
      </c>
      <c r="Q338" s="58" t="n">
        <f aca="false">Q337+N338</f>
        <v>989.13386082804</v>
      </c>
    </row>
    <row r="339" customFormat="false" ht="15" hidden="false" customHeight="false" outlineLevel="0" collapsed="false">
      <c r="K339" s="56" t="n">
        <f aca="false">K338+1</f>
        <v>332</v>
      </c>
      <c r="L339" s="57" t="n">
        <f aca="false">IF(AND(K339&lt;=Assumptions!$C$42,L338=1,P338=0,O338&gt;Assumptions!$C$43),1,0)</f>
        <v>0</v>
      </c>
      <c r="M339" s="58" t="n">
        <f aca="false">O338</f>
        <v>-10.8661391719591</v>
      </c>
      <c r="N339" s="58" t="n">
        <f aca="false">IF(L339=1,M339*$B$20,0)</f>
        <v>0</v>
      </c>
      <c r="O339" s="58" t="n">
        <f aca="false">IF(L339=1,M339+N339-$B$21,M339)</f>
        <v>-10.8661391719591</v>
      </c>
      <c r="P339" s="56" t="n">
        <f aca="false">IF(L339=1,IF($B$21&lt;=N339,1,0),0)</f>
        <v>0</v>
      </c>
      <c r="Q339" s="58" t="n">
        <f aca="false">Q338+N339</f>
        <v>989.13386082804</v>
      </c>
    </row>
    <row r="340" customFormat="false" ht="15" hidden="false" customHeight="false" outlineLevel="0" collapsed="false">
      <c r="K340" s="56" t="n">
        <f aca="false">K339+1</f>
        <v>333</v>
      </c>
      <c r="L340" s="57" t="n">
        <f aca="false">IF(AND(K340&lt;=Assumptions!$C$42,L339=1,P339=0,O339&gt;Assumptions!$C$43),1,0)</f>
        <v>0</v>
      </c>
      <c r="M340" s="58" t="n">
        <f aca="false">O339</f>
        <v>-10.8661391719591</v>
      </c>
      <c r="N340" s="58" t="n">
        <f aca="false">IF(L340=1,M340*$B$20,0)</f>
        <v>0</v>
      </c>
      <c r="O340" s="58" t="n">
        <f aca="false">IF(L340=1,M340+N340-$B$21,M340)</f>
        <v>-10.8661391719591</v>
      </c>
      <c r="P340" s="56" t="n">
        <f aca="false">IF(L340=1,IF($B$21&lt;=N340,1,0),0)</f>
        <v>0</v>
      </c>
      <c r="Q340" s="58" t="n">
        <f aca="false">Q339+N340</f>
        <v>989.13386082804</v>
      </c>
    </row>
    <row r="341" customFormat="false" ht="15" hidden="false" customHeight="false" outlineLevel="0" collapsed="false">
      <c r="K341" s="56" t="n">
        <f aca="false">K340+1</f>
        <v>334</v>
      </c>
      <c r="L341" s="57" t="n">
        <f aca="false">IF(AND(K341&lt;=Assumptions!$C$42,L340=1,P340=0,O340&gt;Assumptions!$C$43),1,0)</f>
        <v>0</v>
      </c>
      <c r="M341" s="58" t="n">
        <f aca="false">O340</f>
        <v>-10.8661391719591</v>
      </c>
      <c r="N341" s="58" t="n">
        <f aca="false">IF(L341=1,M341*$B$20,0)</f>
        <v>0</v>
      </c>
      <c r="O341" s="58" t="n">
        <f aca="false">IF(L341=1,M341+N341-$B$21,M341)</f>
        <v>-10.8661391719591</v>
      </c>
      <c r="P341" s="56" t="n">
        <f aca="false">IF(L341=1,IF($B$21&lt;=N341,1,0),0)</f>
        <v>0</v>
      </c>
      <c r="Q341" s="58" t="n">
        <f aca="false">Q340+N341</f>
        <v>989.13386082804</v>
      </c>
    </row>
    <row r="342" customFormat="false" ht="15" hidden="false" customHeight="false" outlineLevel="0" collapsed="false">
      <c r="K342" s="56" t="n">
        <f aca="false">K341+1</f>
        <v>335</v>
      </c>
      <c r="L342" s="57" t="n">
        <f aca="false">IF(AND(K342&lt;=Assumptions!$C$42,L341=1,P341=0,O341&gt;Assumptions!$C$43),1,0)</f>
        <v>0</v>
      </c>
      <c r="M342" s="58" t="n">
        <f aca="false">O341</f>
        <v>-10.8661391719591</v>
      </c>
      <c r="N342" s="58" t="n">
        <f aca="false">IF(L342=1,M342*$B$20,0)</f>
        <v>0</v>
      </c>
      <c r="O342" s="58" t="n">
        <f aca="false">IF(L342=1,M342+N342-$B$21,M342)</f>
        <v>-10.8661391719591</v>
      </c>
      <c r="P342" s="56" t="n">
        <f aca="false">IF(L342=1,IF($B$21&lt;=N342,1,0),0)</f>
        <v>0</v>
      </c>
      <c r="Q342" s="58" t="n">
        <f aca="false">Q341+N342</f>
        <v>989.13386082804</v>
      </c>
    </row>
    <row r="343" customFormat="false" ht="15" hidden="false" customHeight="false" outlineLevel="0" collapsed="false">
      <c r="K343" s="56" t="n">
        <f aca="false">K342+1</f>
        <v>336</v>
      </c>
      <c r="L343" s="57" t="n">
        <f aca="false">IF(AND(K343&lt;=Assumptions!$C$42,L342=1,P342=0,O342&gt;Assumptions!$C$43),1,0)</f>
        <v>0</v>
      </c>
      <c r="M343" s="58" t="n">
        <f aca="false">O342</f>
        <v>-10.8661391719591</v>
      </c>
      <c r="N343" s="58" t="n">
        <f aca="false">IF(L343=1,M343*$B$20,0)</f>
        <v>0</v>
      </c>
      <c r="O343" s="58" t="n">
        <f aca="false">IF(L343=1,M343+N343-$B$21,M343)</f>
        <v>-10.8661391719591</v>
      </c>
      <c r="P343" s="56" t="n">
        <f aca="false">IF(L343=1,IF($B$21&lt;=N343,1,0),0)</f>
        <v>0</v>
      </c>
      <c r="Q343" s="58" t="n">
        <f aca="false">Q342+N343</f>
        <v>989.13386082804</v>
      </c>
    </row>
    <row r="344" customFormat="false" ht="15" hidden="false" customHeight="false" outlineLevel="0" collapsed="false">
      <c r="K344" s="56" t="n">
        <f aca="false">K343+1</f>
        <v>337</v>
      </c>
      <c r="L344" s="57" t="n">
        <f aca="false">IF(AND(K344&lt;=Assumptions!$C$42,L343=1,P343=0,O343&gt;Assumptions!$C$43),1,0)</f>
        <v>0</v>
      </c>
      <c r="M344" s="58" t="n">
        <f aca="false">O343</f>
        <v>-10.8661391719591</v>
      </c>
      <c r="N344" s="58" t="n">
        <f aca="false">IF(L344=1,M344*$B$20,0)</f>
        <v>0</v>
      </c>
      <c r="O344" s="58" t="n">
        <f aca="false">IF(L344=1,M344+N344-$B$21,M344)</f>
        <v>-10.8661391719591</v>
      </c>
      <c r="P344" s="56" t="n">
        <f aca="false">IF(L344=1,IF($B$21&lt;=N344,1,0),0)</f>
        <v>0</v>
      </c>
      <c r="Q344" s="58" t="n">
        <f aca="false">Q343+N344</f>
        <v>989.13386082804</v>
      </c>
    </row>
    <row r="345" customFormat="false" ht="15" hidden="false" customHeight="false" outlineLevel="0" collapsed="false">
      <c r="K345" s="56" t="n">
        <f aca="false">K344+1</f>
        <v>338</v>
      </c>
      <c r="L345" s="57" t="n">
        <f aca="false">IF(AND(K345&lt;=Assumptions!$C$42,L344=1,P344=0,O344&gt;Assumptions!$C$43),1,0)</f>
        <v>0</v>
      </c>
      <c r="M345" s="58" t="n">
        <f aca="false">O344</f>
        <v>-10.8661391719591</v>
      </c>
      <c r="N345" s="58" t="n">
        <f aca="false">IF(L345=1,M345*$B$20,0)</f>
        <v>0</v>
      </c>
      <c r="O345" s="58" t="n">
        <f aca="false">IF(L345=1,M345+N345-$B$21,M345)</f>
        <v>-10.8661391719591</v>
      </c>
      <c r="P345" s="56" t="n">
        <f aca="false">IF(L345=1,IF($B$21&lt;=N345,1,0),0)</f>
        <v>0</v>
      </c>
      <c r="Q345" s="58" t="n">
        <f aca="false">Q344+N345</f>
        <v>989.13386082804</v>
      </c>
    </row>
    <row r="346" customFormat="false" ht="15" hidden="false" customHeight="false" outlineLevel="0" collapsed="false">
      <c r="K346" s="56" t="n">
        <f aca="false">K345+1</f>
        <v>339</v>
      </c>
      <c r="L346" s="57" t="n">
        <f aca="false">IF(AND(K346&lt;=Assumptions!$C$42,L345=1,P345=0,O345&gt;Assumptions!$C$43),1,0)</f>
        <v>0</v>
      </c>
      <c r="M346" s="58" t="n">
        <f aca="false">O345</f>
        <v>-10.8661391719591</v>
      </c>
      <c r="N346" s="58" t="n">
        <f aca="false">IF(L346=1,M346*$B$20,0)</f>
        <v>0</v>
      </c>
      <c r="O346" s="58" t="n">
        <f aca="false">IF(L346=1,M346+N346-$B$21,M346)</f>
        <v>-10.8661391719591</v>
      </c>
      <c r="P346" s="56" t="n">
        <f aca="false">IF(L346=1,IF($B$21&lt;=N346,1,0),0)</f>
        <v>0</v>
      </c>
      <c r="Q346" s="58" t="n">
        <f aca="false">Q345+N346</f>
        <v>989.13386082804</v>
      </c>
    </row>
    <row r="347" customFormat="false" ht="15" hidden="false" customHeight="false" outlineLevel="0" collapsed="false">
      <c r="K347" s="56" t="n">
        <f aca="false">K346+1</f>
        <v>340</v>
      </c>
      <c r="L347" s="57" t="n">
        <f aca="false">IF(AND(K347&lt;=Assumptions!$C$42,L346=1,P346=0,O346&gt;Assumptions!$C$43),1,0)</f>
        <v>0</v>
      </c>
      <c r="M347" s="58" t="n">
        <f aca="false">O346</f>
        <v>-10.8661391719591</v>
      </c>
      <c r="N347" s="58" t="n">
        <f aca="false">IF(L347=1,M347*$B$20,0)</f>
        <v>0</v>
      </c>
      <c r="O347" s="58" t="n">
        <f aca="false">IF(L347=1,M347+N347-$B$21,M347)</f>
        <v>-10.8661391719591</v>
      </c>
      <c r="P347" s="56" t="n">
        <f aca="false">IF(L347=1,IF($B$21&lt;=N347,1,0),0)</f>
        <v>0</v>
      </c>
      <c r="Q347" s="58" t="n">
        <f aca="false">Q346+N347</f>
        <v>989.13386082804</v>
      </c>
    </row>
    <row r="348" customFormat="false" ht="15" hidden="false" customHeight="false" outlineLevel="0" collapsed="false">
      <c r="K348" s="56" t="n">
        <f aca="false">K347+1</f>
        <v>341</v>
      </c>
      <c r="L348" s="57" t="n">
        <f aca="false">IF(AND(K348&lt;=Assumptions!$C$42,L347=1,P347=0,O347&gt;Assumptions!$C$43),1,0)</f>
        <v>0</v>
      </c>
      <c r="M348" s="58" t="n">
        <f aca="false">O347</f>
        <v>-10.8661391719591</v>
      </c>
      <c r="N348" s="58" t="n">
        <f aca="false">IF(L348=1,M348*$B$20,0)</f>
        <v>0</v>
      </c>
      <c r="O348" s="58" t="n">
        <f aca="false">IF(L348=1,M348+N348-$B$21,M348)</f>
        <v>-10.8661391719591</v>
      </c>
      <c r="P348" s="56" t="n">
        <f aca="false">IF(L348=1,IF($B$21&lt;=N348,1,0),0)</f>
        <v>0</v>
      </c>
      <c r="Q348" s="58" t="n">
        <f aca="false">Q347+N348</f>
        <v>989.13386082804</v>
      </c>
    </row>
    <row r="349" customFormat="false" ht="15" hidden="false" customHeight="false" outlineLevel="0" collapsed="false">
      <c r="K349" s="56" t="n">
        <f aca="false">K348+1</f>
        <v>342</v>
      </c>
      <c r="L349" s="57" t="n">
        <f aca="false">IF(AND(K349&lt;=Assumptions!$C$42,L348=1,P348=0,O348&gt;Assumptions!$C$43),1,0)</f>
        <v>0</v>
      </c>
      <c r="M349" s="58" t="n">
        <f aca="false">O348</f>
        <v>-10.8661391719591</v>
      </c>
      <c r="N349" s="58" t="n">
        <f aca="false">IF(L349=1,M349*$B$20,0)</f>
        <v>0</v>
      </c>
      <c r="O349" s="58" t="n">
        <f aca="false">IF(L349=1,M349+N349-$B$21,M349)</f>
        <v>-10.8661391719591</v>
      </c>
      <c r="P349" s="56" t="n">
        <f aca="false">IF(L349=1,IF($B$21&lt;=N349,1,0),0)</f>
        <v>0</v>
      </c>
      <c r="Q349" s="58" t="n">
        <f aca="false">Q348+N349</f>
        <v>989.13386082804</v>
      </c>
    </row>
    <row r="350" customFormat="false" ht="15" hidden="false" customHeight="false" outlineLevel="0" collapsed="false">
      <c r="K350" s="56" t="n">
        <f aca="false">K349+1</f>
        <v>343</v>
      </c>
      <c r="L350" s="57" t="n">
        <f aca="false">IF(AND(K350&lt;=Assumptions!$C$42,L349=1,P349=0,O349&gt;Assumptions!$C$43),1,0)</f>
        <v>0</v>
      </c>
      <c r="M350" s="58" t="n">
        <f aca="false">O349</f>
        <v>-10.8661391719591</v>
      </c>
      <c r="N350" s="58" t="n">
        <f aca="false">IF(L350=1,M350*$B$20,0)</f>
        <v>0</v>
      </c>
      <c r="O350" s="58" t="n">
        <f aca="false">IF(L350=1,M350+N350-$B$21,M350)</f>
        <v>-10.8661391719591</v>
      </c>
      <c r="P350" s="56" t="n">
        <f aca="false">IF(L350=1,IF($B$21&lt;=N350,1,0),0)</f>
        <v>0</v>
      </c>
      <c r="Q350" s="58" t="n">
        <f aca="false">Q349+N350</f>
        <v>989.13386082804</v>
      </c>
    </row>
    <row r="351" customFormat="false" ht="15" hidden="false" customHeight="false" outlineLevel="0" collapsed="false">
      <c r="K351" s="56" t="n">
        <f aca="false">K350+1</f>
        <v>344</v>
      </c>
      <c r="L351" s="57" t="n">
        <f aca="false">IF(AND(K351&lt;=Assumptions!$C$42,L350=1,P350=0,O350&gt;Assumptions!$C$43),1,0)</f>
        <v>0</v>
      </c>
      <c r="M351" s="58" t="n">
        <f aca="false">O350</f>
        <v>-10.8661391719591</v>
      </c>
      <c r="N351" s="58" t="n">
        <f aca="false">IF(L351=1,M351*$B$20,0)</f>
        <v>0</v>
      </c>
      <c r="O351" s="58" t="n">
        <f aca="false">IF(L351=1,M351+N351-$B$21,M351)</f>
        <v>-10.8661391719591</v>
      </c>
      <c r="P351" s="56" t="n">
        <f aca="false">IF(L351=1,IF($B$21&lt;=N351,1,0),0)</f>
        <v>0</v>
      </c>
      <c r="Q351" s="58" t="n">
        <f aca="false">Q350+N351</f>
        <v>989.13386082804</v>
      </c>
    </row>
    <row r="352" customFormat="false" ht="15" hidden="false" customHeight="false" outlineLevel="0" collapsed="false">
      <c r="K352" s="56" t="n">
        <f aca="false">K351+1</f>
        <v>345</v>
      </c>
      <c r="L352" s="57" t="n">
        <f aca="false">IF(AND(K352&lt;=Assumptions!$C$42,L351=1,P351=0,O351&gt;Assumptions!$C$43),1,0)</f>
        <v>0</v>
      </c>
      <c r="M352" s="58" t="n">
        <f aca="false">O351</f>
        <v>-10.8661391719591</v>
      </c>
      <c r="N352" s="58" t="n">
        <f aca="false">IF(L352=1,M352*$B$20,0)</f>
        <v>0</v>
      </c>
      <c r="O352" s="58" t="n">
        <f aca="false">IF(L352=1,M352+N352-$B$21,M352)</f>
        <v>-10.8661391719591</v>
      </c>
      <c r="P352" s="56" t="n">
        <f aca="false">IF(L352=1,IF($B$21&lt;=N352,1,0),0)</f>
        <v>0</v>
      </c>
      <c r="Q352" s="58" t="n">
        <f aca="false">Q351+N352</f>
        <v>989.13386082804</v>
      </c>
    </row>
    <row r="353" customFormat="false" ht="15" hidden="false" customHeight="false" outlineLevel="0" collapsed="false">
      <c r="K353" s="56" t="n">
        <f aca="false">K352+1</f>
        <v>346</v>
      </c>
      <c r="L353" s="57" t="n">
        <f aca="false">IF(AND(K353&lt;=Assumptions!$C$42,L352=1,P352=0,O352&gt;Assumptions!$C$43),1,0)</f>
        <v>0</v>
      </c>
      <c r="M353" s="58" t="n">
        <f aca="false">O352</f>
        <v>-10.8661391719591</v>
      </c>
      <c r="N353" s="58" t="n">
        <f aca="false">IF(L353=1,M353*$B$20,0)</f>
        <v>0</v>
      </c>
      <c r="O353" s="58" t="n">
        <f aca="false">IF(L353=1,M353+N353-$B$21,M353)</f>
        <v>-10.8661391719591</v>
      </c>
      <c r="P353" s="56" t="n">
        <f aca="false">IF(L353=1,IF($B$21&lt;=N353,1,0),0)</f>
        <v>0</v>
      </c>
      <c r="Q353" s="58" t="n">
        <f aca="false">Q352+N353</f>
        <v>989.13386082804</v>
      </c>
    </row>
    <row r="354" customFormat="false" ht="15" hidden="false" customHeight="false" outlineLevel="0" collapsed="false">
      <c r="K354" s="56" t="n">
        <f aca="false">K353+1</f>
        <v>347</v>
      </c>
      <c r="L354" s="57" t="n">
        <f aca="false">IF(AND(K354&lt;=Assumptions!$C$42,L353=1,P353=0,O353&gt;Assumptions!$C$43),1,0)</f>
        <v>0</v>
      </c>
      <c r="M354" s="58" t="n">
        <f aca="false">O353</f>
        <v>-10.8661391719591</v>
      </c>
      <c r="N354" s="58" t="n">
        <f aca="false">IF(L354=1,M354*$B$20,0)</f>
        <v>0</v>
      </c>
      <c r="O354" s="58" t="n">
        <f aca="false">IF(L354=1,M354+N354-$B$21,M354)</f>
        <v>-10.8661391719591</v>
      </c>
      <c r="P354" s="56" t="n">
        <f aca="false">IF(L354=1,IF($B$21&lt;=N354,1,0),0)</f>
        <v>0</v>
      </c>
      <c r="Q354" s="58" t="n">
        <f aca="false">Q353+N354</f>
        <v>989.13386082804</v>
      </c>
    </row>
    <row r="355" customFormat="false" ht="15" hidden="false" customHeight="false" outlineLevel="0" collapsed="false">
      <c r="K355" s="56" t="n">
        <f aca="false">K354+1</f>
        <v>348</v>
      </c>
      <c r="L355" s="57" t="n">
        <f aca="false">IF(AND(K355&lt;=Assumptions!$C$42,L354=1,P354=0,O354&gt;Assumptions!$C$43),1,0)</f>
        <v>0</v>
      </c>
      <c r="M355" s="58" t="n">
        <f aca="false">O354</f>
        <v>-10.8661391719591</v>
      </c>
      <c r="N355" s="58" t="n">
        <f aca="false">IF(L355=1,M355*$B$20,0)</f>
        <v>0</v>
      </c>
      <c r="O355" s="58" t="n">
        <f aca="false">IF(L355=1,M355+N355-$B$21,M355)</f>
        <v>-10.8661391719591</v>
      </c>
      <c r="P355" s="56" t="n">
        <f aca="false">IF(L355=1,IF($B$21&lt;=N355,1,0),0)</f>
        <v>0</v>
      </c>
      <c r="Q355" s="58" t="n">
        <f aca="false">Q354+N355</f>
        <v>989.13386082804</v>
      </c>
    </row>
    <row r="356" customFormat="false" ht="15" hidden="false" customHeight="false" outlineLevel="0" collapsed="false">
      <c r="K356" s="56" t="n">
        <f aca="false">K355+1</f>
        <v>349</v>
      </c>
      <c r="L356" s="57" t="n">
        <f aca="false">IF(AND(K356&lt;=Assumptions!$C$42,L355=1,P355=0,O355&gt;Assumptions!$C$43),1,0)</f>
        <v>0</v>
      </c>
      <c r="M356" s="58" t="n">
        <f aca="false">O355</f>
        <v>-10.8661391719591</v>
      </c>
      <c r="N356" s="58" t="n">
        <f aca="false">IF(L356=1,M356*$B$20,0)</f>
        <v>0</v>
      </c>
      <c r="O356" s="58" t="n">
        <f aca="false">IF(L356=1,M356+N356-$B$21,M356)</f>
        <v>-10.8661391719591</v>
      </c>
      <c r="P356" s="56" t="n">
        <f aca="false">IF(L356=1,IF($B$21&lt;=N356,1,0),0)</f>
        <v>0</v>
      </c>
      <c r="Q356" s="58" t="n">
        <f aca="false">Q355+N356</f>
        <v>989.13386082804</v>
      </c>
    </row>
    <row r="357" customFormat="false" ht="15" hidden="false" customHeight="false" outlineLevel="0" collapsed="false">
      <c r="K357" s="56" t="n">
        <f aca="false">K356+1</f>
        <v>350</v>
      </c>
      <c r="L357" s="57" t="n">
        <f aca="false">IF(AND(K357&lt;=Assumptions!$C$42,L356=1,P356=0,O356&gt;Assumptions!$C$43),1,0)</f>
        <v>0</v>
      </c>
      <c r="M357" s="58" t="n">
        <f aca="false">O356</f>
        <v>-10.8661391719591</v>
      </c>
      <c r="N357" s="58" t="n">
        <f aca="false">IF(L357=1,M357*$B$20,0)</f>
        <v>0</v>
      </c>
      <c r="O357" s="58" t="n">
        <f aca="false">IF(L357=1,M357+N357-$B$21,M357)</f>
        <v>-10.8661391719591</v>
      </c>
      <c r="P357" s="56" t="n">
        <f aca="false">IF(L357=1,IF($B$21&lt;=N357,1,0),0)</f>
        <v>0</v>
      </c>
      <c r="Q357" s="58" t="n">
        <f aca="false">Q356+N357</f>
        <v>989.13386082804</v>
      </c>
    </row>
    <row r="358" customFormat="false" ht="15" hidden="false" customHeight="false" outlineLevel="0" collapsed="false">
      <c r="K358" s="56" t="n">
        <f aca="false">K357+1</f>
        <v>351</v>
      </c>
      <c r="L358" s="57" t="n">
        <f aca="false">IF(AND(K358&lt;=Assumptions!$C$42,L357=1,P357=0,O357&gt;Assumptions!$C$43),1,0)</f>
        <v>0</v>
      </c>
      <c r="M358" s="58" t="n">
        <f aca="false">O357</f>
        <v>-10.8661391719591</v>
      </c>
      <c r="N358" s="58" t="n">
        <f aca="false">IF(L358=1,M358*$B$20,0)</f>
        <v>0</v>
      </c>
      <c r="O358" s="58" t="n">
        <f aca="false">IF(L358=1,M358+N358-$B$21,M358)</f>
        <v>-10.8661391719591</v>
      </c>
      <c r="P358" s="56" t="n">
        <f aca="false">IF(L358=1,IF($B$21&lt;=N358,1,0),0)</f>
        <v>0</v>
      </c>
      <c r="Q358" s="58" t="n">
        <f aca="false">Q357+N358</f>
        <v>989.13386082804</v>
      </c>
    </row>
    <row r="359" customFormat="false" ht="15" hidden="false" customHeight="false" outlineLevel="0" collapsed="false">
      <c r="K359" s="56" t="n">
        <f aca="false">K358+1</f>
        <v>352</v>
      </c>
      <c r="L359" s="57" t="n">
        <f aca="false">IF(AND(K359&lt;=Assumptions!$C$42,L358=1,P358=0,O358&gt;Assumptions!$C$43),1,0)</f>
        <v>0</v>
      </c>
      <c r="M359" s="58" t="n">
        <f aca="false">O358</f>
        <v>-10.8661391719591</v>
      </c>
      <c r="N359" s="58" t="n">
        <f aca="false">IF(L359=1,M359*$B$20,0)</f>
        <v>0</v>
      </c>
      <c r="O359" s="58" t="n">
        <f aca="false">IF(L359=1,M359+N359-$B$21,M359)</f>
        <v>-10.8661391719591</v>
      </c>
      <c r="P359" s="56" t="n">
        <f aca="false">IF(L359=1,IF($B$21&lt;=N359,1,0),0)</f>
        <v>0</v>
      </c>
      <c r="Q359" s="58" t="n">
        <f aca="false">Q358+N359</f>
        <v>989.13386082804</v>
      </c>
    </row>
    <row r="360" customFormat="false" ht="15" hidden="false" customHeight="false" outlineLevel="0" collapsed="false">
      <c r="K360" s="56" t="n">
        <f aca="false">K359+1</f>
        <v>353</v>
      </c>
      <c r="L360" s="57" t="n">
        <f aca="false">IF(AND(K360&lt;=Assumptions!$C$42,L359=1,P359=0,O359&gt;Assumptions!$C$43),1,0)</f>
        <v>0</v>
      </c>
      <c r="M360" s="58" t="n">
        <f aca="false">O359</f>
        <v>-10.8661391719591</v>
      </c>
      <c r="N360" s="58" t="n">
        <f aca="false">IF(L360=1,M360*$B$20,0)</f>
        <v>0</v>
      </c>
      <c r="O360" s="58" t="n">
        <f aca="false">IF(L360=1,M360+N360-$B$21,M360)</f>
        <v>-10.8661391719591</v>
      </c>
      <c r="P360" s="56" t="n">
        <f aca="false">IF(L360=1,IF($B$21&lt;=N360,1,0),0)</f>
        <v>0</v>
      </c>
      <c r="Q360" s="58" t="n">
        <f aca="false">Q359+N360</f>
        <v>989.13386082804</v>
      </c>
    </row>
    <row r="361" customFormat="false" ht="15" hidden="false" customHeight="false" outlineLevel="0" collapsed="false">
      <c r="K361" s="56" t="n">
        <f aca="false">K360+1</f>
        <v>354</v>
      </c>
      <c r="L361" s="57" t="n">
        <f aca="false">IF(AND(K361&lt;=Assumptions!$C$42,L360=1,P360=0,O360&gt;Assumptions!$C$43),1,0)</f>
        <v>0</v>
      </c>
      <c r="M361" s="58" t="n">
        <f aca="false">O360</f>
        <v>-10.8661391719591</v>
      </c>
      <c r="N361" s="58" t="n">
        <f aca="false">IF(L361=1,M361*$B$20,0)</f>
        <v>0</v>
      </c>
      <c r="O361" s="58" t="n">
        <f aca="false">IF(L361=1,M361+N361-$B$21,M361)</f>
        <v>-10.8661391719591</v>
      </c>
      <c r="P361" s="56" t="n">
        <f aca="false">IF(L361=1,IF($B$21&lt;=N361,1,0),0)</f>
        <v>0</v>
      </c>
      <c r="Q361" s="58" t="n">
        <f aca="false">Q360+N361</f>
        <v>989.13386082804</v>
      </c>
    </row>
    <row r="362" customFormat="false" ht="15" hidden="false" customHeight="false" outlineLevel="0" collapsed="false">
      <c r="K362" s="56" t="n">
        <f aca="false">K361+1</f>
        <v>355</v>
      </c>
      <c r="L362" s="57" t="n">
        <f aca="false">IF(AND(K362&lt;=Assumptions!$C$42,L361=1,P361=0,O361&gt;Assumptions!$C$43),1,0)</f>
        <v>0</v>
      </c>
      <c r="M362" s="58" t="n">
        <f aca="false">O361</f>
        <v>-10.8661391719591</v>
      </c>
      <c r="N362" s="58" t="n">
        <f aca="false">IF(L362=1,M362*$B$20,0)</f>
        <v>0</v>
      </c>
      <c r="O362" s="58" t="n">
        <f aca="false">IF(L362=1,M362+N362-$B$21,M362)</f>
        <v>-10.8661391719591</v>
      </c>
      <c r="P362" s="56" t="n">
        <f aca="false">IF(L362=1,IF($B$21&lt;=N362,1,0),0)</f>
        <v>0</v>
      </c>
      <c r="Q362" s="58" t="n">
        <f aca="false">Q361+N362</f>
        <v>989.13386082804</v>
      </c>
    </row>
    <row r="363" customFormat="false" ht="15" hidden="false" customHeight="false" outlineLevel="0" collapsed="false">
      <c r="K363" s="56" t="n">
        <f aca="false">K362+1</f>
        <v>356</v>
      </c>
      <c r="L363" s="57" t="n">
        <f aca="false">IF(AND(K363&lt;=Assumptions!$C$42,L362=1,P362=0,O362&gt;Assumptions!$C$43),1,0)</f>
        <v>0</v>
      </c>
      <c r="M363" s="58" t="n">
        <f aca="false">O362</f>
        <v>-10.8661391719591</v>
      </c>
      <c r="N363" s="58" t="n">
        <f aca="false">IF(L363=1,M363*$B$20,0)</f>
        <v>0</v>
      </c>
      <c r="O363" s="58" t="n">
        <f aca="false">IF(L363=1,M363+N363-$B$21,M363)</f>
        <v>-10.8661391719591</v>
      </c>
      <c r="P363" s="56" t="n">
        <f aca="false">IF(L363=1,IF($B$21&lt;=N363,1,0),0)</f>
        <v>0</v>
      </c>
      <c r="Q363" s="58" t="n">
        <f aca="false">Q362+N363</f>
        <v>989.13386082804</v>
      </c>
    </row>
    <row r="364" customFormat="false" ht="15" hidden="false" customHeight="false" outlineLevel="0" collapsed="false">
      <c r="K364" s="56" t="n">
        <f aca="false">K363+1</f>
        <v>357</v>
      </c>
      <c r="L364" s="57" t="n">
        <f aca="false">IF(AND(K364&lt;=Assumptions!$C$42,L363=1,P363=0,O363&gt;Assumptions!$C$43),1,0)</f>
        <v>0</v>
      </c>
      <c r="M364" s="58" t="n">
        <f aca="false">O363</f>
        <v>-10.8661391719591</v>
      </c>
      <c r="N364" s="58" t="n">
        <f aca="false">IF(L364=1,M364*$B$20,0)</f>
        <v>0</v>
      </c>
      <c r="O364" s="58" t="n">
        <f aca="false">IF(L364=1,M364+N364-$B$21,M364)</f>
        <v>-10.8661391719591</v>
      </c>
      <c r="P364" s="56" t="n">
        <f aca="false">IF(L364=1,IF($B$21&lt;=N364,1,0),0)</f>
        <v>0</v>
      </c>
      <c r="Q364" s="58" t="n">
        <f aca="false">Q363+N364</f>
        <v>989.13386082804</v>
      </c>
    </row>
    <row r="365" customFormat="false" ht="15" hidden="false" customHeight="false" outlineLevel="0" collapsed="false">
      <c r="K365" s="56" t="n">
        <f aca="false">K364+1</f>
        <v>358</v>
      </c>
      <c r="L365" s="57" t="n">
        <f aca="false">IF(AND(K365&lt;=Assumptions!$C$42,L364=1,P364=0,O364&gt;Assumptions!$C$43),1,0)</f>
        <v>0</v>
      </c>
      <c r="M365" s="58" t="n">
        <f aca="false">O364</f>
        <v>-10.8661391719591</v>
      </c>
      <c r="N365" s="58" t="n">
        <f aca="false">IF(L365=1,M365*$B$20,0)</f>
        <v>0</v>
      </c>
      <c r="O365" s="58" t="n">
        <f aca="false">IF(L365=1,M365+N365-$B$21,M365)</f>
        <v>-10.8661391719591</v>
      </c>
      <c r="P365" s="56" t="n">
        <f aca="false">IF(L365=1,IF($B$21&lt;=N365,1,0),0)</f>
        <v>0</v>
      </c>
      <c r="Q365" s="58" t="n">
        <f aca="false">Q364+N365</f>
        <v>989.13386082804</v>
      </c>
    </row>
    <row r="366" customFormat="false" ht="15" hidden="false" customHeight="false" outlineLevel="0" collapsed="false">
      <c r="K366" s="56" t="n">
        <f aca="false">K365+1</f>
        <v>359</v>
      </c>
      <c r="L366" s="57" t="n">
        <f aca="false">IF(AND(K366&lt;=Assumptions!$C$42,L365=1,P365=0,O365&gt;Assumptions!$C$43),1,0)</f>
        <v>0</v>
      </c>
      <c r="M366" s="58" t="n">
        <f aca="false">O365</f>
        <v>-10.8661391719591</v>
      </c>
      <c r="N366" s="58" t="n">
        <f aca="false">IF(L366=1,M366*$B$20,0)</f>
        <v>0</v>
      </c>
      <c r="O366" s="58" t="n">
        <f aca="false">IF(L366=1,M366+N366-$B$21,M366)</f>
        <v>-10.8661391719591</v>
      </c>
      <c r="P366" s="56" t="n">
        <f aca="false">IF(L366=1,IF($B$21&lt;=N366,1,0),0)</f>
        <v>0</v>
      </c>
      <c r="Q366" s="58" t="n">
        <f aca="false">Q365+N366</f>
        <v>989.13386082804</v>
      </c>
    </row>
    <row r="367" customFormat="false" ht="15" hidden="false" customHeight="false" outlineLevel="0" collapsed="false">
      <c r="K367" s="56" t="n">
        <f aca="false">K366+1</f>
        <v>360</v>
      </c>
      <c r="L367" s="57" t="n">
        <f aca="false">IF(AND(K367&lt;=Assumptions!$C$42,L366=1,P366=0,O366&gt;Assumptions!$C$43),1,0)</f>
        <v>0</v>
      </c>
      <c r="M367" s="58" t="n">
        <f aca="false">O366</f>
        <v>-10.8661391719591</v>
      </c>
      <c r="N367" s="58" t="n">
        <f aca="false">IF(L367=1,M367*$B$20,0)</f>
        <v>0</v>
      </c>
      <c r="O367" s="58" t="n">
        <f aca="false">IF(L367=1,M367+N367-$B$21,M367)</f>
        <v>-10.8661391719591</v>
      </c>
      <c r="P367" s="56" t="n">
        <f aca="false">IF(L367=1,IF($B$21&lt;=N367,1,0),0)</f>
        <v>0</v>
      </c>
      <c r="Q367" s="58" t="n">
        <f aca="false">Q366+N367</f>
        <v>989.13386082804</v>
      </c>
    </row>
    <row r="368" customFormat="false" ht="15" hidden="false" customHeight="false" outlineLevel="0" collapsed="false">
      <c r="K368" s="56" t="n">
        <f aca="false">K367+1</f>
        <v>361</v>
      </c>
      <c r="L368" s="57" t="n">
        <f aca="false">IF(AND(K368&lt;=Assumptions!$C$42,L367=1,P367=0,O367&gt;Assumptions!$C$43),1,0)</f>
        <v>0</v>
      </c>
      <c r="M368" s="58" t="n">
        <f aca="false">O367</f>
        <v>-10.8661391719591</v>
      </c>
      <c r="N368" s="58" t="n">
        <f aca="false">IF(L368=1,M368*$B$20,0)</f>
        <v>0</v>
      </c>
      <c r="O368" s="58" t="n">
        <f aca="false">IF(L368=1,M368+N368-$B$21,M368)</f>
        <v>-10.8661391719591</v>
      </c>
      <c r="P368" s="56" t="n">
        <f aca="false">IF(L368=1,IF($B$21&lt;=N368,1,0),0)</f>
        <v>0</v>
      </c>
      <c r="Q368" s="58" t="n">
        <f aca="false">Q367+N368</f>
        <v>989.13386082804</v>
      </c>
    </row>
    <row r="369" customFormat="false" ht="15" hidden="false" customHeight="false" outlineLevel="0" collapsed="false">
      <c r="K369" s="56" t="n">
        <f aca="false">K368+1</f>
        <v>362</v>
      </c>
      <c r="L369" s="57" t="n">
        <f aca="false">IF(AND(K369&lt;=Assumptions!$C$42,L368=1,P368=0,O368&gt;Assumptions!$C$43),1,0)</f>
        <v>0</v>
      </c>
      <c r="M369" s="58" t="n">
        <f aca="false">O368</f>
        <v>-10.8661391719591</v>
      </c>
      <c r="N369" s="58" t="n">
        <f aca="false">IF(L369=1,M369*$B$20,0)</f>
        <v>0</v>
      </c>
      <c r="O369" s="58" t="n">
        <f aca="false">IF(L369=1,M369+N369-$B$21,M369)</f>
        <v>-10.8661391719591</v>
      </c>
      <c r="P369" s="56" t="n">
        <f aca="false">IF(L369=1,IF($B$21&lt;=N369,1,0),0)</f>
        <v>0</v>
      </c>
      <c r="Q369" s="58" t="n">
        <f aca="false">Q368+N369</f>
        <v>989.13386082804</v>
      </c>
    </row>
    <row r="370" customFormat="false" ht="15" hidden="false" customHeight="false" outlineLevel="0" collapsed="false">
      <c r="K370" s="56" t="n">
        <f aca="false">K369+1</f>
        <v>363</v>
      </c>
      <c r="L370" s="57" t="n">
        <f aca="false">IF(AND(K370&lt;=Assumptions!$C$42,L369=1,P369=0,O369&gt;Assumptions!$C$43),1,0)</f>
        <v>0</v>
      </c>
      <c r="M370" s="58" t="n">
        <f aca="false">O369</f>
        <v>-10.8661391719591</v>
      </c>
      <c r="N370" s="58" t="n">
        <f aca="false">IF(L370=1,M370*$B$20,0)</f>
        <v>0</v>
      </c>
      <c r="O370" s="58" t="n">
        <f aca="false">IF(L370=1,M370+N370-$B$21,M370)</f>
        <v>-10.8661391719591</v>
      </c>
      <c r="P370" s="56" t="n">
        <f aca="false">IF(L370=1,IF($B$21&lt;=N370,1,0),0)</f>
        <v>0</v>
      </c>
      <c r="Q370" s="58" t="n">
        <f aca="false">Q369+N370</f>
        <v>989.13386082804</v>
      </c>
    </row>
    <row r="371" customFormat="false" ht="15" hidden="false" customHeight="false" outlineLevel="0" collapsed="false">
      <c r="K371" s="56" t="n">
        <f aca="false">K370+1</f>
        <v>364</v>
      </c>
      <c r="L371" s="57" t="n">
        <f aca="false">IF(AND(K371&lt;=Assumptions!$C$42,L370=1,P370=0,O370&gt;Assumptions!$C$43),1,0)</f>
        <v>0</v>
      </c>
      <c r="M371" s="58" t="n">
        <f aca="false">O370</f>
        <v>-10.8661391719591</v>
      </c>
      <c r="N371" s="58" t="n">
        <f aca="false">IF(L371=1,M371*$B$20,0)</f>
        <v>0</v>
      </c>
      <c r="O371" s="58" t="n">
        <f aca="false">IF(L371=1,M371+N371-$B$21,M371)</f>
        <v>-10.8661391719591</v>
      </c>
      <c r="P371" s="56" t="n">
        <f aca="false">IF(L371=1,IF($B$21&lt;=N371,1,0),0)</f>
        <v>0</v>
      </c>
      <c r="Q371" s="58" t="n">
        <f aca="false">Q370+N371</f>
        <v>989.13386082804</v>
      </c>
    </row>
    <row r="372" customFormat="false" ht="15" hidden="false" customHeight="false" outlineLevel="0" collapsed="false">
      <c r="K372" s="56" t="n">
        <f aca="false">K371+1</f>
        <v>365</v>
      </c>
      <c r="L372" s="57" t="n">
        <f aca="false">IF(AND(K372&lt;=Assumptions!$C$42,L371=1,P371=0,O371&gt;Assumptions!$C$43),1,0)</f>
        <v>0</v>
      </c>
      <c r="M372" s="58" t="n">
        <f aca="false">O371</f>
        <v>-10.8661391719591</v>
      </c>
      <c r="N372" s="58" t="n">
        <f aca="false">IF(L372=1,M372*$B$20,0)</f>
        <v>0</v>
      </c>
      <c r="O372" s="58" t="n">
        <f aca="false">IF(L372=1,M372+N372-$B$21,M372)</f>
        <v>-10.8661391719591</v>
      </c>
      <c r="P372" s="56" t="n">
        <f aca="false">IF(L372=1,IF($B$21&lt;=N372,1,0),0)</f>
        <v>0</v>
      </c>
      <c r="Q372" s="58" t="n">
        <f aca="false">Q371+N372</f>
        <v>989.13386082804</v>
      </c>
    </row>
    <row r="373" customFormat="false" ht="15" hidden="false" customHeight="false" outlineLevel="0" collapsed="false">
      <c r="K373" s="56" t="n">
        <f aca="false">K372+1</f>
        <v>366</v>
      </c>
      <c r="L373" s="57" t="n">
        <f aca="false">IF(AND(K373&lt;=Assumptions!$C$42,L372=1,P372=0,O372&gt;Assumptions!$C$43),1,0)</f>
        <v>0</v>
      </c>
      <c r="M373" s="58" t="n">
        <f aca="false">O372</f>
        <v>-10.8661391719591</v>
      </c>
      <c r="N373" s="58" t="n">
        <f aca="false">IF(L373=1,M373*$B$20,0)</f>
        <v>0</v>
      </c>
      <c r="O373" s="58" t="n">
        <f aca="false">IF(L373=1,M373+N373-$B$21,M373)</f>
        <v>-10.8661391719591</v>
      </c>
      <c r="P373" s="56" t="n">
        <f aca="false">IF(L373=1,IF($B$21&lt;=N373,1,0),0)</f>
        <v>0</v>
      </c>
      <c r="Q373" s="58" t="n">
        <f aca="false">Q372+N373</f>
        <v>989.13386082804</v>
      </c>
    </row>
    <row r="374" customFormat="false" ht="15" hidden="false" customHeight="false" outlineLevel="0" collapsed="false">
      <c r="K374" s="56" t="n">
        <f aca="false">K373+1</f>
        <v>367</v>
      </c>
      <c r="L374" s="57" t="n">
        <f aca="false">IF(AND(K374&lt;=Assumptions!$C$42,L373=1,P373=0,O373&gt;Assumptions!$C$43),1,0)</f>
        <v>0</v>
      </c>
      <c r="M374" s="58" t="n">
        <f aca="false">O373</f>
        <v>-10.8661391719591</v>
      </c>
      <c r="N374" s="58" t="n">
        <f aca="false">IF(L374=1,M374*$B$20,0)</f>
        <v>0</v>
      </c>
      <c r="O374" s="58" t="n">
        <f aca="false">IF(L374=1,M374+N374-$B$21,M374)</f>
        <v>-10.8661391719591</v>
      </c>
      <c r="P374" s="56" t="n">
        <f aca="false">IF(L374=1,IF($B$21&lt;=N374,1,0),0)</f>
        <v>0</v>
      </c>
      <c r="Q374" s="58" t="n">
        <f aca="false">Q373+N374</f>
        <v>989.13386082804</v>
      </c>
    </row>
    <row r="375" customFormat="false" ht="15" hidden="false" customHeight="false" outlineLevel="0" collapsed="false">
      <c r="K375" s="56" t="n">
        <f aca="false">K374+1</f>
        <v>368</v>
      </c>
      <c r="L375" s="57" t="n">
        <f aca="false">IF(AND(K375&lt;=Assumptions!$C$42,L374=1,P374=0,O374&gt;Assumptions!$C$43),1,0)</f>
        <v>0</v>
      </c>
      <c r="M375" s="58" t="n">
        <f aca="false">O374</f>
        <v>-10.8661391719591</v>
      </c>
      <c r="N375" s="58" t="n">
        <f aca="false">IF(L375=1,M375*$B$20,0)</f>
        <v>0</v>
      </c>
      <c r="O375" s="58" t="n">
        <f aca="false">IF(L375=1,M375+N375-$B$21,M375)</f>
        <v>-10.8661391719591</v>
      </c>
      <c r="P375" s="56" t="n">
        <f aca="false">IF(L375=1,IF($B$21&lt;=N375,1,0),0)</f>
        <v>0</v>
      </c>
      <c r="Q375" s="58" t="n">
        <f aca="false">Q374+N375</f>
        <v>989.13386082804</v>
      </c>
    </row>
    <row r="376" customFormat="false" ht="15" hidden="false" customHeight="false" outlineLevel="0" collapsed="false">
      <c r="K376" s="56" t="n">
        <f aca="false">K375+1</f>
        <v>369</v>
      </c>
      <c r="L376" s="57" t="n">
        <f aca="false">IF(AND(K376&lt;=Assumptions!$C$42,L375=1,P375=0,O375&gt;Assumptions!$C$43),1,0)</f>
        <v>0</v>
      </c>
      <c r="M376" s="58" t="n">
        <f aca="false">O375</f>
        <v>-10.8661391719591</v>
      </c>
      <c r="N376" s="58" t="n">
        <f aca="false">IF(L376=1,M376*$B$20,0)</f>
        <v>0</v>
      </c>
      <c r="O376" s="58" t="n">
        <f aca="false">IF(L376=1,M376+N376-$B$21,M376)</f>
        <v>-10.8661391719591</v>
      </c>
      <c r="P376" s="56" t="n">
        <f aca="false">IF(L376=1,IF($B$21&lt;=N376,1,0),0)</f>
        <v>0</v>
      </c>
      <c r="Q376" s="58" t="n">
        <f aca="false">Q375+N376</f>
        <v>989.13386082804</v>
      </c>
    </row>
    <row r="377" customFormat="false" ht="15" hidden="false" customHeight="false" outlineLevel="0" collapsed="false">
      <c r="K377" s="56" t="n">
        <f aca="false">K376+1</f>
        <v>370</v>
      </c>
      <c r="L377" s="57" t="n">
        <f aca="false">IF(AND(K377&lt;=Assumptions!$C$42,L376=1,P376=0,O376&gt;Assumptions!$C$43),1,0)</f>
        <v>0</v>
      </c>
      <c r="M377" s="58" t="n">
        <f aca="false">O376</f>
        <v>-10.8661391719591</v>
      </c>
      <c r="N377" s="58" t="n">
        <f aca="false">IF(L377=1,M377*$B$20,0)</f>
        <v>0</v>
      </c>
      <c r="O377" s="58" t="n">
        <f aca="false">IF(L377=1,M377+N377-$B$21,M377)</f>
        <v>-10.8661391719591</v>
      </c>
      <c r="P377" s="56" t="n">
        <f aca="false">IF(L377=1,IF($B$21&lt;=N377,1,0),0)</f>
        <v>0</v>
      </c>
      <c r="Q377" s="58" t="n">
        <f aca="false">Q376+N377</f>
        <v>989.13386082804</v>
      </c>
    </row>
    <row r="378" customFormat="false" ht="15" hidden="false" customHeight="false" outlineLevel="0" collapsed="false">
      <c r="K378" s="56" t="n">
        <f aca="false">K377+1</f>
        <v>371</v>
      </c>
      <c r="L378" s="57" t="n">
        <f aca="false">IF(AND(K378&lt;=Assumptions!$C$42,L377=1,P377=0,O377&gt;Assumptions!$C$43),1,0)</f>
        <v>0</v>
      </c>
      <c r="M378" s="58" t="n">
        <f aca="false">O377</f>
        <v>-10.8661391719591</v>
      </c>
      <c r="N378" s="58" t="n">
        <f aca="false">IF(L378=1,M378*$B$20,0)</f>
        <v>0</v>
      </c>
      <c r="O378" s="58" t="n">
        <f aca="false">IF(L378=1,M378+N378-$B$21,M378)</f>
        <v>-10.8661391719591</v>
      </c>
      <c r="P378" s="56" t="n">
        <f aca="false">IF(L378=1,IF($B$21&lt;=N378,1,0),0)</f>
        <v>0</v>
      </c>
      <c r="Q378" s="58" t="n">
        <f aca="false">Q377+N378</f>
        <v>989.13386082804</v>
      </c>
    </row>
    <row r="379" customFormat="false" ht="15" hidden="false" customHeight="false" outlineLevel="0" collapsed="false">
      <c r="K379" s="56" t="n">
        <f aca="false">K378+1</f>
        <v>372</v>
      </c>
      <c r="L379" s="57" t="n">
        <f aca="false">IF(AND(K379&lt;=Assumptions!$C$42,L378=1,P378=0,O378&gt;Assumptions!$C$43),1,0)</f>
        <v>0</v>
      </c>
      <c r="M379" s="58" t="n">
        <f aca="false">O378</f>
        <v>-10.8661391719591</v>
      </c>
      <c r="N379" s="58" t="n">
        <f aca="false">IF(L379=1,M379*$B$20,0)</f>
        <v>0</v>
      </c>
      <c r="O379" s="58" t="n">
        <f aca="false">IF(L379=1,M379+N379-$B$21,M379)</f>
        <v>-10.8661391719591</v>
      </c>
      <c r="P379" s="56" t="n">
        <f aca="false">IF(L379=1,IF($B$21&lt;=N379,1,0),0)</f>
        <v>0</v>
      </c>
      <c r="Q379" s="58" t="n">
        <f aca="false">Q378+N379</f>
        <v>989.13386082804</v>
      </c>
    </row>
    <row r="380" customFormat="false" ht="15" hidden="false" customHeight="false" outlineLevel="0" collapsed="false">
      <c r="K380" s="56" t="n">
        <f aca="false">K379+1</f>
        <v>373</v>
      </c>
      <c r="L380" s="57" t="n">
        <f aca="false">IF(AND(K380&lt;=Assumptions!$C$42,L379=1,P379=0,O379&gt;Assumptions!$C$43),1,0)</f>
        <v>0</v>
      </c>
      <c r="M380" s="58" t="n">
        <f aca="false">O379</f>
        <v>-10.8661391719591</v>
      </c>
      <c r="N380" s="58" t="n">
        <f aca="false">IF(L380=1,M380*$B$20,0)</f>
        <v>0</v>
      </c>
      <c r="O380" s="58" t="n">
        <f aca="false">IF(L380=1,M380+N380-$B$21,M380)</f>
        <v>-10.8661391719591</v>
      </c>
      <c r="P380" s="56" t="n">
        <f aca="false">IF(L380=1,IF($B$21&lt;=N380,1,0),0)</f>
        <v>0</v>
      </c>
      <c r="Q380" s="58" t="n">
        <f aca="false">Q379+N380</f>
        <v>989.13386082804</v>
      </c>
    </row>
    <row r="381" customFormat="false" ht="15" hidden="false" customHeight="false" outlineLevel="0" collapsed="false">
      <c r="K381" s="56" t="n">
        <f aca="false">K380+1</f>
        <v>374</v>
      </c>
      <c r="L381" s="57" t="n">
        <f aca="false">IF(AND(K381&lt;=Assumptions!$C$42,L380=1,P380=0,O380&gt;Assumptions!$C$43),1,0)</f>
        <v>0</v>
      </c>
      <c r="M381" s="58" t="n">
        <f aca="false">O380</f>
        <v>-10.8661391719591</v>
      </c>
      <c r="N381" s="58" t="n">
        <f aca="false">IF(L381=1,M381*$B$20,0)</f>
        <v>0</v>
      </c>
      <c r="O381" s="58" t="n">
        <f aca="false">IF(L381=1,M381+N381-$B$21,M381)</f>
        <v>-10.8661391719591</v>
      </c>
      <c r="P381" s="56" t="n">
        <f aca="false">IF(L381=1,IF($B$21&lt;=N381,1,0),0)</f>
        <v>0</v>
      </c>
      <c r="Q381" s="58" t="n">
        <f aca="false">Q380+N381</f>
        <v>989.13386082804</v>
      </c>
    </row>
    <row r="382" customFormat="false" ht="15" hidden="false" customHeight="false" outlineLevel="0" collapsed="false">
      <c r="K382" s="56" t="n">
        <f aca="false">K381+1</f>
        <v>375</v>
      </c>
      <c r="L382" s="57" t="n">
        <f aca="false">IF(AND(K382&lt;=Assumptions!$C$42,L381=1,P381=0,O381&gt;Assumptions!$C$43),1,0)</f>
        <v>0</v>
      </c>
      <c r="M382" s="58" t="n">
        <f aca="false">O381</f>
        <v>-10.8661391719591</v>
      </c>
      <c r="N382" s="58" t="n">
        <f aca="false">IF(L382=1,M382*$B$20,0)</f>
        <v>0</v>
      </c>
      <c r="O382" s="58" t="n">
        <f aca="false">IF(L382=1,M382+N382-$B$21,M382)</f>
        <v>-10.8661391719591</v>
      </c>
      <c r="P382" s="56" t="n">
        <f aca="false">IF(L382=1,IF($B$21&lt;=N382,1,0),0)</f>
        <v>0</v>
      </c>
      <c r="Q382" s="58" t="n">
        <f aca="false">Q381+N382</f>
        <v>989.13386082804</v>
      </c>
    </row>
    <row r="383" customFormat="false" ht="15" hidden="false" customHeight="false" outlineLevel="0" collapsed="false">
      <c r="K383" s="56" t="n">
        <f aca="false">K382+1</f>
        <v>376</v>
      </c>
      <c r="L383" s="57" t="n">
        <f aca="false">IF(AND(K383&lt;=Assumptions!$C$42,L382=1,P382=0,O382&gt;Assumptions!$C$43),1,0)</f>
        <v>0</v>
      </c>
      <c r="M383" s="58" t="n">
        <f aca="false">O382</f>
        <v>-10.8661391719591</v>
      </c>
      <c r="N383" s="58" t="n">
        <f aca="false">IF(L383=1,M383*$B$20,0)</f>
        <v>0</v>
      </c>
      <c r="O383" s="58" t="n">
        <f aca="false">IF(L383=1,M383+N383-$B$21,M383)</f>
        <v>-10.8661391719591</v>
      </c>
      <c r="P383" s="56" t="n">
        <f aca="false">IF(L383=1,IF($B$21&lt;=N383,1,0),0)</f>
        <v>0</v>
      </c>
      <c r="Q383" s="58" t="n">
        <f aca="false">Q382+N383</f>
        <v>989.13386082804</v>
      </c>
    </row>
    <row r="384" customFormat="false" ht="15" hidden="false" customHeight="false" outlineLevel="0" collapsed="false">
      <c r="K384" s="56" t="n">
        <f aca="false">K383+1</f>
        <v>377</v>
      </c>
      <c r="L384" s="57" t="n">
        <f aca="false">IF(AND(K384&lt;=Assumptions!$C$42,L383=1,P383=0,O383&gt;Assumptions!$C$43),1,0)</f>
        <v>0</v>
      </c>
      <c r="M384" s="58" t="n">
        <f aca="false">O383</f>
        <v>-10.8661391719591</v>
      </c>
      <c r="N384" s="58" t="n">
        <f aca="false">IF(L384=1,M384*$B$20,0)</f>
        <v>0</v>
      </c>
      <c r="O384" s="58" t="n">
        <f aca="false">IF(L384=1,M384+N384-$B$21,M384)</f>
        <v>-10.8661391719591</v>
      </c>
      <c r="P384" s="56" t="n">
        <f aca="false">IF(L384=1,IF($B$21&lt;=N384,1,0),0)</f>
        <v>0</v>
      </c>
      <c r="Q384" s="58" t="n">
        <f aca="false">Q383+N384</f>
        <v>989.13386082804</v>
      </c>
    </row>
    <row r="385" customFormat="false" ht="15" hidden="false" customHeight="false" outlineLevel="0" collapsed="false">
      <c r="K385" s="56" t="n">
        <f aca="false">K384+1</f>
        <v>378</v>
      </c>
      <c r="L385" s="57" t="n">
        <f aca="false">IF(AND(K385&lt;=Assumptions!$C$42,L384=1,P384=0,O384&gt;Assumptions!$C$43),1,0)</f>
        <v>0</v>
      </c>
      <c r="M385" s="58" t="n">
        <f aca="false">O384</f>
        <v>-10.8661391719591</v>
      </c>
      <c r="N385" s="58" t="n">
        <f aca="false">IF(L385=1,M385*$B$20,0)</f>
        <v>0</v>
      </c>
      <c r="O385" s="58" t="n">
        <f aca="false">IF(L385=1,M385+N385-$B$21,M385)</f>
        <v>-10.8661391719591</v>
      </c>
      <c r="P385" s="56" t="n">
        <f aca="false">IF(L385=1,IF($B$21&lt;=N385,1,0),0)</f>
        <v>0</v>
      </c>
      <c r="Q385" s="58" t="n">
        <f aca="false">Q384+N385</f>
        <v>989.13386082804</v>
      </c>
    </row>
    <row r="386" customFormat="false" ht="15" hidden="false" customHeight="false" outlineLevel="0" collapsed="false">
      <c r="K386" s="56" t="n">
        <f aca="false">K385+1</f>
        <v>379</v>
      </c>
      <c r="L386" s="57" t="n">
        <f aca="false">IF(AND(K386&lt;=Assumptions!$C$42,L385=1,P385=0,O385&gt;Assumptions!$C$43),1,0)</f>
        <v>0</v>
      </c>
      <c r="M386" s="58" t="n">
        <f aca="false">O385</f>
        <v>-10.8661391719591</v>
      </c>
      <c r="N386" s="58" t="n">
        <f aca="false">IF(L386=1,M386*$B$20,0)</f>
        <v>0</v>
      </c>
      <c r="O386" s="58" t="n">
        <f aca="false">IF(L386=1,M386+N386-$B$21,M386)</f>
        <v>-10.8661391719591</v>
      </c>
      <c r="P386" s="56" t="n">
        <f aca="false">IF(L386=1,IF($B$21&lt;=N386,1,0),0)</f>
        <v>0</v>
      </c>
      <c r="Q386" s="58" t="n">
        <f aca="false">Q385+N386</f>
        <v>989.13386082804</v>
      </c>
    </row>
    <row r="387" customFormat="false" ht="15" hidden="false" customHeight="false" outlineLevel="0" collapsed="false">
      <c r="K387" s="56" t="n">
        <f aca="false">K386+1</f>
        <v>380</v>
      </c>
      <c r="L387" s="57" t="n">
        <f aca="false">IF(AND(K387&lt;=Assumptions!$C$42,L386=1,P386=0,O386&gt;Assumptions!$C$43),1,0)</f>
        <v>0</v>
      </c>
      <c r="M387" s="58" t="n">
        <f aca="false">O386</f>
        <v>-10.8661391719591</v>
      </c>
      <c r="N387" s="58" t="n">
        <f aca="false">IF(L387=1,M387*$B$20,0)</f>
        <v>0</v>
      </c>
      <c r="O387" s="58" t="n">
        <f aca="false">IF(L387=1,M387+N387-$B$21,M387)</f>
        <v>-10.8661391719591</v>
      </c>
      <c r="P387" s="56" t="n">
        <f aca="false">IF(L387=1,IF($B$21&lt;=N387,1,0),0)</f>
        <v>0</v>
      </c>
      <c r="Q387" s="58" t="n">
        <f aca="false">Q386+N387</f>
        <v>989.13386082804</v>
      </c>
    </row>
    <row r="388" customFormat="false" ht="15" hidden="false" customHeight="false" outlineLevel="0" collapsed="false">
      <c r="K388" s="56" t="n">
        <f aca="false">K387+1</f>
        <v>381</v>
      </c>
      <c r="L388" s="57" t="n">
        <f aca="false">IF(AND(K388&lt;=Assumptions!$C$42,L387=1,P387=0,O387&gt;Assumptions!$C$43),1,0)</f>
        <v>0</v>
      </c>
      <c r="M388" s="58" t="n">
        <f aca="false">O387</f>
        <v>-10.8661391719591</v>
      </c>
      <c r="N388" s="58" t="n">
        <f aca="false">IF(L388=1,M388*$B$20,0)</f>
        <v>0</v>
      </c>
      <c r="O388" s="58" t="n">
        <f aca="false">IF(L388=1,M388+N388-$B$21,M388)</f>
        <v>-10.8661391719591</v>
      </c>
      <c r="P388" s="56" t="n">
        <f aca="false">IF(L388=1,IF($B$21&lt;=N388,1,0),0)</f>
        <v>0</v>
      </c>
      <c r="Q388" s="58" t="n">
        <f aca="false">Q387+N388</f>
        <v>989.13386082804</v>
      </c>
    </row>
    <row r="389" customFormat="false" ht="15" hidden="false" customHeight="false" outlineLevel="0" collapsed="false">
      <c r="K389" s="56" t="n">
        <f aca="false">K388+1</f>
        <v>382</v>
      </c>
      <c r="L389" s="57" t="n">
        <f aca="false">IF(AND(K389&lt;=Assumptions!$C$42,L388=1,P388=0,O388&gt;Assumptions!$C$43),1,0)</f>
        <v>0</v>
      </c>
      <c r="M389" s="58" t="n">
        <f aca="false">O388</f>
        <v>-10.8661391719591</v>
      </c>
      <c r="N389" s="58" t="n">
        <f aca="false">IF(L389=1,M389*$B$20,0)</f>
        <v>0</v>
      </c>
      <c r="O389" s="58" t="n">
        <f aca="false">IF(L389=1,M389+N389-$B$21,M389)</f>
        <v>-10.8661391719591</v>
      </c>
      <c r="P389" s="56" t="n">
        <f aca="false">IF(L389=1,IF($B$21&lt;=N389,1,0),0)</f>
        <v>0</v>
      </c>
      <c r="Q389" s="58" t="n">
        <f aca="false">Q388+N389</f>
        <v>989.13386082804</v>
      </c>
    </row>
    <row r="390" customFormat="false" ht="15" hidden="false" customHeight="false" outlineLevel="0" collapsed="false">
      <c r="K390" s="56" t="n">
        <f aca="false">K389+1</f>
        <v>383</v>
      </c>
      <c r="L390" s="57" t="n">
        <f aca="false">IF(AND(K390&lt;=Assumptions!$C$42,L389=1,P389=0,O389&gt;Assumptions!$C$43),1,0)</f>
        <v>0</v>
      </c>
      <c r="M390" s="58" t="n">
        <f aca="false">O389</f>
        <v>-10.8661391719591</v>
      </c>
      <c r="N390" s="58" t="n">
        <f aca="false">IF(L390=1,M390*$B$20,0)</f>
        <v>0</v>
      </c>
      <c r="O390" s="58" t="n">
        <f aca="false">IF(L390=1,M390+N390-$B$21,M390)</f>
        <v>-10.8661391719591</v>
      </c>
      <c r="P390" s="56" t="n">
        <f aca="false">IF(L390=1,IF($B$21&lt;=N390,1,0),0)</f>
        <v>0</v>
      </c>
      <c r="Q390" s="58" t="n">
        <f aca="false">Q389+N390</f>
        <v>989.13386082804</v>
      </c>
    </row>
    <row r="391" customFormat="false" ht="15" hidden="false" customHeight="false" outlineLevel="0" collapsed="false">
      <c r="K391" s="56" t="n">
        <f aca="false">K390+1</f>
        <v>384</v>
      </c>
      <c r="L391" s="57" t="n">
        <f aca="false">IF(AND(K391&lt;=Assumptions!$C$42,L390=1,P390=0,O390&gt;Assumptions!$C$43),1,0)</f>
        <v>0</v>
      </c>
      <c r="M391" s="58" t="n">
        <f aca="false">O390</f>
        <v>-10.8661391719591</v>
      </c>
      <c r="N391" s="58" t="n">
        <f aca="false">IF(L391=1,M391*$B$20,0)</f>
        <v>0</v>
      </c>
      <c r="O391" s="58" t="n">
        <f aca="false">IF(L391=1,M391+N391-$B$21,M391)</f>
        <v>-10.8661391719591</v>
      </c>
      <c r="P391" s="56" t="n">
        <f aca="false">IF(L391=1,IF($B$21&lt;=N391,1,0),0)</f>
        <v>0</v>
      </c>
      <c r="Q391" s="58" t="n">
        <f aca="false">Q390+N391</f>
        <v>989.13386082804</v>
      </c>
    </row>
    <row r="392" customFormat="false" ht="15" hidden="false" customHeight="false" outlineLevel="0" collapsed="false">
      <c r="K392" s="56" t="n">
        <f aca="false">K391+1</f>
        <v>385</v>
      </c>
      <c r="L392" s="57" t="n">
        <f aca="false">IF(AND(K392&lt;=Assumptions!$C$42,L391=1,P391=0,O391&gt;Assumptions!$C$43),1,0)</f>
        <v>0</v>
      </c>
      <c r="M392" s="58" t="n">
        <f aca="false">O391</f>
        <v>-10.8661391719591</v>
      </c>
      <c r="N392" s="58" t="n">
        <f aca="false">IF(L392=1,M392*$B$20,0)</f>
        <v>0</v>
      </c>
      <c r="O392" s="58" t="n">
        <f aca="false">IF(L392=1,M392+N392-$B$21,M392)</f>
        <v>-10.8661391719591</v>
      </c>
      <c r="P392" s="56" t="n">
        <f aca="false">IF(L392=1,IF($B$21&lt;=N392,1,0),0)</f>
        <v>0</v>
      </c>
      <c r="Q392" s="58" t="n">
        <f aca="false">Q391+N392</f>
        <v>989.13386082804</v>
      </c>
    </row>
    <row r="393" customFormat="false" ht="15" hidden="false" customHeight="false" outlineLevel="0" collapsed="false">
      <c r="K393" s="56" t="n">
        <f aca="false">K392+1</f>
        <v>386</v>
      </c>
      <c r="L393" s="57" t="n">
        <f aca="false">IF(AND(K393&lt;=Assumptions!$C$42,L392=1,P392=0,O392&gt;Assumptions!$C$43),1,0)</f>
        <v>0</v>
      </c>
      <c r="M393" s="58" t="n">
        <f aca="false">O392</f>
        <v>-10.8661391719591</v>
      </c>
      <c r="N393" s="58" t="n">
        <f aca="false">IF(L393=1,M393*$B$20,0)</f>
        <v>0</v>
      </c>
      <c r="O393" s="58" t="n">
        <f aca="false">IF(L393=1,M393+N393-$B$21,M393)</f>
        <v>-10.8661391719591</v>
      </c>
      <c r="P393" s="56" t="n">
        <f aca="false">IF(L393=1,IF($B$21&lt;=N393,1,0),0)</f>
        <v>0</v>
      </c>
      <c r="Q393" s="58" t="n">
        <f aca="false">Q392+N393</f>
        <v>989.13386082804</v>
      </c>
    </row>
    <row r="394" customFormat="false" ht="15" hidden="false" customHeight="false" outlineLevel="0" collapsed="false">
      <c r="K394" s="56" t="n">
        <f aca="false">K393+1</f>
        <v>387</v>
      </c>
      <c r="L394" s="57" t="n">
        <f aca="false">IF(AND(K394&lt;=Assumptions!$C$42,L393=1,P393=0,O393&gt;Assumptions!$C$43),1,0)</f>
        <v>0</v>
      </c>
      <c r="M394" s="58" t="n">
        <f aca="false">O393</f>
        <v>-10.8661391719591</v>
      </c>
      <c r="N394" s="58" t="n">
        <f aca="false">IF(L394=1,M394*$B$20,0)</f>
        <v>0</v>
      </c>
      <c r="O394" s="58" t="n">
        <f aca="false">IF(L394=1,M394+N394-$B$21,M394)</f>
        <v>-10.8661391719591</v>
      </c>
      <c r="P394" s="56" t="n">
        <f aca="false">IF(L394=1,IF($B$21&lt;=N394,1,0),0)</f>
        <v>0</v>
      </c>
      <c r="Q394" s="58" t="n">
        <f aca="false">Q393+N394</f>
        <v>989.13386082804</v>
      </c>
    </row>
    <row r="395" customFormat="false" ht="15" hidden="false" customHeight="false" outlineLevel="0" collapsed="false">
      <c r="K395" s="56" t="n">
        <f aca="false">K394+1</f>
        <v>388</v>
      </c>
      <c r="L395" s="57" t="n">
        <f aca="false">IF(AND(K395&lt;=Assumptions!$C$42,L394=1,P394=0,O394&gt;Assumptions!$C$43),1,0)</f>
        <v>0</v>
      </c>
      <c r="M395" s="58" t="n">
        <f aca="false">O394</f>
        <v>-10.8661391719591</v>
      </c>
      <c r="N395" s="58" t="n">
        <f aca="false">IF(L395=1,M395*$B$20,0)</f>
        <v>0</v>
      </c>
      <c r="O395" s="58" t="n">
        <f aca="false">IF(L395=1,M395+N395-$B$21,M395)</f>
        <v>-10.8661391719591</v>
      </c>
      <c r="P395" s="56" t="n">
        <f aca="false">IF(L395=1,IF($B$21&lt;=N395,1,0),0)</f>
        <v>0</v>
      </c>
      <c r="Q395" s="58" t="n">
        <f aca="false">Q394+N395</f>
        <v>989.13386082804</v>
      </c>
    </row>
    <row r="396" customFormat="false" ht="15" hidden="false" customHeight="false" outlineLevel="0" collapsed="false">
      <c r="K396" s="56" t="n">
        <f aca="false">K395+1</f>
        <v>389</v>
      </c>
      <c r="L396" s="57" t="n">
        <f aca="false">IF(AND(K396&lt;=Assumptions!$C$42,L395=1,P395=0,O395&gt;Assumptions!$C$43),1,0)</f>
        <v>0</v>
      </c>
      <c r="M396" s="58" t="n">
        <f aca="false">O395</f>
        <v>-10.8661391719591</v>
      </c>
      <c r="N396" s="58" t="n">
        <f aca="false">IF(L396=1,M396*$B$20,0)</f>
        <v>0</v>
      </c>
      <c r="O396" s="58" t="n">
        <f aca="false">IF(L396=1,M396+N396-$B$21,M396)</f>
        <v>-10.8661391719591</v>
      </c>
      <c r="P396" s="56" t="n">
        <f aca="false">IF(L396=1,IF($B$21&lt;=N396,1,0),0)</f>
        <v>0</v>
      </c>
      <c r="Q396" s="58" t="n">
        <f aca="false">Q395+N396</f>
        <v>989.13386082804</v>
      </c>
    </row>
    <row r="397" customFormat="false" ht="15" hidden="false" customHeight="false" outlineLevel="0" collapsed="false">
      <c r="K397" s="56" t="n">
        <f aca="false">K396+1</f>
        <v>390</v>
      </c>
      <c r="L397" s="57" t="n">
        <f aca="false">IF(AND(K397&lt;=Assumptions!$C$42,L396=1,P396=0,O396&gt;Assumptions!$C$43),1,0)</f>
        <v>0</v>
      </c>
      <c r="M397" s="58" t="n">
        <f aca="false">O396</f>
        <v>-10.8661391719591</v>
      </c>
      <c r="N397" s="58" t="n">
        <f aca="false">IF(L397=1,M397*$B$20,0)</f>
        <v>0</v>
      </c>
      <c r="O397" s="58" t="n">
        <f aca="false">IF(L397=1,M397+N397-$B$21,M397)</f>
        <v>-10.8661391719591</v>
      </c>
      <c r="P397" s="56" t="n">
        <f aca="false">IF(L397=1,IF($B$21&lt;=N397,1,0),0)</f>
        <v>0</v>
      </c>
      <c r="Q397" s="58" t="n">
        <f aca="false">Q396+N397</f>
        <v>989.13386082804</v>
      </c>
    </row>
    <row r="398" customFormat="false" ht="15" hidden="false" customHeight="false" outlineLevel="0" collapsed="false">
      <c r="K398" s="56" t="n">
        <f aca="false">K397+1</f>
        <v>391</v>
      </c>
      <c r="L398" s="57" t="n">
        <f aca="false">IF(AND(K398&lt;=Assumptions!$C$42,L397=1,P397=0,O397&gt;Assumptions!$C$43),1,0)</f>
        <v>0</v>
      </c>
      <c r="M398" s="58" t="n">
        <f aca="false">O397</f>
        <v>-10.8661391719591</v>
      </c>
      <c r="N398" s="58" t="n">
        <f aca="false">IF(L398=1,M398*$B$20,0)</f>
        <v>0</v>
      </c>
      <c r="O398" s="58" t="n">
        <f aca="false">IF(L398=1,M398+N398-$B$21,M398)</f>
        <v>-10.8661391719591</v>
      </c>
      <c r="P398" s="56" t="n">
        <f aca="false">IF(L398=1,IF($B$21&lt;=N398,1,0),0)</f>
        <v>0</v>
      </c>
      <c r="Q398" s="58" t="n">
        <f aca="false">Q397+N398</f>
        <v>989.13386082804</v>
      </c>
    </row>
    <row r="399" customFormat="false" ht="15" hidden="false" customHeight="false" outlineLevel="0" collapsed="false">
      <c r="K399" s="56" t="n">
        <f aca="false">K398+1</f>
        <v>392</v>
      </c>
      <c r="L399" s="57" t="n">
        <f aca="false">IF(AND(K399&lt;=Assumptions!$C$42,L398=1,P398=0,O398&gt;Assumptions!$C$43),1,0)</f>
        <v>0</v>
      </c>
      <c r="M399" s="58" t="n">
        <f aca="false">O398</f>
        <v>-10.8661391719591</v>
      </c>
      <c r="N399" s="58" t="n">
        <f aca="false">IF(L399=1,M399*$B$20,0)</f>
        <v>0</v>
      </c>
      <c r="O399" s="58" t="n">
        <f aca="false">IF(L399=1,M399+N399-$B$21,M399)</f>
        <v>-10.8661391719591</v>
      </c>
      <c r="P399" s="56" t="n">
        <f aca="false">IF(L399=1,IF($B$21&lt;=N399,1,0),0)</f>
        <v>0</v>
      </c>
      <c r="Q399" s="58" t="n">
        <f aca="false">Q398+N399</f>
        <v>989.13386082804</v>
      </c>
    </row>
    <row r="400" customFormat="false" ht="15" hidden="false" customHeight="false" outlineLevel="0" collapsed="false">
      <c r="K400" s="56" t="n">
        <f aca="false">K399+1</f>
        <v>393</v>
      </c>
      <c r="L400" s="57" t="n">
        <f aca="false">IF(AND(K400&lt;=Assumptions!$C$42,L399=1,P399=0,O399&gt;Assumptions!$C$43),1,0)</f>
        <v>0</v>
      </c>
      <c r="M400" s="58" t="n">
        <f aca="false">O399</f>
        <v>-10.8661391719591</v>
      </c>
      <c r="N400" s="58" t="n">
        <f aca="false">IF(L400=1,M400*$B$20,0)</f>
        <v>0</v>
      </c>
      <c r="O400" s="58" t="n">
        <f aca="false">IF(L400=1,M400+N400-$B$21,M400)</f>
        <v>-10.8661391719591</v>
      </c>
      <c r="P400" s="56" t="n">
        <f aca="false">IF(L400=1,IF($B$21&lt;=N400,1,0),0)</f>
        <v>0</v>
      </c>
      <c r="Q400" s="58" t="n">
        <f aca="false">Q399+N400</f>
        <v>989.13386082804</v>
      </c>
    </row>
    <row r="401" customFormat="false" ht="15" hidden="false" customHeight="false" outlineLevel="0" collapsed="false">
      <c r="K401" s="56" t="n">
        <f aca="false">K400+1</f>
        <v>394</v>
      </c>
      <c r="L401" s="57" t="n">
        <f aca="false">IF(AND(K401&lt;=Assumptions!$C$42,L400=1,P400=0,O400&gt;Assumptions!$C$43),1,0)</f>
        <v>0</v>
      </c>
      <c r="M401" s="58" t="n">
        <f aca="false">O400</f>
        <v>-10.8661391719591</v>
      </c>
      <c r="N401" s="58" t="n">
        <f aca="false">IF(L401=1,M401*$B$20,0)</f>
        <v>0</v>
      </c>
      <c r="O401" s="58" t="n">
        <f aca="false">IF(L401=1,M401+N401-$B$21,M401)</f>
        <v>-10.8661391719591</v>
      </c>
      <c r="P401" s="56" t="n">
        <f aca="false">IF(L401=1,IF($B$21&lt;=N401,1,0),0)</f>
        <v>0</v>
      </c>
      <c r="Q401" s="58" t="n">
        <f aca="false">Q400+N401</f>
        <v>989.13386082804</v>
      </c>
    </row>
    <row r="402" customFormat="false" ht="15" hidden="false" customHeight="false" outlineLevel="0" collapsed="false">
      <c r="K402" s="56" t="n">
        <f aca="false">K401+1</f>
        <v>395</v>
      </c>
      <c r="L402" s="57" t="n">
        <f aca="false">IF(AND(K402&lt;=Assumptions!$C$42,L401=1,P401=0,O401&gt;Assumptions!$C$43),1,0)</f>
        <v>0</v>
      </c>
      <c r="M402" s="58" t="n">
        <f aca="false">O401</f>
        <v>-10.8661391719591</v>
      </c>
      <c r="N402" s="58" t="n">
        <f aca="false">IF(L402=1,M402*$B$20,0)</f>
        <v>0</v>
      </c>
      <c r="O402" s="58" t="n">
        <f aca="false">IF(L402=1,M402+N402-$B$21,M402)</f>
        <v>-10.8661391719591</v>
      </c>
      <c r="P402" s="56" t="n">
        <f aca="false">IF(L402=1,IF($B$21&lt;=N402,1,0),0)</f>
        <v>0</v>
      </c>
      <c r="Q402" s="58" t="n">
        <f aca="false">Q401+N402</f>
        <v>989.13386082804</v>
      </c>
    </row>
    <row r="403" customFormat="false" ht="15" hidden="false" customHeight="false" outlineLevel="0" collapsed="false">
      <c r="K403" s="56" t="n">
        <f aca="false">K402+1</f>
        <v>396</v>
      </c>
      <c r="L403" s="57" t="n">
        <f aca="false">IF(AND(K403&lt;=Assumptions!$C$42,L402=1,P402=0,O402&gt;Assumptions!$C$43),1,0)</f>
        <v>0</v>
      </c>
      <c r="M403" s="58" t="n">
        <f aca="false">O402</f>
        <v>-10.8661391719591</v>
      </c>
      <c r="N403" s="58" t="n">
        <f aca="false">IF(L403=1,M403*$B$20,0)</f>
        <v>0</v>
      </c>
      <c r="O403" s="58" t="n">
        <f aca="false">IF(L403=1,M403+N403-$B$21,M403)</f>
        <v>-10.8661391719591</v>
      </c>
      <c r="P403" s="56" t="n">
        <f aca="false">IF(L403=1,IF($B$21&lt;=N403,1,0),0)</f>
        <v>0</v>
      </c>
      <c r="Q403" s="58" t="n">
        <f aca="false">Q402+N403</f>
        <v>989.13386082804</v>
      </c>
    </row>
    <row r="404" customFormat="false" ht="15" hidden="false" customHeight="false" outlineLevel="0" collapsed="false">
      <c r="K404" s="56" t="n">
        <f aca="false">K403+1</f>
        <v>397</v>
      </c>
      <c r="L404" s="57" t="n">
        <f aca="false">IF(AND(K404&lt;=Assumptions!$C$42,L403=1,P403=0,O403&gt;Assumptions!$C$43),1,0)</f>
        <v>0</v>
      </c>
      <c r="M404" s="58" t="n">
        <f aca="false">O403</f>
        <v>-10.8661391719591</v>
      </c>
      <c r="N404" s="58" t="n">
        <f aca="false">IF(L404=1,M404*$B$20,0)</f>
        <v>0</v>
      </c>
      <c r="O404" s="58" t="n">
        <f aca="false">IF(L404=1,M404+N404-$B$21,M404)</f>
        <v>-10.8661391719591</v>
      </c>
      <c r="P404" s="56" t="n">
        <f aca="false">IF(L404=1,IF($B$21&lt;=N404,1,0),0)</f>
        <v>0</v>
      </c>
      <c r="Q404" s="58" t="n">
        <f aca="false">Q403+N404</f>
        <v>989.13386082804</v>
      </c>
    </row>
    <row r="405" customFormat="false" ht="15" hidden="false" customHeight="false" outlineLevel="0" collapsed="false">
      <c r="K405" s="56" t="n">
        <f aca="false">K404+1</f>
        <v>398</v>
      </c>
      <c r="L405" s="57" t="n">
        <f aca="false">IF(AND(K405&lt;=Assumptions!$C$42,L404=1,P404=0,O404&gt;Assumptions!$C$43),1,0)</f>
        <v>0</v>
      </c>
      <c r="M405" s="58" t="n">
        <f aca="false">O404</f>
        <v>-10.8661391719591</v>
      </c>
      <c r="N405" s="58" t="n">
        <f aca="false">IF(L405=1,M405*$B$20,0)</f>
        <v>0</v>
      </c>
      <c r="O405" s="58" t="n">
        <f aca="false">IF(L405=1,M405+N405-$B$21,M405)</f>
        <v>-10.8661391719591</v>
      </c>
      <c r="P405" s="56" t="n">
        <f aca="false">IF(L405=1,IF($B$21&lt;=N405,1,0),0)</f>
        <v>0</v>
      </c>
      <c r="Q405" s="58" t="n">
        <f aca="false">Q404+N405</f>
        <v>989.13386082804</v>
      </c>
    </row>
    <row r="406" customFormat="false" ht="15" hidden="false" customHeight="false" outlineLevel="0" collapsed="false">
      <c r="K406" s="56" t="n">
        <f aca="false">K405+1</f>
        <v>399</v>
      </c>
      <c r="L406" s="57" t="n">
        <f aca="false">IF(AND(K406&lt;=Assumptions!$C$42,L405=1,P405=0,O405&gt;Assumptions!$C$43),1,0)</f>
        <v>0</v>
      </c>
      <c r="M406" s="58" t="n">
        <f aca="false">O405</f>
        <v>-10.8661391719591</v>
      </c>
      <c r="N406" s="58" t="n">
        <f aca="false">IF(L406=1,M406*$B$20,0)</f>
        <v>0</v>
      </c>
      <c r="O406" s="58" t="n">
        <f aca="false">IF(L406=1,M406+N406-$B$21,M406)</f>
        <v>-10.8661391719591</v>
      </c>
      <c r="P406" s="56" t="n">
        <f aca="false">IF(L406=1,IF($B$21&lt;=N406,1,0),0)</f>
        <v>0</v>
      </c>
      <c r="Q406" s="58" t="n">
        <f aca="false">Q405+N406</f>
        <v>989.13386082804</v>
      </c>
    </row>
    <row r="407" customFormat="false" ht="15" hidden="false" customHeight="false" outlineLevel="0" collapsed="false">
      <c r="K407" s="56" t="n">
        <f aca="false">K406+1</f>
        <v>400</v>
      </c>
      <c r="L407" s="57" t="n">
        <f aca="false">IF(AND(K407&lt;=Assumptions!$C$42,L406=1,P406=0,O406&gt;Assumptions!$C$43),1,0)</f>
        <v>0</v>
      </c>
      <c r="M407" s="58" t="n">
        <f aca="false">O406</f>
        <v>-10.8661391719591</v>
      </c>
      <c r="N407" s="58" t="n">
        <f aca="false">IF(L407=1,M407*$B$20,0)</f>
        <v>0</v>
      </c>
      <c r="O407" s="58" t="n">
        <f aca="false">IF(L407=1,M407+N407-$B$21,M407)</f>
        <v>-10.8661391719591</v>
      </c>
      <c r="P407" s="56" t="n">
        <f aca="false">IF(L407=1,IF($B$21&lt;=N407,1,0),0)</f>
        <v>0</v>
      </c>
      <c r="Q407" s="58" t="n">
        <f aca="false">Q406+N407</f>
        <v>989.13386082804</v>
      </c>
    </row>
    <row r="408" customFormat="false" ht="15" hidden="false" customHeight="false" outlineLevel="0" collapsed="false">
      <c r="K408" s="56" t="n">
        <f aca="false">K407+1</f>
        <v>401</v>
      </c>
      <c r="L408" s="57" t="n">
        <f aca="false">IF(AND(K408&lt;=Assumptions!$C$42,L407=1,P407=0,O407&gt;Assumptions!$C$43),1,0)</f>
        <v>0</v>
      </c>
      <c r="M408" s="58" t="n">
        <f aca="false">O407</f>
        <v>-10.8661391719591</v>
      </c>
      <c r="N408" s="58" t="n">
        <f aca="false">IF(L408=1,M408*$B$20,0)</f>
        <v>0</v>
      </c>
      <c r="O408" s="58" t="n">
        <f aca="false">IF(L408=1,M408+N408-$B$21,M408)</f>
        <v>-10.8661391719591</v>
      </c>
      <c r="P408" s="56" t="n">
        <f aca="false">IF(L408=1,IF($B$21&lt;=N408,1,0),0)</f>
        <v>0</v>
      </c>
      <c r="Q408" s="58" t="n">
        <f aca="false">Q407+N408</f>
        <v>989.13386082804</v>
      </c>
    </row>
    <row r="409" customFormat="false" ht="15" hidden="false" customHeight="false" outlineLevel="0" collapsed="false">
      <c r="K409" s="56" t="n">
        <f aca="false">K408+1</f>
        <v>402</v>
      </c>
      <c r="L409" s="57" t="n">
        <f aca="false">IF(AND(K409&lt;=Assumptions!$C$42,L408=1,P408=0,O408&gt;Assumptions!$C$43),1,0)</f>
        <v>0</v>
      </c>
      <c r="M409" s="58" t="n">
        <f aca="false">O408</f>
        <v>-10.8661391719591</v>
      </c>
      <c r="N409" s="58" t="n">
        <f aca="false">IF(L409=1,M409*$B$20,0)</f>
        <v>0</v>
      </c>
      <c r="O409" s="58" t="n">
        <f aca="false">IF(L409=1,M409+N409-$B$21,M409)</f>
        <v>-10.8661391719591</v>
      </c>
      <c r="P409" s="56" t="n">
        <f aca="false">IF(L409=1,IF($B$21&lt;=N409,1,0),0)</f>
        <v>0</v>
      </c>
      <c r="Q409" s="58" t="n">
        <f aca="false">Q408+N409</f>
        <v>989.13386082804</v>
      </c>
    </row>
    <row r="410" customFormat="false" ht="15" hidden="false" customHeight="false" outlineLevel="0" collapsed="false">
      <c r="K410" s="56" t="n">
        <f aca="false">K409+1</f>
        <v>403</v>
      </c>
      <c r="L410" s="57" t="n">
        <f aca="false">IF(AND(K410&lt;=Assumptions!$C$42,L409=1,P409=0,O409&gt;Assumptions!$C$43),1,0)</f>
        <v>0</v>
      </c>
      <c r="M410" s="58" t="n">
        <f aca="false">O409</f>
        <v>-10.8661391719591</v>
      </c>
      <c r="N410" s="58" t="n">
        <f aca="false">IF(L410=1,M410*$B$20,0)</f>
        <v>0</v>
      </c>
      <c r="O410" s="58" t="n">
        <f aca="false">IF(L410=1,M410+N410-$B$21,M410)</f>
        <v>-10.8661391719591</v>
      </c>
      <c r="P410" s="56" t="n">
        <f aca="false">IF(L410=1,IF($B$21&lt;=N410,1,0),0)</f>
        <v>0</v>
      </c>
      <c r="Q410" s="58" t="n">
        <f aca="false">Q409+N410</f>
        <v>989.13386082804</v>
      </c>
    </row>
    <row r="411" customFormat="false" ht="15" hidden="false" customHeight="false" outlineLevel="0" collapsed="false">
      <c r="K411" s="56" t="n">
        <f aca="false">K410+1</f>
        <v>404</v>
      </c>
      <c r="L411" s="57" t="n">
        <f aca="false">IF(AND(K411&lt;=Assumptions!$C$42,L410=1,P410=0,O410&gt;Assumptions!$C$43),1,0)</f>
        <v>0</v>
      </c>
      <c r="M411" s="58" t="n">
        <f aca="false">O410</f>
        <v>-10.8661391719591</v>
      </c>
      <c r="N411" s="58" t="n">
        <f aca="false">IF(L411=1,M411*$B$20,0)</f>
        <v>0</v>
      </c>
      <c r="O411" s="58" t="n">
        <f aca="false">IF(L411=1,M411+N411-$B$21,M411)</f>
        <v>-10.8661391719591</v>
      </c>
      <c r="P411" s="56" t="n">
        <f aca="false">IF(L411=1,IF($B$21&lt;=N411,1,0),0)</f>
        <v>0</v>
      </c>
      <c r="Q411" s="58" t="n">
        <f aca="false">Q410+N411</f>
        <v>989.13386082804</v>
      </c>
    </row>
    <row r="412" customFormat="false" ht="15" hidden="false" customHeight="false" outlineLevel="0" collapsed="false">
      <c r="K412" s="56" t="n">
        <f aca="false">K411+1</f>
        <v>405</v>
      </c>
      <c r="L412" s="57" t="n">
        <f aca="false">IF(AND(K412&lt;=Assumptions!$C$42,L411=1,P411=0,O411&gt;Assumptions!$C$43),1,0)</f>
        <v>0</v>
      </c>
      <c r="M412" s="58" t="n">
        <f aca="false">O411</f>
        <v>-10.8661391719591</v>
      </c>
      <c r="N412" s="58" t="n">
        <f aca="false">IF(L412=1,M412*$B$20,0)</f>
        <v>0</v>
      </c>
      <c r="O412" s="58" t="n">
        <f aca="false">IF(L412=1,M412+N412-$B$21,M412)</f>
        <v>-10.8661391719591</v>
      </c>
      <c r="P412" s="56" t="n">
        <f aca="false">IF(L412=1,IF($B$21&lt;=N412,1,0),0)</f>
        <v>0</v>
      </c>
      <c r="Q412" s="58" t="n">
        <f aca="false">Q411+N412</f>
        <v>989.13386082804</v>
      </c>
    </row>
    <row r="413" customFormat="false" ht="15" hidden="false" customHeight="false" outlineLevel="0" collapsed="false">
      <c r="K413" s="56" t="n">
        <f aca="false">K412+1</f>
        <v>406</v>
      </c>
      <c r="L413" s="57" t="n">
        <f aca="false">IF(AND(K413&lt;=Assumptions!$C$42,L412=1,P412=0,O412&gt;Assumptions!$C$43),1,0)</f>
        <v>0</v>
      </c>
      <c r="M413" s="58" t="n">
        <f aca="false">O412</f>
        <v>-10.8661391719591</v>
      </c>
      <c r="N413" s="58" t="n">
        <f aca="false">IF(L413=1,M413*$B$20,0)</f>
        <v>0</v>
      </c>
      <c r="O413" s="58" t="n">
        <f aca="false">IF(L413=1,M413+N413-$B$21,M413)</f>
        <v>-10.8661391719591</v>
      </c>
      <c r="P413" s="56" t="n">
        <f aca="false">IF(L413=1,IF($B$21&lt;=N413,1,0),0)</f>
        <v>0</v>
      </c>
      <c r="Q413" s="58" t="n">
        <f aca="false">Q412+N413</f>
        <v>989.13386082804</v>
      </c>
    </row>
    <row r="414" customFormat="false" ht="15" hidden="false" customHeight="false" outlineLevel="0" collapsed="false">
      <c r="K414" s="56" t="n">
        <f aca="false">K413+1</f>
        <v>407</v>
      </c>
      <c r="L414" s="57" t="n">
        <f aca="false">IF(AND(K414&lt;=Assumptions!$C$42,L413=1,P413=0,O413&gt;Assumptions!$C$43),1,0)</f>
        <v>0</v>
      </c>
      <c r="M414" s="58" t="n">
        <f aca="false">O413</f>
        <v>-10.8661391719591</v>
      </c>
      <c r="N414" s="58" t="n">
        <f aca="false">IF(L414=1,M414*$B$20,0)</f>
        <v>0</v>
      </c>
      <c r="O414" s="58" t="n">
        <f aca="false">IF(L414=1,M414+N414-$B$21,M414)</f>
        <v>-10.8661391719591</v>
      </c>
      <c r="P414" s="56" t="n">
        <f aca="false">IF(L414=1,IF($B$21&lt;=N414,1,0),0)</f>
        <v>0</v>
      </c>
      <c r="Q414" s="58" t="n">
        <f aca="false">Q413+N414</f>
        <v>989.13386082804</v>
      </c>
    </row>
    <row r="415" customFormat="false" ht="15" hidden="false" customHeight="false" outlineLevel="0" collapsed="false">
      <c r="K415" s="56" t="n">
        <f aca="false">K414+1</f>
        <v>408</v>
      </c>
      <c r="L415" s="57" t="n">
        <f aca="false">IF(AND(K415&lt;=Assumptions!$C$42,L414=1,P414=0,O414&gt;Assumptions!$C$43),1,0)</f>
        <v>0</v>
      </c>
      <c r="M415" s="58" t="n">
        <f aca="false">O414</f>
        <v>-10.8661391719591</v>
      </c>
      <c r="N415" s="58" t="n">
        <f aca="false">IF(L415=1,M415*$B$20,0)</f>
        <v>0</v>
      </c>
      <c r="O415" s="58" t="n">
        <f aca="false">IF(L415=1,M415+N415-$B$21,M415)</f>
        <v>-10.8661391719591</v>
      </c>
      <c r="P415" s="56" t="n">
        <f aca="false">IF(L415=1,IF($B$21&lt;=N415,1,0),0)</f>
        <v>0</v>
      </c>
      <c r="Q415" s="58" t="n">
        <f aca="false">Q414+N415</f>
        <v>989.13386082804</v>
      </c>
    </row>
    <row r="416" customFormat="false" ht="15" hidden="false" customHeight="false" outlineLevel="0" collapsed="false">
      <c r="K416" s="56" t="n">
        <f aca="false">K415+1</f>
        <v>409</v>
      </c>
      <c r="L416" s="57" t="n">
        <f aca="false">IF(AND(K416&lt;=Assumptions!$C$42,L415=1,P415=0,O415&gt;Assumptions!$C$43),1,0)</f>
        <v>0</v>
      </c>
      <c r="M416" s="58" t="n">
        <f aca="false">O415</f>
        <v>-10.8661391719591</v>
      </c>
      <c r="N416" s="58" t="n">
        <f aca="false">IF(L416=1,M416*$B$20,0)</f>
        <v>0</v>
      </c>
      <c r="O416" s="58" t="n">
        <f aca="false">IF(L416=1,M416+N416-$B$21,M416)</f>
        <v>-10.8661391719591</v>
      </c>
      <c r="P416" s="56" t="n">
        <f aca="false">IF(L416=1,IF($B$21&lt;=N416,1,0),0)</f>
        <v>0</v>
      </c>
      <c r="Q416" s="58" t="n">
        <f aca="false">Q415+N416</f>
        <v>989.13386082804</v>
      </c>
    </row>
    <row r="417" customFormat="false" ht="15" hidden="false" customHeight="false" outlineLevel="0" collapsed="false">
      <c r="K417" s="56" t="n">
        <f aca="false">K416+1</f>
        <v>410</v>
      </c>
      <c r="L417" s="57" t="n">
        <f aca="false">IF(AND(K417&lt;=Assumptions!$C$42,L416=1,P416=0,O416&gt;Assumptions!$C$43),1,0)</f>
        <v>0</v>
      </c>
      <c r="M417" s="58" t="n">
        <f aca="false">O416</f>
        <v>-10.8661391719591</v>
      </c>
      <c r="N417" s="58" t="n">
        <f aca="false">IF(L417=1,M417*$B$20,0)</f>
        <v>0</v>
      </c>
      <c r="O417" s="58" t="n">
        <f aca="false">IF(L417=1,M417+N417-$B$21,M417)</f>
        <v>-10.8661391719591</v>
      </c>
      <c r="P417" s="56" t="n">
        <f aca="false">IF(L417=1,IF($B$21&lt;=N417,1,0),0)</f>
        <v>0</v>
      </c>
      <c r="Q417" s="58" t="n">
        <f aca="false">Q416+N417</f>
        <v>989.13386082804</v>
      </c>
    </row>
    <row r="418" customFormat="false" ht="15" hidden="false" customHeight="false" outlineLevel="0" collapsed="false">
      <c r="K418" s="56" t="n">
        <f aca="false">K417+1</f>
        <v>411</v>
      </c>
      <c r="L418" s="57" t="n">
        <f aca="false">IF(AND(K418&lt;=Assumptions!$C$42,L417=1,P417=0,O417&gt;Assumptions!$C$43),1,0)</f>
        <v>0</v>
      </c>
      <c r="M418" s="58" t="n">
        <f aca="false">O417</f>
        <v>-10.8661391719591</v>
      </c>
      <c r="N418" s="58" t="n">
        <f aca="false">IF(L418=1,M418*$B$20,0)</f>
        <v>0</v>
      </c>
      <c r="O418" s="58" t="n">
        <f aca="false">IF(L418=1,M418+N418-$B$21,M418)</f>
        <v>-10.8661391719591</v>
      </c>
      <c r="P418" s="56" t="n">
        <f aca="false">IF(L418=1,IF($B$21&lt;=N418,1,0),0)</f>
        <v>0</v>
      </c>
      <c r="Q418" s="58" t="n">
        <f aca="false">Q417+N418</f>
        <v>989.13386082804</v>
      </c>
    </row>
    <row r="419" customFormat="false" ht="15" hidden="false" customHeight="false" outlineLevel="0" collapsed="false">
      <c r="K419" s="56" t="n">
        <f aca="false">K418+1</f>
        <v>412</v>
      </c>
      <c r="L419" s="57" t="n">
        <f aca="false">IF(AND(K419&lt;=Assumptions!$C$42,L418=1,P418=0,O418&gt;Assumptions!$C$43),1,0)</f>
        <v>0</v>
      </c>
      <c r="M419" s="58" t="n">
        <f aca="false">O418</f>
        <v>-10.8661391719591</v>
      </c>
      <c r="N419" s="58" t="n">
        <f aca="false">IF(L419=1,M419*$B$20,0)</f>
        <v>0</v>
      </c>
      <c r="O419" s="58" t="n">
        <f aca="false">IF(L419=1,M419+N419-$B$21,M419)</f>
        <v>-10.8661391719591</v>
      </c>
      <c r="P419" s="56" t="n">
        <f aca="false">IF(L419=1,IF($B$21&lt;=N419,1,0),0)</f>
        <v>0</v>
      </c>
      <c r="Q419" s="58" t="n">
        <f aca="false">Q418+N419</f>
        <v>989.13386082804</v>
      </c>
    </row>
    <row r="420" customFormat="false" ht="15" hidden="false" customHeight="false" outlineLevel="0" collapsed="false">
      <c r="K420" s="56" t="n">
        <f aca="false">K419+1</f>
        <v>413</v>
      </c>
      <c r="L420" s="57" t="n">
        <f aca="false">IF(AND(K420&lt;=Assumptions!$C$42,L419=1,P419=0,O419&gt;Assumptions!$C$43),1,0)</f>
        <v>0</v>
      </c>
      <c r="M420" s="58" t="n">
        <f aca="false">O419</f>
        <v>-10.8661391719591</v>
      </c>
      <c r="N420" s="58" t="n">
        <f aca="false">IF(L420=1,M420*$B$20,0)</f>
        <v>0</v>
      </c>
      <c r="O420" s="58" t="n">
        <f aca="false">IF(L420=1,M420+N420-$B$21,M420)</f>
        <v>-10.8661391719591</v>
      </c>
      <c r="P420" s="56" t="n">
        <f aca="false">IF(L420=1,IF($B$21&lt;=N420,1,0),0)</f>
        <v>0</v>
      </c>
      <c r="Q420" s="58" t="n">
        <f aca="false">Q419+N420</f>
        <v>989.13386082804</v>
      </c>
    </row>
    <row r="421" customFormat="false" ht="15" hidden="false" customHeight="false" outlineLevel="0" collapsed="false">
      <c r="K421" s="56" t="n">
        <f aca="false">K420+1</f>
        <v>414</v>
      </c>
      <c r="L421" s="57" t="n">
        <f aca="false">IF(AND(K421&lt;=Assumptions!$C$42,L420=1,P420=0,O420&gt;Assumptions!$C$43),1,0)</f>
        <v>0</v>
      </c>
      <c r="M421" s="58" t="n">
        <f aca="false">O420</f>
        <v>-10.8661391719591</v>
      </c>
      <c r="N421" s="58" t="n">
        <f aca="false">IF(L421=1,M421*$B$20,0)</f>
        <v>0</v>
      </c>
      <c r="O421" s="58" t="n">
        <f aca="false">IF(L421=1,M421+N421-$B$21,M421)</f>
        <v>-10.8661391719591</v>
      </c>
      <c r="P421" s="56" t="n">
        <f aca="false">IF(L421=1,IF($B$21&lt;=N421,1,0),0)</f>
        <v>0</v>
      </c>
      <c r="Q421" s="58" t="n">
        <f aca="false">Q420+N421</f>
        <v>989.13386082804</v>
      </c>
    </row>
    <row r="422" customFormat="false" ht="15" hidden="false" customHeight="false" outlineLevel="0" collapsed="false">
      <c r="K422" s="56" t="n">
        <f aca="false">K421+1</f>
        <v>415</v>
      </c>
      <c r="L422" s="57" t="n">
        <f aca="false">IF(AND(K422&lt;=Assumptions!$C$42,L421=1,P421=0,O421&gt;Assumptions!$C$43),1,0)</f>
        <v>0</v>
      </c>
      <c r="M422" s="58" t="n">
        <f aca="false">O421</f>
        <v>-10.8661391719591</v>
      </c>
      <c r="N422" s="58" t="n">
        <f aca="false">IF(L422=1,M422*$B$20,0)</f>
        <v>0</v>
      </c>
      <c r="O422" s="58" t="n">
        <f aca="false">IF(L422=1,M422+N422-$B$21,M422)</f>
        <v>-10.8661391719591</v>
      </c>
      <c r="P422" s="56" t="n">
        <f aca="false">IF(L422=1,IF($B$21&lt;=N422,1,0),0)</f>
        <v>0</v>
      </c>
      <c r="Q422" s="58" t="n">
        <f aca="false">Q421+N422</f>
        <v>989.13386082804</v>
      </c>
    </row>
    <row r="423" customFormat="false" ht="15" hidden="false" customHeight="false" outlineLevel="0" collapsed="false">
      <c r="K423" s="56" t="n">
        <f aca="false">K422+1</f>
        <v>416</v>
      </c>
      <c r="L423" s="57" t="n">
        <f aca="false">IF(AND(K423&lt;=Assumptions!$C$42,L422=1,P422=0,O422&gt;Assumptions!$C$43),1,0)</f>
        <v>0</v>
      </c>
      <c r="M423" s="58" t="n">
        <f aca="false">O422</f>
        <v>-10.8661391719591</v>
      </c>
      <c r="N423" s="58" t="n">
        <f aca="false">IF(L423=1,M423*$B$20,0)</f>
        <v>0</v>
      </c>
      <c r="O423" s="58" t="n">
        <f aca="false">IF(L423=1,M423+N423-$B$21,M423)</f>
        <v>-10.8661391719591</v>
      </c>
      <c r="P423" s="56" t="n">
        <f aca="false">IF(L423=1,IF($B$21&lt;=N423,1,0),0)</f>
        <v>0</v>
      </c>
      <c r="Q423" s="58" t="n">
        <f aca="false">Q422+N423</f>
        <v>989.13386082804</v>
      </c>
    </row>
    <row r="424" customFormat="false" ht="15" hidden="false" customHeight="false" outlineLevel="0" collapsed="false">
      <c r="K424" s="56" t="n">
        <f aca="false">K423+1</f>
        <v>417</v>
      </c>
      <c r="L424" s="57" t="n">
        <f aca="false">IF(AND(K424&lt;=Assumptions!$C$42,L423=1,P423=0,O423&gt;Assumptions!$C$43),1,0)</f>
        <v>0</v>
      </c>
      <c r="M424" s="58" t="n">
        <f aca="false">O423</f>
        <v>-10.8661391719591</v>
      </c>
      <c r="N424" s="58" t="n">
        <f aca="false">IF(L424=1,M424*$B$20,0)</f>
        <v>0</v>
      </c>
      <c r="O424" s="58" t="n">
        <f aca="false">IF(L424=1,M424+N424-$B$21,M424)</f>
        <v>-10.8661391719591</v>
      </c>
      <c r="P424" s="56" t="n">
        <f aca="false">IF(L424=1,IF($B$21&lt;=N424,1,0),0)</f>
        <v>0</v>
      </c>
      <c r="Q424" s="58" t="n">
        <f aca="false">Q423+N424</f>
        <v>989.13386082804</v>
      </c>
    </row>
    <row r="425" customFormat="false" ht="15" hidden="false" customHeight="false" outlineLevel="0" collapsed="false">
      <c r="K425" s="56" t="n">
        <f aca="false">K424+1</f>
        <v>418</v>
      </c>
      <c r="L425" s="57" t="n">
        <f aca="false">IF(AND(K425&lt;=Assumptions!$C$42,L424=1,P424=0,O424&gt;Assumptions!$C$43),1,0)</f>
        <v>0</v>
      </c>
      <c r="M425" s="58" t="n">
        <f aca="false">O424</f>
        <v>-10.8661391719591</v>
      </c>
      <c r="N425" s="58" t="n">
        <f aca="false">IF(L425=1,M425*$B$20,0)</f>
        <v>0</v>
      </c>
      <c r="O425" s="58" t="n">
        <f aca="false">IF(L425=1,M425+N425-$B$21,M425)</f>
        <v>-10.8661391719591</v>
      </c>
      <c r="P425" s="56" t="n">
        <f aca="false">IF(L425=1,IF($B$21&lt;=N425,1,0),0)</f>
        <v>0</v>
      </c>
      <c r="Q425" s="58" t="n">
        <f aca="false">Q424+N425</f>
        <v>989.13386082804</v>
      </c>
    </row>
    <row r="426" customFormat="false" ht="15" hidden="false" customHeight="false" outlineLevel="0" collapsed="false">
      <c r="K426" s="56" t="n">
        <f aca="false">K425+1</f>
        <v>419</v>
      </c>
      <c r="L426" s="57" t="n">
        <f aca="false">IF(AND(K426&lt;=Assumptions!$C$42,L425=1,P425=0,O425&gt;Assumptions!$C$43),1,0)</f>
        <v>0</v>
      </c>
      <c r="M426" s="58" t="n">
        <f aca="false">O425</f>
        <v>-10.8661391719591</v>
      </c>
      <c r="N426" s="58" t="n">
        <f aca="false">IF(L426=1,M426*$B$20,0)</f>
        <v>0</v>
      </c>
      <c r="O426" s="58" t="n">
        <f aca="false">IF(L426=1,M426+N426-$B$21,M426)</f>
        <v>-10.8661391719591</v>
      </c>
      <c r="P426" s="56" t="n">
        <f aca="false">IF(L426=1,IF($B$21&lt;=N426,1,0),0)</f>
        <v>0</v>
      </c>
      <c r="Q426" s="58" t="n">
        <f aca="false">Q425+N426</f>
        <v>989.13386082804</v>
      </c>
    </row>
    <row r="427" customFormat="false" ht="15" hidden="false" customHeight="false" outlineLevel="0" collapsed="false">
      <c r="K427" s="56" t="n">
        <f aca="false">K426+1</f>
        <v>420</v>
      </c>
      <c r="L427" s="57" t="n">
        <f aca="false">IF(AND(K427&lt;=Assumptions!$C$42,L426=1,P426=0,O426&gt;Assumptions!$C$43),1,0)</f>
        <v>0</v>
      </c>
      <c r="M427" s="58" t="n">
        <f aca="false">O426</f>
        <v>-10.8661391719591</v>
      </c>
      <c r="N427" s="58" t="n">
        <f aca="false">IF(L427=1,M427*$B$20,0)</f>
        <v>0</v>
      </c>
      <c r="O427" s="58" t="n">
        <f aca="false">IF(L427=1,M427+N427-$B$21,M427)</f>
        <v>-10.8661391719591</v>
      </c>
      <c r="P427" s="56" t="n">
        <f aca="false">IF(L427=1,IF($B$21&lt;=N427,1,0),0)</f>
        <v>0</v>
      </c>
      <c r="Q427" s="58" t="n">
        <f aca="false">Q426+N427</f>
        <v>989.13386082804</v>
      </c>
    </row>
    <row r="428" customFormat="false" ht="15" hidden="false" customHeight="false" outlineLevel="0" collapsed="false">
      <c r="K428" s="56" t="n">
        <f aca="false">K427+1</f>
        <v>421</v>
      </c>
      <c r="L428" s="57" t="n">
        <f aca="false">IF(AND(K428&lt;=Assumptions!$C$42,L427=1,P427=0,O427&gt;Assumptions!$C$43),1,0)</f>
        <v>0</v>
      </c>
      <c r="M428" s="58" t="n">
        <f aca="false">O427</f>
        <v>-10.8661391719591</v>
      </c>
      <c r="N428" s="58" t="n">
        <f aca="false">IF(L428=1,M428*$B$20,0)</f>
        <v>0</v>
      </c>
      <c r="O428" s="58" t="n">
        <f aca="false">IF(L428=1,M428+N428-$B$21,M428)</f>
        <v>-10.8661391719591</v>
      </c>
      <c r="P428" s="56" t="n">
        <f aca="false">IF(L428=1,IF($B$21&lt;=N428,1,0),0)</f>
        <v>0</v>
      </c>
      <c r="Q428" s="58" t="n">
        <f aca="false">Q427+N428</f>
        <v>989.13386082804</v>
      </c>
    </row>
    <row r="429" customFormat="false" ht="15" hidden="false" customHeight="false" outlineLevel="0" collapsed="false">
      <c r="K429" s="56" t="n">
        <f aca="false">K428+1</f>
        <v>422</v>
      </c>
      <c r="L429" s="57" t="n">
        <f aca="false">IF(AND(K429&lt;=Assumptions!$C$42,L428=1,P428=0,O428&gt;Assumptions!$C$43),1,0)</f>
        <v>0</v>
      </c>
      <c r="M429" s="58" t="n">
        <f aca="false">O428</f>
        <v>-10.8661391719591</v>
      </c>
      <c r="N429" s="58" t="n">
        <f aca="false">IF(L429=1,M429*$B$20,0)</f>
        <v>0</v>
      </c>
      <c r="O429" s="58" t="n">
        <f aca="false">IF(L429=1,M429+N429-$B$21,M429)</f>
        <v>-10.8661391719591</v>
      </c>
      <c r="P429" s="56" t="n">
        <f aca="false">IF(L429=1,IF($B$21&lt;=N429,1,0),0)</f>
        <v>0</v>
      </c>
      <c r="Q429" s="58" t="n">
        <f aca="false">Q428+N429</f>
        <v>989.13386082804</v>
      </c>
    </row>
    <row r="430" customFormat="false" ht="15" hidden="false" customHeight="false" outlineLevel="0" collapsed="false">
      <c r="K430" s="56" t="n">
        <f aca="false">K429+1</f>
        <v>423</v>
      </c>
      <c r="L430" s="57" t="n">
        <f aca="false">IF(AND(K430&lt;=Assumptions!$C$42,L429=1,P429=0,O429&gt;Assumptions!$C$43),1,0)</f>
        <v>0</v>
      </c>
      <c r="M430" s="58" t="n">
        <f aca="false">O429</f>
        <v>-10.8661391719591</v>
      </c>
      <c r="N430" s="58" t="n">
        <f aca="false">IF(L430=1,M430*$B$20,0)</f>
        <v>0</v>
      </c>
      <c r="O430" s="58" t="n">
        <f aca="false">IF(L430=1,M430+N430-$B$21,M430)</f>
        <v>-10.8661391719591</v>
      </c>
      <c r="P430" s="56" t="n">
        <f aca="false">IF(L430=1,IF($B$21&lt;=N430,1,0),0)</f>
        <v>0</v>
      </c>
      <c r="Q430" s="58" t="n">
        <f aca="false">Q429+N430</f>
        <v>989.13386082804</v>
      </c>
    </row>
    <row r="431" customFormat="false" ht="15" hidden="false" customHeight="false" outlineLevel="0" collapsed="false">
      <c r="K431" s="56" t="n">
        <f aca="false">K430+1</f>
        <v>424</v>
      </c>
      <c r="L431" s="57" t="n">
        <f aca="false">IF(AND(K431&lt;=Assumptions!$C$42,L430=1,P430=0,O430&gt;Assumptions!$C$43),1,0)</f>
        <v>0</v>
      </c>
      <c r="M431" s="58" t="n">
        <f aca="false">O430</f>
        <v>-10.8661391719591</v>
      </c>
      <c r="N431" s="58" t="n">
        <f aca="false">IF(L431=1,M431*$B$20,0)</f>
        <v>0</v>
      </c>
      <c r="O431" s="58" t="n">
        <f aca="false">IF(L431=1,M431+N431-$B$21,M431)</f>
        <v>-10.8661391719591</v>
      </c>
      <c r="P431" s="56" t="n">
        <f aca="false">IF(L431=1,IF($B$21&lt;=N431,1,0),0)</f>
        <v>0</v>
      </c>
      <c r="Q431" s="58" t="n">
        <f aca="false">Q430+N431</f>
        <v>989.13386082804</v>
      </c>
    </row>
    <row r="432" customFormat="false" ht="15" hidden="false" customHeight="false" outlineLevel="0" collapsed="false">
      <c r="K432" s="56" t="n">
        <f aca="false">K431+1</f>
        <v>425</v>
      </c>
      <c r="L432" s="57" t="n">
        <f aca="false">IF(AND(K432&lt;=Assumptions!$C$42,L431=1,P431=0,O431&gt;Assumptions!$C$43),1,0)</f>
        <v>0</v>
      </c>
      <c r="M432" s="58" t="n">
        <f aca="false">O431</f>
        <v>-10.8661391719591</v>
      </c>
      <c r="N432" s="58" t="n">
        <f aca="false">IF(L432=1,M432*$B$20,0)</f>
        <v>0</v>
      </c>
      <c r="O432" s="58" t="n">
        <f aca="false">IF(L432=1,M432+N432-$B$21,M432)</f>
        <v>-10.8661391719591</v>
      </c>
      <c r="P432" s="56" t="n">
        <f aca="false">IF(L432=1,IF($B$21&lt;=N432,1,0),0)</f>
        <v>0</v>
      </c>
      <c r="Q432" s="58" t="n">
        <f aca="false">Q431+N432</f>
        <v>989.13386082804</v>
      </c>
    </row>
    <row r="433" customFormat="false" ht="15" hidden="false" customHeight="false" outlineLevel="0" collapsed="false">
      <c r="K433" s="56" t="n">
        <f aca="false">K432+1</f>
        <v>426</v>
      </c>
      <c r="L433" s="57" t="n">
        <f aca="false">IF(AND(K433&lt;=Assumptions!$C$42,L432=1,P432=0,O432&gt;Assumptions!$C$43),1,0)</f>
        <v>0</v>
      </c>
      <c r="M433" s="58" t="n">
        <f aca="false">O432</f>
        <v>-10.8661391719591</v>
      </c>
      <c r="N433" s="58" t="n">
        <f aca="false">IF(L433=1,M433*$B$20,0)</f>
        <v>0</v>
      </c>
      <c r="O433" s="58" t="n">
        <f aca="false">IF(L433=1,M433+N433-$B$21,M433)</f>
        <v>-10.8661391719591</v>
      </c>
      <c r="P433" s="56" t="n">
        <f aca="false">IF(L433=1,IF($B$21&lt;=N433,1,0),0)</f>
        <v>0</v>
      </c>
      <c r="Q433" s="58" t="n">
        <f aca="false">Q432+N433</f>
        <v>989.13386082804</v>
      </c>
    </row>
    <row r="434" customFormat="false" ht="15" hidden="false" customHeight="false" outlineLevel="0" collapsed="false">
      <c r="K434" s="56" t="n">
        <f aca="false">K433+1</f>
        <v>427</v>
      </c>
      <c r="L434" s="57" t="n">
        <f aca="false">IF(AND(K434&lt;=Assumptions!$C$42,L433=1,P433=0,O433&gt;Assumptions!$C$43),1,0)</f>
        <v>0</v>
      </c>
      <c r="M434" s="58" t="n">
        <f aca="false">O433</f>
        <v>-10.8661391719591</v>
      </c>
      <c r="N434" s="58" t="n">
        <f aca="false">IF(L434=1,M434*$B$20,0)</f>
        <v>0</v>
      </c>
      <c r="O434" s="58" t="n">
        <f aca="false">IF(L434=1,M434+N434-$B$21,M434)</f>
        <v>-10.8661391719591</v>
      </c>
      <c r="P434" s="56" t="n">
        <f aca="false">IF(L434=1,IF($B$21&lt;=N434,1,0),0)</f>
        <v>0</v>
      </c>
      <c r="Q434" s="58" t="n">
        <f aca="false">Q433+N434</f>
        <v>989.13386082804</v>
      </c>
    </row>
    <row r="435" customFormat="false" ht="15" hidden="false" customHeight="false" outlineLevel="0" collapsed="false">
      <c r="K435" s="56" t="n">
        <f aca="false">K434+1</f>
        <v>428</v>
      </c>
      <c r="L435" s="57" t="n">
        <f aca="false">IF(AND(K435&lt;=Assumptions!$C$42,L434=1,P434=0,O434&gt;Assumptions!$C$43),1,0)</f>
        <v>0</v>
      </c>
      <c r="M435" s="58" t="n">
        <f aca="false">O434</f>
        <v>-10.8661391719591</v>
      </c>
      <c r="N435" s="58" t="n">
        <f aca="false">IF(L435=1,M435*$B$20,0)</f>
        <v>0</v>
      </c>
      <c r="O435" s="58" t="n">
        <f aca="false">IF(L435=1,M435+N435-$B$21,M435)</f>
        <v>-10.8661391719591</v>
      </c>
      <c r="P435" s="56" t="n">
        <f aca="false">IF(L435=1,IF($B$21&lt;=N435,1,0),0)</f>
        <v>0</v>
      </c>
      <c r="Q435" s="58" t="n">
        <f aca="false">Q434+N435</f>
        <v>989.13386082804</v>
      </c>
    </row>
    <row r="436" customFormat="false" ht="15" hidden="false" customHeight="false" outlineLevel="0" collapsed="false">
      <c r="K436" s="56" t="n">
        <f aca="false">K435+1</f>
        <v>429</v>
      </c>
      <c r="L436" s="57" t="n">
        <f aca="false">IF(AND(K436&lt;=Assumptions!$C$42,L435=1,P435=0,O435&gt;Assumptions!$C$43),1,0)</f>
        <v>0</v>
      </c>
      <c r="M436" s="58" t="n">
        <f aca="false">O435</f>
        <v>-10.8661391719591</v>
      </c>
      <c r="N436" s="58" t="n">
        <f aca="false">IF(L436=1,M436*$B$20,0)</f>
        <v>0</v>
      </c>
      <c r="O436" s="58" t="n">
        <f aca="false">IF(L436=1,M436+N436-$B$21,M436)</f>
        <v>-10.8661391719591</v>
      </c>
      <c r="P436" s="56" t="n">
        <f aca="false">IF(L436=1,IF($B$21&lt;=N436,1,0),0)</f>
        <v>0</v>
      </c>
      <c r="Q436" s="58" t="n">
        <f aca="false">Q435+N436</f>
        <v>989.13386082804</v>
      </c>
    </row>
    <row r="437" customFormat="false" ht="15" hidden="false" customHeight="false" outlineLevel="0" collapsed="false">
      <c r="K437" s="56" t="n">
        <f aca="false">K436+1</f>
        <v>430</v>
      </c>
      <c r="L437" s="57" t="n">
        <f aca="false">IF(AND(K437&lt;=Assumptions!$C$42,L436=1,P436=0,O436&gt;Assumptions!$C$43),1,0)</f>
        <v>0</v>
      </c>
      <c r="M437" s="58" t="n">
        <f aca="false">O436</f>
        <v>-10.8661391719591</v>
      </c>
      <c r="N437" s="58" t="n">
        <f aca="false">IF(L437=1,M437*$B$20,0)</f>
        <v>0</v>
      </c>
      <c r="O437" s="58" t="n">
        <f aca="false">IF(L437=1,M437+N437-$B$21,M437)</f>
        <v>-10.8661391719591</v>
      </c>
      <c r="P437" s="56" t="n">
        <f aca="false">IF(L437=1,IF($B$21&lt;=N437,1,0),0)</f>
        <v>0</v>
      </c>
      <c r="Q437" s="58" t="n">
        <f aca="false">Q436+N437</f>
        <v>989.13386082804</v>
      </c>
    </row>
    <row r="438" customFormat="false" ht="15" hidden="false" customHeight="false" outlineLevel="0" collapsed="false">
      <c r="K438" s="56" t="n">
        <f aca="false">K437+1</f>
        <v>431</v>
      </c>
      <c r="L438" s="57" t="n">
        <f aca="false">IF(AND(K438&lt;=Assumptions!$C$42,L437=1,P437=0,O437&gt;Assumptions!$C$43),1,0)</f>
        <v>0</v>
      </c>
      <c r="M438" s="58" t="n">
        <f aca="false">O437</f>
        <v>-10.8661391719591</v>
      </c>
      <c r="N438" s="58" t="n">
        <f aca="false">IF(L438=1,M438*$B$20,0)</f>
        <v>0</v>
      </c>
      <c r="O438" s="58" t="n">
        <f aca="false">IF(L438=1,M438+N438-$B$21,M438)</f>
        <v>-10.8661391719591</v>
      </c>
      <c r="P438" s="56" t="n">
        <f aca="false">IF(L438=1,IF($B$21&lt;=N438,1,0),0)</f>
        <v>0</v>
      </c>
      <c r="Q438" s="58" t="n">
        <f aca="false">Q437+N438</f>
        <v>989.13386082804</v>
      </c>
    </row>
    <row r="439" customFormat="false" ht="15" hidden="false" customHeight="false" outlineLevel="0" collapsed="false">
      <c r="K439" s="56" t="n">
        <f aca="false">K438+1</f>
        <v>432</v>
      </c>
      <c r="L439" s="57" t="n">
        <f aca="false">IF(AND(K439&lt;=Assumptions!$C$42,L438=1,P438=0,O438&gt;Assumptions!$C$43),1,0)</f>
        <v>0</v>
      </c>
      <c r="M439" s="58" t="n">
        <f aca="false">O438</f>
        <v>-10.8661391719591</v>
      </c>
      <c r="N439" s="58" t="n">
        <f aca="false">IF(L439=1,M439*$B$20,0)</f>
        <v>0</v>
      </c>
      <c r="O439" s="58" t="n">
        <f aca="false">IF(L439=1,M439+N439-$B$21,M439)</f>
        <v>-10.8661391719591</v>
      </c>
      <c r="P439" s="56" t="n">
        <f aca="false">IF(L439=1,IF($B$21&lt;=N439,1,0),0)</f>
        <v>0</v>
      </c>
      <c r="Q439" s="58" t="n">
        <f aca="false">Q438+N439</f>
        <v>989.13386082804</v>
      </c>
    </row>
    <row r="440" customFormat="false" ht="15" hidden="false" customHeight="false" outlineLevel="0" collapsed="false">
      <c r="K440" s="56" t="n">
        <f aca="false">K439+1</f>
        <v>433</v>
      </c>
      <c r="L440" s="57" t="n">
        <f aca="false">IF(AND(K440&lt;=Assumptions!$C$42,L439=1,P439=0,O439&gt;Assumptions!$C$43),1,0)</f>
        <v>0</v>
      </c>
      <c r="M440" s="58" t="n">
        <f aca="false">O439</f>
        <v>-10.8661391719591</v>
      </c>
      <c r="N440" s="58" t="n">
        <f aca="false">IF(L440=1,M440*$B$20,0)</f>
        <v>0</v>
      </c>
      <c r="O440" s="58" t="n">
        <f aca="false">IF(L440=1,M440+N440-$B$21,M440)</f>
        <v>-10.8661391719591</v>
      </c>
      <c r="P440" s="56" t="n">
        <f aca="false">IF(L440=1,IF($B$21&lt;=N440,1,0),0)</f>
        <v>0</v>
      </c>
      <c r="Q440" s="58" t="n">
        <f aca="false">Q439+N440</f>
        <v>989.13386082804</v>
      </c>
    </row>
    <row r="441" customFormat="false" ht="15" hidden="false" customHeight="false" outlineLevel="0" collapsed="false">
      <c r="K441" s="56" t="n">
        <f aca="false">K440+1</f>
        <v>434</v>
      </c>
      <c r="L441" s="57" t="n">
        <f aca="false">IF(AND(K441&lt;=Assumptions!$C$42,L440=1,P440=0,O440&gt;Assumptions!$C$43),1,0)</f>
        <v>0</v>
      </c>
      <c r="M441" s="58" t="n">
        <f aca="false">O440</f>
        <v>-10.8661391719591</v>
      </c>
      <c r="N441" s="58" t="n">
        <f aca="false">IF(L441=1,M441*$B$20,0)</f>
        <v>0</v>
      </c>
      <c r="O441" s="58" t="n">
        <f aca="false">IF(L441=1,M441+N441-$B$21,M441)</f>
        <v>-10.8661391719591</v>
      </c>
      <c r="P441" s="56" t="n">
        <f aca="false">IF(L441=1,IF($B$21&lt;=N441,1,0),0)</f>
        <v>0</v>
      </c>
      <c r="Q441" s="58" t="n">
        <f aca="false">Q440+N441</f>
        <v>989.13386082804</v>
      </c>
    </row>
    <row r="442" customFormat="false" ht="15" hidden="false" customHeight="false" outlineLevel="0" collapsed="false">
      <c r="K442" s="56" t="n">
        <f aca="false">K441+1</f>
        <v>435</v>
      </c>
      <c r="L442" s="57" t="n">
        <f aca="false">IF(AND(K442&lt;=Assumptions!$C$42,L441=1,P441=0,O441&gt;Assumptions!$C$43),1,0)</f>
        <v>0</v>
      </c>
      <c r="M442" s="58" t="n">
        <f aca="false">O441</f>
        <v>-10.8661391719591</v>
      </c>
      <c r="N442" s="58" t="n">
        <f aca="false">IF(L442=1,M442*$B$20,0)</f>
        <v>0</v>
      </c>
      <c r="O442" s="58" t="n">
        <f aca="false">IF(L442=1,M442+N442-$B$21,M442)</f>
        <v>-10.8661391719591</v>
      </c>
      <c r="P442" s="56" t="n">
        <f aca="false">IF(L442=1,IF($B$21&lt;=N442,1,0),0)</f>
        <v>0</v>
      </c>
      <c r="Q442" s="58" t="n">
        <f aca="false">Q441+N442</f>
        <v>989.13386082804</v>
      </c>
    </row>
    <row r="443" customFormat="false" ht="15" hidden="false" customHeight="false" outlineLevel="0" collapsed="false">
      <c r="K443" s="56" t="n">
        <f aca="false">K442+1</f>
        <v>436</v>
      </c>
      <c r="L443" s="57" t="n">
        <f aca="false">IF(AND(K443&lt;=Assumptions!$C$42,L442=1,P442=0,O442&gt;Assumptions!$C$43),1,0)</f>
        <v>0</v>
      </c>
      <c r="M443" s="58" t="n">
        <f aca="false">O442</f>
        <v>-10.8661391719591</v>
      </c>
      <c r="N443" s="58" t="n">
        <f aca="false">IF(L443=1,M443*$B$20,0)</f>
        <v>0</v>
      </c>
      <c r="O443" s="58" t="n">
        <f aca="false">IF(L443=1,M443+N443-$B$21,M443)</f>
        <v>-10.8661391719591</v>
      </c>
      <c r="P443" s="56" t="n">
        <f aca="false">IF(L443=1,IF($B$21&lt;=N443,1,0),0)</f>
        <v>0</v>
      </c>
      <c r="Q443" s="58" t="n">
        <f aca="false">Q442+N443</f>
        <v>989.13386082804</v>
      </c>
    </row>
    <row r="444" customFormat="false" ht="15" hidden="false" customHeight="false" outlineLevel="0" collapsed="false">
      <c r="K444" s="56" t="n">
        <f aca="false">K443+1</f>
        <v>437</v>
      </c>
      <c r="L444" s="57" t="n">
        <f aca="false">IF(AND(K444&lt;=Assumptions!$C$42,L443=1,P443=0,O443&gt;Assumptions!$C$43),1,0)</f>
        <v>0</v>
      </c>
      <c r="M444" s="58" t="n">
        <f aca="false">O443</f>
        <v>-10.8661391719591</v>
      </c>
      <c r="N444" s="58" t="n">
        <f aca="false">IF(L444=1,M444*$B$20,0)</f>
        <v>0</v>
      </c>
      <c r="O444" s="58" t="n">
        <f aca="false">IF(L444=1,M444+N444-$B$21,M444)</f>
        <v>-10.8661391719591</v>
      </c>
      <c r="P444" s="56" t="n">
        <f aca="false">IF(L444=1,IF($B$21&lt;=N444,1,0),0)</f>
        <v>0</v>
      </c>
      <c r="Q444" s="58" t="n">
        <f aca="false">Q443+N444</f>
        <v>989.13386082804</v>
      </c>
    </row>
    <row r="445" customFormat="false" ht="15" hidden="false" customHeight="false" outlineLevel="0" collapsed="false">
      <c r="K445" s="56" t="n">
        <f aca="false">K444+1</f>
        <v>438</v>
      </c>
      <c r="L445" s="57" t="n">
        <f aca="false">IF(AND(K445&lt;=Assumptions!$C$42,L444=1,P444=0,O444&gt;Assumptions!$C$43),1,0)</f>
        <v>0</v>
      </c>
      <c r="M445" s="58" t="n">
        <f aca="false">O444</f>
        <v>-10.8661391719591</v>
      </c>
      <c r="N445" s="58" t="n">
        <f aca="false">IF(L445=1,M445*$B$20,0)</f>
        <v>0</v>
      </c>
      <c r="O445" s="58" t="n">
        <f aca="false">IF(L445=1,M445+N445-$B$21,M445)</f>
        <v>-10.8661391719591</v>
      </c>
      <c r="P445" s="56" t="n">
        <f aca="false">IF(L445=1,IF($B$21&lt;=N445,1,0),0)</f>
        <v>0</v>
      </c>
      <c r="Q445" s="58" t="n">
        <f aca="false">Q444+N445</f>
        <v>989.13386082804</v>
      </c>
    </row>
    <row r="446" customFormat="false" ht="15" hidden="false" customHeight="false" outlineLevel="0" collapsed="false">
      <c r="K446" s="56" t="n">
        <f aca="false">K445+1</f>
        <v>439</v>
      </c>
      <c r="L446" s="57" t="n">
        <f aca="false">IF(AND(K446&lt;=Assumptions!$C$42,L445=1,P445=0,O445&gt;Assumptions!$C$43),1,0)</f>
        <v>0</v>
      </c>
      <c r="M446" s="58" t="n">
        <f aca="false">O445</f>
        <v>-10.8661391719591</v>
      </c>
      <c r="N446" s="58" t="n">
        <f aca="false">IF(L446=1,M446*$B$20,0)</f>
        <v>0</v>
      </c>
      <c r="O446" s="58" t="n">
        <f aca="false">IF(L446=1,M446+N446-$B$21,M446)</f>
        <v>-10.8661391719591</v>
      </c>
      <c r="P446" s="56" t="n">
        <f aca="false">IF(L446=1,IF($B$21&lt;=N446,1,0),0)</f>
        <v>0</v>
      </c>
      <c r="Q446" s="58" t="n">
        <f aca="false">Q445+N446</f>
        <v>989.13386082804</v>
      </c>
    </row>
    <row r="447" customFormat="false" ht="15" hidden="false" customHeight="false" outlineLevel="0" collapsed="false">
      <c r="K447" s="56" t="n">
        <f aca="false">K446+1</f>
        <v>440</v>
      </c>
      <c r="L447" s="57" t="n">
        <f aca="false">IF(AND(K447&lt;=Assumptions!$C$42,L446=1,P446=0,O446&gt;Assumptions!$C$43),1,0)</f>
        <v>0</v>
      </c>
      <c r="M447" s="58" t="n">
        <f aca="false">O446</f>
        <v>-10.8661391719591</v>
      </c>
      <c r="N447" s="58" t="n">
        <f aca="false">IF(L447=1,M447*$B$20,0)</f>
        <v>0</v>
      </c>
      <c r="O447" s="58" t="n">
        <f aca="false">IF(L447=1,M447+N447-$B$21,M447)</f>
        <v>-10.8661391719591</v>
      </c>
      <c r="P447" s="56" t="n">
        <f aca="false">IF(L447=1,IF($B$21&lt;=N447,1,0),0)</f>
        <v>0</v>
      </c>
      <c r="Q447" s="58" t="n">
        <f aca="false">Q446+N447</f>
        <v>989.13386082804</v>
      </c>
    </row>
    <row r="448" customFormat="false" ht="15" hidden="false" customHeight="false" outlineLevel="0" collapsed="false">
      <c r="K448" s="56" t="n">
        <f aca="false">K447+1</f>
        <v>441</v>
      </c>
      <c r="L448" s="57" t="n">
        <f aca="false">IF(AND(K448&lt;=Assumptions!$C$42,L447=1,P447=0,O447&gt;Assumptions!$C$43),1,0)</f>
        <v>0</v>
      </c>
      <c r="M448" s="58" t="n">
        <f aca="false">O447</f>
        <v>-10.8661391719591</v>
      </c>
      <c r="N448" s="58" t="n">
        <f aca="false">IF(L448=1,M448*$B$20,0)</f>
        <v>0</v>
      </c>
      <c r="O448" s="58" t="n">
        <f aca="false">IF(L448=1,M448+N448-$B$21,M448)</f>
        <v>-10.8661391719591</v>
      </c>
      <c r="P448" s="56" t="n">
        <f aca="false">IF(L448=1,IF($B$21&lt;=N448,1,0),0)</f>
        <v>0</v>
      </c>
      <c r="Q448" s="58" t="n">
        <f aca="false">Q447+N448</f>
        <v>989.13386082804</v>
      </c>
    </row>
    <row r="449" customFormat="false" ht="15" hidden="false" customHeight="false" outlineLevel="0" collapsed="false">
      <c r="K449" s="56" t="n">
        <f aca="false">K448+1</f>
        <v>442</v>
      </c>
      <c r="L449" s="57" t="n">
        <f aca="false">IF(AND(K449&lt;=Assumptions!$C$42,L448=1,P448=0,O448&gt;Assumptions!$C$43),1,0)</f>
        <v>0</v>
      </c>
      <c r="M449" s="58" t="n">
        <f aca="false">O448</f>
        <v>-10.8661391719591</v>
      </c>
      <c r="N449" s="58" t="n">
        <f aca="false">IF(L449=1,M449*$B$20,0)</f>
        <v>0</v>
      </c>
      <c r="O449" s="58" t="n">
        <f aca="false">IF(L449=1,M449+N449-$B$21,M449)</f>
        <v>-10.8661391719591</v>
      </c>
      <c r="P449" s="56" t="n">
        <f aca="false">IF(L449=1,IF($B$21&lt;=N449,1,0),0)</f>
        <v>0</v>
      </c>
      <c r="Q449" s="58" t="n">
        <f aca="false">Q448+N449</f>
        <v>989.13386082804</v>
      </c>
    </row>
    <row r="450" customFormat="false" ht="15" hidden="false" customHeight="false" outlineLevel="0" collapsed="false">
      <c r="K450" s="56" t="n">
        <f aca="false">K449+1</f>
        <v>443</v>
      </c>
      <c r="L450" s="57" t="n">
        <f aca="false">IF(AND(K450&lt;=Assumptions!$C$42,L449=1,P449=0,O449&gt;Assumptions!$C$43),1,0)</f>
        <v>0</v>
      </c>
      <c r="M450" s="58" t="n">
        <f aca="false">O449</f>
        <v>-10.8661391719591</v>
      </c>
      <c r="N450" s="58" t="n">
        <f aca="false">IF(L450=1,M450*$B$20,0)</f>
        <v>0</v>
      </c>
      <c r="O450" s="58" t="n">
        <f aca="false">IF(L450=1,M450+N450-$B$21,M450)</f>
        <v>-10.8661391719591</v>
      </c>
      <c r="P450" s="56" t="n">
        <f aca="false">IF(L450=1,IF($B$21&lt;=N450,1,0),0)</f>
        <v>0</v>
      </c>
      <c r="Q450" s="58" t="n">
        <f aca="false">Q449+N450</f>
        <v>989.13386082804</v>
      </c>
    </row>
    <row r="451" customFormat="false" ht="15" hidden="false" customHeight="false" outlineLevel="0" collapsed="false">
      <c r="K451" s="56" t="n">
        <f aca="false">K450+1</f>
        <v>444</v>
      </c>
      <c r="L451" s="57" t="n">
        <f aca="false">IF(AND(K451&lt;=Assumptions!$C$42,L450=1,P450=0,O450&gt;Assumptions!$C$43),1,0)</f>
        <v>0</v>
      </c>
      <c r="M451" s="58" t="n">
        <f aca="false">O450</f>
        <v>-10.8661391719591</v>
      </c>
      <c r="N451" s="58" t="n">
        <f aca="false">IF(L451=1,M451*$B$20,0)</f>
        <v>0</v>
      </c>
      <c r="O451" s="58" t="n">
        <f aca="false">IF(L451=1,M451+N451-$B$21,M451)</f>
        <v>-10.8661391719591</v>
      </c>
      <c r="P451" s="56" t="n">
        <f aca="false">IF(L451=1,IF($B$21&lt;=N451,1,0),0)</f>
        <v>0</v>
      </c>
      <c r="Q451" s="58" t="n">
        <f aca="false">Q450+N451</f>
        <v>989.13386082804</v>
      </c>
    </row>
    <row r="452" customFormat="false" ht="15" hidden="false" customHeight="false" outlineLevel="0" collapsed="false">
      <c r="K452" s="56" t="n">
        <f aca="false">K451+1</f>
        <v>445</v>
      </c>
      <c r="L452" s="57" t="n">
        <f aca="false">IF(AND(K452&lt;=Assumptions!$C$42,L451=1,P451=0,O451&gt;Assumptions!$C$43),1,0)</f>
        <v>0</v>
      </c>
      <c r="M452" s="58" t="n">
        <f aca="false">O451</f>
        <v>-10.8661391719591</v>
      </c>
      <c r="N452" s="58" t="n">
        <f aca="false">IF(L452=1,M452*$B$20,0)</f>
        <v>0</v>
      </c>
      <c r="O452" s="58" t="n">
        <f aca="false">IF(L452=1,M452+N452-$B$21,M452)</f>
        <v>-10.8661391719591</v>
      </c>
      <c r="P452" s="56" t="n">
        <f aca="false">IF(L452=1,IF($B$21&lt;=N452,1,0),0)</f>
        <v>0</v>
      </c>
      <c r="Q452" s="58" t="n">
        <f aca="false">Q451+N452</f>
        <v>989.13386082804</v>
      </c>
    </row>
    <row r="453" customFormat="false" ht="15" hidden="false" customHeight="false" outlineLevel="0" collapsed="false">
      <c r="K453" s="56" t="n">
        <f aca="false">K452+1</f>
        <v>446</v>
      </c>
      <c r="L453" s="57" t="n">
        <f aca="false">IF(AND(K453&lt;=Assumptions!$C$42,L452=1,P452=0,O452&gt;Assumptions!$C$43),1,0)</f>
        <v>0</v>
      </c>
      <c r="M453" s="58" t="n">
        <f aca="false">O452</f>
        <v>-10.8661391719591</v>
      </c>
      <c r="N453" s="58" t="n">
        <f aca="false">IF(L453=1,M453*$B$20,0)</f>
        <v>0</v>
      </c>
      <c r="O453" s="58" t="n">
        <f aca="false">IF(L453=1,M453+N453-$B$21,M453)</f>
        <v>-10.8661391719591</v>
      </c>
      <c r="P453" s="56" t="n">
        <f aca="false">IF(L453=1,IF($B$21&lt;=N453,1,0),0)</f>
        <v>0</v>
      </c>
      <c r="Q453" s="58" t="n">
        <f aca="false">Q452+N453</f>
        <v>989.13386082804</v>
      </c>
    </row>
    <row r="454" customFormat="false" ht="15" hidden="false" customHeight="false" outlineLevel="0" collapsed="false">
      <c r="K454" s="56" t="n">
        <f aca="false">K453+1</f>
        <v>447</v>
      </c>
      <c r="L454" s="57" t="n">
        <f aca="false">IF(AND(K454&lt;=Assumptions!$C$42,L453=1,P453=0,O453&gt;Assumptions!$C$43),1,0)</f>
        <v>0</v>
      </c>
      <c r="M454" s="58" t="n">
        <f aca="false">O453</f>
        <v>-10.8661391719591</v>
      </c>
      <c r="N454" s="58" t="n">
        <f aca="false">IF(L454=1,M454*$B$20,0)</f>
        <v>0</v>
      </c>
      <c r="O454" s="58" t="n">
        <f aca="false">IF(L454=1,M454+N454-$B$21,M454)</f>
        <v>-10.8661391719591</v>
      </c>
      <c r="P454" s="56" t="n">
        <f aca="false">IF(L454=1,IF($B$21&lt;=N454,1,0),0)</f>
        <v>0</v>
      </c>
      <c r="Q454" s="58" t="n">
        <f aca="false">Q453+N454</f>
        <v>989.13386082804</v>
      </c>
    </row>
    <row r="455" customFormat="false" ht="15" hidden="false" customHeight="false" outlineLevel="0" collapsed="false">
      <c r="K455" s="56" t="n">
        <f aca="false">K454+1</f>
        <v>448</v>
      </c>
      <c r="L455" s="57" t="n">
        <f aca="false">IF(AND(K455&lt;=Assumptions!$C$42,L454=1,P454=0,O454&gt;Assumptions!$C$43),1,0)</f>
        <v>0</v>
      </c>
      <c r="M455" s="58" t="n">
        <f aca="false">O454</f>
        <v>-10.8661391719591</v>
      </c>
      <c r="N455" s="58" t="n">
        <f aca="false">IF(L455=1,M455*$B$20,0)</f>
        <v>0</v>
      </c>
      <c r="O455" s="58" t="n">
        <f aca="false">IF(L455=1,M455+N455-$B$21,M455)</f>
        <v>-10.8661391719591</v>
      </c>
      <c r="P455" s="56" t="n">
        <f aca="false">IF(L455=1,IF($B$21&lt;=N455,1,0),0)</f>
        <v>0</v>
      </c>
      <c r="Q455" s="58" t="n">
        <f aca="false">Q454+N455</f>
        <v>989.13386082804</v>
      </c>
    </row>
    <row r="456" customFormat="false" ht="15" hidden="false" customHeight="false" outlineLevel="0" collapsed="false">
      <c r="K456" s="56" t="n">
        <f aca="false">K455+1</f>
        <v>449</v>
      </c>
      <c r="L456" s="57" t="n">
        <f aca="false">IF(AND(K456&lt;=Assumptions!$C$42,L455=1,P455=0,O455&gt;Assumptions!$C$43),1,0)</f>
        <v>0</v>
      </c>
      <c r="M456" s="58" t="n">
        <f aca="false">O455</f>
        <v>-10.8661391719591</v>
      </c>
      <c r="N456" s="58" t="n">
        <f aca="false">IF(L456=1,M456*$B$20,0)</f>
        <v>0</v>
      </c>
      <c r="O456" s="58" t="n">
        <f aca="false">IF(L456=1,M456+N456-$B$21,M456)</f>
        <v>-10.8661391719591</v>
      </c>
      <c r="P456" s="56" t="n">
        <f aca="false">IF(L456=1,IF($B$21&lt;=N456,1,0),0)</f>
        <v>0</v>
      </c>
      <c r="Q456" s="58" t="n">
        <f aca="false">Q455+N456</f>
        <v>989.13386082804</v>
      </c>
    </row>
    <row r="457" customFormat="false" ht="15" hidden="false" customHeight="false" outlineLevel="0" collapsed="false">
      <c r="K457" s="56" t="n">
        <f aca="false">K456+1</f>
        <v>450</v>
      </c>
      <c r="L457" s="57" t="n">
        <f aca="false">IF(AND(K457&lt;=Assumptions!$C$42,L456=1,P456=0,O456&gt;Assumptions!$C$43),1,0)</f>
        <v>0</v>
      </c>
      <c r="M457" s="58" t="n">
        <f aca="false">O456</f>
        <v>-10.8661391719591</v>
      </c>
      <c r="N457" s="58" t="n">
        <f aca="false">IF(L457=1,M457*$B$20,0)</f>
        <v>0</v>
      </c>
      <c r="O457" s="58" t="n">
        <f aca="false">IF(L457=1,M457+N457-$B$21,M457)</f>
        <v>-10.8661391719591</v>
      </c>
      <c r="P457" s="56" t="n">
        <f aca="false">IF(L457=1,IF($B$21&lt;=N457,1,0),0)</f>
        <v>0</v>
      </c>
      <c r="Q457" s="58" t="n">
        <f aca="false">Q456+N457</f>
        <v>989.13386082804</v>
      </c>
    </row>
    <row r="458" customFormat="false" ht="15" hidden="false" customHeight="false" outlineLevel="0" collapsed="false">
      <c r="K458" s="56" t="n">
        <f aca="false">K457+1</f>
        <v>451</v>
      </c>
      <c r="L458" s="57" t="n">
        <f aca="false">IF(AND(K458&lt;=Assumptions!$C$42,L457=1,P457=0,O457&gt;Assumptions!$C$43),1,0)</f>
        <v>0</v>
      </c>
      <c r="M458" s="58" t="n">
        <f aca="false">O457</f>
        <v>-10.8661391719591</v>
      </c>
      <c r="N458" s="58" t="n">
        <f aca="false">IF(L458=1,M458*$B$20,0)</f>
        <v>0</v>
      </c>
      <c r="O458" s="58" t="n">
        <f aca="false">IF(L458=1,M458+N458-$B$21,M458)</f>
        <v>-10.8661391719591</v>
      </c>
      <c r="P458" s="56" t="n">
        <f aca="false">IF(L458=1,IF($B$21&lt;=N458,1,0),0)</f>
        <v>0</v>
      </c>
      <c r="Q458" s="58" t="n">
        <f aca="false">Q457+N458</f>
        <v>989.13386082804</v>
      </c>
    </row>
    <row r="459" customFormat="false" ht="15" hidden="false" customHeight="false" outlineLevel="0" collapsed="false">
      <c r="K459" s="56" t="n">
        <f aca="false">K458+1</f>
        <v>452</v>
      </c>
      <c r="L459" s="57" t="n">
        <f aca="false">IF(AND(K459&lt;=Assumptions!$C$42,L458=1,P458=0,O458&gt;Assumptions!$C$43),1,0)</f>
        <v>0</v>
      </c>
      <c r="M459" s="58" t="n">
        <f aca="false">O458</f>
        <v>-10.8661391719591</v>
      </c>
      <c r="N459" s="58" t="n">
        <f aca="false">IF(L459=1,M459*$B$20,0)</f>
        <v>0</v>
      </c>
      <c r="O459" s="58" t="n">
        <f aca="false">IF(L459=1,M459+N459-$B$21,M459)</f>
        <v>-10.8661391719591</v>
      </c>
      <c r="P459" s="56" t="n">
        <f aca="false">IF(L459=1,IF($B$21&lt;=N459,1,0),0)</f>
        <v>0</v>
      </c>
      <c r="Q459" s="58" t="n">
        <f aca="false">Q458+N459</f>
        <v>989.13386082804</v>
      </c>
    </row>
    <row r="460" customFormat="false" ht="15" hidden="false" customHeight="false" outlineLevel="0" collapsed="false">
      <c r="K460" s="56" t="n">
        <f aca="false">K459+1</f>
        <v>453</v>
      </c>
      <c r="L460" s="57" t="n">
        <f aca="false">IF(AND(K460&lt;=Assumptions!$C$42,L459=1,P459=0,O459&gt;Assumptions!$C$43),1,0)</f>
        <v>0</v>
      </c>
      <c r="M460" s="58" t="n">
        <f aca="false">O459</f>
        <v>-10.8661391719591</v>
      </c>
      <c r="N460" s="58" t="n">
        <f aca="false">IF(L460=1,M460*$B$20,0)</f>
        <v>0</v>
      </c>
      <c r="O460" s="58" t="n">
        <f aca="false">IF(L460=1,M460+N460-$B$21,M460)</f>
        <v>-10.8661391719591</v>
      </c>
      <c r="P460" s="56" t="n">
        <f aca="false">IF(L460=1,IF($B$21&lt;=N460,1,0),0)</f>
        <v>0</v>
      </c>
      <c r="Q460" s="58" t="n">
        <f aca="false">Q459+N460</f>
        <v>989.13386082804</v>
      </c>
    </row>
    <row r="461" customFormat="false" ht="15" hidden="false" customHeight="false" outlineLevel="0" collapsed="false">
      <c r="K461" s="56" t="n">
        <f aca="false">K460+1</f>
        <v>454</v>
      </c>
      <c r="L461" s="57" t="n">
        <f aca="false">IF(AND(K461&lt;=Assumptions!$C$42,L460=1,P460=0,O460&gt;Assumptions!$C$43),1,0)</f>
        <v>0</v>
      </c>
      <c r="M461" s="58" t="n">
        <f aca="false">O460</f>
        <v>-10.8661391719591</v>
      </c>
      <c r="N461" s="58" t="n">
        <f aca="false">IF(L461=1,M461*$B$20,0)</f>
        <v>0</v>
      </c>
      <c r="O461" s="58" t="n">
        <f aca="false">IF(L461=1,M461+N461-$B$21,M461)</f>
        <v>-10.8661391719591</v>
      </c>
      <c r="P461" s="56" t="n">
        <f aca="false">IF(L461=1,IF($B$21&lt;=N461,1,0),0)</f>
        <v>0</v>
      </c>
      <c r="Q461" s="58" t="n">
        <f aca="false">Q460+N461</f>
        <v>989.13386082804</v>
      </c>
    </row>
    <row r="462" customFormat="false" ht="15" hidden="false" customHeight="false" outlineLevel="0" collapsed="false">
      <c r="K462" s="56" t="n">
        <f aca="false">K461+1</f>
        <v>455</v>
      </c>
      <c r="L462" s="57" t="n">
        <f aca="false">IF(AND(K462&lt;=Assumptions!$C$42,L461=1,P461=0,O461&gt;Assumptions!$C$43),1,0)</f>
        <v>0</v>
      </c>
      <c r="M462" s="58" t="n">
        <f aca="false">O461</f>
        <v>-10.8661391719591</v>
      </c>
      <c r="N462" s="58" t="n">
        <f aca="false">IF(L462=1,M462*$B$20,0)</f>
        <v>0</v>
      </c>
      <c r="O462" s="58" t="n">
        <f aca="false">IF(L462=1,M462+N462-$B$21,M462)</f>
        <v>-10.8661391719591</v>
      </c>
      <c r="P462" s="56" t="n">
        <f aca="false">IF(L462=1,IF($B$21&lt;=N462,1,0),0)</f>
        <v>0</v>
      </c>
      <c r="Q462" s="58" t="n">
        <f aca="false">Q461+N462</f>
        <v>989.13386082804</v>
      </c>
    </row>
    <row r="463" customFormat="false" ht="15" hidden="false" customHeight="false" outlineLevel="0" collapsed="false">
      <c r="K463" s="56" t="n">
        <f aca="false">K462+1</f>
        <v>456</v>
      </c>
      <c r="L463" s="57" t="n">
        <f aca="false">IF(AND(K463&lt;=Assumptions!$C$42,L462=1,P462=0,O462&gt;Assumptions!$C$43),1,0)</f>
        <v>0</v>
      </c>
      <c r="M463" s="58" t="n">
        <f aca="false">O462</f>
        <v>-10.8661391719591</v>
      </c>
      <c r="N463" s="58" t="n">
        <f aca="false">IF(L463=1,M463*$B$20,0)</f>
        <v>0</v>
      </c>
      <c r="O463" s="58" t="n">
        <f aca="false">IF(L463=1,M463+N463-$B$21,M463)</f>
        <v>-10.8661391719591</v>
      </c>
      <c r="P463" s="56" t="n">
        <f aca="false">IF(L463=1,IF($B$21&lt;=N463,1,0),0)</f>
        <v>0</v>
      </c>
      <c r="Q463" s="58" t="n">
        <f aca="false">Q462+N463</f>
        <v>989.13386082804</v>
      </c>
    </row>
    <row r="464" customFormat="false" ht="15" hidden="false" customHeight="false" outlineLevel="0" collapsed="false">
      <c r="K464" s="56" t="n">
        <f aca="false">K463+1</f>
        <v>457</v>
      </c>
      <c r="L464" s="57" t="n">
        <f aca="false">IF(AND(K464&lt;=Assumptions!$C$42,L463=1,P463=0,O463&gt;Assumptions!$C$43),1,0)</f>
        <v>0</v>
      </c>
      <c r="M464" s="58" t="n">
        <f aca="false">O463</f>
        <v>-10.8661391719591</v>
      </c>
      <c r="N464" s="58" t="n">
        <f aca="false">IF(L464=1,M464*$B$20,0)</f>
        <v>0</v>
      </c>
      <c r="O464" s="58" t="n">
        <f aca="false">IF(L464=1,M464+N464-$B$21,M464)</f>
        <v>-10.8661391719591</v>
      </c>
      <c r="P464" s="56" t="n">
        <f aca="false">IF(L464=1,IF($B$21&lt;=N464,1,0),0)</f>
        <v>0</v>
      </c>
      <c r="Q464" s="58" t="n">
        <f aca="false">Q463+N464</f>
        <v>989.13386082804</v>
      </c>
    </row>
    <row r="465" customFormat="false" ht="15" hidden="false" customHeight="false" outlineLevel="0" collapsed="false">
      <c r="K465" s="56" t="n">
        <f aca="false">K464+1</f>
        <v>458</v>
      </c>
      <c r="L465" s="57" t="n">
        <f aca="false">IF(AND(K465&lt;=Assumptions!$C$42,L464=1,P464=0,O464&gt;Assumptions!$C$43),1,0)</f>
        <v>0</v>
      </c>
      <c r="M465" s="58" t="n">
        <f aca="false">O464</f>
        <v>-10.8661391719591</v>
      </c>
      <c r="N465" s="58" t="n">
        <f aca="false">IF(L465=1,M465*$B$20,0)</f>
        <v>0</v>
      </c>
      <c r="O465" s="58" t="n">
        <f aca="false">IF(L465=1,M465+N465-$B$21,M465)</f>
        <v>-10.8661391719591</v>
      </c>
      <c r="P465" s="56" t="n">
        <f aca="false">IF(L465=1,IF($B$21&lt;=N465,1,0),0)</f>
        <v>0</v>
      </c>
      <c r="Q465" s="58" t="n">
        <f aca="false">Q464+N465</f>
        <v>989.13386082804</v>
      </c>
    </row>
    <row r="466" customFormat="false" ht="15" hidden="false" customHeight="false" outlineLevel="0" collapsed="false">
      <c r="K466" s="56" t="n">
        <f aca="false">K465+1</f>
        <v>459</v>
      </c>
      <c r="L466" s="57" t="n">
        <f aca="false">IF(AND(K466&lt;=Assumptions!$C$42,L465=1,P465=0,O465&gt;Assumptions!$C$43),1,0)</f>
        <v>0</v>
      </c>
      <c r="M466" s="58" t="n">
        <f aca="false">O465</f>
        <v>-10.8661391719591</v>
      </c>
      <c r="N466" s="58" t="n">
        <f aca="false">IF(L466=1,M466*$B$20,0)</f>
        <v>0</v>
      </c>
      <c r="O466" s="58" t="n">
        <f aca="false">IF(L466=1,M466+N466-$B$21,M466)</f>
        <v>-10.8661391719591</v>
      </c>
      <c r="P466" s="56" t="n">
        <f aca="false">IF(L466=1,IF($B$21&lt;=N466,1,0),0)</f>
        <v>0</v>
      </c>
      <c r="Q466" s="58" t="n">
        <f aca="false">Q465+N466</f>
        <v>989.13386082804</v>
      </c>
    </row>
    <row r="467" customFormat="false" ht="15" hidden="false" customHeight="false" outlineLevel="0" collapsed="false">
      <c r="K467" s="56" t="n">
        <f aca="false">K466+1</f>
        <v>460</v>
      </c>
      <c r="L467" s="57" t="n">
        <f aca="false">IF(AND(K467&lt;=Assumptions!$C$42,L466=1,P466=0,O466&gt;Assumptions!$C$43),1,0)</f>
        <v>0</v>
      </c>
      <c r="M467" s="58" t="n">
        <f aca="false">O466</f>
        <v>-10.8661391719591</v>
      </c>
      <c r="N467" s="58" t="n">
        <f aca="false">IF(L467=1,M467*$B$20,0)</f>
        <v>0</v>
      </c>
      <c r="O467" s="58" t="n">
        <f aca="false">IF(L467=1,M467+N467-$B$21,M467)</f>
        <v>-10.8661391719591</v>
      </c>
      <c r="P467" s="56" t="n">
        <f aca="false">IF(L467=1,IF($B$21&lt;=N467,1,0),0)</f>
        <v>0</v>
      </c>
      <c r="Q467" s="58" t="n">
        <f aca="false">Q466+N467</f>
        <v>989.13386082804</v>
      </c>
    </row>
    <row r="468" customFormat="false" ht="15" hidden="false" customHeight="false" outlineLevel="0" collapsed="false">
      <c r="K468" s="56" t="n">
        <f aca="false">K467+1</f>
        <v>461</v>
      </c>
      <c r="L468" s="57" t="n">
        <f aca="false">IF(AND(K468&lt;=Assumptions!$C$42,L467=1,P467=0,O467&gt;Assumptions!$C$43),1,0)</f>
        <v>0</v>
      </c>
      <c r="M468" s="58" t="n">
        <f aca="false">O467</f>
        <v>-10.8661391719591</v>
      </c>
      <c r="N468" s="58" t="n">
        <f aca="false">IF(L468=1,M468*$B$20,0)</f>
        <v>0</v>
      </c>
      <c r="O468" s="58" t="n">
        <f aca="false">IF(L468=1,M468+N468-$B$21,M468)</f>
        <v>-10.8661391719591</v>
      </c>
      <c r="P468" s="56" t="n">
        <f aca="false">IF(L468=1,IF($B$21&lt;=N468,1,0),0)</f>
        <v>0</v>
      </c>
      <c r="Q468" s="58" t="n">
        <f aca="false">Q467+N468</f>
        <v>989.13386082804</v>
      </c>
    </row>
    <row r="469" customFormat="false" ht="15" hidden="false" customHeight="false" outlineLevel="0" collapsed="false">
      <c r="K469" s="56" t="n">
        <f aca="false">K468+1</f>
        <v>462</v>
      </c>
      <c r="L469" s="57" t="n">
        <f aca="false">IF(AND(K469&lt;=Assumptions!$C$42,L468=1,P468=0,O468&gt;Assumptions!$C$43),1,0)</f>
        <v>0</v>
      </c>
      <c r="M469" s="58" t="n">
        <f aca="false">O468</f>
        <v>-10.8661391719591</v>
      </c>
      <c r="N469" s="58" t="n">
        <f aca="false">IF(L469=1,M469*$B$20,0)</f>
        <v>0</v>
      </c>
      <c r="O469" s="58" t="n">
        <f aca="false">IF(L469=1,M469+N469-$B$21,M469)</f>
        <v>-10.8661391719591</v>
      </c>
      <c r="P469" s="56" t="n">
        <f aca="false">IF(L469=1,IF($B$21&lt;=N469,1,0),0)</f>
        <v>0</v>
      </c>
      <c r="Q469" s="58" t="n">
        <f aca="false">Q468+N469</f>
        <v>989.13386082804</v>
      </c>
    </row>
    <row r="470" customFormat="false" ht="15" hidden="false" customHeight="false" outlineLevel="0" collapsed="false">
      <c r="K470" s="56" t="n">
        <f aca="false">K469+1</f>
        <v>463</v>
      </c>
      <c r="L470" s="57" t="n">
        <f aca="false">IF(AND(K470&lt;=Assumptions!$C$42,L469=1,P469=0,O469&gt;Assumptions!$C$43),1,0)</f>
        <v>0</v>
      </c>
      <c r="M470" s="58" t="n">
        <f aca="false">O469</f>
        <v>-10.8661391719591</v>
      </c>
      <c r="N470" s="58" t="n">
        <f aca="false">IF(L470=1,M470*$B$20,0)</f>
        <v>0</v>
      </c>
      <c r="O470" s="58" t="n">
        <f aca="false">IF(L470=1,M470+N470-$B$21,M470)</f>
        <v>-10.8661391719591</v>
      </c>
      <c r="P470" s="56" t="n">
        <f aca="false">IF(L470=1,IF($B$21&lt;=N470,1,0),0)</f>
        <v>0</v>
      </c>
      <c r="Q470" s="58" t="n">
        <f aca="false">Q469+N470</f>
        <v>989.13386082804</v>
      </c>
    </row>
    <row r="471" customFormat="false" ht="15" hidden="false" customHeight="false" outlineLevel="0" collapsed="false">
      <c r="K471" s="56" t="n">
        <f aca="false">K470+1</f>
        <v>464</v>
      </c>
      <c r="L471" s="57" t="n">
        <f aca="false">IF(AND(K471&lt;=Assumptions!$C$42,L470=1,P470=0,O470&gt;Assumptions!$C$43),1,0)</f>
        <v>0</v>
      </c>
      <c r="M471" s="58" t="n">
        <f aca="false">O470</f>
        <v>-10.8661391719591</v>
      </c>
      <c r="N471" s="58" t="n">
        <f aca="false">IF(L471=1,M471*$B$20,0)</f>
        <v>0</v>
      </c>
      <c r="O471" s="58" t="n">
        <f aca="false">IF(L471=1,M471+N471-$B$21,M471)</f>
        <v>-10.8661391719591</v>
      </c>
      <c r="P471" s="56" t="n">
        <f aca="false">IF(L471=1,IF($B$21&lt;=N471,1,0),0)</f>
        <v>0</v>
      </c>
      <c r="Q471" s="58" t="n">
        <f aca="false">Q470+N471</f>
        <v>989.13386082804</v>
      </c>
    </row>
    <row r="472" customFormat="false" ht="15" hidden="false" customHeight="false" outlineLevel="0" collapsed="false">
      <c r="K472" s="56" t="n">
        <f aca="false">K471+1</f>
        <v>465</v>
      </c>
      <c r="L472" s="57" t="n">
        <f aca="false">IF(AND(K472&lt;=Assumptions!$C$42,L471=1,P471=0,O471&gt;Assumptions!$C$43),1,0)</f>
        <v>0</v>
      </c>
      <c r="M472" s="58" t="n">
        <f aca="false">O471</f>
        <v>-10.8661391719591</v>
      </c>
      <c r="N472" s="58" t="n">
        <f aca="false">IF(L472=1,M472*$B$20,0)</f>
        <v>0</v>
      </c>
      <c r="O472" s="58" t="n">
        <f aca="false">IF(L472=1,M472+N472-$B$21,M472)</f>
        <v>-10.8661391719591</v>
      </c>
      <c r="P472" s="56" t="n">
        <f aca="false">IF(L472=1,IF($B$21&lt;=N472,1,0),0)</f>
        <v>0</v>
      </c>
      <c r="Q472" s="58" t="n">
        <f aca="false">Q471+N472</f>
        <v>989.13386082804</v>
      </c>
    </row>
    <row r="473" customFormat="false" ht="15" hidden="false" customHeight="false" outlineLevel="0" collapsed="false">
      <c r="K473" s="56" t="n">
        <f aca="false">K472+1</f>
        <v>466</v>
      </c>
      <c r="L473" s="57" t="n">
        <f aca="false">IF(AND(K473&lt;=Assumptions!$C$42,L472=1,P472=0,O472&gt;Assumptions!$C$43),1,0)</f>
        <v>0</v>
      </c>
      <c r="M473" s="58" t="n">
        <f aca="false">O472</f>
        <v>-10.8661391719591</v>
      </c>
      <c r="N473" s="58" t="n">
        <f aca="false">IF(L473=1,M473*$B$20,0)</f>
        <v>0</v>
      </c>
      <c r="O473" s="58" t="n">
        <f aca="false">IF(L473=1,M473+N473-$B$21,M473)</f>
        <v>-10.8661391719591</v>
      </c>
      <c r="P473" s="56" t="n">
        <f aca="false">IF(L473=1,IF($B$21&lt;=N473,1,0),0)</f>
        <v>0</v>
      </c>
      <c r="Q473" s="58" t="n">
        <f aca="false">Q472+N473</f>
        <v>989.13386082804</v>
      </c>
    </row>
    <row r="474" customFormat="false" ht="15" hidden="false" customHeight="false" outlineLevel="0" collapsed="false">
      <c r="K474" s="56" t="n">
        <f aca="false">K473+1</f>
        <v>467</v>
      </c>
      <c r="L474" s="57" t="n">
        <f aca="false">IF(AND(K474&lt;=Assumptions!$C$42,L473=1,P473=0,O473&gt;Assumptions!$C$43),1,0)</f>
        <v>0</v>
      </c>
      <c r="M474" s="58" t="n">
        <f aca="false">O473</f>
        <v>-10.8661391719591</v>
      </c>
      <c r="N474" s="58" t="n">
        <f aca="false">IF(L474=1,M474*$B$20,0)</f>
        <v>0</v>
      </c>
      <c r="O474" s="58" t="n">
        <f aca="false">IF(L474=1,M474+N474-$B$21,M474)</f>
        <v>-10.8661391719591</v>
      </c>
      <c r="P474" s="56" t="n">
        <f aca="false">IF(L474=1,IF($B$21&lt;=N474,1,0),0)</f>
        <v>0</v>
      </c>
      <c r="Q474" s="58" t="n">
        <f aca="false">Q473+N474</f>
        <v>989.13386082804</v>
      </c>
    </row>
    <row r="475" customFormat="false" ht="15" hidden="false" customHeight="false" outlineLevel="0" collapsed="false">
      <c r="K475" s="56" t="n">
        <f aca="false">K474+1</f>
        <v>468</v>
      </c>
      <c r="L475" s="57" t="n">
        <f aca="false">IF(AND(K475&lt;=Assumptions!$C$42,L474=1,P474=0,O474&gt;Assumptions!$C$43),1,0)</f>
        <v>0</v>
      </c>
      <c r="M475" s="58" t="n">
        <f aca="false">O474</f>
        <v>-10.8661391719591</v>
      </c>
      <c r="N475" s="58" t="n">
        <f aca="false">IF(L475=1,M475*$B$20,0)</f>
        <v>0</v>
      </c>
      <c r="O475" s="58" t="n">
        <f aca="false">IF(L475=1,M475+N475-$B$21,M475)</f>
        <v>-10.8661391719591</v>
      </c>
      <c r="P475" s="56" t="n">
        <f aca="false">IF(L475=1,IF($B$21&lt;=N475,1,0),0)</f>
        <v>0</v>
      </c>
      <c r="Q475" s="58" t="n">
        <f aca="false">Q474+N475</f>
        <v>989.13386082804</v>
      </c>
    </row>
    <row r="476" customFormat="false" ht="15" hidden="false" customHeight="false" outlineLevel="0" collapsed="false">
      <c r="K476" s="56" t="n">
        <f aca="false">K475+1</f>
        <v>469</v>
      </c>
      <c r="L476" s="57" t="n">
        <f aca="false">IF(AND(K476&lt;=Assumptions!$C$42,L475=1,P475=0,O475&gt;Assumptions!$C$43),1,0)</f>
        <v>0</v>
      </c>
      <c r="M476" s="58" t="n">
        <f aca="false">O475</f>
        <v>-10.8661391719591</v>
      </c>
      <c r="N476" s="58" t="n">
        <f aca="false">IF(L476=1,M476*$B$20,0)</f>
        <v>0</v>
      </c>
      <c r="O476" s="58" t="n">
        <f aca="false">IF(L476=1,M476+N476-$B$21,M476)</f>
        <v>-10.8661391719591</v>
      </c>
      <c r="P476" s="56" t="n">
        <f aca="false">IF(L476=1,IF($B$21&lt;=N476,1,0),0)</f>
        <v>0</v>
      </c>
      <c r="Q476" s="58" t="n">
        <f aca="false">Q475+N476</f>
        <v>989.13386082804</v>
      </c>
    </row>
    <row r="477" customFormat="false" ht="15" hidden="false" customHeight="false" outlineLevel="0" collapsed="false">
      <c r="K477" s="56" t="n">
        <f aca="false">K476+1</f>
        <v>470</v>
      </c>
      <c r="L477" s="57" t="n">
        <f aca="false">IF(AND(K477&lt;=Assumptions!$C$42,L476=1,P476=0,O476&gt;Assumptions!$C$43),1,0)</f>
        <v>0</v>
      </c>
      <c r="M477" s="58" t="n">
        <f aca="false">O476</f>
        <v>-10.8661391719591</v>
      </c>
      <c r="N477" s="58" t="n">
        <f aca="false">IF(L477=1,M477*$B$20,0)</f>
        <v>0</v>
      </c>
      <c r="O477" s="58" t="n">
        <f aca="false">IF(L477=1,M477+N477-$B$21,M477)</f>
        <v>-10.8661391719591</v>
      </c>
      <c r="P477" s="56" t="n">
        <f aca="false">IF(L477=1,IF($B$21&lt;=N477,1,0),0)</f>
        <v>0</v>
      </c>
      <c r="Q477" s="58" t="n">
        <f aca="false">Q476+N477</f>
        <v>989.13386082804</v>
      </c>
    </row>
    <row r="478" customFormat="false" ht="15" hidden="false" customHeight="false" outlineLevel="0" collapsed="false">
      <c r="K478" s="56" t="n">
        <f aca="false">K477+1</f>
        <v>471</v>
      </c>
      <c r="L478" s="57" t="n">
        <f aca="false">IF(AND(K478&lt;=Assumptions!$C$42,L477=1,P477=0,O477&gt;Assumptions!$C$43),1,0)</f>
        <v>0</v>
      </c>
      <c r="M478" s="58" t="n">
        <f aca="false">O477</f>
        <v>-10.8661391719591</v>
      </c>
      <c r="N478" s="58" t="n">
        <f aca="false">IF(L478=1,M478*$B$20,0)</f>
        <v>0</v>
      </c>
      <c r="O478" s="58" t="n">
        <f aca="false">IF(L478=1,M478+N478-$B$21,M478)</f>
        <v>-10.8661391719591</v>
      </c>
      <c r="P478" s="56" t="n">
        <f aca="false">IF(L478=1,IF($B$21&lt;=N478,1,0),0)</f>
        <v>0</v>
      </c>
      <c r="Q478" s="58" t="n">
        <f aca="false">Q477+N478</f>
        <v>989.13386082804</v>
      </c>
    </row>
    <row r="479" customFormat="false" ht="15" hidden="false" customHeight="false" outlineLevel="0" collapsed="false">
      <c r="K479" s="56" t="n">
        <f aca="false">K478+1</f>
        <v>472</v>
      </c>
      <c r="L479" s="57" t="n">
        <f aca="false">IF(AND(K479&lt;=Assumptions!$C$42,L478=1,P478=0,O478&gt;Assumptions!$C$43),1,0)</f>
        <v>0</v>
      </c>
      <c r="M479" s="58" t="n">
        <f aca="false">O478</f>
        <v>-10.8661391719591</v>
      </c>
      <c r="N479" s="58" t="n">
        <f aca="false">IF(L479=1,M479*$B$20,0)</f>
        <v>0</v>
      </c>
      <c r="O479" s="58" t="n">
        <f aca="false">IF(L479=1,M479+N479-$B$21,M479)</f>
        <v>-10.8661391719591</v>
      </c>
      <c r="P479" s="56" t="n">
        <f aca="false">IF(L479=1,IF($B$21&lt;=N479,1,0),0)</f>
        <v>0</v>
      </c>
      <c r="Q479" s="58" t="n">
        <f aca="false">Q478+N479</f>
        <v>989.13386082804</v>
      </c>
    </row>
    <row r="480" customFormat="false" ht="15" hidden="false" customHeight="false" outlineLevel="0" collapsed="false">
      <c r="K480" s="56" t="n">
        <f aca="false">K479+1</f>
        <v>473</v>
      </c>
      <c r="L480" s="57" t="n">
        <f aca="false">IF(AND(K480&lt;=Assumptions!$C$42,L479=1,P479=0,O479&gt;Assumptions!$C$43),1,0)</f>
        <v>0</v>
      </c>
      <c r="M480" s="58" t="n">
        <f aca="false">O479</f>
        <v>-10.8661391719591</v>
      </c>
      <c r="N480" s="58" t="n">
        <f aca="false">IF(L480=1,M480*$B$20,0)</f>
        <v>0</v>
      </c>
      <c r="O480" s="58" t="n">
        <f aca="false">IF(L480=1,M480+N480-$B$21,M480)</f>
        <v>-10.8661391719591</v>
      </c>
      <c r="P480" s="56" t="n">
        <f aca="false">IF(L480=1,IF($B$21&lt;=N480,1,0),0)</f>
        <v>0</v>
      </c>
      <c r="Q480" s="58" t="n">
        <f aca="false">Q479+N480</f>
        <v>989.13386082804</v>
      </c>
    </row>
    <row r="481" customFormat="false" ht="15" hidden="false" customHeight="false" outlineLevel="0" collapsed="false">
      <c r="K481" s="56" t="n">
        <f aca="false">K480+1</f>
        <v>474</v>
      </c>
      <c r="L481" s="57" t="n">
        <f aca="false">IF(AND(K481&lt;=Assumptions!$C$42,L480=1,P480=0,O480&gt;Assumptions!$C$43),1,0)</f>
        <v>0</v>
      </c>
      <c r="M481" s="58" t="n">
        <f aca="false">O480</f>
        <v>-10.8661391719591</v>
      </c>
      <c r="N481" s="58" t="n">
        <f aca="false">IF(L481=1,M481*$B$20,0)</f>
        <v>0</v>
      </c>
      <c r="O481" s="58" t="n">
        <f aca="false">IF(L481=1,M481+N481-$B$21,M481)</f>
        <v>-10.8661391719591</v>
      </c>
      <c r="P481" s="56" t="n">
        <f aca="false">IF(L481=1,IF($B$21&lt;=N481,1,0),0)</f>
        <v>0</v>
      </c>
      <c r="Q481" s="58" t="n">
        <f aca="false">Q480+N481</f>
        <v>989.13386082804</v>
      </c>
    </row>
    <row r="482" customFormat="false" ht="15" hidden="false" customHeight="false" outlineLevel="0" collapsed="false">
      <c r="K482" s="56" t="n">
        <f aca="false">K481+1</f>
        <v>475</v>
      </c>
      <c r="L482" s="57" t="n">
        <f aca="false">IF(AND(K482&lt;=Assumptions!$C$42,L481=1,P481=0,O481&gt;Assumptions!$C$43),1,0)</f>
        <v>0</v>
      </c>
      <c r="M482" s="58" t="n">
        <f aca="false">O481</f>
        <v>-10.8661391719591</v>
      </c>
      <c r="N482" s="58" t="n">
        <f aca="false">IF(L482=1,M482*$B$20,0)</f>
        <v>0</v>
      </c>
      <c r="O482" s="58" t="n">
        <f aca="false">IF(L482=1,M482+N482-$B$21,M482)</f>
        <v>-10.8661391719591</v>
      </c>
      <c r="P482" s="56" t="n">
        <f aca="false">IF(L482=1,IF($B$21&lt;=N482,1,0),0)</f>
        <v>0</v>
      </c>
      <c r="Q482" s="58" t="n">
        <f aca="false">Q481+N482</f>
        <v>989.13386082804</v>
      </c>
    </row>
    <row r="483" customFormat="false" ht="15" hidden="false" customHeight="false" outlineLevel="0" collapsed="false">
      <c r="K483" s="56" t="n">
        <f aca="false">K482+1</f>
        <v>476</v>
      </c>
      <c r="L483" s="57" t="n">
        <f aca="false">IF(AND(K483&lt;=Assumptions!$C$42,L482=1,P482=0,O482&gt;Assumptions!$C$43),1,0)</f>
        <v>0</v>
      </c>
      <c r="M483" s="58" t="n">
        <f aca="false">O482</f>
        <v>-10.8661391719591</v>
      </c>
      <c r="N483" s="58" t="n">
        <f aca="false">IF(L483=1,M483*$B$20,0)</f>
        <v>0</v>
      </c>
      <c r="O483" s="58" t="n">
        <f aca="false">IF(L483=1,M483+N483-$B$21,M483)</f>
        <v>-10.8661391719591</v>
      </c>
      <c r="P483" s="56" t="n">
        <f aca="false">IF(L483=1,IF($B$21&lt;=N483,1,0),0)</f>
        <v>0</v>
      </c>
      <c r="Q483" s="58" t="n">
        <f aca="false">Q482+N483</f>
        <v>989.13386082804</v>
      </c>
    </row>
    <row r="484" customFormat="false" ht="15" hidden="false" customHeight="false" outlineLevel="0" collapsed="false">
      <c r="K484" s="56" t="n">
        <f aca="false">K483+1</f>
        <v>477</v>
      </c>
      <c r="L484" s="57" t="n">
        <f aca="false">IF(AND(K484&lt;=Assumptions!$C$42,L483=1,P483=0,O483&gt;Assumptions!$C$43),1,0)</f>
        <v>0</v>
      </c>
      <c r="M484" s="58" t="n">
        <f aca="false">O483</f>
        <v>-10.8661391719591</v>
      </c>
      <c r="N484" s="58" t="n">
        <f aca="false">IF(L484=1,M484*$B$20,0)</f>
        <v>0</v>
      </c>
      <c r="O484" s="58" t="n">
        <f aca="false">IF(L484=1,M484+N484-$B$21,M484)</f>
        <v>-10.8661391719591</v>
      </c>
      <c r="P484" s="56" t="n">
        <f aca="false">IF(L484=1,IF($B$21&lt;=N484,1,0),0)</f>
        <v>0</v>
      </c>
      <c r="Q484" s="58" t="n">
        <f aca="false">Q483+N484</f>
        <v>989.13386082804</v>
      </c>
    </row>
    <row r="485" customFormat="false" ht="15" hidden="false" customHeight="false" outlineLevel="0" collapsed="false">
      <c r="K485" s="56" t="n">
        <f aca="false">K484+1</f>
        <v>478</v>
      </c>
      <c r="L485" s="57" t="n">
        <f aca="false">IF(AND(K485&lt;=Assumptions!$C$42,L484=1,P484=0,O484&gt;Assumptions!$C$43),1,0)</f>
        <v>0</v>
      </c>
      <c r="M485" s="58" t="n">
        <f aca="false">O484</f>
        <v>-10.8661391719591</v>
      </c>
      <c r="N485" s="58" t="n">
        <f aca="false">IF(L485=1,M485*$B$20,0)</f>
        <v>0</v>
      </c>
      <c r="O485" s="58" t="n">
        <f aca="false">IF(L485=1,M485+N485-$B$21,M485)</f>
        <v>-10.8661391719591</v>
      </c>
      <c r="P485" s="56" t="n">
        <f aca="false">IF(L485=1,IF($B$21&lt;=N485,1,0),0)</f>
        <v>0</v>
      </c>
      <c r="Q485" s="58" t="n">
        <f aca="false">Q484+N485</f>
        <v>989.13386082804</v>
      </c>
    </row>
    <row r="486" customFormat="false" ht="15" hidden="false" customHeight="false" outlineLevel="0" collapsed="false">
      <c r="K486" s="56" t="n">
        <f aca="false">K485+1</f>
        <v>479</v>
      </c>
      <c r="L486" s="57" t="n">
        <f aca="false">IF(AND(K486&lt;=Assumptions!$C$42,L485=1,P485=0,O485&gt;Assumptions!$C$43),1,0)</f>
        <v>0</v>
      </c>
      <c r="M486" s="58" t="n">
        <f aca="false">O485</f>
        <v>-10.8661391719591</v>
      </c>
      <c r="N486" s="58" t="n">
        <f aca="false">IF(L486=1,M486*$B$20,0)</f>
        <v>0</v>
      </c>
      <c r="O486" s="58" t="n">
        <f aca="false">IF(L486=1,M486+N486-$B$21,M486)</f>
        <v>-10.8661391719591</v>
      </c>
      <c r="P486" s="56" t="n">
        <f aca="false">IF(L486=1,IF($B$21&lt;=N486,1,0),0)</f>
        <v>0</v>
      </c>
      <c r="Q486" s="58" t="n">
        <f aca="false">Q485+N486</f>
        <v>989.13386082804</v>
      </c>
    </row>
    <row r="487" customFormat="false" ht="15" hidden="false" customHeight="false" outlineLevel="0" collapsed="false">
      <c r="K487" s="56" t="n">
        <f aca="false">K486+1</f>
        <v>480</v>
      </c>
      <c r="L487" s="57" t="n">
        <f aca="false">IF(AND(K487&lt;=Assumptions!$C$42,L486=1,P486=0,O486&gt;Assumptions!$C$43),1,0)</f>
        <v>0</v>
      </c>
      <c r="M487" s="58" t="n">
        <f aca="false">O486</f>
        <v>-10.8661391719591</v>
      </c>
      <c r="N487" s="58" t="n">
        <f aca="false">IF(L487=1,M487*$B$20,0)</f>
        <v>0</v>
      </c>
      <c r="O487" s="58" t="n">
        <f aca="false">IF(L487=1,M487+N487-$B$21,M487)</f>
        <v>-10.8661391719591</v>
      </c>
      <c r="P487" s="56" t="n">
        <f aca="false">IF(L487=1,IF($B$21&lt;=N487,1,0),0)</f>
        <v>0</v>
      </c>
      <c r="Q487" s="58" t="n">
        <f aca="false">Q486+N487</f>
        <v>989.13386082804</v>
      </c>
    </row>
    <row r="488" customFormat="false" ht="15" hidden="false" customHeight="false" outlineLevel="0" collapsed="false">
      <c r="K488" s="56" t="n">
        <f aca="false">K487+1</f>
        <v>481</v>
      </c>
      <c r="L488" s="57" t="n">
        <f aca="false">IF(AND(K488&lt;=Assumptions!$C$42,L487=1,P487=0,O487&gt;Assumptions!$C$43),1,0)</f>
        <v>0</v>
      </c>
      <c r="M488" s="58" t="n">
        <f aca="false">O487</f>
        <v>-10.8661391719591</v>
      </c>
      <c r="N488" s="58" t="n">
        <f aca="false">IF(L488=1,M488*$B$20,0)</f>
        <v>0</v>
      </c>
      <c r="O488" s="58" t="n">
        <f aca="false">IF(L488=1,M488+N488-$B$21,M488)</f>
        <v>-10.8661391719591</v>
      </c>
      <c r="P488" s="56" t="n">
        <f aca="false">IF(L488=1,IF($B$21&lt;=N488,1,0),0)</f>
        <v>0</v>
      </c>
      <c r="Q488" s="58" t="n">
        <f aca="false">Q487+N488</f>
        <v>989.13386082804</v>
      </c>
    </row>
    <row r="489" customFormat="false" ht="15" hidden="false" customHeight="false" outlineLevel="0" collapsed="false">
      <c r="K489" s="56" t="n">
        <f aca="false">K488+1</f>
        <v>482</v>
      </c>
      <c r="L489" s="57" t="n">
        <f aca="false">IF(AND(K489&lt;=Assumptions!$C$42,L488=1,P488=0,O488&gt;Assumptions!$C$43),1,0)</f>
        <v>0</v>
      </c>
      <c r="M489" s="58" t="n">
        <f aca="false">O488</f>
        <v>-10.8661391719591</v>
      </c>
      <c r="N489" s="58" t="n">
        <f aca="false">IF(L489=1,M489*$B$20,0)</f>
        <v>0</v>
      </c>
      <c r="O489" s="58" t="n">
        <f aca="false">IF(L489=1,M489+N489-$B$21,M489)</f>
        <v>-10.8661391719591</v>
      </c>
      <c r="P489" s="56" t="n">
        <f aca="false">IF(L489=1,IF($B$21&lt;=N489,1,0),0)</f>
        <v>0</v>
      </c>
      <c r="Q489" s="58" t="n">
        <f aca="false">Q488+N489</f>
        <v>989.13386082804</v>
      </c>
    </row>
    <row r="490" customFormat="false" ht="15" hidden="false" customHeight="false" outlineLevel="0" collapsed="false">
      <c r="K490" s="56" t="n">
        <f aca="false">K489+1</f>
        <v>483</v>
      </c>
      <c r="L490" s="57" t="n">
        <f aca="false">IF(AND(K490&lt;=Assumptions!$C$42,L489=1,P489=0,O489&gt;Assumptions!$C$43),1,0)</f>
        <v>0</v>
      </c>
      <c r="M490" s="58" t="n">
        <f aca="false">O489</f>
        <v>-10.8661391719591</v>
      </c>
      <c r="N490" s="58" t="n">
        <f aca="false">IF(L490=1,M490*$B$20,0)</f>
        <v>0</v>
      </c>
      <c r="O490" s="58" t="n">
        <f aca="false">IF(L490=1,M490+N490-$B$21,M490)</f>
        <v>-10.8661391719591</v>
      </c>
      <c r="P490" s="56" t="n">
        <f aca="false">IF(L490=1,IF($B$21&lt;=N490,1,0),0)</f>
        <v>0</v>
      </c>
      <c r="Q490" s="58" t="n">
        <f aca="false">Q489+N490</f>
        <v>989.13386082804</v>
      </c>
    </row>
    <row r="491" customFormat="false" ht="15" hidden="false" customHeight="false" outlineLevel="0" collapsed="false">
      <c r="K491" s="56" t="n">
        <f aca="false">K490+1</f>
        <v>484</v>
      </c>
      <c r="L491" s="57" t="n">
        <f aca="false">IF(AND(K491&lt;=Assumptions!$C$42,L490=1,P490=0,O490&gt;Assumptions!$C$43),1,0)</f>
        <v>0</v>
      </c>
      <c r="M491" s="58" t="n">
        <f aca="false">O490</f>
        <v>-10.8661391719591</v>
      </c>
      <c r="N491" s="58" t="n">
        <f aca="false">IF(L491=1,M491*$B$20,0)</f>
        <v>0</v>
      </c>
      <c r="O491" s="58" t="n">
        <f aca="false">IF(L491=1,M491+N491-$B$21,M491)</f>
        <v>-10.8661391719591</v>
      </c>
      <c r="P491" s="56" t="n">
        <f aca="false">IF(L491=1,IF($B$21&lt;=N491,1,0),0)</f>
        <v>0</v>
      </c>
      <c r="Q491" s="58" t="n">
        <f aca="false">Q490+N491</f>
        <v>989.13386082804</v>
      </c>
    </row>
    <row r="492" customFormat="false" ht="15" hidden="false" customHeight="false" outlineLevel="0" collapsed="false">
      <c r="K492" s="56" t="n">
        <f aca="false">K491+1</f>
        <v>485</v>
      </c>
      <c r="L492" s="57" t="n">
        <f aca="false">IF(AND(K492&lt;=Assumptions!$C$42,L491=1,P491=0,O491&gt;Assumptions!$C$43),1,0)</f>
        <v>0</v>
      </c>
      <c r="M492" s="58" t="n">
        <f aca="false">O491</f>
        <v>-10.8661391719591</v>
      </c>
      <c r="N492" s="58" t="n">
        <f aca="false">IF(L492=1,M492*$B$20,0)</f>
        <v>0</v>
      </c>
      <c r="O492" s="58" t="n">
        <f aca="false">IF(L492=1,M492+N492-$B$21,M492)</f>
        <v>-10.8661391719591</v>
      </c>
      <c r="P492" s="56" t="n">
        <f aca="false">IF(L492=1,IF($B$21&lt;=N492,1,0),0)</f>
        <v>0</v>
      </c>
      <c r="Q492" s="58" t="n">
        <f aca="false">Q491+N492</f>
        <v>989.13386082804</v>
      </c>
    </row>
    <row r="493" customFormat="false" ht="15" hidden="false" customHeight="false" outlineLevel="0" collapsed="false">
      <c r="K493" s="56" t="n">
        <f aca="false">K492+1</f>
        <v>486</v>
      </c>
      <c r="L493" s="57" t="n">
        <f aca="false">IF(AND(K493&lt;=Assumptions!$C$42,L492=1,P492=0,O492&gt;Assumptions!$C$43),1,0)</f>
        <v>0</v>
      </c>
      <c r="M493" s="58" t="n">
        <f aca="false">O492</f>
        <v>-10.8661391719591</v>
      </c>
      <c r="N493" s="58" t="n">
        <f aca="false">IF(L493=1,M493*$B$20,0)</f>
        <v>0</v>
      </c>
      <c r="O493" s="58" t="n">
        <f aca="false">IF(L493=1,M493+N493-$B$21,M493)</f>
        <v>-10.8661391719591</v>
      </c>
      <c r="P493" s="56" t="n">
        <f aca="false">IF(L493=1,IF($B$21&lt;=N493,1,0),0)</f>
        <v>0</v>
      </c>
      <c r="Q493" s="58" t="n">
        <f aca="false">Q492+N493</f>
        <v>989.13386082804</v>
      </c>
    </row>
    <row r="494" customFormat="false" ht="15" hidden="false" customHeight="false" outlineLevel="0" collapsed="false">
      <c r="K494" s="56" t="n">
        <f aca="false">K493+1</f>
        <v>487</v>
      </c>
      <c r="L494" s="57" t="n">
        <f aca="false">IF(AND(K494&lt;=Assumptions!$C$42,L493=1,P493=0,O493&gt;Assumptions!$C$43),1,0)</f>
        <v>0</v>
      </c>
      <c r="M494" s="58" t="n">
        <f aca="false">O493</f>
        <v>-10.8661391719591</v>
      </c>
      <c r="N494" s="58" t="n">
        <f aca="false">IF(L494=1,M494*$B$20,0)</f>
        <v>0</v>
      </c>
      <c r="O494" s="58" t="n">
        <f aca="false">IF(L494=1,M494+N494-$B$21,M494)</f>
        <v>-10.8661391719591</v>
      </c>
      <c r="P494" s="56" t="n">
        <f aca="false">IF(L494=1,IF($B$21&lt;=N494,1,0),0)</f>
        <v>0</v>
      </c>
      <c r="Q494" s="58" t="n">
        <f aca="false">Q493+N494</f>
        <v>989.13386082804</v>
      </c>
    </row>
    <row r="495" customFormat="false" ht="15" hidden="false" customHeight="false" outlineLevel="0" collapsed="false">
      <c r="K495" s="56" t="n">
        <f aca="false">K494+1</f>
        <v>488</v>
      </c>
      <c r="L495" s="57" t="n">
        <f aca="false">IF(AND(K495&lt;=Assumptions!$C$42,L494=1,P494=0,O494&gt;Assumptions!$C$43),1,0)</f>
        <v>0</v>
      </c>
      <c r="M495" s="58" t="n">
        <f aca="false">O494</f>
        <v>-10.8661391719591</v>
      </c>
      <c r="N495" s="58" t="n">
        <f aca="false">IF(L495=1,M495*$B$20,0)</f>
        <v>0</v>
      </c>
      <c r="O495" s="58" t="n">
        <f aca="false">IF(L495=1,M495+N495-$B$21,M495)</f>
        <v>-10.8661391719591</v>
      </c>
      <c r="P495" s="56" t="n">
        <f aca="false">IF(L495=1,IF($B$21&lt;=N495,1,0),0)</f>
        <v>0</v>
      </c>
      <c r="Q495" s="58" t="n">
        <f aca="false">Q494+N495</f>
        <v>989.13386082804</v>
      </c>
    </row>
    <row r="496" customFormat="false" ht="15" hidden="false" customHeight="false" outlineLevel="0" collapsed="false">
      <c r="K496" s="56" t="n">
        <f aca="false">K495+1</f>
        <v>489</v>
      </c>
      <c r="L496" s="57" t="n">
        <f aca="false">IF(AND(K496&lt;=Assumptions!$C$42,L495=1,P495=0,O495&gt;Assumptions!$C$43),1,0)</f>
        <v>0</v>
      </c>
      <c r="M496" s="58" t="n">
        <f aca="false">O495</f>
        <v>-10.8661391719591</v>
      </c>
      <c r="N496" s="58" t="n">
        <f aca="false">IF(L496=1,M496*$B$20,0)</f>
        <v>0</v>
      </c>
      <c r="O496" s="58" t="n">
        <f aca="false">IF(L496=1,M496+N496-$B$21,M496)</f>
        <v>-10.8661391719591</v>
      </c>
      <c r="P496" s="56" t="n">
        <f aca="false">IF(L496=1,IF($B$21&lt;=N496,1,0),0)</f>
        <v>0</v>
      </c>
      <c r="Q496" s="58" t="n">
        <f aca="false">Q495+N496</f>
        <v>989.13386082804</v>
      </c>
    </row>
    <row r="497" customFormat="false" ht="15" hidden="false" customHeight="false" outlineLevel="0" collapsed="false">
      <c r="K497" s="56" t="n">
        <f aca="false">K496+1</f>
        <v>490</v>
      </c>
      <c r="L497" s="57" t="n">
        <f aca="false">IF(AND(K497&lt;=Assumptions!$C$42,L496=1,P496=0,O496&gt;Assumptions!$C$43),1,0)</f>
        <v>0</v>
      </c>
      <c r="M497" s="58" t="n">
        <f aca="false">O496</f>
        <v>-10.8661391719591</v>
      </c>
      <c r="N497" s="58" t="n">
        <f aca="false">IF(L497=1,M497*$B$20,0)</f>
        <v>0</v>
      </c>
      <c r="O497" s="58" t="n">
        <f aca="false">IF(L497=1,M497+N497-$B$21,M497)</f>
        <v>-10.8661391719591</v>
      </c>
      <c r="P497" s="56" t="n">
        <f aca="false">IF(L497=1,IF($B$21&lt;=N497,1,0),0)</f>
        <v>0</v>
      </c>
      <c r="Q497" s="58" t="n">
        <f aca="false">Q496+N497</f>
        <v>989.13386082804</v>
      </c>
    </row>
    <row r="498" customFormat="false" ht="15" hidden="false" customHeight="false" outlineLevel="0" collapsed="false">
      <c r="K498" s="56" t="n">
        <f aca="false">K497+1</f>
        <v>491</v>
      </c>
      <c r="L498" s="57" t="n">
        <f aca="false">IF(AND(K498&lt;=Assumptions!$C$42,L497=1,P497=0,O497&gt;Assumptions!$C$43),1,0)</f>
        <v>0</v>
      </c>
      <c r="M498" s="58" t="n">
        <f aca="false">O497</f>
        <v>-10.8661391719591</v>
      </c>
      <c r="N498" s="58" t="n">
        <f aca="false">IF(L498=1,M498*$B$20,0)</f>
        <v>0</v>
      </c>
      <c r="O498" s="58" t="n">
        <f aca="false">IF(L498=1,M498+N498-$B$21,M498)</f>
        <v>-10.8661391719591</v>
      </c>
      <c r="P498" s="56" t="n">
        <f aca="false">IF(L498=1,IF($B$21&lt;=N498,1,0),0)</f>
        <v>0</v>
      </c>
      <c r="Q498" s="58" t="n">
        <f aca="false">Q497+N498</f>
        <v>989.13386082804</v>
      </c>
    </row>
    <row r="499" customFormat="false" ht="15" hidden="false" customHeight="false" outlineLevel="0" collapsed="false">
      <c r="K499" s="56" t="n">
        <f aca="false">K498+1</f>
        <v>492</v>
      </c>
      <c r="L499" s="57" t="n">
        <f aca="false">IF(AND(K499&lt;=Assumptions!$C$42,L498=1,P498=0,O498&gt;Assumptions!$C$43),1,0)</f>
        <v>0</v>
      </c>
      <c r="M499" s="58" t="n">
        <f aca="false">O498</f>
        <v>-10.8661391719591</v>
      </c>
      <c r="N499" s="58" t="n">
        <f aca="false">IF(L499=1,M499*$B$20,0)</f>
        <v>0</v>
      </c>
      <c r="O499" s="58" t="n">
        <f aca="false">IF(L499=1,M499+N499-$B$21,M499)</f>
        <v>-10.8661391719591</v>
      </c>
      <c r="P499" s="56" t="n">
        <f aca="false">IF(L499=1,IF($B$21&lt;=N499,1,0),0)</f>
        <v>0</v>
      </c>
      <c r="Q499" s="58" t="n">
        <f aca="false">Q498+N499</f>
        <v>989.13386082804</v>
      </c>
    </row>
    <row r="500" customFormat="false" ht="15" hidden="false" customHeight="false" outlineLevel="0" collapsed="false">
      <c r="K500" s="56" t="n">
        <f aca="false">K499+1</f>
        <v>493</v>
      </c>
      <c r="L500" s="57" t="n">
        <f aca="false">IF(AND(K500&lt;=Assumptions!$C$42,L499=1,P499=0,O499&gt;Assumptions!$C$43),1,0)</f>
        <v>0</v>
      </c>
      <c r="M500" s="58" t="n">
        <f aca="false">O499</f>
        <v>-10.8661391719591</v>
      </c>
      <c r="N500" s="58" t="n">
        <f aca="false">IF(L500=1,M500*$B$20,0)</f>
        <v>0</v>
      </c>
      <c r="O500" s="58" t="n">
        <f aca="false">IF(L500=1,M500+N500-$B$21,M500)</f>
        <v>-10.8661391719591</v>
      </c>
      <c r="P500" s="56" t="n">
        <f aca="false">IF(L500=1,IF($B$21&lt;=N500,1,0),0)</f>
        <v>0</v>
      </c>
      <c r="Q500" s="58" t="n">
        <f aca="false">Q499+N500</f>
        <v>989.13386082804</v>
      </c>
    </row>
    <row r="501" customFormat="false" ht="15" hidden="false" customHeight="false" outlineLevel="0" collapsed="false">
      <c r="K501" s="56" t="n">
        <f aca="false">K500+1</f>
        <v>494</v>
      </c>
      <c r="L501" s="57" t="n">
        <f aca="false">IF(AND(K501&lt;=Assumptions!$C$42,L500=1,P500=0,O500&gt;Assumptions!$C$43),1,0)</f>
        <v>0</v>
      </c>
      <c r="M501" s="58" t="n">
        <f aca="false">O500</f>
        <v>-10.8661391719591</v>
      </c>
      <c r="N501" s="58" t="n">
        <f aca="false">IF(L501=1,M501*$B$20,0)</f>
        <v>0</v>
      </c>
      <c r="O501" s="58" t="n">
        <f aca="false">IF(L501=1,M501+N501-$B$21,M501)</f>
        <v>-10.8661391719591</v>
      </c>
      <c r="P501" s="56" t="n">
        <f aca="false">IF(L501=1,IF($B$21&lt;=N501,1,0),0)</f>
        <v>0</v>
      </c>
      <c r="Q501" s="58" t="n">
        <f aca="false">Q500+N501</f>
        <v>989.13386082804</v>
      </c>
    </row>
    <row r="502" customFormat="false" ht="15" hidden="false" customHeight="false" outlineLevel="0" collapsed="false">
      <c r="K502" s="56" t="n">
        <f aca="false">K501+1</f>
        <v>495</v>
      </c>
      <c r="L502" s="57" t="n">
        <f aca="false">IF(AND(K502&lt;=Assumptions!$C$42,L501=1,P501=0,O501&gt;Assumptions!$C$43),1,0)</f>
        <v>0</v>
      </c>
      <c r="M502" s="58" t="n">
        <f aca="false">O501</f>
        <v>-10.8661391719591</v>
      </c>
      <c r="N502" s="58" t="n">
        <f aca="false">IF(L502=1,M502*$B$20,0)</f>
        <v>0</v>
      </c>
      <c r="O502" s="58" t="n">
        <f aca="false">IF(L502=1,M502+N502-$B$21,M502)</f>
        <v>-10.8661391719591</v>
      </c>
      <c r="P502" s="56" t="n">
        <f aca="false">IF(L502=1,IF($B$21&lt;=N502,1,0),0)</f>
        <v>0</v>
      </c>
      <c r="Q502" s="58" t="n">
        <f aca="false">Q501+N502</f>
        <v>989.13386082804</v>
      </c>
    </row>
    <row r="503" customFormat="false" ht="15" hidden="false" customHeight="false" outlineLevel="0" collapsed="false">
      <c r="K503" s="56" t="n">
        <f aca="false">K502+1</f>
        <v>496</v>
      </c>
      <c r="L503" s="57" t="n">
        <f aca="false">IF(AND(K503&lt;=Assumptions!$C$42,L502=1,P502=0,O502&gt;Assumptions!$C$43),1,0)</f>
        <v>0</v>
      </c>
      <c r="M503" s="58" t="n">
        <f aca="false">O502</f>
        <v>-10.8661391719591</v>
      </c>
      <c r="N503" s="58" t="n">
        <f aca="false">IF(L503=1,M503*$B$20,0)</f>
        <v>0</v>
      </c>
      <c r="O503" s="58" t="n">
        <f aca="false">IF(L503=1,M503+N503-$B$21,M503)</f>
        <v>-10.8661391719591</v>
      </c>
      <c r="P503" s="56" t="n">
        <f aca="false">IF(L503=1,IF($B$21&lt;=N503,1,0),0)</f>
        <v>0</v>
      </c>
      <c r="Q503" s="58" t="n">
        <f aca="false">Q502+N503</f>
        <v>989.13386082804</v>
      </c>
    </row>
    <row r="504" customFormat="false" ht="15" hidden="false" customHeight="false" outlineLevel="0" collapsed="false">
      <c r="K504" s="56" t="n">
        <f aca="false">K503+1</f>
        <v>497</v>
      </c>
      <c r="L504" s="57" t="n">
        <f aca="false">IF(AND(K504&lt;=Assumptions!$C$42,L503=1,P503=0,O503&gt;Assumptions!$C$43),1,0)</f>
        <v>0</v>
      </c>
      <c r="M504" s="58" t="n">
        <f aca="false">O503</f>
        <v>-10.8661391719591</v>
      </c>
      <c r="N504" s="58" t="n">
        <f aca="false">IF(L504=1,M504*$B$20,0)</f>
        <v>0</v>
      </c>
      <c r="O504" s="58" t="n">
        <f aca="false">IF(L504=1,M504+N504-$B$21,M504)</f>
        <v>-10.8661391719591</v>
      </c>
      <c r="P504" s="56" t="n">
        <f aca="false">IF(L504=1,IF($B$21&lt;=N504,1,0),0)</f>
        <v>0</v>
      </c>
      <c r="Q504" s="58" t="n">
        <f aca="false">Q503+N504</f>
        <v>989.13386082804</v>
      </c>
    </row>
    <row r="505" customFormat="false" ht="15" hidden="false" customHeight="false" outlineLevel="0" collapsed="false">
      <c r="K505" s="56" t="n">
        <f aca="false">K504+1</f>
        <v>498</v>
      </c>
      <c r="L505" s="57" t="n">
        <f aca="false">IF(AND(K505&lt;=Assumptions!$C$42,L504=1,P504=0,O504&gt;Assumptions!$C$43),1,0)</f>
        <v>0</v>
      </c>
      <c r="M505" s="58" t="n">
        <f aca="false">O504</f>
        <v>-10.8661391719591</v>
      </c>
      <c r="N505" s="58" t="n">
        <f aca="false">IF(L505=1,M505*$B$20,0)</f>
        <v>0</v>
      </c>
      <c r="O505" s="58" t="n">
        <f aca="false">IF(L505=1,M505+N505-$B$21,M505)</f>
        <v>-10.8661391719591</v>
      </c>
      <c r="P505" s="56" t="n">
        <f aca="false">IF(L505=1,IF($B$21&lt;=N505,1,0),0)</f>
        <v>0</v>
      </c>
      <c r="Q505" s="58" t="n">
        <f aca="false">Q504+N505</f>
        <v>989.13386082804</v>
      </c>
    </row>
    <row r="506" customFormat="false" ht="15" hidden="false" customHeight="false" outlineLevel="0" collapsed="false">
      <c r="K506" s="56" t="n">
        <f aca="false">K505+1</f>
        <v>499</v>
      </c>
      <c r="L506" s="57" t="n">
        <f aca="false">IF(AND(K506&lt;=Assumptions!$C$42,L505=1,P505=0,O505&gt;Assumptions!$C$43),1,0)</f>
        <v>0</v>
      </c>
      <c r="M506" s="58" t="n">
        <f aca="false">O505</f>
        <v>-10.8661391719591</v>
      </c>
      <c r="N506" s="58" t="n">
        <f aca="false">IF(L506=1,M506*$B$20,0)</f>
        <v>0</v>
      </c>
      <c r="O506" s="58" t="n">
        <f aca="false">IF(L506=1,M506+N506-$B$21,M506)</f>
        <v>-10.8661391719591</v>
      </c>
      <c r="P506" s="56" t="n">
        <f aca="false">IF(L506=1,IF($B$21&lt;=N506,1,0),0)</f>
        <v>0</v>
      </c>
      <c r="Q506" s="58" t="n">
        <f aca="false">Q505+N506</f>
        <v>989.13386082804</v>
      </c>
    </row>
    <row r="507" customFormat="false" ht="15" hidden="false" customHeight="false" outlineLevel="0" collapsed="false">
      <c r="K507" s="56" t="n">
        <f aca="false">K506+1</f>
        <v>500</v>
      </c>
      <c r="L507" s="57" t="n">
        <f aca="false">IF(AND(K507&lt;=Assumptions!$C$42,L506=1,P506=0,O506&gt;Assumptions!$C$43),1,0)</f>
        <v>0</v>
      </c>
      <c r="M507" s="58" t="n">
        <f aca="false">O506</f>
        <v>-10.8661391719591</v>
      </c>
      <c r="N507" s="58" t="n">
        <f aca="false">IF(L507=1,M507*$B$20,0)</f>
        <v>0</v>
      </c>
      <c r="O507" s="58" t="n">
        <f aca="false">IF(L507=1,M507+N507-$B$21,M507)</f>
        <v>-10.8661391719591</v>
      </c>
      <c r="P507" s="56" t="n">
        <f aca="false">IF(L507=1,IF($B$21&lt;=N507,1,0),0)</f>
        <v>0</v>
      </c>
      <c r="Q507" s="58" t="n">
        <f aca="false">Q506+N507</f>
        <v>989.13386082804</v>
      </c>
    </row>
    <row r="508" customFormat="false" ht="15" hidden="false" customHeight="false" outlineLevel="0" collapsed="false">
      <c r="K508" s="56" t="n">
        <f aca="false">K507+1</f>
        <v>501</v>
      </c>
      <c r="L508" s="57" t="n">
        <f aca="false">IF(AND(K508&lt;=Assumptions!$C$42,L507=1,P507=0,O507&gt;Assumptions!$C$43),1,0)</f>
        <v>0</v>
      </c>
      <c r="M508" s="58" t="n">
        <f aca="false">O507</f>
        <v>-10.8661391719591</v>
      </c>
      <c r="N508" s="58" t="n">
        <f aca="false">IF(L508=1,M508*$B$20,0)</f>
        <v>0</v>
      </c>
      <c r="O508" s="58" t="n">
        <f aca="false">IF(L508=1,M508+N508-$B$21,M508)</f>
        <v>-10.8661391719591</v>
      </c>
      <c r="P508" s="56" t="n">
        <f aca="false">IF(L508=1,IF($B$21&lt;=N508,1,0),0)</f>
        <v>0</v>
      </c>
      <c r="Q508" s="58" t="n">
        <f aca="false">Q507+N508</f>
        <v>989.13386082804</v>
      </c>
    </row>
    <row r="509" customFormat="false" ht="15" hidden="false" customHeight="false" outlineLevel="0" collapsed="false">
      <c r="K509" s="56" t="n">
        <f aca="false">K508+1</f>
        <v>502</v>
      </c>
      <c r="L509" s="57" t="n">
        <f aca="false">IF(AND(K509&lt;=Assumptions!$C$42,L508=1,P508=0,O508&gt;Assumptions!$C$43),1,0)</f>
        <v>0</v>
      </c>
      <c r="M509" s="58" t="n">
        <f aca="false">O508</f>
        <v>-10.8661391719591</v>
      </c>
      <c r="N509" s="58" t="n">
        <f aca="false">IF(L509=1,M509*$B$20,0)</f>
        <v>0</v>
      </c>
      <c r="O509" s="58" t="n">
        <f aca="false">IF(L509=1,M509+N509-$B$21,M509)</f>
        <v>-10.8661391719591</v>
      </c>
      <c r="P509" s="56" t="n">
        <f aca="false">IF(L509=1,IF($B$21&lt;=N509,1,0),0)</f>
        <v>0</v>
      </c>
      <c r="Q509" s="58" t="n">
        <f aca="false">Q508+N509</f>
        <v>989.13386082804</v>
      </c>
    </row>
    <row r="510" customFormat="false" ht="15" hidden="false" customHeight="false" outlineLevel="0" collapsed="false">
      <c r="K510" s="56" t="n">
        <f aca="false">K509+1</f>
        <v>503</v>
      </c>
      <c r="L510" s="57" t="n">
        <f aca="false">IF(AND(K510&lt;=Assumptions!$C$42,L509=1,P509=0,O509&gt;Assumptions!$C$43),1,0)</f>
        <v>0</v>
      </c>
      <c r="M510" s="58" t="n">
        <f aca="false">O509</f>
        <v>-10.8661391719591</v>
      </c>
      <c r="N510" s="58" t="n">
        <f aca="false">IF(L510=1,M510*$B$20,0)</f>
        <v>0</v>
      </c>
      <c r="O510" s="58" t="n">
        <f aca="false">IF(L510=1,M510+N510-$B$21,M510)</f>
        <v>-10.8661391719591</v>
      </c>
      <c r="P510" s="56" t="n">
        <f aca="false">IF(L510=1,IF($B$21&lt;=N510,1,0),0)</f>
        <v>0</v>
      </c>
      <c r="Q510" s="58" t="n">
        <f aca="false">Q509+N510</f>
        <v>989.13386082804</v>
      </c>
    </row>
    <row r="511" customFormat="false" ht="15" hidden="false" customHeight="false" outlineLevel="0" collapsed="false">
      <c r="K511" s="56" t="n">
        <f aca="false">K510+1</f>
        <v>504</v>
      </c>
      <c r="L511" s="57" t="n">
        <f aca="false">IF(AND(K511&lt;=Assumptions!$C$42,L510=1,P510=0,O510&gt;Assumptions!$C$43),1,0)</f>
        <v>0</v>
      </c>
      <c r="M511" s="58" t="n">
        <f aca="false">O510</f>
        <v>-10.8661391719591</v>
      </c>
      <c r="N511" s="58" t="n">
        <f aca="false">IF(L511=1,M511*$B$20,0)</f>
        <v>0</v>
      </c>
      <c r="O511" s="58" t="n">
        <f aca="false">IF(L511=1,M511+N511-$B$21,M511)</f>
        <v>-10.8661391719591</v>
      </c>
      <c r="P511" s="56" t="n">
        <f aca="false">IF(L511=1,IF($B$21&lt;=N511,1,0),0)</f>
        <v>0</v>
      </c>
      <c r="Q511" s="58" t="n">
        <f aca="false">Q510+N511</f>
        <v>989.13386082804</v>
      </c>
    </row>
    <row r="512" customFormat="false" ht="15" hidden="false" customHeight="false" outlineLevel="0" collapsed="false">
      <c r="K512" s="56" t="n">
        <f aca="false">K511+1</f>
        <v>505</v>
      </c>
      <c r="L512" s="57" t="n">
        <f aca="false">IF(AND(K512&lt;=Assumptions!$C$42,L511=1,P511=0,O511&gt;Assumptions!$C$43),1,0)</f>
        <v>0</v>
      </c>
      <c r="M512" s="58" t="n">
        <f aca="false">O511</f>
        <v>-10.8661391719591</v>
      </c>
      <c r="N512" s="58" t="n">
        <f aca="false">IF(L512=1,M512*$B$20,0)</f>
        <v>0</v>
      </c>
      <c r="O512" s="58" t="n">
        <f aca="false">IF(L512=1,M512+N512-$B$21,M512)</f>
        <v>-10.8661391719591</v>
      </c>
      <c r="P512" s="56" t="n">
        <f aca="false">IF(L512=1,IF($B$21&lt;=N512,1,0),0)</f>
        <v>0</v>
      </c>
      <c r="Q512" s="58" t="n">
        <f aca="false">Q511+N512</f>
        <v>989.13386082804</v>
      </c>
    </row>
    <row r="513" customFormat="false" ht="15" hidden="false" customHeight="false" outlineLevel="0" collapsed="false">
      <c r="K513" s="56" t="n">
        <f aca="false">K512+1</f>
        <v>506</v>
      </c>
      <c r="L513" s="57" t="n">
        <f aca="false">IF(AND(K513&lt;=Assumptions!$C$42,L512=1,P512=0,O512&gt;Assumptions!$C$43),1,0)</f>
        <v>0</v>
      </c>
      <c r="M513" s="58" t="n">
        <f aca="false">O512</f>
        <v>-10.8661391719591</v>
      </c>
      <c r="N513" s="58" t="n">
        <f aca="false">IF(L513=1,M513*$B$20,0)</f>
        <v>0</v>
      </c>
      <c r="O513" s="58" t="n">
        <f aca="false">IF(L513=1,M513+N513-$B$21,M513)</f>
        <v>-10.8661391719591</v>
      </c>
      <c r="P513" s="56" t="n">
        <f aca="false">IF(L513=1,IF($B$21&lt;=N513,1,0),0)</f>
        <v>0</v>
      </c>
      <c r="Q513" s="58" t="n">
        <f aca="false">Q512+N513</f>
        <v>989.13386082804</v>
      </c>
    </row>
    <row r="514" customFormat="false" ht="15" hidden="false" customHeight="false" outlineLevel="0" collapsed="false">
      <c r="K514" s="56" t="n">
        <f aca="false">K513+1</f>
        <v>507</v>
      </c>
      <c r="L514" s="57" t="n">
        <f aca="false">IF(AND(K514&lt;=Assumptions!$C$42,L513=1,P513=0,O513&gt;Assumptions!$C$43),1,0)</f>
        <v>0</v>
      </c>
      <c r="M514" s="58" t="n">
        <f aca="false">O513</f>
        <v>-10.8661391719591</v>
      </c>
      <c r="N514" s="58" t="n">
        <f aca="false">IF(L514=1,M514*$B$20,0)</f>
        <v>0</v>
      </c>
      <c r="O514" s="58" t="n">
        <f aca="false">IF(L514=1,M514+N514-$B$21,M514)</f>
        <v>-10.8661391719591</v>
      </c>
      <c r="P514" s="56" t="n">
        <f aca="false">IF(L514=1,IF($B$21&lt;=N514,1,0),0)</f>
        <v>0</v>
      </c>
      <c r="Q514" s="58" t="n">
        <f aca="false">Q513+N514</f>
        <v>989.13386082804</v>
      </c>
    </row>
    <row r="515" customFormat="false" ht="15" hidden="false" customHeight="false" outlineLevel="0" collapsed="false">
      <c r="K515" s="56" t="n">
        <f aca="false">K514+1</f>
        <v>508</v>
      </c>
      <c r="L515" s="57" t="n">
        <f aca="false">IF(AND(K515&lt;=Assumptions!$C$42,L514=1,P514=0,O514&gt;Assumptions!$C$43),1,0)</f>
        <v>0</v>
      </c>
      <c r="M515" s="58" t="n">
        <f aca="false">O514</f>
        <v>-10.8661391719591</v>
      </c>
      <c r="N515" s="58" t="n">
        <f aca="false">IF(L515=1,M515*$B$20,0)</f>
        <v>0</v>
      </c>
      <c r="O515" s="58" t="n">
        <f aca="false">IF(L515=1,M515+N515-$B$21,M515)</f>
        <v>-10.8661391719591</v>
      </c>
      <c r="P515" s="56" t="n">
        <f aca="false">IF(L515=1,IF($B$21&lt;=N515,1,0),0)</f>
        <v>0</v>
      </c>
      <c r="Q515" s="58" t="n">
        <f aca="false">Q514+N515</f>
        <v>989.13386082804</v>
      </c>
    </row>
    <row r="516" customFormat="false" ht="15" hidden="false" customHeight="false" outlineLevel="0" collapsed="false">
      <c r="K516" s="56" t="n">
        <f aca="false">K515+1</f>
        <v>509</v>
      </c>
      <c r="L516" s="57" t="n">
        <f aca="false">IF(AND(K516&lt;=Assumptions!$C$42,L515=1,P515=0,O515&gt;Assumptions!$C$43),1,0)</f>
        <v>0</v>
      </c>
      <c r="M516" s="58" t="n">
        <f aca="false">O515</f>
        <v>-10.8661391719591</v>
      </c>
      <c r="N516" s="58" t="n">
        <f aca="false">IF(L516=1,M516*$B$20,0)</f>
        <v>0</v>
      </c>
      <c r="O516" s="58" t="n">
        <f aca="false">IF(L516=1,M516+N516-$B$21,M516)</f>
        <v>-10.8661391719591</v>
      </c>
      <c r="P516" s="56" t="n">
        <f aca="false">IF(L516=1,IF($B$21&lt;=N516,1,0),0)</f>
        <v>0</v>
      </c>
      <c r="Q516" s="58" t="n">
        <f aca="false">Q515+N516</f>
        <v>989.13386082804</v>
      </c>
    </row>
    <row r="517" customFormat="false" ht="15" hidden="false" customHeight="false" outlineLevel="0" collapsed="false">
      <c r="K517" s="56" t="n">
        <f aca="false">K516+1</f>
        <v>510</v>
      </c>
      <c r="L517" s="57" t="n">
        <f aca="false">IF(AND(K517&lt;=Assumptions!$C$42,L516=1,P516=0,O516&gt;Assumptions!$C$43),1,0)</f>
        <v>0</v>
      </c>
      <c r="M517" s="58" t="n">
        <f aca="false">O516</f>
        <v>-10.8661391719591</v>
      </c>
      <c r="N517" s="58" t="n">
        <f aca="false">IF(L517=1,M517*$B$20,0)</f>
        <v>0</v>
      </c>
      <c r="O517" s="58" t="n">
        <f aca="false">IF(L517=1,M517+N517-$B$21,M517)</f>
        <v>-10.8661391719591</v>
      </c>
      <c r="P517" s="56" t="n">
        <f aca="false">IF(L517=1,IF($B$21&lt;=N517,1,0),0)</f>
        <v>0</v>
      </c>
      <c r="Q517" s="58" t="n">
        <f aca="false">Q516+N517</f>
        <v>989.13386082804</v>
      </c>
    </row>
    <row r="518" customFormat="false" ht="15" hidden="false" customHeight="false" outlineLevel="0" collapsed="false">
      <c r="K518" s="56" t="n">
        <f aca="false">K517+1</f>
        <v>511</v>
      </c>
      <c r="L518" s="57" t="n">
        <f aca="false">IF(AND(K518&lt;=Assumptions!$C$42,L517=1,P517=0,O517&gt;Assumptions!$C$43),1,0)</f>
        <v>0</v>
      </c>
      <c r="M518" s="58" t="n">
        <f aca="false">O517</f>
        <v>-10.8661391719591</v>
      </c>
      <c r="N518" s="58" t="n">
        <f aca="false">IF(L518=1,M518*$B$20,0)</f>
        <v>0</v>
      </c>
      <c r="O518" s="58" t="n">
        <f aca="false">IF(L518=1,M518+N518-$B$21,M518)</f>
        <v>-10.8661391719591</v>
      </c>
      <c r="P518" s="56" t="n">
        <f aca="false">IF(L518=1,IF($B$21&lt;=N518,1,0),0)</f>
        <v>0</v>
      </c>
      <c r="Q518" s="58" t="n">
        <f aca="false">Q517+N518</f>
        <v>989.13386082804</v>
      </c>
    </row>
    <row r="519" customFormat="false" ht="15" hidden="false" customHeight="false" outlineLevel="0" collapsed="false">
      <c r="K519" s="56" t="n">
        <f aca="false">K518+1</f>
        <v>512</v>
      </c>
      <c r="L519" s="57" t="n">
        <f aca="false">IF(AND(K519&lt;=Assumptions!$C$42,L518=1,P518=0,O518&gt;Assumptions!$C$43),1,0)</f>
        <v>0</v>
      </c>
      <c r="M519" s="58" t="n">
        <f aca="false">O518</f>
        <v>-10.8661391719591</v>
      </c>
      <c r="N519" s="58" t="n">
        <f aca="false">IF(L519=1,M519*$B$20,0)</f>
        <v>0</v>
      </c>
      <c r="O519" s="58" t="n">
        <f aca="false">IF(L519=1,M519+N519-$B$21,M519)</f>
        <v>-10.8661391719591</v>
      </c>
      <c r="P519" s="56" t="n">
        <f aca="false">IF(L519=1,IF($B$21&lt;=N519,1,0),0)</f>
        <v>0</v>
      </c>
      <c r="Q519" s="58" t="n">
        <f aca="false">Q518+N519</f>
        <v>989.13386082804</v>
      </c>
    </row>
    <row r="520" customFormat="false" ht="15" hidden="false" customHeight="false" outlineLevel="0" collapsed="false">
      <c r="K520" s="56" t="n">
        <f aca="false">K519+1</f>
        <v>513</v>
      </c>
      <c r="L520" s="57" t="n">
        <f aca="false">IF(AND(K520&lt;=Assumptions!$C$42,L519=1,P519=0,O519&gt;Assumptions!$C$43),1,0)</f>
        <v>0</v>
      </c>
      <c r="M520" s="58" t="n">
        <f aca="false">O519</f>
        <v>-10.8661391719591</v>
      </c>
      <c r="N520" s="58" t="n">
        <f aca="false">IF(L520=1,M520*$B$20,0)</f>
        <v>0</v>
      </c>
      <c r="O520" s="58" t="n">
        <f aca="false">IF(L520=1,M520+N520-$B$21,M520)</f>
        <v>-10.8661391719591</v>
      </c>
      <c r="P520" s="56" t="n">
        <f aca="false">IF(L520=1,IF($B$21&lt;=N520,1,0),0)</f>
        <v>0</v>
      </c>
      <c r="Q520" s="58" t="n">
        <f aca="false">Q519+N520</f>
        <v>989.13386082804</v>
      </c>
    </row>
    <row r="521" customFormat="false" ht="15" hidden="false" customHeight="false" outlineLevel="0" collapsed="false">
      <c r="K521" s="56" t="n">
        <f aca="false">K520+1</f>
        <v>514</v>
      </c>
      <c r="L521" s="57" t="n">
        <f aca="false">IF(AND(K521&lt;=Assumptions!$C$42,L520=1,P520=0,O520&gt;Assumptions!$C$43),1,0)</f>
        <v>0</v>
      </c>
      <c r="M521" s="58" t="n">
        <f aca="false">O520</f>
        <v>-10.8661391719591</v>
      </c>
      <c r="N521" s="58" t="n">
        <f aca="false">IF(L521=1,M521*$B$20,0)</f>
        <v>0</v>
      </c>
      <c r="O521" s="58" t="n">
        <f aca="false">IF(L521=1,M521+N521-$B$21,M521)</f>
        <v>-10.8661391719591</v>
      </c>
      <c r="P521" s="56" t="n">
        <f aca="false">IF(L521=1,IF($B$21&lt;=N521,1,0),0)</f>
        <v>0</v>
      </c>
      <c r="Q521" s="58" t="n">
        <f aca="false">Q520+N521</f>
        <v>989.13386082804</v>
      </c>
    </row>
    <row r="522" customFormat="false" ht="15" hidden="false" customHeight="false" outlineLevel="0" collapsed="false">
      <c r="K522" s="56" t="n">
        <f aca="false">K521+1</f>
        <v>515</v>
      </c>
      <c r="L522" s="57" t="n">
        <f aca="false">IF(AND(K522&lt;=Assumptions!$C$42,L521=1,P521=0,O521&gt;Assumptions!$C$43),1,0)</f>
        <v>0</v>
      </c>
      <c r="M522" s="58" t="n">
        <f aca="false">O521</f>
        <v>-10.8661391719591</v>
      </c>
      <c r="N522" s="58" t="n">
        <f aca="false">IF(L522=1,M522*$B$20,0)</f>
        <v>0</v>
      </c>
      <c r="O522" s="58" t="n">
        <f aca="false">IF(L522=1,M522+N522-$B$21,M522)</f>
        <v>-10.8661391719591</v>
      </c>
      <c r="P522" s="56" t="n">
        <f aca="false">IF(L522=1,IF($B$21&lt;=N522,1,0),0)</f>
        <v>0</v>
      </c>
      <c r="Q522" s="58" t="n">
        <f aca="false">Q521+N522</f>
        <v>989.13386082804</v>
      </c>
    </row>
    <row r="523" customFormat="false" ht="15" hidden="false" customHeight="false" outlineLevel="0" collapsed="false">
      <c r="K523" s="56" t="n">
        <f aca="false">K522+1</f>
        <v>516</v>
      </c>
      <c r="L523" s="57" t="n">
        <f aca="false">IF(AND(K523&lt;=Assumptions!$C$42,L522=1,P522=0,O522&gt;Assumptions!$C$43),1,0)</f>
        <v>0</v>
      </c>
      <c r="M523" s="58" t="n">
        <f aca="false">O522</f>
        <v>-10.8661391719591</v>
      </c>
      <c r="N523" s="58" t="n">
        <f aca="false">IF(L523=1,M523*$B$20,0)</f>
        <v>0</v>
      </c>
      <c r="O523" s="58" t="n">
        <f aca="false">IF(L523=1,M523+N523-$B$21,M523)</f>
        <v>-10.8661391719591</v>
      </c>
      <c r="P523" s="56" t="n">
        <f aca="false">IF(L523=1,IF($B$21&lt;=N523,1,0),0)</f>
        <v>0</v>
      </c>
      <c r="Q523" s="58" t="n">
        <f aca="false">Q522+N523</f>
        <v>989.13386082804</v>
      </c>
    </row>
    <row r="524" customFormat="false" ht="15" hidden="false" customHeight="false" outlineLevel="0" collapsed="false">
      <c r="K524" s="56" t="n">
        <f aca="false">K523+1</f>
        <v>517</v>
      </c>
      <c r="L524" s="57" t="n">
        <f aca="false">IF(AND(K524&lt;=Assumptions!$C$42,L523=1,P523=0,O523&gt;Assumptions!$C$43),1,0)</f>
        <v>0</v>
      </c>
      <c r="M524" s="58" t="n">
        <f aca="false">O523</f>
        <v>-10.8661391719591</v>
      </c>
      <c r="N524" s="58" t="n">
        <f aca="false">IF(L524=1,M524*$B$20,0)</f>
        <v>0</v>
      </c>
      <c r="O524" s="58" t="n">
        <f aca="false">IF(L524=1,M524+N524-$B$21,M524)</f>
        <v>-10.8661391719591</v>
      </c>
      <c r="P524" s="56" t="n">
        <f aca="false">IF(L524=1,IF($B$21&lt;=N524,1,0),0)</f>
        <v>0</v>
      </c>
      <c r="Q524" s="58" t="n">
        <f aca="false">Q523+N524</f>
        <v>989.13386082804</v>
      </c>
    </row>
    <row r="525" customFormat="false" ht="15" hidden="false" customHeight="false" outlineLevel="0" collapsed="false">
      <c r="K525" s="56" t="n">
        <f aca="false">K524+1</f>
        <v>518</v>
      </c>
      <c r="L525" s="57" t="n">
        <f aca="false">IF(AND(K525&lt;=Assumptions!$C$42,L524=1,P524=0,O524&gt;Assumptions!$C$43),1,0)</f>
        <v>0</v>
      </c>
      <c r="M525" s="58" t="n">
        <f aca="false">O524</f>
        <v>-10.8661391719591</v>
      </c>
      <c r="N525" s="58" t="n">
        <f aca="false">IF(L525=1,M525*$B$20,0)</f>
        <v>0</v>
      </c>
      <c r="O525" s="58" t="n">
        <f aca="false">IF(L525=1,M525+N525-$B$21,M525)</f>
        <v>-10.8661391719591</v>
      </c>
      <c r="P525" s="56" t="n">
        <f aca="false">IF(L525=1,IF($B$21&lt;=N525,1,0),0)</f>
        <v>0</v>
      </c>
      <c r="Q525" s="58" t="n">
        <f aca="false">Q524+N525</f>
        <v>989.13386082804</v>
      </c>
    </row>
    <row r="526" customFormat="false" ht="15" hidden="false" customHeight="false" outlineLevel="0" collapsed="false">
      <c r="K526" s="56" t="n">
        <f aca="false">K525+1</f>
        <v>519</v>
      </c>
      <c r="L526" s="57" t="n">
        <f aca="false">IF(AND(K526&lt;=Assumptions!$C$42,L525=1,P525=0,O525&gt;Assumptions!$C$43),1,0)</f>
        <v>0</v>
      </c>
      <c r="M526" s="58" t="n">
        <f aca="false">O525</f>
        <v>-10.8661391719591</v>
      </c>
      <c r="N526" s="58" t="n">
        <f aca="false">IF(L526=1,M526*$B$20,0)</f>
        <v>0</v>
      </c>
      <c r="O526" s="58" t="n">
        <f aca="false">IF(L526=1,M526+N526-$B$21,M526)</f>
        <v>-10.8661391719591</v>
      </c>
      <c r="P526" s="56" t="n">
        <f aca="false">IF(L526=1,IF($B$21&lt;=N526,1,0),0)</f>
        <v>0</v>
      </c>
      <c r="Q526" s="58" t="n">
        <f aca="false">Q525+N526</f>
        <v>989.13386082804</v>
      </c>
    </row>
    <row r="527" customFormat="false" ht="15" hidden="false" customHeight="false" outlineLevel="0" collapsed="false">
      <c r="K527" s="56" t="n">
        <f aca="false">K526+1</f>
        <v>520</v>
      </c>
      <c r="L527" s="57" t="n">
        <f aca="false">IF(AND(K527&lt;=Assumptions!$C$42,L526=1,P526=0,O526&gt;Assumptions!$C$43),1,0)</f>
        <v>0</v>
      </c>
      <c r="M527" s="58" t="n">
        <f aca="false">O526</f>
        <v>-10.8661391719591</v>
      </c>
      <c r="N527" s="58" t="n">
        <f aca="false">IF(L527=1,M527*$B$20,0)</f>
        <v>0</v>
      </c>
      <c r="O527" s="58" t="n">
        <f aca="false">IF(L527=1,M527+N527-$B$21,M527)</f>
        <v>-10.8661391719591</v>
      </c>
      <c r="P527" s="56" t="n">
        <f aca="false">IF(L527=1,IF($B$21&lt;=N527,1,0),0)</f>
        <v>0</v>
      </c>
      <c r="Q527" s="58" t="n">
        <f aca="false">Q526+N527</f>
        <v>989.13386082804</v>
      </c>
    </row>
    <row r="528" customFormat="false" ht="15" hidden="false" customHeight="false" outlineLevel="0" collapsed="false">
      <c r="K528" s="56" t="n">
        <f aca="false">K527+1</f>
        <v>521</v>
      </c>
      <c r="L528" s="57" t="n">
        <f aca="false">IF(AND(K528&lt;=Assumptions!$C$42,L527=1,P527=0,O527&gt;Assumptions!$C$43),1,0)</f>
        <v>0</v>
      </c>
      <c r="M528" s="58" t="n">
        <f aca="false">O527</f>
        <v>-10.8661391719591</v>
      </c>
      <c r="N528" s="58" t="n">
        <f aca="false">IF(L528=1,M528*$B$20,0)</f>
        <v>0</v>
      </c>
      <c r="O528" s="58" t="n">
        <f aca="false">IF(L528=1,M528+N528-$B$21,M528)</f>
        <v>-10.8661391719591</v>
      </c>
      <c r="P528" s="56" t="n">
        <f aca="false">IF(L528=1,IF($B$21&lt;=N528,1,0),0)</f>
        <v>0</v>
      </c>
      <c r="Q528" s="58" t="n">
        <f aca="false">Q527+N528</f>
        <v>989.13386082804</v>
      </c>
    </row>
    <row r="529" customFormat="false" ht="15" hidden="false" customHeight="false" outlineLevel="0" collapsed="false">
      <c r="K529" s="56" t="n">
        <f aca="false">K528+1</f>
        <v>522</v>
      </c>
      <c r="L529" s="57" t="n">
        <f aca="false">IF(AND(K529&lt;=Assumptions!$C$42,L528=1,P528=0,O528&gt;Assumptions!$C$43),1,0)</f>
        <v>0</v>
      </c>
      <c r="M529" s="58" t="n">
        <f aca="false">O528</f>
        <v>-10.8661391719591</v>
      </c>
      <c r="N529" s="58" t="n">
        <f aca="false">IF(L529=1,M529*$B$20,0)</f>
        <v>0</v>
      </c>
      <c r="O529" s="58" t="n">
        <f aca="false">IF(L529=1,M529+N529-$B$21,M529)</f>
        <v>-10.8661391719591</v>
      </c>
      <c r="P529" s="56" t="n">
        <f aca="false">IF(L529=1,IF($B$21&lt;=N529,1,0),0)</f>
        <v>0</v>
      </c>
      <c r="Q529" s="58" t="n">
        <f aca="false">Q528+N529</f>
        <v>989.13386082804</v>
      </c>
    </row>
    <row r="530" customFormat="false" ht="15" hidden="false" customHeight="false" outlineLevel="0" collapsed="false">
      <c r="K530" s="56" t="n">
        <f aca="false">K529+1</f>
        <v>523</v>
      </c>
      <c r="L530" s="57" t="n">
        <f aca="false">IF(AND(K530&lt;=Assumptions!$C$42,L529=1,P529=0,O529&gt;Assumptions!$C$43),1,0)</f>
        <v>0</v>
      </c>
      <c r="M530" s="58" t="n">
        <f aca="false">O529</f>
        <v>-10.8661391719591</v>
      </c>
      <c r="N530" s="58" t="n">
        <f aca="false">IF(L530=1,M530*$B$20,0)</f>
        <v>0</v>
      </c>
      <c r="O530" s="58" t="n">
        <f aca="false">IF(L530=1,M530+N530-$B$21,M530)</f>
        <v>-10.8661391719591</v>
      </c>
      <c r="P530" s="56" t="n">
        <f aca="false">IF(L530=1,IF($B$21&lt;=N530,1,0),0)</f>
        <v>0</v>
      </c>
      <c r="Q530" s="58" t="n">
        <f aca="false">Q529+N530</f>
        <v>989.13386082804</v>
      </c>
    </row>
    <row r="531" customFormat="false" ht="15" hidden="false" customHeight="false" outlineLevel="0" collapsed="false">
      <c r="K531" s="56" t="n">
        <f aca="false">K530+1</f>
        <v>524</v>
      </c>
      <c r="L531" s="57" t="n">
        <f aca="false">IF(AND(K531&lt;=Assumptions!$C$42,L530=1,P530=0,O530&gt;Assumptions!$C$43),1,0)</f>
        <v>0</v>
      </c>
      <c r="M531" s="58" t="n">
        <f aca="false">O530</f>
        <v>-10.8661391719591</v>
      </c>
      <c r="N531" s="58" t="n">
        <f aca="false">IF(L531=1,M531*$B$20,0)</f>
        <v>0</v>
      </c>
      <c r="O531" s="58" t="n">
        <f aca="false">IF(L531=1,M531+N531-$B$21,M531)</f>
        <v>-10.8661391719591</v>
      </c>
      <c r="P531" s="56" t="n">
        <f aca="false">IF(L531=1,IF($B$21&lt;=N531,1,0),0)</f>
        <v>0</v>
      </c>
      <c r="Q531" s="58" t="n">
        <f aca="false">Q530+N531</f>
        <v>989.13386082804</v>
      </c>
    </row>
    <row r="532" customFormat="false" ht="15" hidden="false" customHeight="false" outlineLevel="0" collapsed="false">
      <c r="K532" s="56" t="n">
        <f aca="false">K531+1</f>
        <v>525</v>
      </c>
      <c r="L532" s="57" t="n">
        <f aca="false">IF(AND(K532&lt;=Assumptions!$C$42,L531=1,P531=0,O531&gt;Assumptions!$C$43),1,0)</f>
        <v>0</v>
      </c>
      <c r="M532" s="58" t="n">
        <f aca="false">O531</f>
        <v>-10.8661391719591</v>
      </c>
      <c r="N532" s="58" t="n">
        <f aca="false">IF(L532=1,M532*$B$20,0)</f>
        <v>0</v>
      </c>
      <c r="O532" s="58" t="n">
        <f aca="false">IF(L532=1,M532+N532-$B$21,M532)</f>
        <v>-10.8661391719591</v>
      </c>
      <c r="P532" s="56" t="n">
        <f aca="false">IF(L532=1,IF($B$21&lt;=N532,1,0),0)</f>
        <v>0</v>
      </c>
      <c r="Q532" s="58" t="n">
        <f aca="false">Q531+N532</f>
        <v>989.13386082804</v>
      </c>
    </row>
    <row r="533" customFormat="false" ht="15" hidden="false" customHeight="false" outlineLevel="0" collapsed="false">
      <c r="K533" s="56" t="n">
        <f aca="false">K532+1</f>
        <v>526</v>
      </c>
      <c r="L533" s="57" t="n">
        <f aca="false">IF(AND(K533&lt;=Assumptions!$C$42,L532=1,P532=0,O532&gt;Assumptions!$C$43),1,0)</f>
        <v>0</v>
      </c>
      <c r="M533" s="58" t="n">
        <f aca="false">O532</f>
        <v>-10.8661391719591</v>
      </c>
      <c r="N533" s="58" t="n">
        <f aca="false">IF(L533=1,M533*$B$20,0)</f>
        <v>0</v>
      </c>
      <c r="O533" s="58" t="n">
        <f aca="false">IF(L533=1,M533+N533-$B$21,M533)</f>
        <v>-10.8661391719591</v>
      </c>
      <c r="P533" s="56" t="n">
        <f aca="false">IF(L533=1,IF($B$21&lt;=N533,1,0),0)</f>
        <v>0</v>
      </c>
      <c r="Q533" s="58" t="n">
        <f aca="false">Q532+N533</f>
        <v>989.13386082804</v>
      </c>
    </row>
    <row r="534" customFormat="false" ht="15" hidden="false" customHeight="false" outlineLevel="0" collapsed="false">
      <c r="K534" s="56" t="n">
        <f aca="false">K533+1</f>
        <v>527</v>
      </c>
      <c r="L534" s="57" t="n">
        <f aca="false">IF(AND(K534&lt;=Assumptions!$C$42,L533=1,P533=0,O533&gt;Assumptions!$C$43),1,0)</f>
        <v>0</v>
      </c>
      <c r="M534" s="58" t="n">
        <f aca="false">O533</f>
        <v>-10.8661391719591</v>
      </c>
      <c r="N534" s="58" t="n">
        <f aca="false">IF(L534=1,M534*$B$20,0)</f>
        <v>0</v>
      </c>
      <c r="O534" s="58" t="n">
        <f aca="false">IF(L534=1,M534+N534-$B$21,M534)</f>
        <v>-10.8661391719591</v>
      </c>
      <c r="P534" s="56" t="n">
        <f aca="false">IF(L534=1,IF($B$21&lt;=N534,1,0),0)</f>
        <v>0</v>
      </c>
      <c r="Q534" s="58" t="n">
        <f aca="false">Q533+N534</f>
        <v>989.13386082804</v>
      </c>
    </row>
    <row r="535" customFormat="false" ht="15" hidden="false" customHeight="false" outlineLevel="0" collapsed="false">
      <c r="K535" s="56" t="n">
        <f aca="false">K534+1</f>
        <v>528</v>
      </c>
      <c r="L535" s="57" t="n">
        <f aca="false">IF(AND(K535&lt;=Assumptions!$C$42,L534=1,P534=0,O534&gt;Assumptions!$C$43),1,0)</f>
        <v>0</v>
      </c>
      <c r="M535" s="58" t="n">
        <f aca="false">O534</f>
        <v>-10.8661391719591</v>
      </c>
      <c r="N535" s="58" t="n">
        <f aca="false">IF(L535=1,M535*$B$20,0)</f>
        <v>0</v>
      </c>
      <c r="O535" s="58" t="n">
        <f aca="false">IF(L535=1,M535+N535-$B$21,M535)</f>
        <v>-10.8661391719591</v>
      </c>
      <c r="P535" s="56" t="n">
        <f aca="false">IF(L535=1,IF($B$21&lt;=N535,1,0),0)</f>
        <v>0</v>
      </c>
      <c r="Q535" s="58" t="n">
        <f aca="false">Q534+N535</f>
        <v>989.13386082804</v>
      </c>
    </row>
    <row r="536" customFormat="false" ht="15" hidden="false" customHeight="false" outlineLevel="0" collapsed="false">
      <c r="K536" s="56" t="n">
        <f aca="false">K535+1</f>
        <v>529</v>
      </c>
      <c r="L536" s="57" t="n">
        <f aca="false">IF(AND(K536&lt;=Assumptions!$C$42,L535=1,P535=0,O535&gt;Assumptions!$C$43),1,0)</f>
        <v>0</v>
      </c>
      <c r="M536" s="58" t="n">
        <f aca="false">O535</f>
        <v>-10.8661391719591</v>
      </c>
      <c r="N536" s="58" t="n">
        <f aca="false">IF(L536=1,M536*$B$20,0)</f>
        <v>0</v>
      </c>
      <c r="O536" s="58" t="n">
        <f aca="false">IF(L536=1,M536+N536-$B$21,M536)</f>
        <v>-10.8661391719591</v>
      </c>
      <c r="P536" s="56" t="n">
        <f aca="false">IF(L536=1,IF($B$21&lt;=N536,1,0),0)</f>
        <v>0</v>
      </c>
      <c r="Q536" s="58" t="n">
        <f aca="false">Q535+N536</f>
        <v>989.13386082804</v>
      </c>
    </row>
    <row r="537" customFormat="false" ht="15" hidden="false" customHeight="false" outlineLevel="0" collapsed="false">
      <c r="K537" s="56" t="n">
        <f aca="false">K536+1</f>
        <v>530</v>
      </c>
      <c r="L537" s="57" t="n">
        <f aca="false">IF(AND(K537&lt;=Assumptions!$C$42,L536=1,P536=0,O536&gt;Assumptions!$C$43),1,0)</f>
        <v>0</v>
      </c>
      <c r="M537" s="58" t="n">
        <f aca="false">O536</f>
        <v>-10.8661391719591</v>
      </c>
      <c r="N537" s="58" t="n">
        <f aca="false">IF(L537=1,M537*$B$20,0)</f>
        <v>0</v>
      </c>
      <c r="O537" s="58" t="n">
        <f aca="false">IF(L537=1,M537+N537-$B$21,M537)</f>
        <v>-10.8661391719591</v>
      </c>
      <c r="P537" s="56" t="n">
        <f aca="false">IF(L537=1,IF($B$21&lt;=N537,1,0),0)</f>
        <v>0</v>
      </c>
      <c r="Q537" s="58" t="n">
        <f aca="false">Q536+N537</f>
        <v>989.13386082804</v>
      </c>
    </row>
    <row r="538" customFormat="false" ht="15" hidden="false" customHeight="false" outlineLevel="0" collapsed="false">
      <c r="K538" s="56" t="n">
        <f aca="false">K537+1</f>
        <v>531</v>
      </c>
      <c r="L538" s="57" t="n">
        <f aca="false">IF(AND(K538&lt;=Assumptions!$C$42,L537=1,P537=0,O537&gt;Assumptions!$C$43),1,0)</f>
        <v>0</v>
      </c>
      <c r="M538" s="58" t="n">
        <f aca="false">O537</f>
        <v>-10.8661391719591</v>
      </c>
      <c r="N538" s="58" t="n">
        <f aca="false">IF(L538=1,M538*$B$20,0)</f>
        <v>0</v>
      </c>
      <c r="O538" s="58" t="n">
        <f aca="false">IF(L538=1,M538+N538-$B$21,M538)</f>
        <v>-10.8661391719591</v>
      </c>
      <c r="P538" s="56" t="n">
        <f aca="false">IF(L538=1,IF($B$21&lt;=N538,1,0),0)</f>
        <v>0</v>
      </c>
      <c r="Q538" s="58" t="n">
        <f aca="false">Q537+N538</f>
        <v>989.13386082804</v>
      </c>
    </row>
    <row r="539" customFormat="false" ht="15" hidden="false" customHeight="false" outlineLevel="0" collapsed="false">
      <c r="K539" s="56" t="n">
        <f aca="false">K538+1</f>
        <v>532</v>
      </c>
      <c r="L539" s="57" t="n">
        <f aca="false">IF(AND(K539&lt;=Assumptions!$C$42,L538=1,P538=0,O538&gt;Assumptions!$C$43),1,0)</f>
        <v>0</v>
      </c>
      <c r="M539" s="58" t="n">
        <f aca="false">O538</f>
        <v>-10.8661391719591</v>
      </c>
      <c r="N539" s="58" t="n">
        <f aca="false">IF(L539=1,M539*$B$20,0)</f>
        <v>0</v>
      </c>
      <c r="O539" s="58" t="n">
        <f aca="false">IF(L539=1,M539+N539-$B$21,M539)</f>
        <v>-10.8661391719591</v>
      </c>
      <c r="P539" s="56" t="n">
        <f aca="false">IF(L539=1,IF($B$21&lt;=N539,1,0),0)</f>
        <v>0</v>
      </c>
      <c r="Q539" s="58" t="n">
        <f aca="false">Q538+N539</f>
        <v>989.13386082804</v>
      </c>
    </row>
    <row r="540" customFormat="false" ht="15" hidden="false" customHeight="false" outlineLevel="0" collapsed="false">
      <c r="K540" s="56" t="n">
        <f aca="false">K539+1</f>
        <v>533</v>
      </c>
      <c r="L540" s="57" t="n">
        <f aca="false">IF(AND(K540&lt;=Assumptions!$C$42,L539=1,P539=0,O539&gt;Assumptions!$C$43),1,0)</f>
        <v>0</v>
      </c>
      <c r="M540" s="58" t="n">
        <f aca="false">O539</f>
        <v>-10.8661391719591</v>
      </c>
      <c r="N540" s="58" t="n">
        <f aca="false">IF(L540=1,M540*$B$20,0)</f>
        <v>0</v>
      </c>
      <c r="O540" s="58" t="n">
        <f aca="false">IF(L540=1,M540+N540-$B$21,M540)</f>
        <v>-10.8661391719591</v>
      </c>
      <c r="P540" s="56" t="n">
        <f aca="false">IF(L540=1,IF($B$21&lt;=N540,1,0),0)</f>
        <v>0</v>
      </c>
      <c r="Q540" s="58" t="n">
        <f aca="false">Q539+N540</f>
        <v>989.13386082804</v>
      </c>
    </row>
    <row r="541" customFormat="false" ht="15" hidden="false" customHeight="false" outlineLevel="0" collapsed="false">
      <c r="K541" s="56" t="n">
        <f aca="false">K540+1</f>
        <v>534</v>
      </c>
      <c r="L541" s="57" t="n">
        <f aca="false">IF(AND(K541&lt;=Assumptions!$C$42,L540=1,P540=0,O540&gt;Assumptions!$C$43),1,0)</f>
        <v>0</v>
      </c>
      <c r="M541" s="58" t="n">
        <f aca="false">O540</f>
        <v>-10.8661391719591</v>
      </c>
      <c r="N541" s="58" t="n">
        <f aca="false">IF(L541=1,M541*$B$20,0)</f>
        <v>0</v>
      </c>
      <c r="O541" s="58" t="n">
        <f aca="false">IF(L541=1,M541+N541-$B$21,M541)</f>
        <v>-10.8661391719591</v>
      </c>
      <c r="P541" s="56" t="n">
        <f aca="false">IF(L541=1,IF($B$21&lt;=N541,1,0),0)</f>
        <v>0</v>
      </c>
      <c r="Q541" s="58" t="n">
        <f aca="false">Q540+N541</f>
        <v>989.13386082804</v>
      </c>
    </row>
    <row r="542" customFormat="false" ht="15" hidden="false" customHeight="false" outlineLevel="0" collapsed="false">
      <c r="K542" s="56" t="n">
        <f aca="false">K541+1</f>
        <v>535</v>
      </c>
      <c r="L542" s="57" t="n">
        <f aca="false">IF(AND(K542&lt;=Assumptions!$C$42,L541=1,P541=0,O541&gt;Assumptions!$C$43),1,0)</f>
        <v>0</v>
      </c>
      <c r="M542" s="58" t="n">
        <f aca="false">O541</f>
        <v>-10.8661391719591</v>
      </c>
      <c r="N542" s="58" t="n">
        <f aca="false">IF(L542=1,M542*$B$20,0)</f>
        <v>0</v>
      </c>
      <c r="O542" s="58" t="n">
        <f aca="false">IF(L542=1,M542+N542-$B$21,M542)</f>
        <v>-10.8661391719591</v>
      </c>
      <c r="P542" s="56" t="n">
        <f aca="false">IF(L542=1,IF($B$21&lt;=N542,1,0),0)</f>
        <v>0</v>
      </c>
      <c r="Q542" s="58" t="n">
        <f aca="false">Q541+N542</f>
        <v>989.13386082804</v>
      </c>
    </row>
    <row r="543" customFormat="false" ht="15" hidden="false" customHeight="false" outlineLevel="0" collapsed="false">
      <c r="K543" s="56" t="n">
        <f aca="false">K542+1</f>
        <v>536</v>
      </c>
      <c r="L543" s="57" t="n">
        <f aca="false">IF(AND(K543&lt;=Assumptions!$C$42,L542=1,P542=0,O542&gt;Assumptions!$C$43),1,0)</f>
        <v>0</v>
      </c>
      <c r="M543" s="58" t="n">
        <f aca="false">O542</f>
        <v>-10.8661391719591</v>
      </c>
      <c r="N543" s="58" t="n">
        <f aca="false">IF(L543=1,M543*$B$20,0)</f>
        <v>0</v>
      </c>
      <c r="O543" s="58" t="n">
        <f aca="false">IF(L543=1,M543+N543-$B$21,M543)</f>
        <v>-10.8661391719591</v>
      </c>
      <c r="P543" s="56" t="n">
        <f aca="false">IF(L543=1,IF($B$21&lt;=N543,1,0),0)</f>
        <v>0</v>
      </c>
      <c r="Q543" s="58" t="n">
        <f aca="false">Q542+N543</f>
        <v>989.13386082804</v>
      </c>
    </row>
    <row r="544" customFormat="false" ht="15" hidden="false" customHeight="false" outlineLevel="0" collapsed="false">
      <c r="K544" s="56" t="n">
        <f aca="false">K543+1</f>
        <v>537</v>
      </c>
      <c r="L544" s="57" t="n">
        <f aca="false">IF(AND(K544&lt;=Assumptions!$C$42,L543=1,P543=0,O543&gt;Assumptions!$C$43),1,0)</f>
        <v>0</v>
      </c>
      <c r="M544" s="58" t="n">
        <f aca="false">O543</f>
        <v>-10.8661391719591</v>
      </c>
      <c r="N544" s="58" t="n">
        <f aca="false">IF(L544=1,M544*$B$20,0)</f>
        <v>0</v>
      </c>
      <c r="O544" s="58" t="n">
        <f aca="false">IF(L544=1,M544+N544-$B$21,M544)</f>
        <v>-10.8661391719591</v>
      </c>
      <c r="P544" s="56" t="n">
        <f aca="false">IF(L544=1,IF($B$21&lt;=N544,1,0),0)</f>
        <v>0</v>
      </c>
      <c r="Q544" s="58" t="n">
        <f aca="false">Q543+N544</f>
        <v>989.13386082804</v>
      </c>
    </row>
    <row r="545" customFormat="false" ht="15" hidden="false" customHeight="false" outlineLevel="0" collapsed="false">
      <c r="K545" s="56" t="n">
        <f aca="false">K544+1</f>
        <v>538</v>
      </c>
      <c r="L545" s="57" t="n">
        <f aca="false">IF(AND(K545&lt;=Assumptions!$C$42,L544=1,P544=0,O544&gt;Assumptions!$C$43),1,0)</f>
        <v>0</v>
      </c>
      <c r="M545" s="58" t="n">
        <f aca="false">O544</f>
        <v>-10.8661391719591</v>
      </c>
      <c r="N545" s="58" t="n">
        <f aca="false">IF(L545=1,M545*$B$20,0)</f>
        <v>0</v>
      </c>
      <c r="O545" s="58" t="n">
        <f aca="false">IF(L545=1,M545+N545-$B$21,M545)</f>
        <v>-10.8661391719591</v>
      </c>
      <c r="P545" s="56" t="n">
        <f aca="false">IF(L545=1,IF($B$21&lt;=N545,1,0),0)</f>
        <v>0</v>
      </c>
      <c r="Q545" s="58" t="n">
        <f aca="false">Q544+N545</f>
        <v>989.13386082804</v>
      </c>
    </row>
    <row r="546" customFormat="false" ht="15" hidden="false" customHeight="false" outlineLevel="0" collapsed="false">
      <c r="K546" s="56" t="n">
        <f aca="false">K545+1</f>
        <v>539</v>
      </c>
      <c r="L546" s="57" t="n">
        <f aca="false">IF(AND(K546&lt;=Assumptions!$C$42,L545=1,P545=0,O545&gt;Assumptions!$C$43),1,0)</f>
        <v>0</v>
      </c>
      <c r="M546" s="58" t="n">
        <f aca="false">O545</f>
        <v>-10.8661391719591</v>
      </c>
      <c r="N546" s="58" t="n">
        <f aca="false">IF(L546=1,M546*$B$20,0)</f>
        <v>0</v>
      </c>
      <c r="O546" s="58" t="n">
        <f aca="false">IF(L546=1,M546+N546-$B$21,M546)</f>
        <v>-10.8661391719591</v>
      </c>
      <c r="P546" s="56" t="n">
        <f aca="false">IF(L546=1,IF($B$21&lt;=N546,1,0),0)</f>
        <v>0</v>
      </c>
      <c r="Q546" s="58" t="n">
        <f aca="false">Q545+N546</f>
        <v>989.13386082804</v>
      </c>
    </row>
    <row r="547" customFormat="false" ht="15" hidden="false" customHeight="false" outlineLevel="0" collapsed="false">
      <c r="K547" s="56" t="n">
        <f aca="false">K546+1</f>
        <v>540</v>
      </c>
      <c r="L547" s="57" t="n">
        <f aca="false">IF(AND(K547&lt;=Assumptions!$C$42,L546=1,P546=0,O546&gt;Assumptions!$C$43),1,0)</f>
        <v>0</v>
      </c>
      <c r="M547" s="58" t="n">
        <f aca="false">O546</f>
        <v>-10.8661391719591</v>
      </c>
      <c r="N547" s="58" t="n">
        <f aca="false">IF(L547=1,M547*$B$20,0)</f>
        <v>0</v>
      </c>
      <c r="O547" s="58" t="n">
        <f aca="false">IF(L547=1,M547+N547-$B$21,M547)</f>
        <v>-10.8661391719591</v>
      </c>
      <c r="P547" s="56" t="n">
        <f aca="false">IF(L547=1,IF($B$21&lt;=N547,1,0),0)</f>
        <v>0</v>
      </c>
      <c r="Q547" s="58" t="n">
        <f aca="false">Q546+N547</f>
        <v>989.13386082804</v>
      </c>
    </row>
    <row r="548" customFormat="false" ht="15" hidden="false" customHeight="false" outlineLevel="0" collapsed="false">
      <c r="K548" s="56" t="n">
        <f aca="false">K547+1</f>
        <v>541</v>
      </c>
      <c r="L548" s="57" t="n">
        <f aca="false">IF(AND(K548&lt;=Assumptions!$C$42,L547=1,P547=0,O547&gt;Assumptions!$C$43),1,0)</f>
        <v>0</v>
      </c>
      <c r="M548" s="58" t="n">
        <f aca="false">O547</f>
        <v>-10.8661391719591</v>
      </c>
      <c r="N548" s="58" t="n">
        <f aca="false">IF(L548=1,M548*$B$20,0)</f>
        <v>0</v>
      </c>
      <c r="O548" s="58" t="n">
        <f aca="false">IF(L548=1,M548+N548-$B$21,M548)</f>
        <v>-10.8661391719591</v>
      </c>
      <c r="P548" s="56" t="n">
        <f aca="false">IF(L548=1,IF($B$21&lt;=N548,1,0),0)</f>
        <v>0</v>
      </c>
      <c r="Q548" s="58" t="n">
        <f aca="false">Q547+N548</f>
        <v>989.13386082804</v>
      </c>
    </row>
    <row r="549" customFormat="false" ht="15" hidden="false" customHeight="false" outlineLevel="0" collapsed="false">
      <c r="K549" s="56" t="n">
        <f aca="false">K548+1</f>
        <v>542</v>
      </c>
      <c r="L549" s="57" t="n">
        <f aca="false">IF(AND(K549&lt;=Assumptions!$C$42,L548=1,P548=0,O548&gt;Assumptions!$C$43),1,0)</f>
        <v>0</v>
      </c>
      <c r="M549" s="58" t="n">
        <f aca="false">O548</f>
        <v>-10.8661391719591</v>
      </c>
      <c r="N549" s="58" t="n">
        <f aca="false">IF(L549=1,M549*$B$20,0)</f>
        <v>0</v>
      </c>
      <c r="O549" s="58" t="n">
        <f aca="false">IF(L549=1,M549+N549-$B$21,M549)</f>
        <v>-10.8661391719591</v>
      </c>
      <c r="P549" s="56" t="n">
        <f aca="false">IF(L549=1,IF($B$21&lt;=N549,1,0),0)</f>
        <v>0</v>
      </c>
      <c r="Q549" s="58" t="n">
        <f aca="false">Q548+N549</f>
        <v>989.13386082804</v>
      </c>
    </row>
    <row r="550" customFormat="false" ht="15" hidden="false" customHeight="false" outlineLevel="0" collapsed="false">
      <c r="K550" s="56" t="n">
        <f aca="false">K549+1</f>
        <v>543</v>
      </c>
      <c r="L550" s="57" t="n">
        <f aca="false">IF(AND(K550&lt;=Assumptions!$C$42,L549=1,P549=0,O549&gt;Assumptions!$C$43),1,0)</f>
        <v>0</v>
      </c>
      <c r="M550" s="58" t="n">
        <f aca="false">O549</f>
        <v>-10.8661391719591</v>
      </c>
      <c r="N550" s="58" t="n">
        <f aca="false">IF(L550=1,M550*$B$20,0)</f>
        <v>0</v>
      </c>
      <c r="O550" s="58" t="n">
        <f aca="false">IF(L550=1,M550+N550-$B$21,M550)</f>
        <v>-10.8661391719591</v>
      </c>
      <c r="P550" s="56" t="n">
        <f aca="false">IF(L550=1,IF($B$21&lt;=N550,1,0),0)</f>
        <v>0</v>
      </c>
      <c r="Q550" s="58" t="n">
        <f aca="false">Q549+N550</f>
        <v>989.13386082804</v>
      </c>
    </row>
    <row r="551" customFormat="false" ht="15" hidden="false" customHeight="false" outlineLevel="0" collapsed="false">
      <c r="K551" s="56" t="n">
        <f aca="false">K550+1</f>
        <v>544</v>
      </c>
      <c r="L551" s="57" t="n">
        <f aca="false">IF(AND(K551&lt;=Assumptions!$C$42,L550=1,P550=0,O550&gt;Assumptions!$C$43),1,0)</f>
        <v>0</v>
      </c>
      <c r="M551" s="58" t="n">
        <f aca="false">O550</f>
        <v>-10.8661391719591</v>
      </c>
      <c r="N551" s="58" t="n">
        <f aca="false">IF(L551=1,M551*$B$20,0)</f>
        <v>0</v>
      </c>
      <c r="O551" s="58" t="n">
        <f aca="false">IF(L551=1,M551+N551-$B$21,M551)</f>
        <v>-10.8661391719591</v>
      </c>
      <c r="P551" s="56" t="n">
        <f aca="false">IF(L551=1,IF($B$21&lt;=N551,1,0),0)</f>
        <v>0</v>
      </c>
      <c r="Q551" s="58" t="n">
        <f aca="false">Q550+N551</f>
        <v>989.13386082804</v>
      </c>
    </row>
    <row r="552" customFormat="false" ht="15" hidden="false" customHeight="false" outlineLevel="0" collapsed="false">
      <c r="K552" s="56" t="n">
        <f aca="false">K551+1</f>
        <v>545</v>
      </c>
      <c r="L552" s="57" t="n">
        <f aca="false">IF(AND(K552&lt;=Assumptions!$C$42,L551=1,P551=0,O551&gt;Assumptions!$C$43),1,0)</f>
        <v>0</v>
      </c>
      <c r="M552" s="58" t="n">
        <f aca="false">O551</f>
        <v>-10.8661391719591</v>
      </c>
      <c r="N552" s="58" t="n">
        <f aca="false">IF(L552=1,M552*$B$20,0)</f>
        <v>0</v>
      </c>
      <c r="O552" s="58" t="n">
        <f aca="false">IF(L552=1,M552+N552-$B$21,M552)</f>
        <v>-10.8661391719591</v>
      </c>
      <c r="P552" s="56" t="n">
        <f aca="false">IF(L552=1,IF($B$21&lt;=N552,1,0),0)</f>
        <v>0</v>
      </c>
      <c r="Q552" s="58" t="n">
        <f aca="false">Q551+N552</f>
        <v>989.13386082804</v>
      </c>
    </row>
    <row r="553" customFormat="false" ht="15" hidden="false" customHeight="false" outlineLevel="0" collapsed="false">
      <c r="K553" s="56" t="n">
        <f aca="false">K552+1</f>
        <v>546</v>
      </c>
      <c r="L553" s="57" t="n">
        <f aca="false">IF(AND(K553&lt;=Assumptions!$C$42,L552=1,P552=0,O552&gt;Assumptions!$C$43),1,0)</f>
        <v>0</v>
      </c>
      <c r="M553" s="58" t="n">
        <f aca="false">O552</f>
        <v>-10.8661391719591</v>
      </c>
      <c r="N553" s="58" t="n">
        <f aca="false">IF(L553=1,M553*$B$20,0)</f>
        <v>0</v>
      </c>
      <c r="O553" s="58" t="n">
        <f aca="false">IF(L553=1,M553+N553-$B$21,M553)</f>
        <v>-10.8661391719591</v>
      </c>
      <c r="P553" s="56" t="n">
        <f aca="false">IF(L553=1,IF($B$21&lt;=N553,1,0),0)</f>
        <v>0</v>
      </c>
      <c r="Q553" s="58" t="n">
        <f aca="false">Q552+N553</f>
        <v>989.13386082804</v>
      </c>
    </row>
    <row r="554" customFormat="false" ht="15" hidden="false" customHeight="false" outlineLevel="0" collapsed="false">
      <c r="K554" s="56" t="n">
        <f aca="false">K553+1</f>
        <v>547</v>
      </c>
      <c r="L554" s="57" t="n">
        <f aca="false">IF(AND(K554&lt;=Assumptions!$C$42,L553=1,P553=0,O553&gt;Assumptions!$C$43),1,0)</f>
        <v>0</v>
      </c>
      <c r="M554" s="58" t="n">
        <f aca="false">O553</f>
        <v>-10.8661391719591</v>
      </c>
      <c r="N554" s="58" t="n">
        <f aca="false">IF(L554=1,M554*$B$20,0)</f>
        <v>0</v>
      </c>
      <c r="O554" s="58" t="n">
        <f aca="false">IF(L554=1,M554+N554-$B$21,M554)</f>
        <v>-10.8661391719591</v>
      </c>
      <c r="P554" s="56" t="n">
        <f aca="false">IF(L554=1,IF($B$21&lt;=N554,1,0),0)</f>
        <v>0</v>
      </c>
      <c r="Q554" s="58" t="n">
        <f aca="false">Q553+N554</f>
        <v>989.13386082804</v>
      </c>
    </row>
    <row r="555" customFormat="false" ht="15" hidden="false" customHeight="false" outlineLevel="0" collapsed="false">
      <c r="K555" s="56" t="n">
        <f aca="false">K554+1</f>
        <v>548</v>
      </c>
      <c r="L555" s="57" t="n">
        <f aca="false">IF(AND(K555&lt;=Assumptions!$C$42,L554=1,P554=0,O554&gt;Assumptions!$C$43),1,0)</f>
        <v>0</v>
      </c>
      <c r="M555" s="58" t="n">
        <f aca="false">O554</f>
        <v>-10.8661391719591</v>
      </c>
      <c r="N555" s="58" t="n">
        <f aca="false">IF(L555=1,M555*$B$20,0)</f>
        <v>0</v>
      </c>
      <c r="O555" s="58" t="n">
        <f aca="false">IF(L555=1,M555+N555-$B$21,M555)</f>
        <v>-10.8661391719591</v>
      </c>
      <c r="P555" s="56" t="n">
        <f aca="false">IF(L555=1,IF($B$21&lt;=N555,1,0),0)</f>
        <v>0</v>
      </c>
      <c r="Q555" s="58" t="n">
        <f aca="false">Q554+N555</f>
        <v>989.13386082804</v>
      </c>
    </row>
    <row r="556" customFormat="false" ht="15" hidden="false" customHeight="false" outlineLevel="0" collapsed="false">
      <c r="K556" s="56" t="n">
        <f aca="false">K555+1</f>
        <v>549</v>
      </c>
      <c r="L556" s="57" t="n">
        <f aca="false">IF(AND(K556&lt;=Assumptions!$C$42,L555=1,P555=0,O555&gt;Assumptions!$C$43),1,0)</f>
        <v>0</v>
      </c>
      <c r="M556" s="58" t="n">
        <f aca="false">O555</f>
        <v>-10.8661391719591</v>
      </c>
      <c r="N556" s="58" t="n">
        <f aca="false">IF(L556=1,M556*$B$20,0)</f>
        <v>0</v>
      </c>
      <c r="O556" s="58" t="n">
        <f aca="false">IF(L556=1,M556+N556-$B$21,M556)</f>
        <v>-10.8661391719591</v>
      </c>
      <c r="P556" s="56" t="n">
        <f aca="false">IF(L556=1,IF($B$21&lt;=N556,1,0),0)</f>
        <v>0</v>
      </c>
      <c r="Q556" s="58" t="n">
        <f aca="false">Q555+N556</f>
        <v>989.13386082804</v>
      </c>
    </row>
    <row r="557" customFormat="false" ht="15" hidden="false" customHeight="false" outlineLevel="0" collapsed="false">
      <c r="K557" s="56" t="n">
        <f aca="false">K556+1</f>
        <v>550</v>
      </c>
      <c r="L557" s="57" t="n">
        <f aca="false">IF(AND(K557&lt;=Assumptions!$C$42,L556=1,P556=0,O556&gt;Assumptions!$C$43),1,0)</f>
        <v>0</v>
      </c>
      <c r="M557" s="58" t="n">
        <f aca="false">O556</f>
        <v>-10.8661391719591</v>
      </c>
      <c r="N557" s="58" t="n">
        <f aca="false">IF(L557=1,M557*$B$20,0)</f>
        <v>0</v>
      </c>
      <c r="O557" s="58" t="n">
        <f aca="false">IF(L557=1,M557+N557-$B$21,M557)</f>
        <v>-10.8661391719591</v>
      </c>
      <c r="P557" s="56" t="n">
        <f aca="false">IF(L557=1,IF($B$21&lt;=N557,1,0),0)</f>
        <v>0</v>
      </c>
      <c r="Q557" s="58" t="n">
        <f aca="false">Q556+N557</f>
        <v>989.13386082804</v>
      </c>
    </row>
    <row r="558" customFormat="false" ht="15" hidden="false" customHeight="false" outlineLevel="0" collapsed="false">
      <c r="K558" s="56" t="n">
        <f aca="false">K557+1</f>
        <v>551</v>
      </c>
      <c r="L558" s="57" t="n">
        <f aca="false">IF(AND(K558&lt;=Assumptions!$C$42,L557=1,P557=0,O557&gt;Assumptions!$C$43),1,0)</f>
        <v>0</v>
      </c>
      <c r="M558" s="58" t="n">
        <f aca="false">O557</f>
        <v>-10.8661391719591</v>
      </c>
      <c r="N558" s="58" t="n">
        <f aca="false">IF(L558=1,M558*$B$20,0)</f>
        <v>0</v>
      </c>
      <c r="O558" s="58" t="n">
        <f aca="false">IF(L558=1,M558+N558-$B$21,M558)</f>
        <v>-10.8661391719591</v>
      </c>
      <c r="P558" s="56" t="n">
        <f aca="false">IF(L558=1,IF($B$21&lt;=N558,1,0),0)</f>
        <v>0</v>
      </c>
      <c r="Q558" s="58" t="n">
        <f aca="false">Q557+N558</f>
        <v>989.13386082804</v>
      </c>
    </row>
    <row r="559" customFormat="false" ht="15" hidden="false" customHeight="false" outlineLevel="0" collapsed="false">
      <c r="K559" s="56" t="n">
        <f aca="false">K558+1</f>
        <v>552</v>
      </c>
      <c r="L559" s="57" t="n">
        <f aca="false">IF(AND(K559&lt;=Assumptions!$C$42,L558=1,P558=0,O558&gt;Assumptions!$C$43),1,0)</f>
        <v>0</v>
      </c>
      <c r="M559" s="58" t="n">
        <f aca="false">O558</f>
        <v>-10.8661391719591</v>
      </c>
      <c r="N559" s="58" t="n">
        <f aca="false">IF(L559=1,M559*$B$20,0)</f>
        <v>0</v>
      </c>
      <c r="O559" s="58" t="n">
        <f aca="false">IF(L559=1,M559+N559-$B$21,M559)</f>
        <v>-10.8661391719591</v>
      </c>
      <c r="P559" s="56" t="n">
        <f aca="false">IF(L559=1,IF($B$21&lt;=N559,1,0),0)</f>
        <v>0</v>
      </c>
      <c r="Q559" s="58" t="n">
        <f aca="false">Q558+N559</f>
        <v>989.13386082804</v>
      </c>
    </row>
    <row r="560" customFormat="false" ht="15" hidden="false" customHeight="false" outlineLevel="0" collapsed="false">
      <c r="K560" s="56" t="n">
        <f aca="false">K559+1</f>
        <v>553</v>
      </c>
      <c r="L560" s="57" t="n">
        <f aca="false">IF(AND(K560&lt;=Assumptions!$C$42,L559=1,P559=0,O559&gt;Assumptions!$C$43),1,0)</f>
        <v>0</v>
      </c>
      <c r="M560" s="58" t="n">
        <f aca="false">O559</f>
        <v>-10.8661391719591</v>
      </c>
      <c r="N560" s="58" t="n">
        <f aca="false">IF(L560=1,M560*$B$20,0)</f>
        <v>0</v>
      </c>
      <c r="O560" s="58" t="n">
        <f aca="false">IF(L560=1,M560+N560-$B$21,M560)</f>
        <v>-10.8661391719591</v>
      </c>
      <c r="P560" s="56" t="n">
        <f aca="false">IF(L560=1,IF($B$21&lt;=N560,1,0),0)</f>
        <v>0</v>
      </c>
      <c r="Q560" s="58" t="n">
        <f aca="false">Q559+N560</f>
        <v>989.13386082804</v>
      </c>
    </row>
    <row r="561" customFormat="false" ht="15" hidden="false" customHeight="false" outlineLevel="0" collapsed="false">
      <c r="K561" s="56" t="n">
        <f aca="false">K560+1</f>
        <v>554</v>
      </c>
      <c r="L561" s="57" t="n">
        <f aca="false">IF(AND(K561&lt;=Assumptions!$C$42,L560=1,P560=0,O560&gt;Assumptions!$C$43),1,0)</f>
        <v>0</v>
      </c>
      <c r="M561" s="58" t="n">
        <f aca="false">O560</f>
        <v>-10.8661391719591</v>
      </c>
      <c r="N561" s="58" t="n">
        <f aca="false">IF(L561=1,M561*$B$20,0)</f>
        <v>0</v>
      </c>
      <c r="O561" s="58" t="n">
        <f aca="false">IF(L561=1,M561+N561-$B$21,M561)</f>
        <v>-10.8661391719591</v>
      </c>
      <c r="P561" s="56" t="n">
        <f aca="false">IF(L561=1,IF($B$21&lt;=N561,1,0),0)</f>
        <v>0</v>
      </c>
      <c r="Q561" s="58" t="n">
        <f aca="false">Q560+N561</f>
        <v>989.13386082804</v>
      </c>
    </row>
    <row r="562" customFormat="false" ht="15" hidden="false" customHeight="false" outlineLevel="0" collapsed="false">
      <c r="K562" s="56" t="n">
        <f aca="false">K561+1</f>
        <v>555</v>
      </c>
      <c r="L562" s="57" t="n">
        <f aca="false">IF(AND(K562&lt;=Assumptions!$C$42,L561=1,P561=0,O561&gt;Assumptions!$C$43),1,0)</f>
        <v>0</v>
      </c>
      <c r="M562" s="58" t="n">
        <f aca="false">O561</f>
        <v>-10.8661391719591</v>
      </c>
      <c r="N562" s="58" t="n">
        <f aca="false">IF(L562=1,M562*$B$20,0)</f>
        <v>0</v>
      </c>
      <c r="O562" s="58" t="n">
        <f aca="false">IF(L562=1,M562+N562-$B$21,M562)</f>
        <v>-10.8661391719591</v>
      </c>
      <c r="P562" s="56" t="n">
        <f aca="false">IF(L562=1,IF($B$21&lt;=N562,1,0),0)</f>
        <v>0</v>
      </c>
      <c r="Q562" s="58" t="n">
        <f aca="false">Q561+N562</f>
        <v>989.13386082804</v>
      </c>
    </row>
    <row r="563" customFormat="false" ht="15" hidden="false" customHeight="false" outlineLevel="0" collapsed="false">
      <c r="K563" s="56" t="n">
        <f aca="false">K562+1</f>
        <v>556</v>
      </c>
      <c r="L563" s="57" t="n">
        <f aca="false">IF(AND(K563&lt;=Assumptions!$C$42,L562=1,P562=0,O562&gt;Assumptions!$C$43),1,0)</f>
        <v>0</v>
      </c>
      <c r="M563" s="58" t="n">
        <f aca="false">O562</f>
        <v>-10.8661391719591</v>
      </c>
      <c r="N563" s="58" t="n">
        <f aca="false">IF(L563=1,M563*$B$20,0)</f>
        <v>0</v>
      </c>
      <c r="O563" s="58" t="n">
        <f aca="false">IF(L563=1,M563+N563-$B$21,M563)</f>
        <v>-10.8661391719591</v>
      </c>
      <c r="P563" s="56" t="n">
        <f aca="false">IF(L563=1,IF($B$21&lt;=N563,1,0),0)</f>
        <v>0</v>
      </c>
      <c r="Q563" s="58" t="n">
        <f aca="false">Q562+N563</f>
        <v>989.13386082804</v>
      </c>
    </row>
    <row r="564" customFormat="false" ht="15" hidden="false" customHeight="false" outlineLevel="0" collapsed="false">
      <c r="K564" s="56" t="n">
        <f aca="false">K563+1</f>
        <v>557</v>
      </c>
      <c r="L564" s="57" t="n">
        <f aca="false">IF(AND(K564&lt;=Assumptions!$C$42,L563=1,P563=0,O563&gt;Assumptions!$C$43),1,0)</f>
        <v>0</v>
      </c>
      <c r="M564" s="58" t="n">
        <f aca="false">O563</f>
        <v>-10.8661391719591</v>
      </c>
      <c r="N564" s="58" t="n">
        <f aca="false">IF(L564=1,M564*$B$20,0)</f>
        <v>0</v>
      </c>
      <c r="O564" s="58" t="n">
        <f aca="false">IF(L564=1,M564+N564-$B$21,M564)</f>
        <v>-10.8661391719591</v>
      </c>
      <c r="P564" s="56" t="n">
        <f aca="false">IF(L564=1,IF($B$21&lt;=N564,1,0),0)</f>
        <v>0</v>
      </c>
      <c r="Q564" s="58" t="n">
        <f aca="false">Q563+N564</f>
        <v>989.13386082804</v>
      </c>
    </row>
    <row r="565" customFormat="false" ht="15" hidden="false" customHeight="false" outlineLevel="0" collapsed="false">
      <c r="K565" s="56" t="n">
        <f aca="false">K564+1</f>
        <v>558</v>
      </c>
      <c r="L565" s="57" t="n">
        <f aca="false">IF(AND(K565&lt;=Assumptions!$C$42,L564=1,P564=0,O564&gt;Assumptions!$C$43),1,0)</f>
        <v>0</v>
      </c>
      <c r="M565" s="58" t="n">
        <f aca="false">O564</f>
        <v>-10.8661391719591</v>
      </c>
      <c r="N565" s="58" t="n">
        <f aca="false">IF(L565=1,M565*$B$20,0)</f>
        <v>0</v>
      </c>
      <c r="O565" s="58" t="n">
        <f aca="false">IF(L565=1,M565+N565-$B$21,M565)</f>
        <v>-10.8661391719591</v>
      </c>
      <c r="P565" s="56" t="n">
        <f aca="false">IF(L565=1,IF($B$21&lt;=N565,1,0),0)</f>
        <v>0</v>
      </c>
      <c r="Q565" s="58" t="n">
        <f aca="false">Q564+N565</f>
        <v>989.13386082804</v>
      </c>
    </row>
    <row r="566" customFormat="false" ht="15" hidden="false" customHeight="false" outlineLevel="0" collapsed="false">
      <c r="K566" s="56" t="n">
        <f aca="false">K565+1</f>
        <v>559</v>
      </c>
      <c r="L566" s="57" t="n">
        <f aca="false">IF(AND(K566&lt;=Assumptions!$C$42,L565=1,P565=0,O565&gt;Assumptions!$C$43),1,0)</f>
        <v>0</v>
      </c>
      <c r="M566" s="58" t="n">
        <f aca="false">O565</f>
        <v>-10.8661391719591</v>
      </c>
      <c r="N566" s="58" t="n">
        <f aca="false">IF(L566=1,M566*$B$20,0)</f>
        <v>0</v>
      </c>
      <c r="O566" s="58" t="n">
        <f aca="false">IF(L566=1,M566+N566-$B$21,M566)</f>
        <v>-10.8661391719591</v>
      </c>
      <c r="P566" s="56" t="n">
        <f aca="false">IF(L566=1,IF($B$21&lt;=N566,1,0),0)</f>
        <v>0</v>
      </c>
      <c r="Q566" s="58" t="n">
        <f aca="false">Q565+N566</f>
        <v>989.13386082804</v>
      </c>
    </row>
    <row r="567" customFormat="false" ht="15" hidden="false" customHeight="false" outlineLevel="0" collapsed="false">
      <c r="K567" s="56" t="n">
        <f aca="false">K566+1</f>
        <v>560</v>
      </c>
      <c r="L567" s="57" t="n">
        <f aca="false">IF(AND(K567&lt;=Assumptions!$C$42,L566=1,P566=0,O566&gt;Assumptions!$C$43),1,0)</f>
        <v>0</v>
      </c>
      <c r="M567" s="58" t="n">
        <f aca="false">O566</f>
        <v>-10.8661391719591</v>
      </c>
      <c r="N567" s="58" t="n">
        <f aca="false">IF(L567=1,M567*$B$20,0)</f>
        <v>0</v>
      </c>
      <c r="O567" s="58" t="n">
        <f aca="false">IF(L567=1,M567+N567-$B$21,M567)</f>
        <v>-10.8661391719591</v>
      </c>
      <c r="P567" s="56" t="n">
        <f aca="false">IF(L567=1,IF($B$21&lt;=N567,1,0),0)</f>
        <v>0</v>
      </c>
      <c r="Q567" s="58" t="n">
        <f aca="false">Q566+N567</f>
        <v>989.13386082804</v>
      </c>
    </row>
    <row r="568" customFormat="false" ht="15" hidden="false" customHeight="false" outlineLevel="0" collapsed="false">
      <c r="K568" s="56" t="n">
        <f aca="false">K567+1</f>
        <v>561</v>
      </c>
      <c r="L568" s="57" t="n">
        <f aca="false">IF(AND(K568&lt;=Assumptions!$C$42,L567=1,P567=0,O567&gt;Assumptions!$C$43),1,0)</f>
        <v>0</v>
      </c>
      <c r="M568" s="58" t="n">
        <f aca="false">O567</f>
        <v>-10.8661391719591</v>
      </c>
      <c r="N568" s="58" t="n">
        <f aca="false">IF(L568=1,M568*$B$20,0)</f>
        <v>0</v>
      </c>
      <c r="O568" s="58" t="n">
        <f aca="false">IF(L568=1,M568+N568-$B$21,M568)</f>
        <v>-10.8661391719591</v>
      </c>
      <c r="P568" s="56" t="n">
        <f aca="false">IF(L568=1,IF($B$21&lt;=N568,1,0),0)</f>
        <v>0</v>
      </c>
      <c r="Q568" s="58" t="n">
        <f aca="false">Q567+N568</f>
        <v>989.13386082804</v>
      </c>
    </row>
    <row r="569" customFormat="false" ht="15" hidden="false" customHeight="false" outlineLevel="0" collapsed="false">
      <c r="K569" s="56" t="n">
        <f aca="false">K568+1</f>
        <v>562</v>
      </c>
      <c r="L569" s="57" t="n">
        <f aca="false">IF(AND(K569&lt;=Assumptions!$C$42,L568=1,P568=0,O568&gt;Assumptions!$C$43),1,0)</f>
        <v>0</v>
      </c>
      <c r="M569" s="58" t="n">
        <f aca="false">O568</f>
        <v>-10.8661391719591</v>
      </c>
      <c r="N569" s="58" t="n">
        <f aca="false">IF(L569=1,M569*$B$20,0)</f>
        <v>0</v>
      </c>
      <c r="O569" s="58" t="n">
        <f aca="false">IF(L569=1,M569+N569-$B$21,M569)</f>
        <v>-10.8661391719591</v>
      </c>
      <c r="P569" s="56" t="n">
        <f aca="false">IF(L569=1,IF($B$21&lt;=N569,1,0),0)</f>
        <v>0</v>
      </c>
      <c r="Q569" s="58" t="n">
        <f aca="false">Q568+N569</f>
        <v>989.13386082804</v>
      </c>
    </row>
    <row r="570" customFormat="false" ht="15" hidden="false" customHeight="false" outlineLevel="0" collapsed="false">
      <c r="K570" s="56" t="n">
        <f aca="false">K569+1</f>
        <v>563</v>
      </c>
      <c r="L570" s="57" t="n">
        <f aca="false">IF(AND(K570&lt;=Assumptions!$C$42,L569=1,P569=0,O569&gt;Assumptions!$C$43),1,0)</f>
        <v>0</v>
      </c>
      <c r="M570" s="58" t="n">
        <f aca="false">O569</f>
        <v>-10.8661391719591</v>
      </c>
      <c r="N570" s="58" t="n">
        <f aca="false">IF(L570=1,M570*$B$20,0)</f>
        <v>0</v>
      </c>
      <c r="O570" s="58" t="n">
        <f aca="false">IF(L570=1,M570+N570-$B$21,M570)</f>
        <v>-10.8661391719591</v>
      </c>
      <c r="P570" s="56" t="n">
        <f aca="false">IF(L570=1,IF($B$21&lt;=N570,1,0),0)</f>
        <v>0</v>
      </c>
      <c r="Q570" s="58" t="n">
        <f aca="false">Q569+N570</f>
        <v>989.13386082804</v>
      </c>
    </row>
    <row r="571" customFormat="false" ht="15" hidden="false" customHeight="false" outlineLevel="0" collapsed="false">
      <c r="K571" s="56" t="n">
        <f aca="false">K570+1</f>
        <v>564</v>
      </c>
      <c r="L571" s="57" t="n">
        <f aca="false">IF(AND(K571&lt;=Assumptions!$C$42,L570=1,P570=0,O570&gt;Assumptions!$C$43),1,0)</f>
        <v>0</v>
      </c>
      <c r="M571" s="58" t="n">
        <f aca="false">O570</f>
        <v>-10.8661391719591</v>
      </c>
      <c r="N571" s="58" t="n">
        <f aca="false">IF(L571=1,M571*$B$20,0)</f>
        <v>0</v>
      </c>
      <c r="O571" s="58" t="n">
        <f aca="false">IF(L571=1,M571+N571-$B$21,M571)</f>
        <v>-10.8661391719591</v>
      </c>
      <c r="P571" s="56" t="n">
        <f aca="false">IF(L571=1,IF($B$21&lt;=N571,1,0),0)</f>
        <v>0</v>
      </c>
      <c r="Q571" s="58" t="n">
        <f aca="false">Q570+N571</f>
        <v>989.13386082804</v>
      </c>
    </row>
    <row r="572" customFormat="false" ht="15" hidden="false" customHeight="false" outlineLevel="0" collapsed="false">
      <c r="K572" s="56" t="n">
        <f aca="false">K571+1</f>
        <v>565</v>
      </c>
      <c r="L572" s="57" t="n">
        <f aca="false">IF(AND(K572&lt;=Assumptions!$C$42,L571=1,P571=0,O571&gt;Assumptions!$C$43),1,0)</f>
        <v>0</v>
      </c>
      <c r="M572" s="58" t="n">
        <f aca="false">O571</f>
        <v>-10.8661391719591</v>
      </c>
      <c r="N572" s="58" t="n">
        <f aca="false">IF(L572=1,M572*$B$20,0)</f>
        <v>0</v>
      </c>
      <c r="O572" s="58" t="n">
        <f aca="false">IF(L572=1,M572+N572-$B$21,M572)</f>
        <v>-10.8661391719591</v>
      </c>
      <c r="P572" s="56" t="n">
        <f aca="false">IF(L572=1,IF($B$21&lt;=N572,1,0),0)</f>
        <v>0</v>
      </c>
      <c r="Q572" s="58" t="n">
        <f aca="false">Q571+N572</f>
        <v>989.13386082804</v>
      </c>
    </row>
    <row r="573" customFormat="false" ht="15" hidden="false" customHeight="false" outlineLevel="0" collapsed="false">
      <c r="K573" s="56" t="n">
        <f aca="false">K572+1</f>
        <v>566</v>
      </c>
      <c r="L573" s="57" t="n">
        <f aca="false">IF(AND(K573&lt;=Assumptions!$C$42,L572=1,P572=0,O572&gt;Assumptions!$C$43),1,0)</f>
        <v>0</v>
      </c>
      <c r="M573" s="58" t="n">
        <f aca="false">O572</f>
        <v>-10.8661391719591</v>
      </c>
      <c r="N573" s="58" t="n">
        <f aca="false">IF(L573=1,M573*$B$20,0)</f>
        <v>0</v>
      </c>
      <c r="O573" s="58" t="n">
        <f aca="false">IF(L573=1,M573+N573-$B$21,M573)</f>
        <v>-10.8661391719591</v>
      </c>
      <c r="P573" s="56" t="n">
        <f aca="false">IF(L573=1,IF($B$21&lt;=N573,1,0),0)</f>
        <v>0</v>
      </c>
      <c r="Q573" s="58" t="n">
        <f aca="false">Q572+N573</f>
        <v>989.13386082804</v>
      </c>
    </row>
    <row r="574" customFormat="false" ht="15" hidden="false" customHeight="false" outlineLevel="0" collapsed="false">
      <c r="K574" s="56" t="n">
        <f aca="false">K573+1</f>
        <v>567</v>
      </c>
      <c r="L574" s="57" t="n">
        <f aca="false">IF(AND(K574&lt;=Assumptions!$C$42,L573=1,P573=0,O573&gt;Assumptions!$C$43),1,0)</f>
        <v>0</v>
      </c>
      <c r="M574" s="58" t="n">
        <f aca="false">O573</f>
        <v>-10.8661391719591</v>
      </c>
      <c r="N574" s="58" t="n">
        <f aca="false">IF(L574=1,M574*$B$20,0)</f>
        <v>0</v>
      </c>
      <c r="O574" s="58" t="n">
        <f aca="false">IF(L574=1,M574+N574-$B$21,M574)</f>
        <v>-10.8661391719591</v>
      </c>
      <c r="P574" s="56" t="n">
        <f aca="false">IF(L574=1,IF($B$21&lt;=N574,1,0),0)</f>
        <v>0</v>
      </c>
      <c r="Q574" s="58" t="n">
        <f aca="false">Q573+N574</f>
        <v>989.13386082804</v>
      </c>
    </row>
    <row r="575" customFormat="false" ht="15" hidden="false" customHeight="false" outlineLevel="0" collapsed="false">
      <c r="K575" s="56" t="n">
        <f aca="false">K574+1</f>
        <v>568</v>
      </c>
      <c r="L575" s="57" t="n">
        <f aca="false">IF(AND(K575&lt;=Assumptions!$C$42,L574=1,P574=0,O574&gt;Assumptions!$C$43),1,0)</f>
        <v>0</v>
      </c>
      <c r="M575" s="58" t="n">
        <f aca="false">O574</f>
        <v>-10.8661391719591</v>
      </c>
      <c r="N575" s="58" t="n">
        <f aca="false">IF(L575=1,M575*$B$20,0)</f>
        <v>0</v>
      </c>
      <c r="O575" s="58" t="n">
        <f aca="false">IF(L575=1,M575+N575-$B$21,M575)</f>
        <v>-10.8661391719591</v>
      </c>
      <c r="P575" s="56" t="n">
        <f aca="false">IF(L575=1,IF($B$21&lt;=N575,1,0),0)</f>
        <v>0</v>
      </c>
      <c r="Q575" s="58" t="n">
        <f aca="false">Q574+N575</f>
        <v>989.13386082804</v>
      </c>
    </row>
    <row r="576" customFormat="false" ht="15" hidden="false" customHeight="false" outlineLevel="0" collapsed="false">
      <c r="K576" s="56" t="n">
        <f aca="false">K575+1</f>
        <v>569</v>
      </c>
      <c r="L576" s="57" t="n">
        <f aca="false">IF(AND(K576&lt;=Assumptions!$C$42,L575=1,P575=0,O575&gt;Assumptions!$C$43),1,0)</f>
        <v>0</v>
      </c>
      <c r="M576" s="58" t="n">
        <f aca="false">O575</f>
        <v>-10.8661391719591</v>
      </c>
      <c r="N576" s="58" t="n">
        <f aca="false">IF(L576=1,M576*$B$20,0)</f>
        <v>0</v>
      </c>
      <c r="O576" s="58" t="n">
        <f aca="false">IF(L576=1,M576+N576-$B$21,M576)</f>
        <v>-10.8661391719591</v>
      </c>
      <c r="P576" s="56" t="n">
        <f aca="false">IF(L576=1,IF($B$21&lt;=N576,1,0),0)</f>
        <v>0</v>
      </c>
      <c r="Q576" s="58" t="n">
        <f aca="false">Q575+N576</f>
        <v>989.13386082804</v>
      </c>
    </row>
    <row r="577" customFormat="false" ht="15" hidden="false" customHeight="false" outlineLevel="0" collapsed="false">
      <c r="K577" s="56" t="n">
        <f aca="false">K576+1</f>
        <v>570</v>
      </c>
      <c r="L577" s="57" t="n">
        <f aca="false">IF(AND(K577&lt;=Assumptions!$C$42,L576=1,P576=0,O576&gt;Assumptions!$C$43),1,0)</f>
        <v>0</v>
      </c>
      <c r="M577" s="58" t="n">
        <f aca="false">O576</f>
        <v>-10.8661391719591</v>
      </c>
      <c r="N577" s="58" t="n">
        <f aca="false">IF(L577=1,M577*$B$20,0)</f>
        <v>0</v>
      </c>
      <c r="O577" s="58" t="n">
        <f aca="false">IF(L577=1,M577+N577-$B$21,M577)</f>
        <v>-10.8661391719591</v>
      </c>
      <c r="P577" s="56" t="n">
        <f aca="false">IF(L577=1,IF($B$21&lt;=N577,1,0),0)</f>
        <v>0</v>
      </c>
      <c r="Q577" s="58" t="n">
        <f aca="false">Q576+N577</f>
        <v>989.13386082804</v>
      </c>
    </row>
    <row r="578" customFormat="false" ht="15" hidden="false" customHeight="false" outlineLevel="0" collapsed="false">
      <c r="K578" s="56" t="n">
        <f aca="false">K577+1</f>
        <v>571</v>
      </c>
      <c r="L578" s="57" t="n">
        <f aca="false">IF(AND(K578&lt;=Assumptions!$C$42,L577=1,P577=0,O577&gt;Assumptions!$C$43),1,0)</f>
        <v>0</v>
      </c>
      <c r="M578" s="58" t="n">
        <f aca="false">O577</f>
        <v>-10.8661391719591</v>
      </c>
      <c r="N578" s="58" t="n">
        <f aca="false">IF(L578=1,M578*$B$20,0)</f>
        <v>0</v>
      </c>
      <c r="O578" s="58" t="n">
        <f aca="false">IF(L578=1,M578+N578-$B$21,M578)</f>
        <v>-10.8661391719591</v>
      </c>
      <c r="P578" s="56" t="n">
        <f aca="false">IF(L578=1,IF($B$21&lt;=N578,1,0),0)</f>
        <v>0</v>
      </c>
      <c r="Q578" s="58" t="n">
        <f aca="false">Q577+N578</f>
        <v>989.13386082804</v>
      </c>
    </row>
    <row r="579" customFormat="false" ht="15" hidden="false" customHeight="false" outlineLevel="0" collapsed="false">
      <c r="K579" s="56" t="n">
        <f aca="false">K578+1</f>
        <v>572</v>
      </c>
      <c r="L579" s="57" t="n">
        <f aca="false">IF(AND(K579&lt;=Assumptions!$C$42,L578=1,P578=0,O578&gt;Assumptions!$C$43),1,0)</f>
        <v>0</v>
      </c>
      <c r="M579" s="58" t="n">
        <f aca="false">O578</f>
        <v>-10.8661391719591</v>
      </c>
      <c r="N579" s="58" t="n">
        <f aca="false">IF(L579=1,M579*$B$20,0)</f>
        <v>0</v>
      </c>
      <c r="O579" s="58" t="n">
        <f aca="false">IF(L579=1,M579+N579-$B$21,M579)</f>
        <v>-10.8661391719591</v>
      </c>
      <c r="P579" s="56" t="n">
        <f aca="false">IF(L579=1,IF($B$21&lt;=N579,1,0),0)</f>
        <v>0</v>
      </c>
      <c r="Q579" s="58" t="n">
        <f aca="false">Q578+N579</f>
        <v>989.13386082804</v>
      </c>
    </row>
    <row r="580" customFormat="false" ht="15" hidden="false" customHeight="false" outlineLevel="0" collapsed="false">
      <c r="K580" s="56" t="n">
        <f aca="false">K579+1</f>
        <v>573</v>
      </c>
      <c r="L580" s="57" t="n">
        <f aca="false">IF(AND(K580&lt;=Assumptions!$C$42,L579=1,P579=0,O579&gt;Assumptions!$C$43),1,0)</f>
        <v>0</v>
      </c>
      <c r="M580" s="58" t="n">
        <f aca="false">O579</f>
        <v>-10.8661391719591</v>
      </c>
      <c r="N580" s="58" t="n">
        <f aca="false">IF(L580=1,M580*$B$20,0)</f>
        <v>0</v>
      </c>
      <c r="O580" s="58" t="n">
        <f aca="false">IF(L580=1,M580+N580-$B$21,M580)</f>
        <v>-10.8661391719591</v>
      </c>
      <c r="P580" s="56" t="n">
        <f aca="false">IF(L580=1,IF($B$21&lt;=N580,1,0),0)</f>
        <v>0</v>
      </c>
      <c r="Q580" s="58" t="n">
        <f aca="false">Q579+N580</f>
        <v>989.13386082804</v>
      </c>
    </row>
    <row r="581" customFormat="false" ht="15" hidden="false" customHeight="false" outlineLevel="0" collapsed="false">
      <c r="K581" s="56" t="n">
        <f aca="false">K580+1</f>
        <v>574</v>
      </c>
      <c r="L581" s="57" t="n">
        <f aca="false">IF(AND(K581&lt;=Assumptions!$C$42,L580=1,P580=0,O580&gt;Assumptions!$C$43),1,0)</f>
        <v>0</v>
      </c>
      <c r="M581" s="58" t="n">
        <f aca="false">O580</f>
        <v>-10.8661391719591</v>
      </c>
      <c r="N581" s="58" t="n">
        <f aca="false">IF(L581=1,M581*$B$20,0)</f>
        <v>0</v>
      </c>
      <c r="O581" s="58" t="n">
        <f aca="false">IF(L581=1,M581+N581-$B$21,M581)</f>
        <v>-10.8661391719591</v>
      </c>
      <c r="P581" s="56" t="n">
        <f aca="false">IF(L581=1,IF($B$21&lt;=N581,1,0),0)</f>
        <v>0</v>
      </c>
      <c r="Q581" s="58" t="n">
        <f aca="false">Q580+N581</f>
        <v>989.13386082804</v>
      </c>
    </row>
    <row r="582" customFormat="false" ht="15" hidden="false" customHeight="false" outlineLevel="0" collapsed="false">
      <c r="K582" s="56" t="n">
        <f aca="false">K581+1</f>
        <v>575</v>
      </c>
      <c r="L582" s="57" t="n">
        <f aca="false">IF(AND(K582&lt;=Assumptions!$C$42,L581=1,P581=0,O581&gt;Assumptions!$C$43),1,0)</f>
        <v>0</v>
      </c>
      <c r="M582" s="58" t="n">
        <f aca="false">O581</f>
        <v>-10.8661391719591</v>
      </c>
      <c r="N582" s="58" t="n">
        <f aca="false">IF(L582=1,M582*$B$20,0)</f>
        <v>0</v>
      </c>
      <c r="O582" s="58" t="n">
        <f aca="false">IF(L582=1,M582+N582-$B$21,M582)</f>
        <v>-10.8661391719591</v>
      </c>
      <c r="P582" s="56" t="n">
        <f aca="false">IF(L582=1,IF($B$21&lt;=N582,1,0),0)</f>
        <v>0</v>
      </c>
      <c r="Q582" s="58" t="n">
        <f aca="false">Q581+N582</f>
        <v>989.13386082804</v>
      </c>
    </row>
    <row r="583" customFormat="false" ht="15" hidden="false" customHeight="false" outlineLevel="0" collapsed="false">
      <c r="K583" s="56" t="n">
        <f aca="false">K582+1</f>
        <v>576</v>
      </c>
      <c r="L583" s="57" t="n">
        <f aca="false">IF(AND(K583&lt;=Assumptions!$C$42,L582=1,P582=0,O582&gt;Assumptions!$C$43),1,0)</f>
        <v>0</v>
      </c>
      <c r="M583" s="58" t="n">
        <f aca="false">O582</f>
        <v>-10.8661391719591</v>
      </c>
      <c r="N583" s="58" t="n">
        <f aca="false">IF(L583=1,M583*$B$20,0)</f>
        <v>0</v>
      </c>
      <c r="O583" s="58" t="n">
        <f aca="false">IF(L583=1,M583+N583-$B$21,M583)</f>
        <v>-10.8661391719591</v>
      </c>
      <c r="P583" s="56" t="n">
        <f aca="false">IF(L583=1,IF($B$21&lt;=N583,1,0),0)</f>
        <v>0</v>
      </c>
      <c r="Q583" s="58" t="n">
        <f aca="false">Q582+N583</f>
        <v>989.13386082804</v>
      </c>
    </row>
    <row r="584" customFormat="false" ht="15" hidden="false" customHeight="false" outlineLevel="0" collapsed="false">
      <c r="K584" s="56" t="n">
        <f aca="false">K583+1</f>
        <v>577</v>
      </c>
      <c r="L584" s="57" t="n">
        <f aca="false">IF(AND(K584&lt;=Assumptions!$C$42,L583=1,P583=0,O583&gt;Assumptions!$C$43),1,0)</f>
        <v>0</v>
      </c>
      <c r="M584" s="58" t="n">
        <f aca="false">O583</f>
        <v>-10.8661391719591</v>
      </c>
      <c r="N584" s="58" t="n">
        <f aca="false">IF(L584=1,M584*$B$20,0)</f>
        <v>0</v>
      </c>
      <c r="O584" s="58" t="n">
        <f aca="false">IF(L584=1,M584+N584-$B$21,M584)</f>
        <v>-10.8661391719591</v>
      </c>
      <c r="P584" s="56" t="n">
        <f aca="false">IF(L584=1,IF($B$21&lt;=N584,1,0),0)</f>
        <v>0</v>
      </c>
      <c r="Q584" s="58" t="n">
        <f aca="false">Q583+N584</f>
        <v>989.13386082804</v>
      </c>
    </row>
    <row r="585" customFormat="false" ht="15" hidden="false" customHeight="false" outlineLevel="0" collapsed="false">
      <c r="K585" s="56" t="n">
        <f aca="false">K584+1</f>
        <v>578</v>
      </c>
      <c r="L585" s="57" t="n">
        <f aca="false">IF(AND(K585&lt;=Assumptions!$C$42,L584=1,P584=0,O584&gt;Assumptions!$C$43),1,0)</f>
        <v>0</v>
      </c>
      <c r="M585" s="58" t="n">
        <f aca="false">O584</f>
        <v>-10.8661391719591</v>
      </c>
      <c r="N585" s="58" t="n">
        <f aca="false">IF(L585=1,M585*$B$20,0)</f>
        <v>0</v>
      </c>
      <c r="O585" s="58" t="n">
        <f aca="false">IF(L585=1,M585+N585-$B$21,M585)</f>
        <v>-10.8661391719591</v>
      </c>
      <c r="P585" s="56" t="n">
        <f aca="false">IF(L585=1,IF($B$21&lt;=N585,1,0),0)</f>
        <v>0</v>
      </c>
      <c r="Q585" s="58" t="n">
        <f aca="false">Q584+N585</f>
        <v>989.13386082804</v>
      </c>
    </row>
    <row r="586" customFormat="false" ht="15" hidden="false" customHeight="false" outlineLevel="0" collapsed="false">
      <c r="K586" s="56" t="n">
        <f aca="false">K585+1</f>
        <v>579</v>
      </c>
      <c r="L586" s="57" t="n">
        <f aca="false">IF(AND(K586&lt;=Assumptions!$C$42,L585=1,P585=0,O585&gt;Assumptions!$C$43),1,0)</f>
        <v>0</v>
      </c>
      <c r="M586" s="58" t="n">
        <f aca="false">O585</f>
        <v>-10.8661391719591</v>
      </c>
      <c r="N586" s="58" t="n">
        <f aca="false">IF(L586=1,M586*$B$20,0)</f>
        <v>0</v>
      </c>
      <c r="O586" s="58" t="n">
        <f aca="false">IF(L586=1,M586+N586-$B$21,M586)</f>
        <v>-10.8661391719591</v>
      </c>
      <c r="P586" s="56" t="n">
        <f aca="false">IF(L586=1,IF($B$21&lt;=N586,1,0),0)</f>
        <v>0</v>
      </c>
      <c r="Q586" s="58" t="n">
        <f aca="false">Q585+N586</f>
        <v>989.13386082804</v>
      </c>
    </row>
    <row r="587" customFormat="false" ht="15" hidden="false" customHeight="false" outlineLevel="0" collapsed="false">
      <c r="K587" s="56" t="n">
        <f aca="false">K586+1</f>
        <v>580</v>
      </c>
      <c r="L587" s="57" t="n">
        <f aca="false">IF(AND(K587&lt;=Assumptions!$C$42,L586=1,P586=0,O586&gt;Assumptions!$C$43),1,0)</f>
        <v>0</v>
      </c>
      <c r="M587" s="58" t="n">
        <f aca="false">O586</f>
        <v>-10.8661391719591</v>
      </c>
      <c r="N587" s="58" t="n">
        <f aca="false">IF(L587=1,M587*$B$20,0)</f>
        <v>0</v>
      </c>
      <c r="O587" s="58" t="n">
        <f aca="false">IF(L587=1,M587+N587-$B$21,M587)</f>
        <v>-10.8661391719591</v>
      </c>
      <c r="P587" s="56" t="n">
        <f aca="false">IF(L587=1,IF($B$21&lt;=N587,1,0),0)</f>
        <v>0</v>
      </c>
      <c r="Q587" s="58" t="n">
        <f aca="false">Q586+N587</f>
        <v>989.13386082804</v>
      </c>
    </row>
    <row r="588" customFormat="false" ht="15" hidden="false" customHeight="false" outlineLevel="0" collapsed="false">
      <c r="K588" s="56" t="n">
        <f aca="false">K587+1</f>
        <v>581</v>
      </c>
      <c r="L588" s="57" t="n">
        <f aca="false">IF(AND(K588&lt;=Assumptions!$C$42,L587=1,P587=0,O587&gt;Assumptions!$C$43),1,0)</f>
        <v>0</v>
      </c>
      <c r="M588" s="58" t="n">
        <f aca="false">O587</f>
        <v>-10.8661391719591</v>
      </c>
      <c r="N588" s="58" t="n">
        <f aca="false">IF(L588=1,M588*$B$20,0)</f>
        <v>0</v>
      </c>
      <c r="O588" s="58" t="n">
        <f aca="false">IF(L588=1,M588+N588-$B$21,M588)</f>
        <v>-10.8661391719591</v>
      </c>
      <c r="P588" s="56" t="n">
        <f aca="false">IF(L588=1,IF($B$21&lt;=N588,1,0),0)</f>
        <v>0</v>
      </c>
      <c r="Q588" s="58" t="n">
        <f aca="false">Q587+N588</f>
        <v>989.13386082804</v>
      </c>
    </row>
    <row r="589" customFormat="false" ht="15" hidden="false" customHeight="false" outlineLevel="0" collapsed="false">
      <c r="K589" s="56" t="n">
        <f aca="false">K588+1</f>
        <v>582</v>
      </c>
      <c r="L589" s="57" t="n">
        <f aca="false">IF(AND(K589&lt;=Assumptions!$C$42,L588=1,P588=0,O588&gt;Assumptions!$C$43),1,0)</f>
        <v>0</v>
      </c>
      <c r="M589" s="58" t="n">
        <f aca="false">O588</f>
        <v>-10.8661391719591</v>
      </c>
      <c r="N589" s="58" t="n">
        <f aca="false">IF(L589=1,M589*$B$20,0)</f>
        <v>0</v>
      </c>
      <c r="O589" s="58" t="n">
        <f aca="false">IF(L589=1,M589+N589-$B$21,M589)</f>
        <v>-10.8661391719591</v>
      </c>
      <c r="P589" s="56" t="n">
        <f aca="false">IF(L589=1,IF($B$21&lt;=N589,1,0),0)</f>
        <v>0</v>
      </c>
      <c r="Q589" s="58" t="n">
        <f aca="false">Q588+N589</f>
        <v>989.13386082804</v>
      </c>
    </row>
    <row r="590" customFormat="false" ht="15" hidden="false" customHeight="false" outlineLevel="0" collapsed="false">
      <c r="K590" s="56" t="n">
        <f aca="false">K589+1</f>
        <v>583</v>
      </c>
      <c r="L590" s="57" t="n">
        <f aca="false">IF(AND(K590&lt;=Assumptions!$C$42,L589=1,P589=0,O589&gt;Assumptions!$C$43),1,0)</f>
        <v>0</v>
      </c>
      <c r="M590" s="58" t="n">
        <f aca="false">O589</f>
        <v>-10.8661391719591</v>
      </c>
      <c r="N590" s="58" t="n">
        <f aca="false">IF(L590=1,M590*$B$20,0)</f>
        <v>0</v>
      </c>
      <c r="O590" s="58" t="n">
        <f aca="false">IF(L590=1,M590+N590-$B$21,M590)</f>
        <v>-10.8661391719591</v>
      </c>
      <c r="P590" s="56" t="n">
        <f aca="false">IF(L590=1,IF($B$21&lt;=N590,1,0),0)</f>
        <v>0</v>
      </c>
      <c r="Q590" s="58" t="n">
        <f aca="false">Q589+N590</f>
        <v>989.13386082804</v>
      </c>
    </row>
    <row r="591" customFormat="false" ht="15" hidden="false" customHeight="false" outlineLevel="0" collapsed="false">
      <c r="K591" s="56" t="n">
        <f aca="false">K590+1</f>
        <v>584</v>
      </c>
      <c r="L591" s="57" t="n">
        <f aca="false">IF(AND(K591&lt;=Assumptions!$C$42,L590=1,P590=0,O590&gt;Assumptions!$C$43),1,0)</f>
        <v>0</v>
      </c>
      <c r="M591" s="58" t="n">
        <f aca="false">O590</f>
        <v>-10.8661391719591</v>
      </c>
      <c r="N591" s="58" t="n">
        <f aca="false">IF(L591=1,M591*$B$20,0)</f>
        <v>0</v>
      </c>
      <c r="O591" s="58" t="n">
        <f aca="false">IF(L591=1,M591+N591-$B$21,M591)</f>
        <v>-10.8661391719591</v>
      </c>
      <c r="P591" s="56" t="n">
        <f aca="false">IF(L591=1,IF($B$21&lt;=N591,1,0),0)</f>
        <v>0</v>
      </c>
      <c r="Q591" s="58" t="n">
        <f aca="false">Q590+N591</f>
        <v>989.13386082804</v>
      </c>
    </row>
    <row r="592" customFormat="false" ht="15" hidden="false" customHeight="false" outlineLevel="0" collapsed="false">
      <c r="K592" s="56" t="n">
        <f aca="false">K591+1</f>
        <v>585</v>
      </c>
      <c r="L592" s="57" t="n">
        <f aca="false">IF(AND(K592&lt;=Assumptions!$C$42,L591=1,P591=0,O591&gt;Assumptions!$C$43),1,0)</f>
        <v>0</v>
      </c>
      <c r="M592" s="58" t="n">
        <f aca="false">O591</f>
        <v>-10.8661391719591</v>
      </c>
      <c r="N592" s="58" t="n">
        <f aca="false">IF(L592=1,M592*$B$20,0)</f>
        <v>0</v>
      </c>
      <c r="O592" s="58" t="n">
        <f aca="false">IF(L592=1,M592+N592-$B$21,M592)</f>
        <v>-10.8661391719591</v>
      </c>
      <c r="P592" s="56" t="n">
        <f aca="false">IF(L592=1,IF($B$21&lt;=N592,1,0),0)</f>
        <v>0</v>
      </c>
      <c r="Q592" s="58" t="n">
        <f aca="false">Q591+N592</f>
        <v>989.13386082804</v>
      </c>
    </row>
    <row r="593" customFormat="false" ht="15" hidden="false" customHeight="false" outlineLevel="0" collapsed="false">
      <c r="K593" s="56" t="n">
        <f aca="false">K592+1</f>
        <v>586</v>
      </c>
      <c r="L593" s="57" t="n">
        <f aca="false">IF(AND(K593&lt;=Assumptions!$C$42,L592=1,P592=0,O592&gt;Assumptions!$C$43),1,0)</f>
        <v>0</v>
      </c>
      <c r="M593" s="58" t="n">
        <f aca="false">O592</f>
        <v>-10.8661391719591</v>
      </c>
      <c r="N593" s="58" t="n">
        <f aca="false">IF(L593=1,M593*$B$20,0)</f>
        <v>0</v>
      </c>
      <c r="O593" s="58" t="n">
        <f aca="false">IF(L593=1,M593+N593-$B$21,M593)</f>
        <v>-10.8661391719591</v>
      </c>
      <c r="P593" s="56" t="n">
        <f aca="false">IF(L593=1,IF($B$21&lt;=N593,1,0),0)</f>
        <v>0</v>
      </c>
      <c r="Q593" s="58" t="n">
        <f aca="false">Q592+N593</f>
        <v>989.13386082804</v>
      </c>
    </row>
    <row r="594" customFormat="false" ht="15" hidden="false" customHeight="false" outlineLevel="0" collapsed="false">
      <c r="K594" s="56" t="n">
        <f aca="false">K593+1</f>
        <v>587</v>
      </c>
      <c r="L594" s="57" t="n">
        <f aca="false">IF(AND(K594&lt;=Assumptions!$C$42,L593=1,P593=0,O593&gt;Assumptions!$C$43),1,0)</f>
        <v>0</v>
      </c>
      <c r="M594" s="58" t="n">
        <f aca="false">O593</f>
        <v>-10.8661391719591</v>
      </c>
      <c r="N594" s="58" t="n">
        <f aca="false">IF(L594=1,M594*$B$20,0)</f>
        <v>0</v>
      </c>
      <c r="O594" s="58" t="n">
        <f aca="false">IF(L594=1,M594+N594-$B$21,M594)</f>
        <v>-10.8661391719591</v>
      </c>
      <c r="P594" s="56" t="n">
        <f aca="false">IF(L594=1,IF($B$21&lt;=N594,1,0),0)</f>
        <v>0</v>
      </c>
      <c r="Q594" s="58" t="n">
        <f aca="false">Q593+N594</f>
        <v>989.13386082804</v>
      </c>
    </row>
    <row r="595" customFormat="false" ht="15" hidden="false" customHeight="false" outlineLevel="0" collapsed="false">
      <c r="K595" s="56" t="n">
        <f aca="false">K594+1</f>
        <v>588</v>
      </c>
      <c r="L595" s="57" t="n">
        <f aca="false">IF(AND(K595&lt;=Assumptions!$C$42,L594=1,P594=0,O594&gt;Assumptions!$C$43),1,0)</f>
        <v>0</v>
      </c>
      <c r="M595" s="58" t="n">
        <f aca="false">O594</f>
        <v>-10.8661391719591</v>
      </c>
      <c r="N595" s="58" t="n">
        <f aca="false">IF(L595=1,M595*$B$20,0)</f>
        <v>0</v>
      </c>
      <c r="O595" s="58" t="n">
        <f aca="false">IF(L595=1,M595+N595-$B$21,M595)</f>
        <v>-10.8661391719591</v>
      </c>
      <c r="P595" s="56" t="n">
        <f aca="false">IF(L595=1,IF($B$21&lt;=N595,1,0),0)</f>
        <v>0</v>
      </c>
      <c r="Q595" s="58" t="n">
        <f aca="false">Q594+N595</f>
        <v>989.13386082804</v>
      </c>
    </row>
    <row r="596" customFormat="false" ht="15" hidden="false" customHeight="false" outlineLevel="0" collapsed="false">
      <c r="K596" s="56" t="n">
        <f aca="false">K595+1</f>
        <v>589</v>
      </c>
      <c r="L596" s="57" t="n">
        <f aca="false">IF(AND(K596&lt;=Assumptions!$C$42,L595=1,P595=0,O595&gt;Assumptions!$C$43),1,0)</f>
        <v>0</v>
      </c>
      <c r="M596" s="58" t="n">
        <f aca="false">O595</f>
        <v>-10.8661391719591</v>
      </c>
      <c r="N596" s="58" t="n">
        <f aca="false">IF(L596=1,M596*$B$20,0)</f>
        <v>0</v>
      </c>
      <c r="O596" s="58" t="n">
        <f aca="false">IF(L596=1,M596+N596-$B$21,M596)</f>
        <v>-10.8661391719591</v>
      </c>
      <c r="P596" s="56" t="n">
        <f aca="false">IF(L596=1,IF($B$21&lt;=N596,1,0),0)</f>
        <v>0</v>
      </c>
      <c r="Q596" s="58" t="n">
        <f aca="false">Q595+N596</f>
        <v>989.13386082804</v>
      </c>
    </row>
    <row r="597" customFormat="false" ht="15" hidden="false" customHeight="false" outlineLevel="0" collapsed="false">
      <c r="K597" s="56" t="n">
        <f aca="false">K596+1</f>
        <v>590</v>
      </c>
      <c r="L597" s="57" t="n">
        <f aca="false">IF(AND(K597&lt;=Assumptions!$C$42,L596=1,P596=0,O596&gt;Assumptions!$C$43),1,0)</f>
        <v>0</v>
      </c>
      <c r="M597" s="58" t="n">
        <f aca="false">O596</f>
        <v>-10.8661391719591</v>
      </c>
      <c r="N597" s="58" t="n">
        <f aca="false">IF(L597=1,M597*$B$20,0)</f>
        <v>0</v>
      </c>
      <c r="O597" s="58" t="n">
        <f aca="false">IF(L597=1,M597+N597-$B$21,M597)</f>
        <v>-10.8661391719591</v>
      </c>
      <c r="P597" s="56" t="n">
        <f aca="false">IF(L597=1,IF($B$21&lt;=N597,1,0),0)</f>
        <v>0</v>
      </c>
      <c r="Q597" s="58" t="n">
        <f aca="false">Q596+N597</f>
        <v>989.13386082804</v>
      </c>
    </row>
    <row r="598" customFormat="false" ht="15" hidden="false" customHeight="false" outlineLevel="0" collapsed="false">
      <c r="K598" s="56" t="n">
        <f aca="false">K597+1</f>
        <v>591</v>
      </c>
      <c r="L598" s="57" t="n">
        <f aca="false">IF(AND(K598&lt;=Assumptions!$C$42,L597=1,P597=0,O597&gt;Assumptions!$C$43),1,0)</f>
        <v>0</v>
      </c>
      <c r="M598" s="58" t="n">
        <f aca="false">O597</f>
        <v>-10.8661391719591</v>
      </c>
      <c r="N598" s="58" t="n">
        <f aca="false">IF(L598=1,M598*$B$20,0)</f>
        <v>0</v>
      </c>
      <c r="O598" s="58" t="n">
        <f aca="false">IF(L598=1,M598+N598-$B$21,M598)</f>
        <v>-10.8661391719591</v>
      </c>
      <c r="P598" s="56" t="n">
        <f aca="false">IF(L598=1,IF($B$21&lt;=N598,1,0),0)</f>
        <v>0</v>
      </c>
      <c r="Q598" s="58" t="n">
        <f aca="false">Q597+N598</f>
        <v>989.13386082804</v>
      </c>
    </row>
    <row r="599" customFormat="false" ht="15" hidden="false" customHeight="false" outlineLevel="0" collapsed="false">
      <c r="K599" s="56" t="n">
        <f aca="false">K598+1</f>
        <v>592</v>
      </c>
      <c r="L599" s="57" t="n">
        <f aca="false">IF(AND(K599&lt;=Assumptions!$C$42,L598=1,P598=0,O598&gt;Assumptions!$C$43),1,0)</f>
        <v>0</v>
      </c>
      <c r="M599" s="58" t="n">
        <f aca="false">O598</f>
        <v>-10.8661391719591</v>
      </c>
      <c r="N599" s="58" t="n">
        <f aca="false">IF(L599=1,M599*$B$20,0)</f>
        <v>0</v>
      </c>
      <c r="O599" s="58" t="n">
        <f aca="false">IF(L599=1,M599+N599-$B$21,M599)</f>
        <v>-10.8661391719591</v>
      </c>
      <c r="P599" s="56" t="n">
        <f aca="false">IF(L599=1,IF($B$21&lt;=N599,1,0),0)</f>
        <v>0</v>
      </c>
      <c r="Q599" s="58" t="n">
        <f aca="false">Q598+N599</f>
        <v>989.13386082804</v>
      </c>
    </row>
    <row r="600" customFormat="false" ht="15" hidden="false" customHeight="false" outlineLevel="0" collapsed="false">
      <c r="K600" s="56" t="n">
        <f aca="false">K599+1</f>
        <v>593</v>
      </c>
      <c r="L600" s="57" t="n">
        <f aca="false">IF(AND(K600&lt;=Assumptions!$C$42,L599=1,P599=0,O599&gt;Assumptions!$C$43),1,0)</f>
        <v>0</v>
      </c>
      <c r="M600" s="58" t="n">
        <f aca="false">O599</f>
        <v>-10.8661391719591</v>
      </c>
      <c r="N600" s="58" t="n">
        <f aca="false">IF(L600=1,M600*$B$20,0)</f>
        <v>0</v>
      </c>
      <c r="O600" s="58" t="n">
        <f aca="false">IF(L600=1,M600+N600-$B$21,M600)</f>
        <v>-10.8661391719591</v>
      </c>
      <c r="P600" s="56" t="n">
        <f aca="false">IF(L600=1,IF($B$21&lt;=N600,1,0),0)</f>
        <v>0</v>
      </c>
      <c r="Q600" s="58" t="n">
        <f aca="false">Q599+N600</f>
        <v>989.13386082804</v>
      </c>
    </row>
    <row r="601" customFormat="false" ht="15" hidden="false" customHeight="false" outlineLevel="0" collapsed="false">
      <c r="K601" s="56" t="n">
        <f aca="false">K600+1</f>
        <v>594</v>
      </c>
      <c r="L601" s="57" t="n">
        <f aca="false">IF(AND(K601&lt;=Assumptions!$C$42,L600=1,P600=0,O600&gt;Assumptions!$C$43),1,0)</f>
        <v>0</v>
      </c>
      <c r="M601" s="58" t="n">
        <f aca="false">O600</f>
        <v>-10.8661391719591</v>
      </c>
      <c r="N601" s="58" t="n">
        <f aca="false">IF(L601=1,M601*$B$20,0)</f>
        <v>0</v>
      </c>
      <c r="O601" s="58" t="n">
        <f aca="false">IF(L601=1,M601+N601-$B$21,M601)</f>
        <v>-10.8661391719591</v>
      </c>
      <c r="P601" s="56" t="n">
        <f aca="false">IF(L601=1,IF($B$21&lt;=N601,1,0),0)</f>
        <v>0</v>
      </c>
      <c r="Q601" s="58" t="n">
        <f aca="false">Q600+N601</f>
        <v>989.13386082804</v>
      </c>
    </row>
    <row r="602" customFormat="false" ht="15" hidden="false" customHeight="false" outlineLevel="0" collapsed="false">
      <c r="K602" s="56" t="n">
        <f aca="false">K601+1</f>
        <v>595</v>
      </c>
      <c r="L602" s="57" t="n">
        <f aca="false">IF(AND(K602&lt;=Assumptions!$C$42,L601=1,P601=0,O601&gt;Assumptions!$C$43),1,0)</f>
        <v>0</v>
      </c>
      <c r="M602" s="58" t="n">
        <f aca="false">O601</f>
        <v>-10.8661391719591</v>
      </c>
      <c r="N602" s="58" t="n">
        <f aca="false">IF(L602=1,M602*$B$20,0)</f>
        <v>0</v>
      </c>
      <c r="O602" s="58" t="n">
        <f aca="false">IF(L602=1,M602+N602-$B$21,M602)</f>
        <v>-10.8661391719591</v>
      </c>
      <c r="P602" s="56" t="n">
        <f aca="false">IF(L602=1,IF($B$21&lt;=N602,1,0),0)</f>
        <v>0</v>
      </c>
      <c r="Q602" s="58" t="n">
        <f aca="false">Q601+N602</f>
        <v>989.13386082804</v>
      </c>
    </row>
    <row r="603" customFormat="false" ht="15" hidden="false" customHeight="false" outlineLevel="0" collapsed="false">
      <c r="K603" s="56" t="n">
        <f aca="false">K602+1</f>
        <v>596</v>
      </c>
      <c r="L603" s="57" t="n">
        <f aca="false">IF(AND(K603&lt;=Assumptions!$C$42,L602=1,P602=0,O602&gt;Assumptions!$C$43),1,0)</f>
        <v>0</v>
      </c>
      <c r="M603" s="58" t="n">
        <f aca="false">O602</f>
        <v>-10.8661391719591</v>
      </c>
      <c r="N603" s="58" t="n">
        <f aca="false">IF(L603=1,M603*$B$20,0)</f>
        <v>0</v>
      </c>
      <c r="O603" s="58" t="n">
        <f aca="false">IF(L603=1,M603+N603-$B$21,M603)</f>
        <v>-10.8661391719591</v>
      </c>
      <c r="P603" s="56" t="n">
        <f aca="false">IF(L603=1,IF($B$21&lt;=N603,1,0),0)</f>
        <v>0</v>
      </c>
      <c r="Q603" s="58" t="n">
        <f aca="false">Q602+N603</f>
        <v>989.13386082804</v>
      </c>
    </row>
    <row r="604" customFormat="false" ht="15" hidden="false" customHeight="false" outlineLevel="0" collapsed="false">
      <c r="K604" s="56" t="n">
        <f aca="false">K603+1</f>
        <v>597</v>
      </c>
      <c r="L604" s="57" t="n">
        <f aca="false">IF(AND(K604&lt;=Assumptions!$C$42,L603=1,P603=0,O603&gt;Assumptions!$C$43),1,0)</f>
        <v>0</v>
      </c>
      <c r="M604" s="58" t="n">
        <f aca="false">O603</f>
        <v>-10.8661391719591</v>
      </c>
      <c r="N604" s="58" t="n">
        <f aca="false">IF(L604=1,M604*$B$20,0)</f>
        <v>0</v>
      </c>
      <c r="O604" s="58" t="n">
        <f aca="false">IF(L604=1,M604+N604-$B$21,M604)</f>
        <v>-10.8661391719591</v>
      </c>
      <c r="P604" s="56" t="n">
        <f aca="false">IF(L604=1,IF($B$21&lt;=N604,1,0),0)</f>
        <v>0</v>
      </c>
      <c r="Q604" s="58" t="n">
        <f aca="false">Q603+N604</f>
        <v>989.13386082804</v>
      </c>
    </row>
    <row r="605" customFormat="false" ht="15" hidden="false" customHeight="false" outlineLevel="0" collapsed="false">
      <c r="K605" s="56" t="n">
        <f aca="false">K604+1</f>
        <v>598</v>
      </c>
      <c r="L605" s="57" t="n">
        <f aca="false">IF(AND(K605&lt;=Assumptions!$C$42,L604=1,P604=0,O604&gt;Assumptions!$C$43),1,0)</f>
        <v>0</v>
      </c>
      <c r="M605" s="58" t="n">
        <f aca="false">O604</f>
        <v>-10.8661391719591</v>
      </c>
      <c r="N605" s="58" t="n">
        <f aca="false">IF(L605=1,M605*$B$20,0)</f>
        <v>0</v>
      </c>
      <c r="O605" s="58" t="n">
        <f aca="false">IF(L605=1,M605+N605-$B$21,M605)</f>
        <v>-10.8661391719591</v>
      </c>
      <c r="P605" s="56" t="n">
        <f aca="false">IF(L605=1,IF($B$21&lt;=N605,1,0),0)</f>
        <v>0</v>
      </c>
      <c r="Q605" s="58" t="n">
        <f aca="false">Q604+N605</f>
        <v>989.13386082804</v>
      </c>
    </row>
    <row r="606" customFormat="false" ht="15" hidden="false" customHeight="false" outlineLevel="0" collapsed="false">
      <c r="K606" s="56" t="n">
        <f aca="false">K605+1</f>
        <v>599</v>
      </c>
      <c r="L606" s="57" t="n">
        <f aca="false">IF(AND(K606&lt;=Assumptions!$C$42,L605=1,P605=0,O605&gt;Assumptions!$C$43),1,0)</f>
        <v>0</v>
      </c>
      <c r="M606" s="58" t="n">
        <f aca="false">O605</f>
        <v>-10.8661391719591</v>
      </c>
      <c r="N606" s="58" t="n">
        <f aca="false">IF(L606=1,M606*$B$20,0)</f>
        <v>0</v>
      </c>
      <c r="O606" s="58" t="n">
        <f aca="false">IF(L606=1,M606+N606-$B$21,M606)</f>
        <v>-10.8661391719591</v>
      </c>
      <c r="P606" s="56" t="n">
        <f aca="false">IF(L606=1,IF($B$21&lt;=N606,1,0),0)</f>
        <v>0</v>
      </c>
      <c r="Q606" s="58" t="n">
        <f aca="false">Q605+N606</f>
        <v>989.13386082804</v>
      </c>
    </row>
    <row r="607" customFormat="false" ht="15" hidden="false" customHeight="false" outlineLevel="0" collapsed="false">
      <c r="K607" s="56" t="n">
        <f aca="false">K606+1</f>
        <v>600</v>
      </c>
      <c r="L607" s="57" t="n">
        <f aca="false">IF(AND(K607&lt;=Assumptions!$C$42,L606=1,P606=0,O606&gt;Assumptions!$C$43),1,0)</f>
        <v>0</v>
      </c>
      <c r="M607" s="58" t="n">
        <f aca="false">O606</f>
        <v>-10.8661391719591</v>
      </c>
      <c r="N607" s="58" t="n">
        <f aca="false">IF(L607=1,M607*$B$20,0)</f>
        <v>0</v>
      </c>
      <c r="O607" s="58" t="n">
        <f aca="false">IF(L607=1,M607+N607-$B$21,M607)</f>
        <v>-10.8661391719591</v>
      </c>
      <c r="P607" s="56" t="n">
        <f aca="false">IF(L607=1,IF($B$21&lt;=N607,1,0),0)</f>
        <v>0</v>
      </c>
      <c r="Q607" s="58" t="n">
        <f aca="false">Q606+N607</f>
        <v>989.13386082804</v>
      </c>
    </row>
    <row r="608" customFormat="false" ht="15" hidden="false" customHeight="false" outlineLevel="0" collapsed="false">
      <c r="K608" s="56" t="n">
        <f aca="false">K607+1</f>
        <v>601</v>
      </c>
      <c r="L608" s="57" t="n">
        <f aca="false">IF(AND(K608&lt;=Assumptions!$C$42,L607=1,P607=0,O607&gt;Assumptions!$C$43),1,0)</f>
        <v>0</v>
      </c>
      <c r="M608" s="58" t="n">
        <f aca="false">O607</f>
        <v>-10.8661391719591</v>
      </c>
      <c r="N608" s="58" t="n">
        <f aca="false">IF(L608=1,M608*$B$20,0)</f>
        <v>0</v>
      </c>
      <c r="O608" s="58" t="n">
        <f aca="false">IF(L608=1,M608+N608-$B$21,M608)</f>
        <v>-10.8661391719591</v>
      </c>
      <c r="P608" s="56" t="n">
        <f aca="false">IF(L608=1,IF($B$21&lt;=N608,1,0),0)</f>
        <v>0</v>
      </c>
      <c r="Q608" s="58" t="n">
        <f aca="false">Q607+N608</f>
        <v>989.13386082804</v>
      </c>
    </row>
    <row r="609" customFormat="false" ht="15" hidden="false" customHeight="false" outlineLevel="0" collapsed="false">
      <c r="K609" s="56" t="n">
        <f aca="false">K608+1</f>
        <v>602</v>
      </c>
      <c r="L609" s="57" t="n">
        <f aca="false">IF(AND(K609&lt;=Assumptions!$C$42,L608=1,P608=0,O608&gt;Assumptions!$C$43),1,0)</f>
        <v>0</v>
      </c>
      <c r="M609" s="58" t="n">
        <f aca="false">O608</f>
        <v>-10.8661391719591</v>
      </c>
      <c r="N609" s="58" t="n">
        <f aca="false">IF(L609=1,M609*$B$20,0)</f>
        <v>0</v>
      </c>
      <c r="O609" s="58" t="n">
        <f aca="false">IF(L609=1,M609+N609-$B$21,M609)</f>
        <v>-10.8661391719591</v>
      </c>
      <c r="P609" s="56" t="n">
        <f aca="false">IF(L609=1,IF($B$21&lt;=N609,1,0),0)</f>
        <v>0</v>
      </c>
      <c r="Q609" s="58" t="n">
        <f aca="false">Q608+N609</f>
        <v>989.13386082804</v>
      </c>
    </row>
    <row r="610" customFormat="false" ht="15" hidden="false" customHeight="false" outlineLevel="0" collapsed="false">
      <c r="K610" s="56" t="n">
        <f aca="false">K609+1</f>
        <v>603</v>
      </c>
      <c r="L610" s="57" t="n">
        <f aca="false">IF(AND(K610&lt;=Assumptions!$C$42,L609=1,P609=0,O609&gt;Assumptions!$C$43),1,0)</f>
        <v>0</v>
      </c>
      <c r="M610" s="58" t="n">
        <f aca="false">O609</f>
        <v>-10.8661391719591</v>
      </c>
      <c r="N610" s="58" t="n">
        <f aca="false">IF(L610=1,M610*$B$20,0)</f>
        <v>0</v>
      </c>
      <c r="O610" s="58" t="n">
        <f aca="false">IF(L610=1,M610+N610-$B$21,M610)</f>
        <v>-10.8661391719591</v>
      </c>
      <c r="P610" s="56" t="n">
        <f aca="false">IF(L610=1,IF($B$21&lt;=N610,1,0),0)</f>
        <v>0</v>
      </c>
      <c r="Q610" s="58" t="n">
        <f aca="false">Q609+N610</f>
        <v>989.13386082804</v>
      </c>
    </row>
    <row r="611" customFormat="false" ht="15" hidden="false" customHeight="false" outlineLevel="0" collapsed="false">
      <c r="K611" s="56" t="n">
        <f aca="false">K610+1</f>
        <v>604</v>
      </c>
      <c r="L611" s="57" t="n">
        <f aca="false">IF(AND(K611&lt;=Assumptions!$C$42,L610=1,P610=0,O610&gt;Assumptions!$C$43),1,0)</f>
        <v>0</v>
      </c>
      <c r="M611" s="58" t="n">
        <f aca="false">O610</f>
        <v>-10.8661391719591</v>
      </c>
      <c r="N611" s="58" t="n">
        <f aca="false">IF(L611=1,M611*$B$20,0)</f>
        <v>0</v>
      </c>
      <c r="O611" s="58" t="n">
        <f aca="false">IF(L611=1,M611+N611-$B$21,M611)</f>
        <v>-10.8661391719591</v>
      </c>
      <c r="P611" s="56" t="n">
        <f aca="false">IF(L611=1,IF($B$21&lt;=N611,1,0),0)</f>
        <v>0</v>
      </c>
      <c r="Q611" s="58" t="n">
        <f aca="false">Q610+N611</f>
        <v>989.13386082804</v>
      </c>
    </row>
    <row r="612" customFormat="false" ht="15" hidden="false" customHeight="false" outlineLevel="0" collapsed="false">
      <c r="K612" s="56" t="n">
        <f aca="false">K611+1</f>
        <v>605</v>
      </c>
      <c r="L612" s="57" t="n">
        <f aca="false">IF(AND(K612&lt;=Assumptions!$C$42,L611=1,P611=0,O611&gt;Assumptions!$C$43),1,0)</f>
        <v>0</v>
      </c>
      <c r="M612" s="58" t="n">
        <f aca="false">O611</f>
        <v>-10.8661391719591</v>
      </c>
      <c r="N612" s="58" t="n">
        <f aca="false">IF(L612=1,M612*$B$20,0)</f>
        <v>0</v>
      </c>
      <c r="O612" s="58" t="n">
        <f aca="false">IF(L612=1,M612+N612-$B$21,M612)</f>
        <v>-10.8661391719591</v>
      </c>
      <c r="P612" s="56" t="n">
        <f aca="false">IF(L612=1,IF($B$21&lt;=N612,1,0),0)</f>
        <v>0</v>
      </c>
      <c r="Q612" s="58" t="n">
        <f aca="false">Q611+N612</f>
        <v>989.13386082804</v>
      </c>
    </row>
    <row r="613" customFormat="false" ht="15" hidden="false" customHeight="false" outlineLevel="0" collapsed="false">
      <c r="K613" s="56" t="n">
        <f aca="false">K612+1</f>
        <v>606</v>
      </c>
      <c r="L613" s="57" t="n">
        <f aca="false">IF(AND(K613&lt;=Assumptions!$C$42,L612=1,P612=0,O612&gt;Assumptions!$C$43),1,0)</f>
        <v>0</v>
      </c>
      <c r="M613" s="58" t="n">
        <f aca="false">O612</f>
        <v>-10.8661391719591</v>
      </c>
      <c r="N613" s="58" t="n">
        <f aca="false">IF(L613=1,M613*$B$20,0)</f>
        <v>0</v>
      </c>
      <c r="O613" s="58" t="n">
        <f aca="false">IF(L613=1,M613+N613-$B$21,M613)</f>
        <v>-10.8661391719591</v>
      </c>
      <c r="P613" s="56" t="n">
        <f aca="false">IF(L613=1,IF($B$21&lt;=N613,1,0),0)</f>
        <v>0</v>
      </c>
      <c r="Q613" s="58" t="n">
        <f aca="false">Q612+N613</f>
        <v>989.13386082804</v>
      </c>
    </row>
    <row r="614" customFormat="false" ht="15" hidden="false" customHeight="false" outlineLevel="0" collapsed="false">
      <c r="K614" s="56" t="n">
        <f aca="false">K613+1</f>
        <v>607</v>
      </c>
      <c r="L614" s="57" t="n">
        <f aca="false">IF(AND(K614&lt;=Assumptions!$C$42,L613=1,P613=0,O613&gt;Assumptions!$C$43),1,0)</f>
        <v>0</v>
      </c>
      <c r="M614" s="58" t="n">
        <f aca="false">O613</f>
        <v>-10.8661391719591</v>
      </c>
      <c r="N614" s="58" t="n">
        <f aca="false">IF(L614=1,M614*$B$20,0)</f>
        <v>0</v>
      </c>
      <c r="O614" s="58" t="n">
        <f aca="false">IF(L614=1,M614+N614-$B$21,M614)</f>
        <v>-10.8661391719591</v>
      </c>
      <c r="P614" s="56" t="n">
        <f aca="false">IF(L614=1,IF($B$21&lt;=N614,1,0),0)</f>
        <v>0</v>
      </c>
      <c r="Q614" s="58" t="n">
        <f aca="false">Q613+N614</f>
        <v>989.13386082804</v>
      </c>
    </row>
    <row r="615" customFormat="false" ht="15" hidden="false" customHeight="false" outlineLevel="0" collapsed="false">
      <c r="K615" s="56" t="n">
        <f aca="false">K614+1</f>
        <v>608</v>
      </c>
      <c r="L615" s="57" t="n">
        <f aca="false">IF(AND(K615&lt;=Assumptions!$C$42,L614=1,P614=0,O614&gt;Assumptions!$C$43),1,0)</f>
        <v>0</v>
      </c>
      <c r="M615" s="58" t="n">
        <f aca="false">O614</f>
        <v>-10.8661391719591</v>
      </c>
      <c r="N615" s="58" t="n">
        <f aca="false">IF(L615=1,M615*$B$20,0)</f>
        <v>0</v>
      </c>
      <c r="O615" s="58" t="n">
        <f aca="false">IF(L615=1,M615+N615-$B$21,M615)</f>
        <v>-10.8661391719591</v>
      </c>
      <c r="P615" s="56" t="n">
        <f aca="false">IF(L615=1,IF($B$21&lt;=N615,1,0),0)</f>
        <v>0</v>
      </c>
      <c r="Q615" s="58" t="n">
        <f aca="false">Q614+N615</f>
        <v>989.13386082804</v>
      </c>
    </row>
    <row r="616" customFormat="false" ht="15" hidden="false" customHeight="false" outlineLevel="0" collapsed="false">
      <c r="K616" s="56" t="n">
        <f aca="false">K615+1</f>
        <v>609</v>
      </c>
      <c r="L616" s="57" t="n">
        <f aca="false">IF(AND(K616&lt;=Assumptions!$C$42,L615=1,P615=0,O615&gt;Assumptions!$C$43),1,0)</f>
        <v>0</v>
      </c>
      <c r="M616" s="58" t="n">
        <f aca="false">O615</f>
        <v>-10.8661391719591</v>
      </c>
      <c r="N616" s="58" t="n">
        <f aca="false">IF(L616=1,M616*$B$20,0)</f>
        <v>0</v>
      </c>
      <c r="O616" s="58" t="n">
        <f aca="false">IF(L616=1,M616+N616-$B$21,M616)</f>
        <v>-10.8661391719591</v>
      </c>
      <c r="P616" s="56" t="n">
        <f aca="false">IF(L616=1,IF($B$21&lt;=N616,1,0),0)</f>
        <v>0</v>
      </c>
      <c r="Q616" s="58" t="n">
        <f aca="false">Q615+N616</f>
        <v>989.13386082804</v>
      </c>
    </row>
    <row r="617" customFormat="false" ht="15" hidden="false" customHeight="false" outlineLevel="0" collapsed="false">
      <c r="K617" s="56" t="n">
        <f aca="false">K616+1</f>
        <v>610</v>
      </c>
      <c r="L617" s="57" t="n">
        <f aca="false">IF(AND(K617&lt;=Assumptions!$C$42,L616=1,P616=0,O616&gt;Assumptions!$C$43),1,0)</f>
        <v>0</v>
      </c>
      <c r="M617" s="58" t="n">
        <f aca="false">O616</f>
        <v>-10.8661391719591</v>
      </c>
      <c r="N617" s="58" t="n">
        <f aca="false">IF(L617=1,M617*$B$20,0)</f>
        <v>0</v>
      </c>
      <c r="O617" s="58" t="n">
        <f aca="false">IF(L617=1,M617+N617-$B$21,M617)</f>
        <v>-10.8661391719591</v>
      </c>
      <c r="P617" s="56" t="n">
        <f aca="false">IF(L617=1,IF($B$21&lt;=N617,1,0),0)</f>
        <v>0</v>
      </c>
      <c r="Q617" s="58" t="n">
        <f aca="false">Q616+N617</f>
        <v>989.13386082804</v>
      </c>
    </row>
    <row r="618" customFormat="false" ht="15" hidden="false" customHeight="false" outlineLevel="0" collapsed="false">
      <c r="K618" s="56" t="n">
        <f aca="false">K617+1</f>
        <v>611</v>
      </c>
      <c r="L618" s="57" t="n">
        <f aca="false">IF(AND(K618&lt;=Assumptions!$C$42,L617=1,P617=0,O617&gt;Assumptions!$C$43),1,0)</f>
        <v>0</v>
      </c>
      <c r="M618" s="58" t="n">
        <f aca="false">O617</f>
        <v>-10.8661391719591</v>
      </c>
      <c r="N618" s="58" t="n">
        <f aca="false">IF(L618=1,M618*$B$20,0)</f>
        <v>0</v>
      </c>
      <c r="O618" s="58" t="n">
        <f aca="false">IF(L618=1,M618+N618-$B$21,M618)</f>
        <v>-10.8661391719591</v>
      </c>
      <c r="P618" s="56" t="n">
        <f aca="false">IF(L618=1,IF($B$21&lt;=N618,1,0),0)</f>
        <v>0</v>
      </c>
      <c r="Q618" s="58" t="n">
        <f aca="false">Q617+N618</f>
        <v>989.13386082804</v>
      </c>
    </row>
    <row r="619" customFormat="false" ht="15" hidden="false" customHeight="false" outlineLevel="0" collapsed="false">
      <c r="K619" s="56" t="n">
        <f aca="false">K618+1</f>
        <v>612</v>
      </c>
      <c r="L619" s="57" t="n">
        <f aca="false">IF(AND(K619&lt;=Assumptions!$C$42,L618=1,P618=0,O618&gt;Assumptions!$C$43),1,0)</f>
        <v>0</v>
      </c>
      <c r="M619" s="58" t="n">
        <f aca="false">O618</f>
        <v>-10.8661391719591</v>
      </c>
      <c r="N619" s="58" t="n">
        <f aca="false">IF(L619=1,M619*$B$20,0)</f>
        <v>0</v>
      </c>
      <c r="O619" s="58" t="n">
        <f aca="false">IF(L619=1,M619+N619-$B$21,M619)</f>
        <v>-10.8661391719591</v>
      </c>
      <c r="P619" s="56" t="n">
        <f aca="false">IF(L619=1,IF($B$21&lt;=N619,1,0),0)</f>
        <v>0</v>
      </c>
      <c r="Q619" s="58" t="n">
        <f aca="false">Q618+N619</f>
        <v>989.13386082804</v>
      </c>
    </row>
    <row r="620" customFormat="false" ht="15" hidden="false" customHeight="false" outlineLevel="0" collapsed="false">
      <c r="K620" s="56" t="n">
        <f aca="false">K619+1</f>
        <v>613</v>
      </c>
      <c r="L620" s="57" t="n">
        <f aca="false">IF(AND(K620&lt;=Assumptions!$C$42,L619=1,P619=0,O619&gt;Assumptions!$C$43),1,0)</f>
        <v>0</v>
      </c>
      <c r="M620" s="58" t="n">
        <f aca="false">O619</f>
        <v>-10.8661391719591</v>
      </c>
      <c r="N620" s="58" t="n">
        <f aca="false">IF(L620=1,M620*$B$20,0)</f>
        <v>0</v>
      </c>
      <c r="O620" s="58" t="n">
        <f aca="false">IF(L620=1,M620+N620-$B$21,M620)</f>
        <v>-10.8661391719591</v>
      </c>
      <c r="P620" s="56" t="n">
        <f aca="false">IF(L620=1,IF($B$21&lt;=N620,1,0),0)</f>
        <v>0</v>
      </c>
      <c r="Q620" s="58" t="n">
        <f aca="false">Q619+N620</f>
        <v>989.13386082804</v>
      </c>
    </row>
    <row r="621" customFormat="false" ht="15" hidden="false" customHeight="false" outlineLevel="0" collapsed="false">
      <c r="K621" s="56" t="n">
        <f aca="false">K620+1</f>
        <v>614</v>
      </c>
      <c r="L621" s="57" t="n">
        <f aca="false">IF(AND(K621&lt;=Assumptions!$C$42,L620=1,P620=0,O620&gt;Assumptions!$C$43),1,0)</f>
        <v>0</v>
      </c>
      <c r="M621" s="58" t="n">
        <f aca="false">O620</f>
        <v>-10.8661391719591</v>
      </c>
      <c r="N621" s="58" t="n">
        <f aca="false">IF(L621=1,M621*$B$20,0)</f>
        <v>0</v>
      </c>
      <c r="O621" s="58" t="n">
        <f aca="false">IF(L621=1,M621+N621-$B$21,M621)</f>
        <v>-10.8661391719591</v>
      </c>
      <c r="P621" s="56" t="n">
        <f aca="false">IF(L621=1,IF($B$21&lt;=N621,1,0),0)</f>
        <v>0</v>
      </c>
      <c r="Q621" s="58" t="n">
        <f aca="false">Q620+N621</f>
        <v>989.13386082804</v>
      </c>
    </row>
    <row r="622" customFormat="false" ht="15" hidden="false" customHeight="false" outlineLevel="0" collapsed="false">
      <c r="K622" s="56" t="n">
        <f aca="false">K621+1</f>
        <v>615</v>
      </c>
      <c r="L622" s="57" t="n">
        <f aca="false">IF(AND(K622&lt;=Assumptions!$C$42,L621=1,P621=0,O621&gt;Assumptions!$C$43),1,0)</f>
        <v>0</v>
      </c>
      <c r="M622" s="58" t="n">
        <f aca="false">O621</f>
        <v>-10.8661391719591</v>
      </c>
      <c r="N622" s="58" t="n">
        <f aca="false">IF(L622=1,M622*$B$20,0)</f>
        <v>0</v>
      </c>
      <c r="O622" s="58" t="n">
        <f aca="false">IF(L622=1,M622+N622-$B$21,M622)</f>
        <v>-10.8661391719591</v>
      </c>
      <c r="P622" s="56" t="n">
        <f aca="false">IF(L622=1,IF($B$21&lt;=N622,1,0),0)</f>
        <v>0</v>
      </c>
      <c r="Q622" s="58" t="n">
        <f aca="false">Q621+N622</f>
        <v>989.13386082804</v>
      </c>
    </row>
    <row r="623" customFormat="false" ht="15" hidden="false" customHeight="false" outlineLevel="0" collapsed="false">
      <c r="K623" s="56" t="n">
        <f aca="false">K622+1</f>
        <v>616</v>
      </c>
      <c r="L623" s="57" t="n">
        <f aca="false">IF(AND(K623&lt;=Assumptions!$C$42,L622=1,P622=0,O622&gt;Assumptions!$C$43),1,0)</f>
        <v>0</v>
      </c>
      <c r="M623" s="58" t="n">
        <f aca="false">O622</f>
        <v>-10.8661391719591</v>
      </c>
      <c r="N623" s="58" t="n">
        <f aca="false">IF(L623=1,M623*$B$20,0)</f>
        <v>0</v>
      </c>
      <c r="O623" s="58" t="n">
        <f aca="false">IF(L623=1,M623+N623-$B$21,M623)</f>
        <v>-10.8661391719591</v>
      </c>
      <c r="P623" s="56" t="n">
        <f aca="false">IF(L623=1,IF($B$21&lt;=N623,1,0),0)</f>
        <v>0</v>
      </c>
      <c r="Q623" s="58" t="n">
        <f aca="false">Q622+N623</f>
        <v>989.13386082804</v>
      </c>
    </row>
    <row r="624" customFormat="false" ht="15" hidden="false" customHeight="false" outlineLevel="0" collapsed="false">
      <c r="K624" s="56" t="n">
        <f aca="false">K623+1</f>
        <v>617</v>
      </c>
      <c r="L624" s="57" t="n">
        <f aca="false">IF(AND(K624&lt;=Assumptions!$C$42,L623=1,P623=0,O623&gt;Assumptions!$C$43),1,0)</f>
        <v>0</v>
      </c>
      <c r="M624" s="58" t="n">
        <f aca="false">O623</f>
        <v>-10.8661391719591</v>
      </c>
      <c r="N624" s="58" t="n">
        <f aca="false">IF(L624=1,M624*$B$20,0)</f>
        <v>0</v>
      </c>
      <c r="O624" s="58" t="n">
        <f aca="false">IF(L624=1,M624+N624-$B$21,M624)</f>
        <v>-10.8661391719591</v>
      </c>
      <c r="P624" s="56" t="n">
        <f aca="false">IF(L624=1,IF($B$21&lt;=N624,1,0),0)</f>
        <v>0</v>
      </c>
      <c r="Q624" s="58" t="n">
        <f aca="false">Q623+N624</f>
        <v>989.13386082804</v>
      </c>
    </row>
    <row r="625" customFormat="false" ht="15" hidden="false" customHeight="false" outlineLevel="0" collapsed="false">
      <c r="K625" s="56" t="n">
        <f aca="false">K624+1</f>
        <v>618</v>
      </c>
      <c r="L625" s="57" t="n">
        <f aca="false">IF(AND(K625&lt;=Assumptions!$C$42,L624=1,P624=0,O624&gt;Assumptions!$C$43),1,0)</f>
        <v>0</v>
      </c>
      <c r="M625" s="58" t="n">
        <f aca="false">O624</f>
        <v>-10.8661391719591</v>
      </c>
      <c r="N625" s="58" t="n">
        <f aca="false">IF(L625=1,M625*$B$20,0)</f>
        <v>0</v>
      </c>
      <c r="O625" s="58" t="n">
        <f aca="false">IF(L625=1,M625+N625-$B$21,M625)</f>
        <v>-10.8661391719591</v>
      </c>
      <c r="P625" s="56" t="n">
        <f aca="false">IF(L625=1,IF($B$21&lt;=N625,1,0),0)</f>
        <v>0</v>
      </c>
      <c r="Q625" s="58" t="n">
        <f aca="false">Q624+N625</f>
        <v>989.13386082804</v>
      </c>
    </row>
    <row r="626" customFormat="false" ht="15" hidden="false" customHeight="false" outlineLevel="0" collapsed="false">
      <c r="K626" s="56" t="n">
        <f aca="false">K625+1</f>
        <v>619</v>
      </c>
      <c r="L626" s="57" t="n">
        <f aca="false">IF(AND(K626&lt;=Assumptions!$C$42,L625=1,P625=0,O625&gt;Assumptions!$C$43),1,0)</f>
        <v>0</v>
      </c>
      <c r="M626" s="58" t="n">
        <f aca="false">O625</f>
        <v>-10.8661391719591</v>
      </c>
      <c r="N626" s="58" t="n">
        <f aca="false">IF(L626=1,M626*$B$20,0)</f>
        <v>0</v>
      </c>
      <c r="O626" s="58" t="n">
        <f aca="false">IF(L626=1,M626+N626-$B$21,M626)</f>
        <v>-10.8661391719591</v>
      </c>
      <c r="P626" s="56" t="n">
        <f aca="false">IF(L626=1,IF($B$21&lt;=N626,1,0),0)</f>
        <v>0</v>
      </c>
      <c r="Q626" s="58" t="n">
        <f aca="false">Q625+N626</f>
        <v>989.13386082804</v>
      </c>
    </row>
    <row r="627" customFormat="false" ht="15" hidden="false" customHeight="false" outlineLevel="0" collapsed="false">
      <c r="K627" s="56" t="n">
        <f aca="false">K626+1</f>
        <v>620</v>
      </c>
      <c r="L627" s="57" t="n">
        <f aca="false">IF(AND(K627&lt;=Assumptions!$C$42,L626=1,P626=0,O626&gt;Assumptions!$C$43),1,0)</f>
        <v>0</v>
      </c>
      <c r="M627" s="58" t="n">
        <f aca="false">O626</f>
        <v>-10.8661391719591</v>
      </c>
      <c r="N627" s="58" t="n">
        <f aca="false">IF(L627=1,M627*$B$20,0)</f>
        <v>0</v>
      </c>
      <c r="O627" s="58" t="n">
        <f aca="false">IF(L627=1,M627+N627-$B$21,M627)</f>
        <v>-10.8661391719591</v>
      </c>
      <c r="P627" s="56" t="n">
        <f aca="false">IF(L627=1,IF($B$21&lt;=N627,1,0),0)</f>
        <v>0</v>
      </c>
      <c r="Q627" s="58" t="n">
        <f aca="false">Q626+N627</f>
        <v>989.13386082804</v>
      </c>
    </row>
    <row r="628" customFormat="false" ht="15" hidden="false" customHeight="false" outlineLevel="0" collapsed="false">
      <c r="K628" s="56" t="n">
        <f aca="false">K627+1</f>
        <v>621</v>
      </c>
      <c r="L628" s="57" t="n">
        <f aca="false">IF(AND(K628&lt;=Assumptions!$C$42,L627=1,P627=0,O627&gt;Assumptions!$C$43),1,0)</f>
        <v>0</v>
      </c>
      <c r="M628" s="58" t="n">
        <f aca="false">O627</f>
        <v>-10.8661391719591</v>
      </c>
      <c r="N628" s="58" t="n">
        <f aca="false">IF(L628=1,M628*$B$20,0)</f>
        <v>0</v>
      </c>
      <c r="O628" s="58" t="n">
        <f aca="false">IF(L628=1,M628+N628-$B$21,M628)</f>
        <v>-10.8661391719591</v>
      </c>
      <c r="P628" s="56" t="n">
        <f aca="false">IF(L628=1,IF($B$21&lt;=N628,1,0),0)</f>
        <v>0</v>
      </c>
      <c r="Q628" s="58" t="n">
        <f aca="false">Q627+N628</f>
        <v>989.13386082804</v>
      </c>
    </row>
    <row r="629" customFormat="false" ht="15" hidden="false" customHeight="false" outlineLevel="0" collapsed="false">
      <c r="K629" s="56" t="n">
        <f aca="false">K628+1</f>
        <v>622</v>
      </c>
      <c r="L629" s="57" t="n">
        <f aca="false">IF(AND(K629&lt;=Assumptions!$C$42,L628=1,P628=0,O628&gt;Assumptions!$C$43),1,0)</f>
        <v>0</v>
      </c>
      <c r="M629" s="58" t="n">
        <f aca="false">O628</f>
        <v>-10.8661391719591</v>
      </c>
      <c r="N629" s="58" t="n">
        <f aca="false">IF(L629=1,M629*$B$20,0)</f>
        <v>0</v>
      </c>
      <c r="O629" s="58" t="n">
        <f aca="false">IF(L629=1,M629+N629-$B$21,M629)</f>
        <v>-10.8661391719591</v>
      </c>
      <c r="P629" s="56" t="n">
        <f aca="false">IF(L629=1,IF($B$21&lt;=N629,1,0),0)</f>
        <v>0</v>
      </c>
      <c r="Q629" s="58" t="n">
        <f aca="false">Q628+N629</f>
        <v>989.13386082804</v>
      </c>
    </row>
    <row r="630" customFormat="false" ht="15" hidden="false" customHeight="false" outlineLevel="0" collapsed="false">
      <c r="K630" s="56" t="n">
        <f aca="false">K629+1</f>
        <v>623</v>
      </c>
      <c r="L630" s="57" t="n">
        <f aca="false">IF(AND(K630&lt;=Assumptions!$C$42,L629=1,P629=0,O629&gt;Assumptions!$C$43),1,0)</f>
        <v>0</v>
      </c>
      <c r="M630" s="58" t="n">
        <f aca="false">O629</f>
        <v>-10.8661391719591</v>
      </c>
      <c r="N630" s="58" t="n">
        <f aca="false">IF(L630=1,M630*$B$20,0)</f>
        <v>0</v>
      </c>
      <c r="O630" s="58" t="n">
        <f aca="false">IF(L630=1,M630+N630-$B$21,M630)</f>
        <v>-10.8661391719591</v>
      </c>
      <c r="P630" s="56" t="n">
        <f aca="false">IF(L630=1,IF($B$21&lt;=N630,1,0),0)</f>
        <v>0</v>
      </c>
      <c r="Q630" s="58" t="n">
        <f aca="false">Q629+N630</f>
        <v>989.13386082804</v>
      </c>
    </row>
    <row r="631" customFormat="false" ht="15" hidden="false" customHeight="false" outlineLevel="0" collapsed="false">
      <c r="K631" s="56" t="n">
        <f aca="false">K630+1</f>
        <v>624</v>
      </c>
      <c r="L631" s="57" t="n">
        <f aca="false">IF(AND(K631&lt;=Assumptions!$C$42,L630=1,P630=0,O630&gt;Assumptions!$C$43),1,0)</f>
        <v>0</v>
      </c>
      <c r="M631" s="58" t="n">
        <f aca="false">O630</f>
        <v>-10.8661391719591</v>
      </c>
      <c r="N631" s="58" t="n">
        <f aca="false">IF(L631=1,M631*$B$20,0)</f>
        <v>0</v>
      </c>
      <c r="O631" s="58" t="n">
        <f aca="false">IF(L631=1,M631+N631-$B$21,M631)</f>
        <v>-10.8661391719591</v>
      </c>
      <c r="P631" s="56" t="n">
        <f aca="false">IF(L631=1,IF($B$21&lt;=N631,1,0),0)</f>
        <v>0</v>
      </c>
      <c r="Q631" s="58" t="n">
        <f aca="false">Q630+N631</f>
        <v>989.13386082804</v>
      </c>
    </row>
    <row r="632" customFormat="false" ht="15" hidden="false" customHeight="false" outlineLevel="0" collapsed="false">
      <c r="K632" s="56" t="n">
        <f aca="false">K631+1</f>
        <v>625</v>
      </c>
      <c r="L632" s="57" t="n">
        <f aca="false">IF(AND(K632&lt;=Assumptions!$C$42,L631=1,P631=0,O631&gt;Assumptions!$C$43),1,0)</f>
        <v>0</v>
      </c>
      <c r="M632" s="58" t="n">
        <f aca="false">O631</f>
        <v>-10.8661391719591</v>
      </c>
      <c r="N632" s="58" t="n">
        <f aca="false">IF(L632=1,M632*$B$20,0)</f>
        <v>0</v>
      </c>
      <c r="O632" s="58" t="n">
        <f aca="false">IF(L632=1,M632+N632-$B$21,M632)</f>
        <v>-10.8661391719591</v>
      </c>
      <c r="P632" s="56" t="n">
        <f aca="false">IF(L632=1,IF($B$21&lt;=N632,1,0),0)</f>
        <v>0</v>
      </c>
      <c r="Q632" s="58" t="n">
        <f aca="false">Q631+N632</f>
        <v>989.13386082804</v>
      </c>
    </row>
    <row r="633" customFormat="false" ht="15" hidden="false" customHeight="false" outlineLevel="0" collapsed="false">
      <c r="K633" s="56" t="n">
        <f aca="false">K632+1</f>
        <v>626</v>
      </c>
      <c r="L633" s="57" t="n">
        <f aca="false">IF(AND(K633&lt;=Assumptions!$C$42,L632=1,P632=0,O632&gt;Assumptions!$C$43),1,0)</f>
        <v>0</v>
      </c>
      <c r="M633" s="58" t="n">
        <f aca="false">O632</f>
        <v>-10.8661391719591</v>
      </c>
      <c r="N633" s="58" t="n">
        <f aca="false">IF(L633=1,M633*$B$20,0)</f>
        <v>0</v>
      </c>
      <c r="O633" s="58" t="n">
        <f aca="false">IF(L633=1,M633+N633-$B$21,M633)</f>
        <v>-10.8661391719591</v>
      </c>
      <c r="P633" s="56" t="n">
        <f aca="false">IF(L633=1,IF($B$21&lt;=N633,1,0),0)</f>
        <v>0</v>
      </c>
      <c r="Q633" s="58" t="n">
        <f aca="false">Q632+N633</f>
        <v>989.13386082804</v>
      </c>
    </row>
    <row r="634" customFormat="false" ht="15" hidden="false" customHeight="false" outlineLevel="0" collapsed="false">
      <c r="K634" s="56" t="n">
        <f aca="false">K633+1</f>
        <v>627</v>
      </c>
      <c r="L634" s="57" t="n">
        <f aca="false">IF(AND(K634&lt;=Assumptions!$C$42,L633=1,P633=0,O633&gt;Assumptions!$C$43),1,0)</f>
        <v>0</v>
      </c>
      <c r="M634" s="58" t="n">
        <f aca="false">O633</f>
        <v>-10.8661391719591</v>
      </c>
      <c r="N634" s="58" t="n">
        <f aca="false">IF(L634=1,M634*$B$20,0)</f>
        <v>0</v>
      </c>
      <c r="O634" s="58" t="n">
        <f aca="false">IF(L634=1,M634+N634-$B$21,M634)</f>
        <v>-10.8661391719591</v>
      </c>
      <c r="P634" s="56" t="n">
        <f aca="false">IF(L634=1,IF($B$21&lt;=N634,1,0),0)</f>
        <v>0</v>
      </c>
      <c r="Q634" s="58" t="n">
        <f aca="false">Q633+N634</f>
        <v>989.13386082804</v>
      </c>
    </row>
    <row r="635" customFormat="false" ht="15" hidden="false" customHeight="false" outlineLevel="0" collapsed="false">
      <c r="K635" s="56" t="n">
        <f aca="false">K634+1</f>
        <v>628</v>
      </c>
      <c r="L635" s="57" t="n">
        <f aca="false">IF(AND(K635&lt;=Assumptions!$C$42,L634=1,P634=0,O634&gt;Assumptions!$C$43),1,0)</f>
        <v>0</v>
      </c>
      <c r="M635" s="58" t="n">
        <f aca="false">O634</f>
        <v>-10.8661391719591</v>
      </c>
      <c r="N635" s="58" t="n">
        <f aca="false">IF(L635=1,M635*$B$20,0)</f>
        <v>0</v>
      </c>
      <c r="O635" s="58" t="n">
        <f aca="false">IF(L635=1,M635+N635-$B$21,M635)</f>
        <v>-10.8661391719591</v>
      </c>
      <c r="P635" s="56" t="n">
        <f aca="false">IF(L635=1,IF($B$21&lt;=N635,1,0),0)</f>
        <v>0</v>
      </c>
      <c r="Q635" s="58" t="n">
        <f aca="false">Q634+N635</f>
        <v>989.13386082804</v>
      </c>
    </row>
    <row r="636" customFormat="false" ht="15" hidden="false" customHeight="false" outlineLevel="0" collapsed="false">
      <c r="K636" s="56" t="n">
        <f aca="false">K635+1</f>
        <v>629</v>
      </c>
      <c r="L636" s="57" t="n">
        <f aca="false">IF(AND(K636&lt;=Assumptions!$C$42,L635=1,P635=0,O635&gt;Assumptions!$C$43),1,0)</f>
        <v>0</v>
      </c>
      <c r="M636" s="58" t="n">
        <f aca="false">O635</f>
        <v>-10.8661391719591</v>
      </c>
      <c r="N636" s="58" t="n">
        <f aca="false">IF(L636=1,M636*$B$20,0)</f>
        <v>0</v>
      </c>
      <c r="O636" s="58" t="n">
        <f aca="false">IF(L636=1,M636+N636-$B$21,M636)</f>
        <v>-10.8661391719591</v>
      </c>
      <c r="P636" s="56" t="n">
        <f aca="false">IF(L636=1,IF($B$21&lt;=N636,1,0),0)</f>
        <v>0</v>
      </c>
      <c r="Q636" s="58" t="n">
        <f aca="false">Q635+N636</f>
        <v>989.13386082804</v>
      </c>
    </row>
    <row r="637" customFormat="false" ht="15" hidden="false" customHeight="false" outlineLevel="0" collapsed="false">
      <c r="K637" s="56" t="n">
        <f aca="false">K636+1</f>
        <v>630</v>
      </c>
      <c r="L637" s="57" t="n">
        <f aca="false">IF(AND(K637&lt;=Assumptions!$C$42,L636=1,P636=0,O636&gt;Assumptions!$C$43),1,0)</f>
        <v>0</v>
      </c>
      <c r="M637" s="58" t="n">
        <f aca="false">O636</f>
        <v>-10.8661391719591</v>
      </c>
      <c r="N637" s="58" t="n">
        <f aca="false">IF(L637=1,M637*$B$20,0)</f>
        <v>0</v>
      </c>
      <c r="O637" s="58" t="n">
        <f aca="false">IF(L637=1,M637+N637-$B$21,M637)</f>
        <v>-10.8661391719591</v>
      </c>
      <c r="P637" s="56" t="n">
        <f aca="false">IF(L637=1,IF($B$21&lt;=N637,1,0),0)</f>
        <v>0</v>
      </c>
      <c r="Q637" s="58" t="n">
        <f aca="false">Q636+N637</f>
        <v>989.13386082804</v>
      </c>
    </row>
    <row r="638" customFormat="false" ht="15" hidden="false" customHeight="false" outlineLevel="0" collapsed="false">
      <c r="K638" s="56" t="n">
        <f aca="false">K637+1</f>
        <v>631</v>
      </c>
      <c r="L638" s="57" t="n">
        <f aca="false">IF(AND(K638&lt;=Assumptions!$C$42,L637=1,P637=0,O637&gt;Assumptions!$C$43),1,0)</f>
        <v>0</v>
      </c>
      <c r="M638" s="58" t="n">
        <f aca="false">O637</f>
        <v>-10.8661391719591</v>
      </c>
      <c r="N638" s="58" t="n">
        <f aca="false">IF(L638=1,M638*$B$20,0)</f>
        <v>0</v>
      </c>
      <c r="O638" s="58" t="n">
        <f aca="false">IF(L638=1,M638+N638-$B$21,M638)</f>
        <v>-10.8661391719591</v>
      </c>
      <c r="P638" s="56" t="n">
        <f aca="false">IF(L638=1,IF($B$21&lt;=N638,1,0),0)</f>
        <v>0</v>
      </c>
      <c r="Q638" s="58" t="n">
        <f aca="false">Q637+N638</f>
        <v>989.13386082804</v>
      </c>
    </row>
    <row r="639" customFormat="false" ht="15" hidden="false" customHeight="false" outlineLevel="0" collapsed="false">
      <c r="K639" s="56" t="n">
        <f aca="false">K638+1</f>
        <v>632</v>
      </c>
      <c r="L639" s="57" t="n">
        <f aca="false">IF(AND(K639&lt;=Assumptions!$C$42,L638=1,P638=0,O638&gt;Assumptions!$C$43),1,0)</f>
        <v>0</v>
      </c>
      <c r="M639" s="58" t="n">
        <f aca="false">O638</f>
        <v>-10.8661391719591</v>
      </c>
      <c r="N639" s="58" t="n">
        <f aca="false">IF(L639=1,M639*$B$20,0)</f>
        <v>0</v>
      </c>
      <c r="O639" s="58" t="n">
        <f aca="false">IF(L639=1,M639+N639-$B$21,M639)</f>
        <v>-10.8661391719591</v>
      </c>
      <c r="P639" s="56" t="n">
        <f aca="false">IF(L639=1,IF($B$21&lt;=N639,1,0),0)</f>
        <v>0</v>
      </c>
      <c r="Q639" s="58" t="n">
        <f aca="false">Q638+N639</f>
        <v>989.13386082804</v>
      </c>
    </row>
    <row r="640" customFormat="false" ht="15" hidden="false" customHeight="false" outlineLevel="0" collapsed="false">
      <c r="K640" s="56" t="n">
        <f aca="false">K639+1</f>
        <v>633</v>
      </c>
      <c r="L640" s="57" t="n">
        <f aca="false">IF(AND(K640&lt;=Assumptions!$C$42,L639=1,P639=0,O639&gt;Assumptions!$C$43),1,0)</f>
        <v>0</v>
      </c>
      <c r="M640" s="58" t="n">
        <f aca="false">O639</f>
        <v>-10.8661391719591</v>
      </c>
      <c r="N640" s="58" t="n">
        <f aca="false">IF(L640=1,M640*$B$20,0)</f>
        <v>0</v>
      </c>
      <c r="O640" s="58" t="n">
        <f aca="false">IF(L640=1,M640+N640-$B$21,M640)</f>
        <v>-10.8661391719591</v>
      </c>
      <c r="P640" s="56" t="n">
        <f aca="false">IF(L640=1,IF($B$21&lt;=N640,1,0),0)</f>
        <v>0</v>
      </c>
      <c r="Q640" s="58" t="n">
        <f aca="false">Q639+N640</f>
        <v>989.13386082804</v>
      </c>
    </row>
    <row r="641" customFormat="false" ht="15" hidden="false" customHeight="false" outlineLevel="0" collapsed="false">
      <c r="K641" s="56" t="n">
        <f aca="false">K640+1</f>
        <v>634</v>
      </c>
      <c r="L641" s="57" t="n">
        <f aca="false">IF(AND(K641&lt;=Assumptions!$C$42,L640=1,P640=0,O640&gt;Assumptions!$C$43),1,0)</f>
        <v>0</v>
      </c>
      <c r="M641" s="58" t="n">
        <f aca="false">O640</f>
        <v>-10.8661391719591</v>
      </c>
      <c r="N641" s="58" t="n">
        <f aca="false">IF(L641=1,M641*$B$20,0)</f>
        <v>0</v>
      </c>
      <c r="O641" s="58" t="n">
        <f aca="false">IF(L641=1,M641+N641-$B$21,M641)</f>
        <v>-10.8661391719591</v>
      </c>
      <c r="P641" s="56" t="n">
        <f aca="false">IF(L641=1,IF($B$21&lt;=N641,1,0),0)</f>
        <v>0</v>
      </c>
      <c r="Q641" s="58" t="n">
        <f aca="false">Q640+N641</f>
        <v>989.13386082804</v>
      </c>
    </row>
    <row r="642" customFormat="false" ht="15" hidden="false" customHeight="false" outlineLevel="0" collapsed="false">
      <c r="K642" s="56" t="n">
        <f aca="false">K641+1</f>
        <v>635</v>
      </c>
      <c r="L642" s="57" t="n">
        <f aca="false">IF(AND(K642&lt;=Assumptions!$C$42,L641=1,P641=0,O641&gt;Assumptions!$C$43),1,0)</f>
        <v>0</v>
      </c>
      <c r="M642" s="58" t="n">
        <f aca="false">O641</f>
        <v>-10.8661391719591</v>
      </c>
      <c r="N642" s="58" t="n">
        <f aca="false">IF(L642=1,M642*$B$20,0)</f>
        <v>0</v>
      </c>
      <c r="O642" s="58" t="n">
        <f aca="false">IF(L642=1,M642+N642-$B$21,M642)</f>
        <v>-10.8661391719591</v>
      </c>
      <c r="P642" s="56" t="n">
        <f aca="false">IF(L642=1,IF($B$21&lt;=N642,1,0),0)</f>
        <v>0</v>
      </c>
      <c r="Q642" s="58" t="n">
        <f aca="false">Q641+N642</f>
        <v>989.13386082804</v>
      </c>
    </row>
    <row r="643" customFormat="false" ht="15" hidden="false" customHeight="false" outlineLevel="0" collapsed="false">
      <c r="K643" s="56" t="n">
        <f aca="false">K642+1</f>
        <v>636</v>
      </c>
      <c r="L643" s="57" t="n">
        <f aca="false">IF(AND(K643&lt;=Assumptions!$C$42,L642=1,P642=0,O642&gt;Assumptions!$C$43),1,0)</f>
        <v>0</v>
      </c>
      <c r="M643" s="58" t="n">
        <f aca="false">O642</f>
        <v>-10.8661391719591</v>
      </c>
      <c r="N643" s="58" t="n">
        <f aca="false">IF(L643=1,M643*$B$20,0)</f>
        <v>0</v>
      </c>
      <c r="O643" s="58" t="n">
        <f aca="false">IF(L643=1,M643+N643-$B$21,M643)</f>
        <v>-10.8661391719591</v>
      </c>
      <c r="P643" s="56" t="n">
        <f aca="false">IF(L643=1,IF($B$21&lt;=N643,1,0),0)</f>
        <v>0</v>
      </c>
      <c r="Q643" s="58" t="n">
        <f aca="false">Q642+N643</f>
        <v>989.13386082804</v>
      </c>
    </row>
    <row r="644" customFormat="false" ht="15" hidden="false" customHeight="false" outlineLevel="0" collapsed="false">
      <c r="K644" s="56" t="n">
        <f aca="false">K643+1</f>
        <v>637</v>
      </c>
      <c r="L644" s="57" t="n">
        <f aca="false">IF(AND(K644&lt;=Assumptions!$C$42,L643=1,P643=0,O643&gt;Assumptions!$C$43),1,0)</f>
        <v>0</v>
      </c>
      <c r="M644" s="58" t="n">
        <f aca="false">O643</f>
        <v>-10.8661391719591</v>
      </c>
      <c r="N644" s="58" t="n">
        <f aca="false">IF(L644=1,M644*$B$20,0)</f>
        <v>0</v>
      </c>
      <c r="O644" s="58" t="n">
        <f aca="false">IF(L644=1,M644+N644-$B$21,M644)</f>
        <v>-10.8661391719591</v>
      </c>
      <c r="P644" s="56" t="n">
        <f aca="false">IF(L644=1,IF($B$21&lt;=N644,1,0),0)</f>
        <v>0</v>
      </c>
      <c r="Q644" s="58" t="n">
        <f aca="false">Q643+N644</f>
        <v>989.13386082804</v>
      </c>
    </row>
    <row r="645" customFormat="false" ht="15" hidden="false" customHeight="false" outlineLevel="0" collapsed="false">
      <c r="K645" s="56" t="n">
        <f aca="false">K644+1</f>
        <v>638</v>
      </c>
      <c r="L645" s="57" t="n">
        <f aca="false">IF(AND(K645&lt;=Assumptions!$C$42,L644=1,P644=0,O644&gt;Assumptions!$C$43),1,0)</f>
        <v>0</v>
      </c>
      <c r="M645" s="58" t="n">
        <f aca="false">O644</f>
        <v>-10.8661391719591</v>
      </c>
      <c r="N645" s="58" t="n">
        <f aca="false">IF(L645=1,M645*$B$20,0)</f>
        <v>0</v>
      </c>
      <c r="O645" s="58" t="n">
        <f aca="false">IF(L645=1,M645+N645-$B$21,M645)</f>
        <v>-10.8661391719591</v>
      </c>
      <c r="P645" s="56" t="n">
        <f aca="false">IF(L645=1,IF($B$21&lt;=N645,1,0),0)</f>
        <v>0</v>
      </c>
      <c r="Q645" s="58" t="n">
        <f aca="false">Q644+N645</f>
        <v>989.13386082804</v>
      </c>
    </row>
    <row r="646" customFormat="false" ht="15" hidden="false" customHeight="false" outlineLevel="0" collapsed="false">
      <c r="K646" s="56" t="n">
        <f aca="false">K645+1</f>
        <v>639</v>
      </c>
      <c r="L646" s="57" t="n">
        <f aca="false">IF(AND(K646&lt;=Assumptions!$C$42,L645=1,P645=0,O645&gt;Assumptions!$C$43),1,0)</f>
        <v>0</v>
      </c>
      <c r="M646" s="58" t="n">
        <f aca="false">O645</f>
        <v>-10.8661391719591</v>
      </c>
      <c r="N646" s="58" t="n">
        <f aca="false">IF(L646=1,M646*$B$20,0)</f>
        <v>0</v>
      </c>
      <c r="O646" s="58" t="n">
        <f aca="false">IF(L646=1,M646+N646-$B$21,M646)</f>
        <v>-10.8661391719591</v>
      </c>
      <c r="P646" s="56" t="n">
        <f aca="false">IF(L646=1,IF($B$21&lt;=N646,1,0),0)</f>
        <v>0</v>
      </c>
      <c r="Q646" s="58" t="n">
        <f aca="false">Q645+N646</f>
        <v>989.13386082804</v>
      </c>
    </row>
    <row r="647" customFormat="false" ht="15" hidden="false" customHeight="false" outlineLevel="0" collapsed="false">
      <c r="K647" s="56" t="n">
        <f aca="false">K646+1</f>
        <v>640</v>
      </c>
      <c r="L647" s="57" t="n">
        <f aca="false">IF(AND(K647&lt;=Assumptions!$C$42,L646=1,P646=0,O646&gt;Assumptions!$C$43),1,0)</f>
        <v>0</v>
      </c>
      <c r="M647" s="58" t="n">
        <f aca="false">O646</f>
        <v>-10.8661391719591</v>
      </c>
      <c r="N647" s="58" t="n">
        <f aca="false">IF(L647=1,M647*$B$20,0)</f>
        <v>0</v>
      </c>
      <c r="O647" s="58" t="n">
        <f aca="false">IF(L647=1,M647+N647-$B$21,M647)</f>
        <v>-10.8661391719591</v>
      </c>
      <c r="P647" s="56" t="n">
        <f aca="false">IF(L647=1,IF($B$21&lt;=N647,1,0),0)</f>
        <v>0</v>
      </c>
      <c r="Q647" s="58" t="n">
        <f aca="false">Q646+N647</f>
        <v>989.13386082804</v>
      </c>
    </row>
    <row r="648" customFormat="false" ht="15" hidden="false" customHeight="false" outlineLevel="0" collapsed="false">
      <c r="K648" s="56" t="n">
        <f aca="false">K647+1</f>
        <v>641</v>
      </c>
      <c r="L648" s="57" t="n">
        <f aca="false">IF(AND(K648&lt;=Assumptions!$C$42,L647=1,P647=0,O647&gt;Assumptions!$C$43),1,0)</f>
        <v>0</v>
      </c>
      <c r="M648" s="58" t="n">
        <f aca="false">O647</f>
        <v>-10.8661391719591</v>
      </c>
      <c r="N648" s="58" t="n">
        <f aca="false">IF(L648=1,M648*$B$20,0)</f>
        <v>0</v>
      </c>
      <c r="O648" s="58" t="n">
        <f aca="false">IF(L648=1,M648+N648-$B$21,M648)</f>
        <v>-10.8661391719591</v>
      </c>
      <c r="P648" s="56" t="n">
        <f aca="false">IF(L648=1,IF($B$21&lt;=N648,1,0),0)</f>
        <v>0</v>
      </c>
      <c r="Q648" s="58" t="n">
        <f aca="false">Q647+N648</f>
        <v>989.13386082804</v>
      </c>
    </row>
    <row r="649" customFormat="false" ht="15" hidden="false" customHeight="false" outlineLevel="0" collapsed="false">
      <c r="K649" s="56" t="n">
        <f aca="false">K648+1</f>
        <v>642</v>
      </c>
      <c r="L649" s="57" t="n">
        <f aca="false">IF(AND(K649&lt;=Assumptions!$C$42,L648=1,P648=0,O648&gt;Assumptions!$C$43),1,0)</f>
        <v>0</v>
      </c>
      <c r="M649" s="58" t="n">
        <f aca="false">O648</f>
        <v>-10.8661391719591</v>
      </c>
      <c r="N649" s="58" t="n">
        <f aca="false">IF(L649=1,M649*$B$20,0)</f>
        <v>0</v>
      </c>
      <c r="O649" s="58" t="n">
        <f aca="false">IF(L649=1,M649+N649-$B$21,M649)</f>
        <v>-10.8661391719591</v>
      </c>
      <c r="P649" s="56" t="n">
        <f aca="false">IF(L649=1,IF($B$21&lt;=N649,1,0),0)</f>
        <v>0</v>
      </c>
      <c r="Q649" s="58" t="n">
        <f aca="false">Q648+N649</f>
        <v>989.13386082804</v>
      </c>
    </row>
    <row r="650" customFormat="false" ht="15" hidden="false" customHeight="false" outlineLevel="0" collapsed="false">
      <c r="K650" s="56" t="n">
        <f aca="false">K649+1</f>
        <v>643</v>
      </c>
      <c r="L650" s="57" t="n">
        <f aca="false">IF(AND(K650&lt;=Assumptions!$C$42,L649=1,P649=0,O649&gt;Assumptions!$C$43),1,0)</f>
        <v>0</v>
      </c>
      <c r="M650" s="58" t="n">
        <f aca="false">O649</f>
        <v>-10.8661391719591</v>
      </c>
      <c r="N650" s="58" t="n">
        <f aca="false">IF(L650=1,M650*$B$20,0)</f>
        <v>0</v>
      </c>
      <c r="O650" s="58" t="n">
        <f aca="false">IF(L650=1,M650+N650-$B$21,M650)</f>
        <v>-10.8661391719591</v>
      </c>
      <c r="P650" s="56" t="n">
        <f aca="false">IF(L650=1,IF($B$21&lt;=N650,1,0),0)</f>
        <v>0</v>
      </c>
      <c r="Q650" s="58" t="n">
        <f aca="false">Q649+N650</f>
        <v>989.13386082804</v>
      </c>
    </row>
    <row r="651" customFormat="false" ht="15" hidden="false" customHeight="false" outlineLevel="0" collapsed="false">
      <c r="K651" s="56" t="n">
        <f aca="false">K650+1</f>
        <v>644</v>
      </c>
      <c r="L651" s="57" t="n">
        <f aca="false">IF(AND(K651&lt;=Assumptions!$C$42,L650=1,P650=0,O650&gt;Assumptions!$C$43),1,0)</f>
        <v>0</v>
      </c>
      <c r="M651" s="58" t="n">
        <f aca="false">O650</f>
        <v>-10.8661391719591</v>
      </c>
      <c r="N651" s="58" t="n">
        <f aca="false">IF(L651=1,M651*$B$20,0)</f>
        <v>0</v>
      </c>
      <c r="O651" s="58" t="n">
        <f aca="false">IF(L651=1,M651+N651-$B$21,M651)</f>
        <v>-10.8661391719591</v>
      </c>
      <c r="P651" s="56" t="n">
        <f aca="false">IF(L651=1,IF($B$21&lt;=N651,1,0),0)</f>
        <v>0</v>
      </c>
      <c r="Q651" s="58" t="n">
        <f aca="false">Q650+N651</f>
        <v>989.13386082804</v>
      </c>
    </row>
    <row r="652" customFormat="false" ht="15" hidden="false" customHeight="false" outlineLevel="0" collapsed="false">
      <c r="K652" s="56" t="n">
        <f aca="false">K651+1</f>
        <v>645</v>
      </c>
      <c r="L652" s="57" t="n">
        <f aca="false">IF(AND(K652&lt;=Assumptions!$C$42,L651=1,P651=0,O651&gt;Assumptions!$C$43),1,0)</f>
        <v>0</v>
      </c>
      <c r="M652" s="58" t="n">
        <f aca="false">O651</f>
        <v>-10.8661391719591</v>
      </c>
      <c r="N652" s="58" t="n">
        <f aca="false">IF(L652=1,M652*$B$20,0)</f>
        <v>0</v>
      </c>
      <c r="O652" s="58" t="n">
        <f aca="false">IF(L652=1,M652+N652-$B$21,M652)</f>
        <v>-10.8661391719591</v>
      </c>
      <c r="P652" s="56" t="n">
        <f aca="false">IF(L652=1,IF($B$21&lt;=N652,1,0),0)</f>
        <v>0</v>
      </c>
      <c r="Q652" s="58" t="n">
        <f aca="false">Q651+N652</f>
        <v>989.13386082804</v>
      </c>
    </row>
    <row r="653" customFormat="false" ht="15" hidden="false" customHeight="false" outlineLevel="0" collapsed="false">
      <c r="K653" s="56" t="n">
        <f aca="false">K652+1</f>
        <v>646</v>
      </c>
      <c r="L653" s="57" t="n">
        <f aca="false">IF(AND(K653&lt;=Assumptions!$C$42,L652=1,P652=0,O652&gt;Assumptions!$C$43),1,0)</f>
        <v>0</v>
      </c>
      <c r="M653" s="58" t="n">
        <f aca="false">O652</f>
        <v>-10.8661391719591</v>
      </c>
      <c r="N653" s="58" t="n">
        <f aca="false">IF(L653=1,M653*$B$20,0)</f>
        <v>0</v>
      </c>
      <c r="O653" s="58" t="n">
        <f aca="false">IF(L653=1,M653+N653-$B$21,M653)</f>
        <v>-10.8661391719591</v>
      </c>
      <c r="P653" s="56" t="n">
        <f aca="false">IF(L653=1,IF($B$21&lt;=N653,1,0),0)</f>
        <v>0</v>
      </c>
      <c r="Q653" s="58" t="n">
        <f aca="false">Q652+N653</f>
        <v>989.13386082804</v>
      </c>
    </row>
    <row r="654" customFormat="false" ht="15" hidden="false" customHeight="false" outlineLevel="0" collapsed="false">
      <c r="K654" s="56" t="n">
        <f aca="false">K653+1</f>
        <v>647</v>
      </c>
      <c r="L654" s="57" t="n">
        <f aca="false">IF(AND(K654&lt;=Assumptions!$C$42,L653=1,P653=0,O653&gt;Assumptions!$C$43),1,0)</f>
        <v>0</v>
      </c>
      <c r="M654" s="58" t="n">
        <f aca="false">O653</f>
        <v>-10.8661391719591</v>
      </c>
      <c r="N654" s="58" t="n">
        <f aca="false">IF(L654=1,M654*$B$20,0)</f>
        <v>0</v>
      </c>
      <c r="O654" s="58" t="n">
        <f aca="false">IF(L654=1,M654+N654-$B$21,M654)</f>
        <v>-10.8661391719591</v>
      </c>
      <c r="P654" s="56" t="n">
        <f aca="false">IF(L654=1,IF($B$21&lt;=N654,1,0),0)</f>
        <v>0</v>
      </c>
      <c r="Q654" s="58" t="n">
        <f aca="false">Q653+N654</f>
        <v>989.13386082804</v>
      </c>
    </row>
    <row r="655" customFormat="false" ht="15" hidden="false" customHeight="false" outlineLevel="0" collapsed="false">
      <c r="K655" s="56" t="n">
        <f aca="false">K654+1</f>
        <v>648</v>
      </c>
      <c r="L655" s="57" t="n">
        <f aca="false">IF(AND(K655&lt;=Assumptions!$C$42,L654=1,P654=0,O654&gt;Assumptions!$C$43),1,0)</f>
        <v>0</v>
      </c>
      <c r="M655" s="58" t="n">
        <f aca="false">O654</f>
        <v>-10.8661391719591</v>
      </c>
      <c r="N655" s="58" t="n">
        <f aca="false">IF(L655=1,M655*$B$20,0)</f>
        <v>0</v>
      </c>
      <c r="O655" s="58" t="n">
        <f aca="false">IF(L655=1,M655+N655-$B$21,M655)</f>
        <v>-10.8661391719591</v>
      </c>
      <c r="P655" s="56" t="n">
        <f aca="false">IF(L655=1,IF($B$21&lt;=N655,1,0),0)</f>
        <v>0</v>
      </c>
      <c r="Q655" s="58" t="n">
        <f aca="false">Q654+N655</f>
        <v>989.13386082804</v>
      </c>
    </row>
    <row r="656" customFormat="false" ht="15" hidden="false" customHeight="false" outlineLevel="0" collapsed="false">
      <c r="K656" s="56" t="n">
        <f aca="false">K655+1</f>
        <v>649</v>
      </c>
      <c r="L656" s="57" t="n">
        <f aca="false">IF(AND(K656&lt;=Assumptions!$C$42,L655=1,P655=0,O655&gt;Assumptions!$C$43),1,0)</f>
        <v>0</v>
      </c>
      <c r="M656" s="58" t="n">
        <f aca="false">O655</f>
        <v>-10.8661391719591</v>
      </c>
      <c r="N656" s="58" t="n">
        <f aca="false">IF(L656=1,M656*$B$20,0)</f>
        <v>0</v>
      </c>
      <c r="O656" s="58" t="n">
        <f aca="false">IF(L656=1,M656+N656-$B$21,M656)</f>
        <v>-10.8661391719591</v>
      </c>
      <c r="P656" s="56" t="n">
        <f aca="false">IF(L656=1,IF($B$21&lt;=N656,1,0),0)</f>
        <v>0</v>
      </c>
      <c r="Q656" s="58" t="n">
        <f aca="false">Q655+N656</f>
        <v>989.13386082804</v>
      </c>
    </row>
    <row r="657" customFormat="false" ht="15" hidden="false" customHeight="false" outlineLevel="0" collapsed="false">
      <c r="K657" s="56" t="n">
        <f aca="false">K656+1</f>
        <v>650</v>
      </c>
      <c r="L657" s="57" t="n">
        <f aca="false">IF(AND(K657&lt;=Assumptions!$C$42,L656=1,P656=0,O656&gt;Assumptions!$C$43),1,0)</f>
        <v>0</v>
      </c>
      <c r="M657" s="58" t="n">
        <f aca="false">O656</f>
        <v>-10.8661391719591</v>
      </c>
      <c r="N657" s="58" t="n">
        <f aca="false">IF(L657=1,M657*$B$20,0)</f>
        <v>0</v>
      </c>
      <c r="O657" s="58" t="n">
        <f aca="false">IF(L657=1,M657+N657-$B$21,M657)</f>
        <v>-10.8661391719591</v>
      </c>
      <c r="P657" s="56" t="n">
        <f aca="false">IF(L657=1,IF($B$21&lt;=N657,1,0),0)</f>
        <v>0</v>
      </c>
      <c r="Q657" s="58" t="n">
        <f aca="false">Q656+N657</f>
        <v>989.13386082804</v>
      </c>
    </row>
    <row r="658" customFormat="false" ht="15" hidden="false" customHeight="false" outlineLevel="0" collapsed="false">
      <c r="K658" s="56" t="n">
        <f aca="false">K657+1</f>
        <v>651</v>
      </c>
      <c r="L658" s="57" t="n">
        <f aca="false">IF(AND(K658&lt;=Assumptions!$C$42,L657=1,P657=0,O657&gt;Assumptions!$C$43),1,0)</f>
        <v>0</v>
      </c>
      <c r="M658" s="58" t="n">
        <f aca="false">O657</f>
        <v>-10.8661391719591</v>
      </c>
      <c r="N658" s="58" t="n">
        <f aca="false">IF(L658=1,M658*$B$20,0)</f>
        <v>0</v>
      </c>
      <c r="O658" s="58" t="n">
        <f aca="false">IF(L658=1,M658+N658-$B$21,M658)</f>
        <v>-10.8661391719591</v>
      </c>
      <c r="P658" s="56" t="n">
        <f aca="false">IF(L658=1,IF($B$21&lt;=N658,1,0),0)</f>
        <v>0</v>
      </c>
      <c r="Q658" s="58" t="n">
        <f aca="false">Q657+N658</f>
        <v>989.13386082804</v>
      </c>
    </row>
    <row r="659" customFormat="false" ht="15" hidden="false" customHeight="false" outlineLevel="0" collapsed="false">
      <c r="K659" s="56" t="n">
        <f aca="false">K658+1</f>
        <v>652</v>
      </c>
      <c r="L659" s="57" t="n">
        <f aca="false">IF(AND(K659&lt;=Assumptions!$C$42,L658=1,P658=0,O658&gt;Assumptions!$C$43),1,0)</f>
        <v>0</v>
      </c>
      <c r="M659" s="58" t="n">
        <f aca="false">O658</f>
        <v>-10.8661391719591</v>
      </c>
      <c r="N659" s="58" t="n">
        <f aca="false">IF(L659=1,M659*$B$20,0)</f>
        <v>0</v>
      </c>
      <c r="O659" s="58" t="n">
        <f aca="false">IF(L659=1,M659+N659-$B$21,M659)</f>
        <v>-10.8661391719591</v>
      </c>
      <c r="P659" s="56" t="n">
        <f aca="false">IF(L659=1,IF($B$21&lt;=N659,1,0),0)</f>
        <v>0</v>
      </c>
      <c r="Q659" s="58" t="n">
        <f aca="false">Q658+N659</f>
        <v>989.13386082804</v>
      </c>
    </row>
    <row r="660" customFormat="false" ht="15" hidden="false" customHeight="false" outlineLevel="0" collapsed="false">
      <c r="K660" s="56" t="n">
        <f aca="false">K659+1</f>
        <v>653</v>
      </c>
      <c r="L660" s="57" t="n">
        <f aca="false">IF(AND(K660&lt;=Assumptions!$C$42,L659=1,P659=0,O659&gt;Assumptions!$C$43),1,0)</f>
        <v>0</v>
      </c>
      <c r="M660" s="58" t="n">
        <f aca="false">O659</f>
        <v>-10.8661391719591</v>
      </c>
      <c r="N660" s="58" t="n">
        <f aca="false">IF(L660=1,M660*$B$20,0)</f>
        <v>0</v>
      </c>
      <c r="O660" s="58" t="n">
        <f aca="false">IF(L660=1,M660+N660-$B$21,M660)</f>
        <v>-10.8661391719591</v>
      </c>
      <c r="P660" s="56" t="n">
        <f aca="false">IF(L660=1,IF($B$21&lt;=N660,1,0),0)</f>
        <v>0</v>
      </c>
      <c r="Q660" s="58" t="n">
        <f aca="false">Q659+N660</f>
        <v>989.13386082804</v>
      </c>
    </row>
    <row r="661" customFormat="false" ht="15" hidden="false" customHeight="false" outlineLevel="0" collapsed="false">
      <c r="K661" s="56" t="n">
        <f aca="false">K660+1</f>
        <v>654</v>
      </c>
      <c r="L661" s="57" t="n">
        <f aca="false">IF(AND(K661&lt;=Assumptions!$C$42,L660=1,P660=0,O660&gt;Assumptions!$C$43),1,0)</f>
        <v>0</v>
      </c>
      <c r="M661" s="58" t="n">
        <f aca="false">O660</f>
        <v>-10.8661391719591</v>
      </c>
      <c r="N661" s="58" t="n">
        <f aca="false">IF(L661=1,M661*$B$20,0)</f>
        <v>0</v>
      </c>
      <c r="O661" s="58" t="n">
        <f aca="false">IF(L661=1,M661+N661-$B$21,M661)</f>
        <v>-10.8661391719591</v>
      </c>
      <c r="P661" s="56" t="n">
        <f aca="false">IF(L661=1,IF($B$21&lt;=N661,1,0),0)</f>
        <v>0</v>
      </c>
      <c r="Q661" s="58" t="n">
        <f aca="false">Q660+N661</f>
        <v>989.13386082804</v>
      </c>
    </row>
    <row r="662" customFormat="false" ht="15" hidden="false" customHeight="false" outlineLevel="0" collapsed="false">
      <c r="K662" s="56" t="n">
        <f aca="false">K661+1</f>
        <v>655</v>
      </c>
      <c r="L662" s="57" t="n">
        <f aca="false">IF(AND(K662&lt;=Assumptions!$C$42,L661=1,P661=0,O661&gt;Assumptions!$C$43),1,0)</f>
        <v>0</v>
      </c>
      <c r="M662" s="58" t="n">
        <f aca="false">O661</f>
        <v>-10.8661391719591</v>
      </c>
      <c r="N662" s="58" t="n">
        <f aca="false">IF(L662=1,M662*$B$20,0)</f>
        <v>0</v>
      </c>
      <c r="O662" s="58" t="n">
        <f aca="false">IF(L662=1,M662+N662-$B$21,M662)</f>
        <v>-10.8661391719591</v>
      </c>
      <c r="P662" s="56" t="n">
        <f aca="false">IF(L662=1,IF($B$21&lt;=N662,1,0),0)</f>
        <v>0</v>
      </c>
      <c r="Q662" s="58" t="n">
        <f aca="false">Q661+N662</f>
        <v>989.13386082804</v>
      </c>
    </row>
    <row r="663" customFormat="false" ht="15" hidden="false" customHeight="false" outlineLevel="0" collapsed="false">
      <c r="K663" s="56" t="n">
        <f aca="false">K662+1</f>
        <v>656</v>
      </c>
      <c r="L663" s="57" t="n">
        <f aca="false">IF(AND(K663&lt;=Assumptions!$C$42,L662=1,P662=0,O662&gt;Assumptions!$C$43),1,0)</f>
        <v>0</v>
      </c>
      <c r="M663" s="58" t="n">
        <f aca="false">O662</f>
        <v>-10.8661391719591</v>
      </c>
      <c r="N663" s="58" t="n">
        <f aca="false">IF(L663=1,M663*$B$20,0)</f>
        <v>0</v>
      </c>
      <c r="O663" s="58" t="n">
        <f aca="false">IF(L663=1,M663+N663-$B$21,M663)</f>
        <v>-10.8661391719591</v>
      </c>
      <c r="P663" s="56" t="n">
        <f aca="false">IF(L663=1,IF($B$21&lt;=N663,1,0),0)</f>
        <v>0</v>
      </c>
      <c r="Q663" s="58" t="n">
        <f aca="false">Q662+N663</f>
        <v>989.13386082804</v>
      </c>
    </row>
    <row r="664" customFormat="false" ht="15" hidden="false" customHeight="false" outlineLevel="0" collapsed="false">
      <c r="K664" s="56" t="n">
        <f aca="false">K663+1</f>
        <v>657</v>
      </c>
      <c r="L664" s="57" t="n">
        <f aca="false">IF(AND(K664&lt;=Assumptions!$C$42,L663=1,P663=0,O663&gt;Assumptions!$C$43),1,0)</f>
        <v>0</v>
      </c>
      <c r="M664" s="58" t="n">
        <f aca="false">O663</f>
        <v>-10.8661391719591</v>
      </c>
      <c r="N664" s="58" t="n">
        <f aca="false">IF(L664=1,M664*$B$20,0)</f>
        <v>0</v>
      </c>
      <c r="O664" s="58" t="n">
        <f aca="false">IF(L664=1,M664+N664-$B$21,M664)</f>
        <v>-10.8661391719591</v>
      </c>
      <c r="P664" s="56" t="n">
        <f aca="false">IF(L664=1,IF($B$21&lt;=N664,1,0),0)</f>
        <v>0</v>
      </c>
      <c r="Q664" s="58" t="n">
        <f aca="false">Q663+N664</f>
        <v>989.13386082804</v>
      </c>
    </row>
    <row r="665" customFormat="false" ht="15" hidden="false" customHeight="false" outlineLevel="0" collapsed="false">
      <c r="K665" s="56" t="n">
        <f aca="false">K664+1</f>
        <v>658</v>
      </c>
      <c r="L665" s="57" t="n">
        <f aca="false">IF(AND(K665&lt;=Assumptions!$C$42,L664=1,P664=0,O664&gt;Assumptions!$C$43),1,0)</f>
        <v>0</v>
      </c>
      <c r="M665" s="58" t="n">
        <f aca="false">O664</f>
        <v>-10.8661391719591</v>
      </c>
      <c r="N665" s="58" t="n">
        <f aca="false">IF(L665=1,M665*$B$20,0)</f>
        <v>0</v>
      </c>
      <c r="O665" s="58" t="n">
        <f aca="false">IF(L665=1,M665+N665-$B$21,M665)</f>
        <v>-10.8661391719591</v>
      </c>
      <c r="P665" s="56" t="n">
        <f aca="false">IF(L665=1,IF($B$21&lt;=N665,1,0),0)</f>
        <v>0</v>
      </c>
      <c r="Q665" s="58" t="n">
        <f aca="false">Q664+N665</f>
        <v>989.13386082804</v>
      </c>
    </row>
    <row r="666" customFormat="false" ht="15" hidden="false" customHeight="false" outlineLevel="0" collapsed="false">
      <c r="K666" s="56" t="n">
        <f aca="false">K665+1</f>
        <v>659</v>
      </c>
      <c r="L666" s="57" t="n">
        <f aca="false">IF(AND(K666&lt;=Assumptions!$C$42,L665=1,P665=0,O665&gt;Assumptions!$C$43),1,0)</f>
        <v>0</v>
      </c>
      <c r="M666" s="58" t="n">
        <f aca="false">O665</f>
        <v>-10.8661391719591</v>
      </c>
      <c r="N666" s="58" t="n">
        <f aca="false">IF(L666=1,M666*$B$20,0)</f>
        <v>0</v>
      </c>
      <c r="O666" s="58" t="n">
        <f aca="false">IF(L666=1,M666+N666-$B$21,M666)</f>
        <v>-10.8661391719591</v>
      </c>
      <c r="P666" s="56" t="n">
        <f aca="false">IF(L666=1,IF($B$21&lt;=N666,1,0),0)</f>
        <v>0</v>
      </c>
      <c r="Q666" s="58" t="n">
        <f aca="false">Q665+N666</f>
        <v>989.13386082804</v>
      </c>
    </row>
    <row r="667" customFormat="false" ht="15" hidden="false" customHeight="false" outlineLevel="0" collapsed="false">
      <c r="K667" s="56" t="n">
        <f aca="false">K666+1</f>
        <v>660</v>
      </c>
      <c r="L667" s="57" t="n">
        <f aca="false">IF(AND(K667&lt;=Assumptions!$C$42,L666=1,P666=0,O666&gt;Assumptions!$C$43),1,0)</f>
        <v>0</v>
      </c>
      <c r="M667" s="58" t="n">
        <f aca="false">O666</f>
        <v>-10.8661391719591</v>
      </c>
      <c r="N667" s="58" t="n">
        <f aca="false">IF(L667=1,M667*$B$20,0)</f>
        <v>0</v>
      </c>
      <c r="O667" s="58" t="n">
        <f aca="false">IF(L667=1,M667+N667-$B$21,M667)</f>
        <v>-10.8661391719591</v>
      </c>
      <c r="P667" s="56" t="n">
        <f aca="false">IF(L667=1,IF($B$21&lt;=N667,1,0),0)</f>
        <v>0</v>
      </c>
      <c r="Q667" s="58" t="n">
        <f aca="false">Q666+N667</f>
        <v>989.13386082804</v>
      </c>
    </row>
    <row r="668" customFormat="false" ht="15" hidden="false" customHeight="false" outlineLevel="0" collapsed="false">
      <c r="K668" s="56" t="n">
        <f aca="false">K667+1</f>
        <v>661</v>
      </c>
      <c r="L668" s="57" t="n">
        <f aca="false">IF(AND(K668&lt;=Assumptions!$C$42,L667=1,P667=0,O667&gt;Assumptions!$C$43),1,0)</f>
        <v>0</v>
      </c>
      <c r="M668" s="58" t="n">
        <f aca="false">O667</f>
        <v>-10.8661391719591</v>
      </c>
      <c r="N668" s="58" t="n">
        <f aca="false">IF(L668=1,M668*$B$20,0)</f>
        <v>0</v>
      </c>
      <c r="O668" s="58" t="n">
        <f aca="false">IF(L668=1,M668+N668-$B$21,M668)</f>
        <v>-10.8661391719591</v>
      </c>
      <c r="P668" s="56" t="n">
        <f aca="false">IF(L668=1,IF($B$21&lt;=N668,1,0),0)</f>
        <v>0</v>
      </c>
      <c r="Q668" s="58" t="n">
        <f aca="false">Q667+N668</f>
        <v>989.13386082804</v>
      </c>
    </row>
    <row r="669" customFormat="false" ht="15" hidden="false" customHeight="false" outlineLevel="0" collapsed="false">
      <c r="K669" s="56" t="n">
        <f aca="false">K668+1</f>
        <v>662</v>
      </c>
      <c r="L669" s="57" t="n">
        <f aca="false">IF(AND(K669&lt;=Assumptions!$C$42,L668=1,P668=0,O668&gt;Assumptions!$C$43),1,0)</f>
        <v>0</v>
      </c>
      <c r="M669" s="58" t="n">
        <f aca="false">O668</f>
        <v>-10.8661391719591</v>
      </c>
      <c r="N669" s="58" t="n">
        <f aca="false">IF(L669=1,M669*$B$20,0)</f>
        <v>0</v>
      </c>
      <c r="O669" s="58" t="n">
        <f aca="false">IF(L669=1,M669+N669-$B$21,M669)</f>
        <v>-10.8661391719591</v>
      </c>
      <c r="P669" s="56" t="n">
        <f aca="false">IF(L669=1,IF($B$21&lt;=N669,1,0),0)</f>
        <v>0</v>
      </c>
      <c r="Q669" s="58" t="n">
        <f aca="false">Q668+N669</f>
        <v>989.13386082804</v>
      </c>
    </row>
    <row r="670" customFormat="false" ht="15" hidden="false" customHeight="false" outlineLevel="0" collapsed="false">
      <c r="K670" s="56" t="n">
        <f aca="false">K669+1</f>
        <v>663</v>
      </c>
      <c r="L670" s="57" t="n">
        <f aca="false">IF(AND(K670&lt;=Assumptions!$C$42,L669=1,P669=0,O669&gt;Assumptions!$C$43),1,0)</f>
        <v>0</v>
      </c>
      <c r="M670" s="58" t="n">
        <f aca="false">O669</f>
        <v>-10.8661391719591</v>
      </c>
      <c r="N670" s="58" t="n">
        <f aca="false">IF(L670=1,M670*$B$20,0)</f>
        <v>0</v>
      </c>
      <c r="O670" s="58" t="n">
        <f aca="false">IF(L670=1,M670+N670-$B$21,M670)</f>
        <v>-10.8661391719591</v>
      </c>
      <c r="P670" s="56" t="n">
        <f aca="false">IF(L670=1,IF($B$21&lt;=N670,1,0),0)</f>
        <v>0</v>
      </c>
      <c r="Q670" s="58" t="n">
        <f aca="false">Q669+N670</f>
        <v>989.13386082804</v>
      </c>
    </row>
    <row r="671" customFormat="false" ht="15" hidden="false" customHeight="false" outlineLevel="0" collapsed="false">
      <c r="K671" s="56" t="n">
        <f aca="false">K670+1</f>
        <v>664</v>
      </c>
      <c r="L671" s="57" t="n">
        <f aca="false">IF(AND(K671&lt;=Assumptions!$C$42,L670=1,P670=0,O670&gt;Assumptions!$C$43),1,0)</f>
        <v>0</v>
      </c>
      <c r="M671" s="58" t="n">
        <f aca="false">O670</f>
        <v>-10.8661391719591</v>
      </c>
      <c r="N671" s="58" t="n">
        <f aca="false">IF(L671=1,M671*$B$20,0)</f>
        <v>0</v>
      </c>
      <c r="O671" s="58" t="n">
        <f aca="false">IF(L671=1,M671+N671-$B$21,M671)</f>
        <v>-10.8661391719591</v>
      </c>
      <c r="P671" s="56" t="n">
        <f aca="false">IF(L671=1,IF($B$21&lt;=N671,1,0),0)</f>
        <v>0</v>
      </c>
      <c r="Q671" s="58" t="n">
        <f aca="false">Q670+N671</f>
        <v>989.13386082804</v>
      </c>
    </row>
    <row r="672" customFormat="false" ht="15" hidden="false" customHeight="false" outlineLevel="0" collapsed="false">
      <c r="K672" s="56" t="n">
        <f aca="false">K671+1</f>
        <v>665</v>
      </c>
      <c r="L672" s="57" t="n">
        <f aca="false">IF(AND(K672&lt;=Assumptions!$C$42,L671=1,P671=0,O671&gt;Assumptions!$C$43),1,0)</f>
        <v>0</v>
      </c>
      <c r="M672" s="58" t="n">
        <f aca="false">O671</f>
        <v>-10.8661391719591</v>
      </c>
      <c r="N672" s="58" t="n">
        <f aca="false">IF(L672=1,M672*$B$20,0)</f>
        <v>0</v>
      </c>
      <c r="O672" s="58" t="n">
        <f aca="false">IF(L672=1,M672+N672-$B$21,M672)</f>
        <v>-10.8661391719591</v>
      </c>
      <c r="P672" s="56" t="n">
        <f aca="false">IF(L672=1,IF($B$21&lt;=N672,1,0),0)</f>
        <v>0</v>
      </c>
      <c r="Q672" s="58" t="n">
        <f aca="false">Q671+N672</f>
        <v>989.13386082804</v>
      </c>
    </row>
    <row r="673" customFormat="false" ht="15" hidden="false" customHeight="false" outlineLevel="0" collapsed="false">
      <c r="K673" s="56" t="n">
        <f aca="false">K672+1</f>
        <v>666</v>
      </c>
      <c r="L673" s="57" t="n">
        <f aca="false">IF(AND(K673&lt;=Assumptions!$C$42,L672=1,P672=0,O672&gt;Assumptions!$C$43),1,0)</f>
        <v>0</v>
      </c>
      <c r="M673" s="58" t="n">
        <f aca="false">O672</f>
        <v>-10.8661391719591</v>
      </c>
      <c r="N673" s="58" t="n">
        <f aca="false">IF(L673=1,M673*$B$20,0)</f>
        <v>0</v>
      </c>
      <c r="O673" s="58" t="n">
        <f aca="false">IF(L673=1,M673+N673-$B$21,M673)</f>
        <v>-10.8661391719591</v>
      </c>
      <c r="P673" s="56" t="n">
        <f aca="false">IF(L673=1,IF($B$21&lt;=N673,1,0),0)</f>
        <v>0</v>
      </c>
      <c r="Q673" s="58" t="n">
        <f aca="false">Q672+N673</f>
        <v>989.13386082804</v>
      </c>
    </row>
    <row r="674" customFormat="false" ht="15" hidden="false" customHeight="false" outlineLevel="0" collapsed="false">
      <c r="K674" s="56" t="n">
        <f aca="false">K673+1</f>
        <v>667</v>
      </c>
      <c r="L674" s="57" t="n">
        <f aca="false">IF(AND(K674&lt;=Assumptions!$C$42,L673=1,P673=0,O673&gt;Assumptions!$C$43),1,0)</f>
        <v>0</v>
      </c>
      <c r="M674" s="58" t="n">
        <f aca="false">O673</f>
        <v>-10.8661391719591</v>
      </c>
      <c r="N674" s="58" t="n">
        <f aca="false">IF(L674=1,M674*$B$20,0)</f>
        <v>0</v>
      </c>
      <c r="O674" s="58" t="n">
        <f aca="false">IF(L674=1,M674+N674-$B$21,M674)</f>
        <v>-10.8661391719591</v>
      </c>
      <c r="P674" s="56" t="n">
        <f aca="false">IF(L674=1,IF($B$21&lt;=N674,1,0),0)</f>
        <v>0</v>
      </c>
      <c r="Q674" s="58" t="n">
        <f aca="false">Q673+N674</f>
        <v>989.13386082804</v>
      </c>
    </row>
    <row r="675" customFormat="false" ht="15" hidden="false" customHeight="false" outlineLevel="0" collapsed="false">
      <c r="K675" s="56" t="n">
        <f aca="false">K674+1</f>
        <v>668</v>
      </c>
      <c r="L675" s="57" t="n">
        <f aca="false">IF(AND(K675&lt;=Assumptions!$C$42,L674=1,P674=0,O674&gt;Assumptions!$C$43),1,0)</f>
        <v>0</v>
      </c>
      <c r="M675" s="58" t="n">
        <f aca="false">O674</f>
        <v>-10.8661391719591</v>
      </c>
      <c r="N675" s="58" t="n">
        <f aca="false">IF(L675=1,M675*$B$20,0)</f>
        <v>0</v>
      </c>
      <c r="O675" s="58" t="n">
        <f aca="false">IF(L675=1,M675+N675-$B$21,M675)</f>
        <v>-10.8661391719591</v>
      </c>
      <c r="P675" s="56" t="n">
        <f aca="false">IF(L675=1,IF($B$21&lt;=N675,1,0),0)</f>
        <v>0</v>
      </c>
      <c r="Q675" s="58" t="n">
        <f aca="false">Q674+N675</f>
        <v>989.13386082804</v>
      </c>
    </row>
    <row r="676" customFormat="false" ht="15" hidden="false" customHeight="false" outlineLevel="0" collapsed="false">
      <c r="K676" s="56" t="n">
        <f aca="false">K675+1</f>
        <v>669</v>
      </c>
      <c r="L676" s="57" t="n">
        <f aca="false">IF(AND(K676&lt;=Assumptions!$C$42,L675=1,P675=0,O675&gt;Assumptions!$C$43),1,0)</f>
        <v>0</v>
      </c>
      <c r="M676" s="58" t="n">
        <f aca="false">O675</f>
        <v>-10.8661391719591</v>
      </c>
      <c r="N676" s="58" t="n">
        <f aca="false">IF(L676=1,M676*$B$20,0)</f>
        <v>0</v>
      </c>
      <c r="O676" s="58" t="n">
        <f aca="false">IF(L676=1,M676+N676-$B$21,M676)</f>
        <v>-10.8661391719591</v>
      </c>
      <c r="P676" s="56" t="n">
        <f aca="false">IF(L676=1,IF($B$21&lt;=N676,1,0),0)</f>
        <v>0</v>
      </c>
      <c r="Q676" s="58" t="n">
        <f aca="false">Q675+N676</f>
        <v>989.13386082804</v>
      </c>
    </row>
    <row r="677" customFormat="false" ht="15" hidden="false" customHeight="false" outlineLevel="0" collapsed="false">
      <c r="K677" s="56" t="n">
        <f aca="false">K676+1</f>
        <v>670</v>
      </c>
      <c r="L677" s="57" t="n">
        <f aca="false">IF(AND(K677&lt;=Assumptions!$C$42,L676=1,P676=0,O676&gt;Assumptions!$C$43),1,0)</f>
        <v>0</v>
      </c>
      <c r="M677" s="58" t="n">
        <f aca="false">O676</f>
        <v>-10.8661391719591</v>
      </c>
      <c r="N677" s="58" t="n">
        <f aca="false">IF(L677=1,M677*$B$20,0)</f>
        <v>0</v>
      </c>
      <c r="O677" s="58" t="n">
        <f aca="false">IF(L677=1,M677+N677-$B$21,M677)</f>
        <v>-10.8661391719591</v>
      </c>
      <c r="P677" s="56" t="n">
        <f aca="false">IF(L677=1,IF($B$21&lt;=N677,1,0),0)</f>
        <v>0</v>
      </c>
      <c r="Q677" s="58" t="n">
        <f aca="false">Q676+N677</f>
        <v>989.13386082804</v>
      </c>
    </row>
    <row r="678" customFormat="false" ht="15" hidden="false" customHeight="false" outlineLevel="0" collapsed="false">
      <c r="K678" s="56" t="n">
        <f aca="false">K677+1</f>
        <v>671</v>
      </c>
      <c r="L678" s="57" t="n">
        <f aca="false">IF(AND(K678&lt;=Assumptions!$C$42,L677=1,P677=0,O677&gt;Assumptions!$C$43),1,0)</f>
        <v>0</v>
      </c>
      <c r="M678" s="58" t="n">
        <f aca="false">O677</f>
        <v>-10.8661391719591</v>
      </c>
      <c r="N678" s="58" t="n">
        <f aca="false">IF(L678=1,M678*$B$20,0)</f>
        <v>0</v>
      </c>
      <c r="O678" s="58" t="n">
        <f aca="false">IF(L678=1,M678+N678-$B$21,M678)</f>
        <v>-10.8661391719591</v>
      </c>
      <c r="P678" s="56" t="n">
        <f aca="false">IF(L678=1,IF($B$21&lt;=N678,1,0),0)</f>
        <v>0</v>
      </c>
      <c r="Q678" s="58" t="n">
        <f aca="false">Q677+N678</f>
        <v>989.13386082804</v>
      </c>
    </row>
    <row r="679" customFormat="false" ht="15" hidden="false" customHeight="false" outlineLevel="0" collapsed="false">
      <c r="K679" s="56" t="n">
        <f aca="false">K678+1</f>
        <v>672</v>
      </c>
      <c r="L679" s="57" t="n">
        <f aca="false">IF(AND(K679&lt;=Assumptions!$C$42,L678=1,P678=0,O678&gt;Assumptions!$C$43),1,0)</f>
        <v>0</v>
      </c>
      <c r="M679" s="58" t="n">
        <f aca="false">O678</f>
        <v>-10.8661391719591</v>
      </c>
      <c r="N679" s="58" t="n">
        <f aca="false">IF(L679=1,M679*$B$20,0)</f>
        <v>0</v>
      </c>
      <c r="O679" s="58" t="n">
        <f aca="false">IF(L679=1,M679+N679-$B$21,M679)</f>
        <v>-10.8661391719591</v>
      </c>
      <c r="P679" s="56" t="n">
        <f aca="false">IF(L679=1,IF($B$21&lt;=N679,1,0),0)</f>
        <v>0</v>
      </c>
      <c r="Q679" s="58" t="n">
        <f aca="false">Q678+N679</f>
        <v>989.13386082804</v>
      </c>
    </row>
    <row r="680" customFormat="false" ht="15" hidden="false" customHeight="false" outlineLevel="0" collapsed="false">
      <c r="K680" s="56" t="n">
        <f aca="false">K679+1</f>
        <v>673</v>
      </c>
      <c r="L680" s="57" t="n">
        <f aca="false">IF(AND(K680&lt;=Assumptions!$C$42,L679=1,P679=0,O679&gt;Assumptions!$C$43),1,0)</f>
        <v>0</v>
      </c>
      <c r="M680" s="58" t="n">
        <f aca="false">O679</f>
        <v>-10.8661391719591</v>
      </c>
      <c r="N680" s="58" t="n">
        <f aca="false">IF(L680=1,M680*$B$20,0)</f>
        <v>0</v>
      </c>
      <c r="O680" s="58" t="n">
        <f aca="false">IF(L680=1,M680+N680-$B$21,M680)</f>
        <v>-10.8661391719591</v>
      </c>
      <c r="P680" s="56" t="n">
        <f aca="false">IF(L680=1,IF($B$21&lt;=N680,1,0),0)</f>
        <v>0</v>
      </c>
      <c r="Q680" s="58" t="n">
        <f aca="false">Q679+N680</f>
        <v>989.13386082804</v>
      </c>
    </row>
    <row r="681" customFormat="false" ht="15" hidden="false" customHeight="false" outlineLevel="0" collapsed="false">
      <c r="K681" s="56" t="n">
        <f aca="false">K680+1</f>
        <v>674</v>
      </c>
      <c r="L681" s="57" t="n">
        <f aca="false">IF(AND(K681&lt;=Assumptions!$C$42,L680=1,P680=0,O680&gt;Assumptions!$C$43),1,0)</f>
        <v>0</v>
      </c>
      <c r="M681" s="58" t="n">
        <f aca="false">O680</f>
        <v>-10.8661391719591</v>
      </c>
      <c r="N681" s="58" t="n">
        <f aca="false">IF(L681=1,M681*$B$20,0)</f>
        <v>0</v>
      </c>
      <c r="O681" s="58" t="n">
        <f aca="false">IF(L681=1,M681+N681-$B$21,M681)</f>
        <v>-10.8661391719591</v>
      </c>
      <c r="P681" s="56" t="n">
        <f aca="false">IF(L681=1,IF($B$21&lt;=N681,1,0),0)</f>
        <v>0</v>
      </c>
      <c r="Q681" s="58" t="n">
        <f aca="false">Q680+N681</f>
        <v>989.13386082804</v>
      </c>
    </row>
    <row r="682" customFormat="false" ht="15" hidden="false" customHeight="false" outlineLevel="0" collapsed="false">
      <c r="K682" s="56" t="n">
        <f aca="false">K681+1</f>
        <v>675</v>
      </c>
      <c r="L682" s="57" t="n">
        <f aca="false">IF(AND(K682&lt;=Assumptions!$C$42,L681=1,P681=0,O681&gt;Assumptions!$C$43),1,0)</f>
        <v>0</v>
      </c>
      <c r="M682" s="58" t="n">
        <f aca="false">O681</f>
        <v>-10.8661391719591</v>
      </c>
      <c r="N682" s="58" t="n">
        <f aca="false">IF(L682=1,M682*$B$20,0)</f>
        <v>0</v>
      </c>
      <c r="O682" s="58" t="n">
        <f aca="false">IF(L682=1,M682+N682-$B$21,M682)</f>
        <v>-10.8661391719591</v>
      </c>
      <c r="P682" s="56" t="n">
        <f aca="false">IF(L682=1,IF($B$21&lt;=N682,1,0),0)</f>
        <v>0</v>
      </c>
      <c r="Q682" s="58" t="n">
        <f aca="false">Q681+N682</f>
        <v>989.13386082804</v>
      </c>
    </row>
    <row r="683" customFormat="false" ht="15" hidden="false" customHeight="false" outlineLevel="0" collapsed="false">
      <c r="K683" s="56" t="n">
        <f aca="false">K682+1</f>
        <v>676</v>
      </c>
      <c r="L683" s="57" t="n">
        <f aca="false">IF(AND(K683&lt;=Assumptions!$C$42,L682=1,P682=0,O682&gt;Assumptions!$C$43),1,0)</f>
        <v>0</v>
      </c>
      <c r="M683" s="58" t="n">
        <f aca="false">O682</f>
        <v>-10.8661391719591</v>
      </c>
      <c r="N683" s="58" t="n">
        <f aca="false">IF(L683=1,M683*$B$20,0)</f>
        <v>0</v>
      </c>
      <c r="O683" s="58" t="n">
        <f aca="false">IF(L683=1,M683+N683-$B$21,M683)</f>
        <v>-10.8661391719591</v>
      </c>
      <c r="P683" s="56" t="n">
        <f aca="false">IF(L683=1,IF($B$21&lt;=N683,1,0),0)</f>
        <v>0</v>
      </c>
      <c r="Q683" s="58" t="n">
        <f aca="false">Q682+N683</f>
        <v>989.13386082804</v>
      </c>
    </row>
    <row r="684" customFormat="false" ht="15" hidden="false" customHeight="false" outlineLevel="0" collapsed="false">
      <c r="K684" s="56" t="n">
        <f aca="false">K683+1</f>
        <v>677</v>
      </c>
      <c r="L684" s="57" t="n">
        <f aca="false">IF(AND(K684&lt;=Assumptions!$C$42,L683=1,P683=0,O683&gt;Assumptions!$C$43),1,0)</f>
        <v>0</v>
      </c>
      <c r="M684" s="58" t="n">
        <f aca="false">O683</f>
        <v>-10.8661391719591</v>
      </c>
      <c r="N684" s="58" t="n">
        <f aca="false">IF(L684=1,M684*$B$20,0)</f>
        <v>0</v>
      </c>
      <c r="O684" s="58" t="n">
        <f aca="false">IF(L684=1,M684+N684-$B$21,M684)</f>
        <v>-10.8661391719591</v>
      </c>
      <c r="P684" s="56" t="n">
        <f aca="false">IF(L684=1,IF($B$21&lt;=N684,1,0),0)</f>
        <v>0</v>
      </c>
      <c r="Q684" s="58" t="n">
        <f aca="false">Q683+N684</f>
        <v>989.13386082804</v>
      </c>
    </row>
    <row r="685" customFormat="false" ht="15" hidden="false" customHeight="false" outlineLevel="0" collapsed="false">
      <c r="K685" s="56" t="n">
        <f aca="false">K684+1</f>
        <v>678</v>
      </c>
      <c r="L685" s="57" t="n">
        <f aca="false">IF(AND(K685&lt;=Assumptions!$C$42,L684=1,P684=0,O684&gt;Assumptions!$C$43),1,0)</f>
        <v>0</v>
      </c>
      <c r="M685" s="58" t="n">
        <f aca="false">O684</f>
        <v>-10.8661391719591</v>
      </c>
      <c r="N685" s="58" t="n">
        <f aca="false">IF(L685=1,M685*$B$20,0)</f>
        <v>0</v>
      </c>
      <c r="O685" s="58" t="n">
        <f aca="false">IF(L685=1,M685+N685-$B$21,M685)</f>
        <v>-10.8661391719591</v>
      </c>
      <c r="P685" s="56" t="n">
        <f aca="false">IF(L685=1,IF($B$21&lt;=N685,1,0),0)</f>
        <v>0</v>
      </c>
      <c r="Q685" s="58" t="n">
        <f aca="false">Q684+N685</f>
        <v>989.13386082804</v>
      </c>
    </row>
    <row r="686" customFormat="false" ht="15" hidden="false" customHeight="false" outlineLevel="0" collapsed="false">
      <c r="K686" s="56" t="n">
        <f aca="false">K685+1</f>
        <v>679</v>
      </c>
      <c r="L686" s="57" t="n">
        <f aca="false">IF(AND(K686&lt;=Assumptions!$C$42,L685=1,P685=0,O685&gt;Assumptions!$C$43),1,0)</f>
        <v>0</v>
      </c>
      <c r="M686" s="58" t="n">
        <f aca="false">O685</f>
        <v>-10.8661391719591</v>
      </c>
      <c r="N686" s="58" t="n">
        <f aca="false">IF(L686=1,M686*$B$20,0)</f>
        <v>0</v>
      </c>
      <c r="O686" s="58" t="n">
        <f aca="false">IF(L686=1,M686+N686-$B$21,M686)</f>
        <v>-10.8661391719591</v>
      </c>
      <c r="P686" s="56" t="n">
        <f aca="false">IF(L686=1,IF($B$21&lt;=N686,1,0),0)</f>
        <v>0</v>
      </c>
      <c r="Q686" s="58" t="n">
        <f aca="false">Q685+N686</f>
        <v>989.13386082804</v>
      </c>
    </row>
    <row r="687" customFormat="false" ht="15" hidden="false" customHeight="false" outlineLevel="0" collapsed="false">
      <c r="K687" s="56" t="n">
        <f aca="false">K686+1</f>
        <v>680</v>
      </c>
      <c r="L687" s="57" t="n">
        <f aca="false">IF(AND(K687&lt;=Assumptions!$C$42,L686=1,P686=0,O686&gt;Assumptions!$C$43),1,0)</f>
        <v>0</v>
      </c>
      <c r="M687" s="58" t="n">
        <f aca="false">O686</f>
        <v>-10.8661391719591</v>
      </c>
      <c r="N687" s="58" t="n">
        <f aca="false">IF(L687=1,M687*$B$20,0)</f>
        <v>0</v>
      </c>
      <c r="O687" s="58" t="n">
        <f aca="false">IF(L687=1,M687+N687-$B$21,M687)</f>
        <v>-10.8661391719591</v>
      </c>
      <c r="P687" s="56" t="n">
        <f aca="false">IF(L687=1,IF($B$21&lt;=N687,1,0),0)</f>
        <v>0</v>
      </c>
      <c r="Q687" s="58" t="n">
        <f aca="false">Q686+N687</f>
        <v>989.13386082804</v>
      </c>
    </row>
    <row r="688" customFormat="false" ht="15" hidden="false" customHeight="false" outlineLevel="0" collapsed="false">
      <c r="K688" s="56" t="n">
        <f aca="false">K687+1</f>
        <v>681</v>
      </c>
      <c r="L688" s="57" t="n">
        <f aca="false">IF(AND(K688&lt;=Assumptions!$C$42,L687=1,P687=0,O687&gt;Assumptions!$C$43),1,0)</f>
        <v>0</v>
      </c>
      <c r="M688" s="58" t="n">
        <f aca="false">O687</f>
        <v>-10.8661391719591</v>
      </c>
      <c r="N688" s="58" t="n">
        <f aca="false">IF(L688=1,M688*$B$20,0)</f>
        <v>0</v>
      </c>
      <c r="O688" s="58" t="n">
        <f aca="false">IF(L688=1,M688+N688-$B$21,M688)</f>
        <v>-10.8661391719591</v>
      </c>
      <c r="P688" s="56" t="n">
        <f aca="false">IF(L688=1,IF($B$21&lt;=N688,1,0),0)</f>
        <v>0</v>
      </c>
      <c r="Q688" s="58" t="n">
        <f aca="false">Q687+N688</f>
        <v>989.13386082804</v>
      </c>
    </row>
    <row r="689" customFormat="false" ht="15" hidden="false" customHeight="false" outlineLevel="0" collapsed="false">
      <c r="K689" s="56" t="n">
        <f aca="false">K688+1</f>
        <v>682</v>
      </c>
      <c r="L689" s="57" t="n">
        <f aca="false">IF(AND(K689&lt;=Assumptions!$C$42,L688=1,P688=0,O688&gt;Assumptions!$C$43),1,0)</f>
        <v>0</v>
      </c>
      <c r="M689" s="58" t="n">
        <f aca="false">O688</f>
        <v>-10.8661391719591</v>
      </c>
      <c r="N689" s="58" t="n">
        <f aca="false">IF(L689=1,M689*$B$20,0)</f>
        <v>0</v>
      </c>
      <c r="O689" s="58" t="n">
        <f aca="false">IF(L689=1,M689+N689-$B$21,M689)</f>
        <v>-10.8661391719591</v>
      </c>
      <c r="P689" s="56" t="n">
        <f aca="false">IF(L689=1,IF($B$21&lt;=N689,1,0),0)</f>
        <v>0</v>
      </c>
      <c r="Q689" s="58" t="n">
        <f aca="false">Q688+N689</f>
        <v>989.13386082804</v>
      </c>
    </row>
    <row r="690" customFormat="false" ht="15" hidden="false" customHeight="false" outlineLevel="0" collapsed="false">
      <c r="K690" s="56" t="n">
        <f aca="false">K689+1</f>
        <v>683</v>
      </c>
      <c r="L690" s="57" t="n">
        <f aca="false">IF(AND(K690&lt;=Assumptions!$C$42,L689=1,P689=0,O689&gt;Assumptions!$C$43),1,0)</f>
        <v>0</v>
      </c>
      <c r="M690" s="58" t="n">
        <f aca="false">O689</f>
        <v>-10.8661391719591</v>
      </c>
      <c r="N690" s="58" t="n">
        <f aca="false">IF(L690=1,M690*$B$20,0)</f>
        <v>0</v>
      </c>
      <c r="O690" s="58" t="n">
        <f aca="false">IF(L690=1,M690+N690-$B$21,M690)</f>
        <v>-10.8661391719591</v>
      </c>
      <c r="P690" s="56" t="n">
        <f aca="false">IF(L690=1,IF($B$21&lt;=N690,1,0),0)</f>
        <v>0</v>
      </c>
      <c r="Q690" s="58" t="n">
        <f aca="false">Q689+N690</f>
        <v>989.13386082804</v>
      </c>
    </row>
    <row r="691" customFormat="false" ht="15" hidden="false" customHeight="false" outlineLevel="0" collapsed="false">
      <c r="K691" s="56" t="n">
        <f aca="false">K690+1</f>
        <v>684</v>
      </c>
      <c r="L691" s="57" t="n">
        <f aca="false">IF(AND(K691&lt;=Assumptions!$C$42,L690=1,P690=0,O690&gt;Assumptions!$C$43),1,0)</f>
        <v>0</v>
      </c>
      <c r="M691" s="58" t="n">
        <f aca="false">O690</f>
        <v>-10.8661391719591</v>
      </c>
      <c r="N691" s="58" t="n">
        <f aca="false">IF(L691=1,M691*$B$20,0)</f>
        <v>0</v>
      </c>
      <c r="O691" s="58" t="n">
        <f aca="false">IF(L691=1,M691+N691-$B$21,M691)</f>
        <v>-10.8661391719591</v>
      </c>
      <c r="P691" s="56" t="n">
        <f aca="false">IF(L691=1,IF($B$21&lt;=N691,1,0),0)</f>
        <v>0</v>
      </c>
      <c r="Q691" s="58" t="n">
        <f aca="false">Q690+N691</f>
        <v>989.13386082804</v>
      </c>
    </row>
    <row r="692" customFormat="false" ht="15" hidden="false" customHeight="false" outlineLevel="0" collapsed="false">
      <c r="K692" s="56" t="n">
        <f aca="false">K691+1</f>
        <v>685</v>
      </c>
      <c r="L692" s="57" t="n">
        <f aca="false">IF(AND(K692&lt;=Assumptions!$C$42,L691=1,P691=0,O691&gt;Assumptions!$C$43),1,0)</f>
        <v>0</v>
      </c>
      <c r="M692" s="58" t="n">
        <f aca="false">O691</f>
        <v>-10.8661391719591</v>
      </c>
      <c r="N692" s="58" t="n">
        <f aca="false">IF(L692=1,M692*$B$20,0)</f>
        <v>0</v>
      </c>
      <c r="O692" s="58" t="n">
        <f aca="false">IF(L692=1,M692+N692-$B$21,M692)</f>
        <v>-10.8661391719591</v>
      </c>
      <c r="P692" s="56" t="n">
        <f aca="false">IF(L692=1,IF($B$21&lt;=N692,1,0),0)</f>
        <v>0</v>
      </c>
      <c r="Q692" s="58" t="n">
        <f aca="false">Q691+N692</f>
        <v>989.13386082804</v>
      </c>
    </row>
    <row r="693" customFormat="false" ht="15" hidden="false" customHeight="false" outlineLevel="0" collapsed="false">
      <c r="K693" s="56" t="n">
        <f aca="false">K692+1</f>
        <v>686</v>
      </c>
      <c r="L693" s="57" t="n">
        <f aca="false">IF(AND(K693&lt;=Assumptions!$C$42,L692=1,P692=0,O692&gt;Assumptions!$C$43),1,0)</f>
        <v>0</v>
      </c>
      <c r="M693" s="58" t="n">
        <f aca="false">O692</f>
        <v>-10.8661391719591</v>
      </c>
      <c r="N693" s="58" t="n">
        <f aca="false">IF(L693=1,M693*$B$20,0)</f>
        <v>0</v>
      </c>
      <c r="O693" s="58" t="n">
        <f aca="false">IF(L693=1,M693+N693-$B$21,M693)</f>
        <v>-10.8661391719591</v>
      </c>
      <c r="P693" s="56" t="n">
        <f aca="false">IF(L693=1,IF($B$21&lt;=N693,1,0),0)</f>
        <v>0</v>
      </c>
      <c r="Q693" s="58" t="n">
        <f aca="false">Q692+N693</f>
        <v>989.13386082804</v>
      </c>
    </row>
    <row r="694" customFormat="false" ht="15" hidden="false" customHeight="false" outlineLevel="0" collapsed="false">
      <c r="K694" s="56" t="n">
        <f aca="false">K693+1</f>
        <v>687</v>
      </c>
      <c r="L694" s="57" t="n">
        <f aca="false">IF(AND(K694&lt;=Assumptions!$C$42,L693=1,P693=0,O693&gt;Assumptions!$C$43),1,0)</f>
        <v>0</v>
      </c>
      <c r="M694" s="58" t="n">
        <f aca="false">O693</f>
        <v>-10.8661391719591</v>
      </c>
      <c r="N694" s="58" t="n">
        <f aca="false">IF(L694=1,M694*$B$20,0)</f>
        <v>0</v>
      </c>
      <c r="O694" s="58" t="n">
        <f aca="false">IF(L694=1,M694+N694-$B$21,M694)</f>
        <v>-10.8661391719591</v>
      </c>
      <c r="P694" s="56" t="n">
        <f aca="false">IF(L694=1,IF($B$21&lt;=N694,1,0),0)</f>
        <v>0</v>
      </c>
      <c r="Q694" s="58" t="n">
        <f aca="false">Q693+N694</f>
        <v>989.13386082804</v>
      </c>
    </row>
    <row r="695" customFormat="false" ht="15" hidden="false" customHeight="false" outlineLevel="0" collapsed="false">
      <c r="K695" s="56" t="n">
        <f aca="false">K694+1</f>
        <v>688</v>
      </c>
      <c r="L695" s="57" t="n">
        <f aca="false">IF(AND(K695&lt;=Assumptions!$C$42,L694=1,P694=0,O694&gt;Assumptions!$C$43),1,0)</f>
        <v>0</v>
      </c>
      <c r="M695" s="58" t="n">
        <f aca="false">O694</f>
        <v>-10.8661391719591</v>
      </c>
      <c r="N695" s="58" t="n">
        <f aca="false">IF(L695=1,M695*$B$20,0)</f>
        <v>0</v>
      </c>
      <c r="O695" s="58" t="n">
        <f aca="false">IF(L695=1,M695+N695-$B$21,M695)</f>
        <v>-10.8661391719591</v>
      </c>
      <c r="P695" s="56" t="n">
        <f aca="false">IF(L695=1,IF($B$21&lt;=N695,1,0),0)</f>
        <v>0</v>
      </c>
      <c r="Q695" s="58" t="n">
        <f aca="false">Q694+N695</f>
        <v>989.13386082804</v>
      </c>
    </row>
    <row r="696" customFormat="false" ht="15" hidden="false" customHeight="false" outlineLevel="0" collapsed="false">
      <c r="K696" s="56" t="n">
        <f aca="false">K695+1</f>
        <v>689</v>
      </c>
      <c r="L696" s="57" t="n">
        <f aca="false">IF(AND(K696&lt;=Assumptions!$C$42,L695=1,P695=0,O695&gt;Assumptions!$C$43),1,0)</f>
        <v>0</v>
      </c>
      <c r="M696" s="58" t="n">
        <f aca="false">O695</f>
        <v>-10.8661391719591</v>
      </c>
      <c r="N696" s="58" t="n">
        <f aca="false">IF(L696=1,M696*$B$20,0)</f>
        <v>0</v>
      </c>
      <c r="O696" s="58" t="n">
        <f aca="false">IF(L696=1,M696+N696-$B$21,M696)</f>
        <v>-10.8661391719591</v>
      </c>
      <c r="P696" s="56" t="n">
        <f aca="false">IF(L696=1,IF($B$21&lt;=N696,1,0),0)</f>
        <v>0</v>
      </c>
      <c r="Q696" s="58" t="n">
        <f aca="false">Q695+N696</f>
        <v>989.13386082804</v>
      </c>
    </row>
    <row r="697" customFormat="false" ht="15" hidden="false" customHeight="false" outlineLevel="0" collapsed="false">
      <c r="K697" s="56" t="n">
        <f aca="false">K696+1</f>
        <v>690</v>
      </c>
      <c r="L697" s="57" t="n">
        <f aca="false">IF(AND(K697&lt;=Assumptions!$C$42,L696=1,P696=0,O696&gt;Assumptions!$C$43),1,0)</f>
        <v>0</v>
      </c>
      <c r="M697" s="58" t="n">
        <f aca="false">O696</f>
        <v>-10.8661391719591</v>
      </c>
      <c r="N697" s="58" t="n">
        <f aca="false">IF(L697=1,M697*$B$20,0)</f>
        <v>0</v>
      </c>
      <c r="O697" s="58" t="n">
        <f aca="false">IF(L697=1,M697+N697-$B$21,M697)</f>
        <v>-10.8661391719591</v>
      </c>
      <c r="P697" s="56" t="n">
        <f aca="false">IF(L697=1,IF($B$21&lt;=N697,1,0),0)</f>
        <v>0</v>
      </c>
      <c r="Q697" s="58" t="n">
        <f aca="false">Q696+N697</f>
        <v>989.13386082804</v>
      </c>
    </row>
    <row r="698" customFormat="false" ht="15" hidden="false" customHeight="false" outlineLevel="0" collapsed="false">
      <c r="K698" s="56" t="n">
        <f aca="false">K697+1</f>
        <v>691</v>
      </c>
      <c r="L698" s="57" t="n">
        <f aca="false">IF(AND(K698&lt;=Assumptions!$C$42,L697=1,P697=0,O697&gt;Assumptions!$C$43),1,0)</f>
        <v>0</v>
      </c>
      <c r="M698" s="58" t="n">
        <f aca="false">O697</f>
        <v>-10.8661391719591</v>
      </c>
      <c r="N698" s="58" t="n">
        <f aca="false">IF(L698=1,M698*$B$20,0)</f>
        <v>0</v>
      </c>
      <c r="O698" s="58" t="n">
        <f aca="false">IF(L698=1,M698+N698-$B$21,M698)</f>
        <v>-10.8661391719591</v>
      </c>
      <c r="P698" s="56" t="n">
        <f aca="false">IF(L698=1,IF($B$21&lt;=N698,1,0),0)</f>
        <v>0</v>
      </c>
      <c r="Q698" s="58" t="n">
        <f aca="false">Q697+N698</f>
        <v>989.13386082804</v>
      </c>
    </row>
    <row r="699" customFormat="false" ht="15" hidden="false" customHeight="false" outlineLevel="0" collapsed="false">
      <c r="K699" s="56" t="n">
        <f aca="false">K698+1</f>
        <v>692</v>
      </c>
      <c r="L699" s="57" t="n">
        <f aca="false">IF(AND(K699&lt;=Assumptions!$C$42,L698=1,P698=0,O698&gt;Assumptions!$C$43),1,0)</f>
        <v>0</v>
      </c>
      <c r="M699" s="58" t="n">
        <f aca="false">O698</f>
        <v>-10.8661391719591</v>
      </c>
      <c r="N699" s="58" t="n">
        <f aca="false">IF(L699=1,M699*$B$20,0)</f>
        <v>0</v>
      </c>
      <c r="O699" s="58" t="n">
        <f aca="false">IF(L699=1,M699+N699-$B$21,M699)</f>
        <v>-10.8661391719591</v>
      </c>
      <c r="P699" s="56" t="n">
        <f aca="false">IF(L699=1,IF($B$21&lt;=N699,1,0),0)</f>
        <v>0</v>
      </c>
      <c r="Q699" s="58" t="n">
        <f aca="false">Q698+N699</f>
        <v>989.13386082804</v>
      </c>
    </row>
    <row r="700" customFormat="false" ht="15" hidden="false" customHeight="false" outlineLevel="0" collapsed="false">
      <c r="K700" s="56" t="n">
        <f aca="false">K699+1</f>
        <v>693</v>
      </c>
      <c r="L700" s="57" t="n">
        <f aca="false">IF(AND(K700&lt;=Assumptions!$C$42,L699=1,P699=0,O699&gt;Assumptions!$C$43),1,0)</f>
        <v>0</v>
      </c>
      <c r="M700" s="58" t="n">
        <f aca="false">O699</f>
        <v>-10.8661391719591</v>
      </c>
      <c r="N700" s="58" t="n">
        <f aca="false">IF(L700=1,M700*$B$20,0)</f>
        <v>0</v>
      </c>
      <c r="O700" s="58" t="n">
        <f aca="false">IF(L700=1,M700+N700-$B$21,M700)</f>
        <v>-10.8661391719591</v>
      </c>
      <c r="P700" s="56" t="n">
        <f aca="false">IF(L700=1,IF($B$21&lt;=N700,1,0),0)</f>
        <v>0</v>
      </c>
      <c r="Q700" s="58" t="n">
        <f aca="false">Q699+N700</f>
        <v>989.13386082804</v>
      </c>
    </row>
    <row r="701" customFormat="false" ht="15" hidden="false" customHeight="false" outlineLevel="0" collapsed="false">
      <c r="K701" s="56" t="n">
        <f aca="false">K700+1</f>
        <v>694</v>
      </c>
      <c r="L701" s="57" t="n">
        <f aca="false">IF(AND(K701&lt;=Assumptions!$C$42,L700=1,P700=0,O700&gt;Assumptions!$C$43),1,0)</f>
        <v>0</v>
      </c>
      <c r="M701" s="58" t="n">
        <f aca="false">O700</f>
        <v>-10.8661391719591</v>
      </c>
      <c r="N701" s="58" t="n">
        <f aca="false">IF(L701=1,M701*$B$20,0)</f>
        <v>0</v>
      </c>
      <c r="O701" s="58" t="n">
        <f aca="false">IF(L701=1,M701+N701-$B$21,M701)</f>
        <v>-10.8661391719591</v>
      </c>
      <c r="P701" s="56" t="n">
        <f aca="false">IF(L701=1,IF($B$21&lt;=N701,1,0),0)</f>
        <v>0</v>
      </c>
      <c r="Q701" s="58" t="n">
        <f aca="false">Q700+N701</f>
        <v>989.13386082804</v>
      </c>
    </row>
    <row r="702" customFormat="false" ht="15" hidden="false" customHeight="false" outlineLevel="0" collapsed="false">
      <c r="K702" s="56" t="n">
        <f aca="false">K701+1</f>
        <v>695</v>
      </c>
      <c r="L702" s="57" t="n">
        <f aca="false">IF(AND(K702&lt;=Assumptions!$C$42,L701=1,P701=0,O701&gt;Assumptions!$C$43),1,0)</f>
        <v>0</v>
      </c>
      <c r="M702" s="58" t="n">
        <f aca="false">O701</f>
        <v>-10.8661391719591</v>
      </c>
      <c r="N702" s="58" t="n">
        <f aca="false">IF(L702=1,M702*$B$20,0)</f>
        <v>0</v>
      </c>
      <c r="O702" s="58" t="n">
        <f aca="false">IF(L702=1,M702+N702-$B$21,M702)</f>
        <v>-10.8661391719591</v>
      </c>
      <c r="P702" s="56" t="n">
        <f aca="false">IF(L702=1,IF($B$21&lt;=N702,1,0),0)</f>
        <v>0</v>
      </c>
      <c r="Q702" s="58" t="n">
        <f aca="false">Q701+N702</f>
        <v>989.13386082804</v>
      </c>
    </row>
    <row r="703" customFormat="false" ht="15" hidden="false" customHeight="false" outlineLevel="0" collapsed="false">
      <c r="K703" s="56" t="n">
        <f aca="false">K702+1</f>
        <v>696</v>
      </c>
      <c r="L703" s="57" t="n">
        <f aca="false">IF(AND(K703&lt;=Assumptions!$C$42,L702=1,P702=0,O702&gt;Assumptions!$C$43),1,0)</f>
        <v>0</v>
      </c>
      <c r="M703" s="58" t="n">
        <f aca="false">O702</f>
        <v>-10.8661391719591</v>
      </c>
      <c r="N703" s="58" t="n">
        <f aca="false">IF(L703=1,M703*$B$20,0)</f>
        <v>0</v>
      </c>
      <c r="O703" s="58" t="n">
        <f aca="false">IF(L703=1,M703+N703-$B$21,M703)</f>
        <v>-10.8661391719591</v>
      </c>
      <c r="P703" s="56" t="n">
        <f aca="false">IF(L703=1,IF($B$21&lt;=N703,1,0),0)</f>
        <v>0</v>
      </c>
      <c r="Q703" s="58" t="n">
        <f aca="false">Q702+N703</f>
        <v>989.13386082804</v>
      </c>
    </row>
    <row r="704" customFormat="false" ht="15" hidden="false" customHeight="false" outlineLevel="0" collapsed="false">
      <c r="K704" s="56" t="n">
        <f aca="false">K703+1</f>
        <v>697</v>
      </c>
      <c r="L704" s="57" t="n">
        <f aca="false">IF(AND(K704&lt;=Assumptions!$C$42,L703=1,P703=0,O703&gt;Assumptions!$C$43),1,0)</f>
        <v>0</v>
      </c>
      <c r="M704" s="58" t="n">
        <f aca="false">O703</f>
        <v>-10.8661391719591</v>
      </c>
      <c r="N704" s="58" t="n">
        <f aca="false">IF(L704=1,M704*$B$20,0)</f>
        <v>0</v>
      </c>
      <c r="O704" s="58" t="n">
        <f aca="false">IF(L704=1,M704+N704-$B$21,M704)</f>
        <v>-10.8661391719591</v>
      </c>
      <c r="P704" s="56" t="n">
        <f aca="false">IF(L704=1,IF($B$21&lt;=N704,1,0),0)</f>
        <v>0</v>
      </c>
      <c r="Q704" s="58" t="n">
        <f aca="false">Q703+N704</f>
        <v>989.13386082804</v>
      </c>
    </row>
    <row r="705" customFormat="false" ht="15" hidden="false" customHeight="false" outlineLevel="0" collapsed="false">
      <c r="K705" s="56" t="n">
        <f aca="false">K704+1</f>
        <v>698</v>
      </c>
      <c r="L705" s="57" t="n">
        <f aca="false">IF(AND(K705&lt;=Assumptions!$C$42,L704=1,P704=0,O704&gt;Assumptions!$C$43),1,0)</f>
        <v>0</v>
      </c>
      <c r="M705" s="58" t="n">
        <f aca="false">O704</f>
        <v>-10.8661391719591</v>
      </c>
      <c r="N705" s="58" t="n">
        <f aca="false">IF(L705=1,M705*$B$20,0)</f>
        <v>0</v>
      </c>
      <c r="O705" s="58" t="n">
        <f aca="false">IF(L705=1,M705+N705-$B$21,M705)</f>
        <v>-10.8661391719591</v>
      </c>
      <c r="P705" s="56" t="n">
        <f aca="false">IF(L705=1,IF($B$21&lt;=N705,1,0),0)</f>
        <v>0</v>
      </c>
      <c r="Q705" s="58" t="n">
        <f aca="false">Q704+N705</f>
        <v>989.13386082804</v>
      </c>
    </row>
    <row r="706" customFormat="false" ht="15" hidden="false" customHeight="false" outlineLevel="0" collapsed="false">
      <c r="K706" s="56" t="n">
        <f aca="false">K705+1</f>
        <v>699</v>
      </c>
      <c r="L706" s="57" t="n">
        <f aca="false">IF(AND(K706&lt;=Assumptions!$C$42,L705=1,P705=0,O705&gt;Assumptions!$C$43),1,0)</f>
        <v>0</v>
      </c>
      <c r="M706" s="58" t="n">
        <f aca="false">O705</f>
        <v>-10.8661391719591</v>
      </c>
      <c r="N706" s="58" t="n">
        <f aca="false">IF(L706=1,M706*$B$20,0)</f>
        <v>0</v>
      </c>
      <c r="O706" s="58" t="n">
        <f aca="false">IF(L706=1,M706+N706-$B$21,M706)</f>
        <v>-10.8661391719591</v>
      </c>
      <c r="P706" s="56" t="n">
        <f aca="false">IF(L706=1,IF($B$21&lt;=N706,1,0),0)</f>
        <v>0</v>
      </c>
      <c r="Q706" s="58" t="n">
        <f aca="false">Q705+N706</f>
        <v>989.13386082804</v>
      </c>
    </row>
    <row r="707" customFormat="false" ht="15" hidden="false" customHeight="false" outlineLevel="0" collapsed="false">
      <c r="K707" s="56" t="n">
        <f aca="false">K706+1</f>
        <v>700</v>
      </c>
      <c r="L707" s="57" t="n">
        <f aca="false">IF(AND(K707&lt;=Assumptions!$C$42,L706=1,P706=0,O706&gt;Assumptions!$C$43),1,0)</f>
        <v>0</v>
      </c>
      <c r="M707" s="58" t="n">
        <f aca="false">O706</f>
        <v>-10.8661391719591</v>
      </c>
      <c r="N707" s="58" t="n">
        <f aca="false">IF(L707=1,M707*$B$20,0)</f>
        <v>0</v>
      </c>
      <c r="O707" s="58" t="n">
        <f aca="false">IF(L707=1,M707+N707-$B$21,M707)</f>
        <v>-10.8661391719591</v>
      </c>
      <c r="P707" s="56" t="n">
        <f aca="false">IF(L707=1,IF($B$21&lt;=N707,1,0),0)</f>
        <v>0</v>
      </c>
      <c r="Q707" s="58" t="n">
        <f aca="false">Q706+N707</f>
        <v>989.13386082804</v>
      </c>
    </row>
    <row r="708" customFormat="false" ht="15" hidden="false" customHeight="false" outlineLevel="0" collapsed="false">
      <c r="K708" s="56" t="n">
        <f aca="false">K707+1</f>
        <v>701</v>
      </c>
      <c r="L708" s="57" t="n">
        <f aca="false">IF(AND(K708&lt;=Assumptions!$C$42,L707=1,P707=0,O707&gt;Assumptions!$C$43),1,0)</f>
        <v>0</v>
      </c>
      <c r="M708" s="58" t="n">
        <f aca="false">O707</f>
        <v>-10.8661391719591</v>
      </c>
      <c r="N708" s="58" t="n">
        <f aca="false">IF(L708=1,M708*$B$20,0)</f>
        <v>0</v>
      </c>
      <c r="O708" s="58" t="n">
        <f aca="false">IF(L708=1,M708+N708-$B$21,M708)</f>
        <v>-10.8661391719591</v>
      </c>
      <c r="P708" s="56" t="n">
        <f aca="false">IF(L708=1,IF($B$21&lt;=N708,1,0),0)</f>
        <v>0</v>
      </c>
      <c r="Q708" s="58" t="n">
        <f aca="false">Q707+N708</f>
        <v>989.13386082804</v>
      </c>
    </row>
    <row r="709" customFormat="false" ht="15" hidden="false" customHeight="false" outlineLevel="0" collapsed="false">
      <c r="K709" s="56" t="n">
        <f aca="false">K708+1</f>
        <v>702</v>
      </c>
      <c r="L709" s="57" t="n">
        <f aca="false">IF(AND(K709&lt;=Assumptions!$C$42,L708=1,P708=0,O708&gt;Assumptions!$C$43),1,0)</f>
        <v>0</v>
      </c>
      <c r="M709" s="58" t="n">
        <f aca="false">O708</f>
        <v>-10.8661391719591</v>
      </c>
      <c r="N709" s="58" t="n">
        <f aca="false">IF(L709=1,M709*$B$20,0)</f>
        <v>0</v>
      </c>
      <c r="O709" s="58" t="n">
        <f aca="false">IF(L709=1,M709+N709-$B$21,M709)</f>
        <v>-10.8661391719591</v>
      </c>
      <c r="P709" s="56" t="n">
        <f aca="false">IF(L709=1,IF($B$21&lt;=N709,1,0),0)</f>
        <v>0</v>
      </c>
      <c r="Q709" s="58" t="n">
        <f aca="false">Q708+N709</f>
        <v>989.13386082804</v>
      </c>
    </row>
    <row r="710" customFormat="false" ht="15" hidden="false" customHeight="false" outlineLevel="0" collapsed="false">
      <c r="K710" s="56" t="n">
        <f aca="false">K709+1</f>
        <v>703</v>
      </c>
      <c r="L710" s="57" t="n">
        <f aca="false">IF(AND(K710&lt;=Assumptions!$C$42,L709=1,P709=0,O709&gt;Assumptions!$C$43),1,0)</f>
        <v>0</v>
      </c>
      <c r="M710" s="58" t="n">
        <f aca="false">O709</f>
        <v>-10.8661391719591</v>
      </c>
      <c r="N710" s="58" t="n">
        <f aca="false">IF(L710=1,M710*$B$20,0)</f>
        <v>0</v>
      </c>
      <c r="O710" s="58" t="n">
        <f aca="false">IF(L710=1,M710+N710-$B$21,M710)</f>
        <v>-10.8661391719591</v>
      </c>
      <c r="P710" s="56" t="n">
        <f aca="false">IF(L710=1,IF($B$21&lt;=N710,1,0),0)</f>
        <v>0</v>
      </c>
      <c r="Q710" s="58" t="n">
        <f aca="false">Q709+N710</f>
        <v>989.13386082804</v>
      </c>
    </row>
    <row r="711" customFormat="false" ht="15" hidden="false" customHeight="false" outlineLevel="0" collapsed="false">
      <c r="K711" s="56" t="n">
        <f aca="false">K710+1</f>
        <v>704</v>
      </c>
      <c r="L711" s="57" t="n">
        <f aca="false">IF(AND(K711&lt;=Assumptions!$C$42,L710=1,P710=0,O710&gt;Assumptions!$C$43),1,0)</f>
        <v>0</v>
      </c>
      <c r="M711" s="58" t="n">
        <f aca="false">O710</f>
        <v>-10.8661391719591</v>
      </c>
      <c r="N711" s="58" t="n">
        <f aca="false">IF(L711=1,M711*$B$20,0)</f>
        <v>0</v>
      </c>
      <c r="O711" s="58" t="n">
        <f aca="false">IF(L711=1,M711+N711-$B$21,M711)</f>
        <v>-10.8661391719591</v>
      </c>
      <c r="P711" s="56" t="n">
        <f aca="false">IF(L711=1,IF($B$21&lt;=N711,1,0),0)</f>
        <v>0</v>
      </c>
      <c r="Q711" s="58" t="n">
        <f aca="false">Q710+N711</f>
        <v>989.13386082804</v>
      </c>
    </row>
    <row r="712" customFormat="false" ht="15" hidden="false" customHeight="false" outlineLevel="0" collapsed="false">
      <c r="K712" s="56" t="n">
        <f aca="false">K711+1</f>
        <v>705</v>
      </c>
      <c r="L712" s="57" t="n">
        <f aca="false">IF(AND(K712&lt;=Assumptions!$C$42,L711=1,P711=0,O711&gt;Assumptions!$C$43),1,0)</f>
        <v>0</v>
      </c>
      <c r="M712" s="58" t="n">
        <f aca="false">O711</f>
        <v>-10.8661391719591</v>
      </c>
      <c r="N712" s="58" t="n">
        <f aca="false">IF(L712=1,M712*$B$20,0)</f>
        <v>0</v>
      </c>
      <c r="O712" s="58" t="n">
        <f aca="false">IF(L712=1,M712+N712-$B$21,M712)</f>
        <v>-10.8661391719591</v>
      </c>
      <c r="P712" s="56" t="n">
        <f aca="false">IF(L712=1,IF($B$21&lt;=N712,1,0),0)</f>
        <v>0</v>
      </c>
      <c r="Q712" s="58" t="n">
        <f aca="false">Q711+N712</f>
        <v>989.13386082804</v>
      </c>
    </row>
    <row r="713" customFormat="false" ht="15" hidden="false" customHeight="false" outlineLevel="0" collapsed="false">
      <c r="K713" s="56" t="n">
        <f aca="false">K712+1</f>
        <v>706</v>
      </c>
      <c r="L713" s="57" t="n">
        <f aca="false">IF(AND(K713&lt;=Assumptions!$C$42,L712=1,P712=0,O712&gt;Assumptions!$C$43),1,0)</f>
        <v>0</v>
      </c>
      <c r="M713" s="58" t="n">
        <f aca="false">O712</f>
        <v>-10.8661391719591</v>
      </c>
      <c r="N713" s="58" t="n">
        <f aca="false">IF(L713=1,M713*$B$20,0)</f>
        <v>0</v>
      </c>
      <c r="O713" s="58" t="n">
        <f aca="false">IF(L713=1,M713+N713-$B$21,M713)</f>
        <v>-10.8661391719591</v>
      </c>
      <c r="P713" s="56" t="n">
        <f aca="false">IF(L713=1,IF($B$21&lt;=N713,1,0),0)</f>
        <v>0</v>
      </c>
      <c r="Q713" s="58" t="n">
        <f aca="false">Q712+N713</f>
        <v>989.13386082804</v>
      </c>
    </row>
    <row r="714" customFormat="false" ht="15" hidden="false" customHeight="false" outlineLevel="0" collapsed="false">
      <c r="K714" s="56" t="n">
        <f aca="false">K713+1</f>
        <v>707</v>
      </c>
      <c r="L714" s="57" t="n">
        <f aca="false">IF(AND(K714&lt;=Assumptions!$C$42,L713=1,P713=0,O713&gt;Assumptions!$C$43),1,0)</f>
        <v>0</v>
      </c>
      <c r="M714" s="58" t="n">
        <f aca="false">O713</f>
        <v>-10.8661391719591</v>
      </c>
      <c r="N714" s="58" t="n">
        <f aca="false">IF(L714=1,M714*$B$20,0)</f>
        <v>0</v>
      </c>
      <c r="O714" s="58" t="n">
        <f aca="false">IF(L714=1,M714+N714-$B$21,M714)</f>
        <v>-10.8661391719591</v>
      </c>
      <c r="P714" s="56" t="n">
        <f aca="false">IF(L714=1,IF($B$21&lt;=N714,1,0),0)</f>
        <v>0</v>
      </c>
      <c r="Q714" s="58" t="n">
        <f aca="false">Q713+N714</f>
        <v>989.13386082804</v>
      </c>
    </row>
    <row r="715" customFormat="false" ht="15" hidden="false" customHeight="false" outlineLevel="0" collapsed="false">
      <c r="K715" s="56" t="n">
        <f aca="false">K714+1</f>
        <v>708</v>
      </c>
      <c r="L715" s="57" t="n">
        <f aca="false">IF(AND(K715&lt;=Assumptions!$C$42,L714=1,P714=0,O714&gt;Assumptions!$C$43),1,0)</f>
        <v>0</v>
      </c>
      <c r="M715" s="58" t="n">
        <f aca="false">O714</f>
        <v>-10.8661391719591</v>
      </c>
      <c r="N715" s="58" t="n">
        <f aca="false">IF(L715=1,M715*$B$20,0)</f>
        <v>0</v>
      </c>
      <c r="O715" s="58" t="n">
        <f aca="false">IF(L715=1,M715+N715-$B$21,M715)</f>
        <v>-10.8661391719591</v>
      </c>
      <c r="P715" s="56" t="n">
        <f aca="false">IF(L715=1,IF($B$21&lt;=N715,1,0),0)</f>
        <v>0</v>
      </c>
      <c r="Q715" s="58" t="n">
        <f aca="false">Q714+N715</f>
        <v>989.13386082804</v>
      </c>
    </row>
    <row r="716" customFormat="false" ht="15" hidden="false" customHeight="false" outlineLevel="0" collapsed="false">
      <c r="K716" s="56" t="n">
        <f aca="false">K715+1</f>
        <v>709</v>
      </c>
      <c r="L716" s="57" t="n">
        <f aca="false">IF(AND(K716&lt;=Assumptions!$C$42,L715=1,P715=0,O715&gt;Assumptions!$C$43),1,0)</f>
        <v>0</v>
      </c>
      <c r="M716" s="58" t="n">
        <f aca="false">O715</f>
        <v>-10.8661391719591</v>
      </c>
      <c r="N716" s="58" t="n">
        <f aca="false">IF(L716=1,M716*$B$20,0)</f>
        <v>0</v>
      </c>
      <c r="O716" s="58" t="n">
        <f aca="false">IF(L716=1,M716+N716-$B$21,M716)</f>
        <v>-10.8661391719591</v>
      </c>
      <c r="P716" s="56" t="n">
        <f aca="false">IF(L716=1,IF($B$21&lt;=N716,1,0),0)</f>
        <v>0</v>
      </c>
      <c r="Q716" s="58" t="n">
        <f aca="false">Q715+N716</f>
        <v>989.13386082804</v>
      </c>
    </row>
    <row r="717" customFormat="false" ht="15" hidden="false" customHeight="false" outlineLevel="0" collapsed="false">
      <c r="K717" s="56" t="n">
        <f aca="false">K716+1</f>
        <v>710</v>
      </c>
      <c r="L717" s="57" t="n">
        <f aca="false">IF(AND(K717&lt;=Assumptions!$C$42,L716=1,P716=0,O716&gt;Assumptions!$C$43),1,0)</f>
        <v>0</v>
      </c>
      <c r="M717" s="58" t="n">
        <f aca="false">O716</f>
        <v>-10.8661391719591</v>
      </c>
      <c r="N717" s="58" t="n">
        <f aca="false">IF(L717=1,M717*$B$20,0)</f>
        <v>0</v>
      </c>
      <c r="O717" s="58" t="n">
        <f aca="false">IF(L717=1,M717+N717-$B$21,M717)</f>
        <v>-10.8661391719591</v>
      </c>
      <c r="P717" s="56" t="n">
        <f aca="false">IF(L717=1,IF($B$21&lt;=N717,1,0),0)</f>
        <v>0</v>
      </c>
      <c r="Q717" s="58" t="n">
        <f aca="false">Q716+N717</f>
        <v>989.13386082804</v>
      </c>
    </row>
    <row r="718" customFormat="false" ht="15" hidden="false" customHeight="false" outlineLevel="0" collapsed="false">
      <c r="K718" s="56" t="n">
        <f aca="false">K717+1</f>
        <v>711</v>
      </c>
      <c r="L718" s="57" t="n">
        <f aca="false">IF(AND(K718&lt;=Assumptions!$C$42,L717=1,P717=0,O717&gt;Assumptions!$C$43),1,0)</f>
        <v>0</v>
      </c>
      <c r="M718" s="58" t="n">
        <f aca="false">O717</f>
        <v>-10.8661391719591</v>
      </c>
      <c r="N718" s="58" t="n">
        <f aca="false">IF(L718=1,M718*$B$20,0)</f>
        <v>0</v>
      </c>
      <c r="O718" s="58" t="n">
        <f aca="false">IF(L718=1,M718+N718-$B$21,M718)</f>
        <v>-10.8661391719591</v>
      </c>
      <c r="P718" s="56" t="n">
        <f aca="false">IF(L718=1,IF($B$21&lt;=N718,1,0),0)</f>
        <v>0</v>
      </c>
      <c r="Q718" s="58" t="n">
        <f aca="false">Q717+N718</f>
        <v>989.13386082804</v>
      </c>
    </row>
    <row r="719" customFormat="false" ht="15" hidden="false" customHeight="false" outlineLevel="0" collapsed="false">
      <c r="K719" s="56" t="n">
        <f aca="false">K718+1</f>
        <v>712</v>
      </c>
      <c r="L719" s="57" t="n">
        <f aca="false">IF(AND(K719&lt;=Assumptions!$C$42,L718=1,P718=0,O718&gt;Assumptions!$C$43),1,0)</f>
        <v>0</v>
      </c>
      <c r="M719" s="58" t="n">
        <f aca="false">O718</f>
        <v>-10.8661391719591</v>
      </c>
      <c r="N719" s="58" t="n">
        <f aca="false">IF(L719=1,M719*$B$20,0)</f>
        <v>0</v>
      </c>
      <c r="O719" s="58" t="n">
        <f aca="false">IF(L719=1,M719+N719-$B$21,M719)</f>
        <v>-10.8661391719591</v>
      </c>
      <c r="P719" s="56" t="n">
        <f aca="false">IF(L719=1,IF($B$21&lt;=N719,1,0),0)</f>
        <v>0</v>
      </c>
      <c r="Q719" s="58" t="n">
        <f aca="false">Q718+N719</f>
        <v>989.13386082804</v>
      </c>
    </row>
    <row r="720" customFormat="false" ht="15" hidden="false" customHeight="false" outlineLevel="0" collapsed="false">
      <c r="K720" s="56" t="n">
        <f aca="false">K719+1</f>
        <v>713</v>
      </c>
      <c r="L720" s="57" t="n">
        <f aca="false">IF(AND(K720&lt;=Assumptions!$C$42,L719=1,P719=0,O719&gt;Assumptions!$C$43),1,0)</f>
        <v>0</v>
      </c>
      <c r="M720" s="58" t="n">
        <f aca="false">O719</f>
        <v>-10.8661391719591</v>
      </c>
      <c r="N720" s="58" t="n">
        <f aca="false">IF(L720=1,M720*$B$20,0)</f>
        <v>0</v>
      </c>
      <c r="O720" s="58" t="n">
        <f aca="false">IF(L720=1,M720+N720-$B$21,M720)</f>
        <v>-10.8661391719591</v>
      </c>
      <c r="P720" s="56" t="n">
        <f aca="false">IF(L720=1,IF($B$21&lt;=N720,1,0),0)</f>
        <v>0</v>
      </c>
      <c r="Q720" s="58" t="n">
        <f aca="false">Q719+N720</f>
        <v>989.13386082804</v>
      </c>
    </row>
    <row r="721" customFormat="false" ht="15" hidden="false" customHeight="false" outlineLevel="0" collapsed="false">
      <c r="K721" s="56" t="n">
        <f aca="false">K720+1</f>
        <v>714</v>
      </c>
      <c r="L721" s="57" t="n">
        <f aca="false">IF(AND(K721&lt;=Assumptions!$C$42,L720=1,P720=0,O720&gt;Assumptions!$C$43),1,0)</f>
        <v>0</v>
      </c>
      <c r="M721" s="58" t="n">
        <f aca="false">O720</f>
        <v>-10.8661391719591</v>
      </c>
      <c r="N721" s="58" t="n">
        <f aca="false">IF(L721=1,M721*$B$20,0)</f>
        <v>0</v>
      </c>
      <c r="O721" s="58" t="n">
        <f aca="false">IF(L721=1,M721+N721-$B$21,M721)</f>
        <v>-10.8661391719591</v>
      </c>
      <c r="P721" s="56" t="n">
        <f aca="false">IF(L721=1,IF($B$21&lt;=N721,1,0),0)</f>
        <v>0</v>
      </c>
      <c r="Q721" s="58" t="n">
        <f aca="false">Q720+N721</f>
        <v>989.13386082804</v>
      </c>
    </row>
    <row r="722" customFormat="false" ht="15" hidden="false" customHeight="false" outlineLevel="0" collapsed="false">
      <c r="K722" s="56" t="n">
        <f aca="false">K721+1</f>
        <v>715</v>
      </c>
      <c r="L722" s="57" t="n">
        <f aca="false">IF(AND(K722&lt;=Assumptions!$C$42,L721=1,P721=0,O721&gt;Assumptions!$C$43),1,0)</f>
        <v>0</v>
      </c>
      <c r="M722" s="58" t="n">
        <f aca="false">O721</f>
        <v>-10.8661391719591</v>
      </c>
      <c r="N722" s="58" t="n">
        <f aca="false">IF(L722=1,M722*$B$20,0)</f>
        <v>0</v>
      </c>
      <c r="O722" s="58" t="n">
        <f aca="false">IF(L722=1,M722+N722-$B$21,M722)</f>
        <v>-10.8661391719591</v>
      </c>
      <c r="P722" s="56" t="n">
        <f aca="false">IF(L722=1,IF($B$21&lt;=N722,1,0),0)</f>
        <v>0</v>
      </c>
      <c r="Q722" s="58" t="n">
        <f aca="false">Q721+N722</f>
        <v>989.13386082804</v>
      </c>
    </row>
    <row r="723" customFormat="false" ht="15" hidden="false" customHeight="false" outlineLevel="0" collapsed="false">
      <c r="K723" s="56" t="n">
        <f aca="false">K722+1</f>
        <v>716</v>
      </c>
      <c r="L723" s="57" t="n">
        <f aca="false">IF(AND(K723&lt;=Assumptions!$C$42,L722=1,P722=0,O722&gt;Assumptions!$C$43),1,0)</f>
        <v>0</v>
      </c>
      <c r="M723" s="58" t="n">
        <f aca="false">O722</f>
        <v>-10.8661391719591</v>
      </c>
      <c r="N723" s="58" t="n">
        <f aca="false">IF(L723=1,M723*$B$20,0)</f>
        <v>0</v>
      </c>
      <c r="O723" s="58" t="n">
        <f aca="false">IF(L723=1,M723+N723-$B$21,M723)</f>
        <v>-10.8661391719591</v>
      </c>
      <c r="P723" s="56" t="n">
        <f aca="false">IF(L723=1,IF($B$21&lt;=N723,1,0),0)</f>
        <v>0</v>
      </c>
      <c r="Q723" s="58" t="n">
        <f aca="false">Q722+N723</f>
        <v>989.13386082804</v>
      </c>
    </row>
    <row r="724" customFormat="false" ht="15" hidden="false" customHeight="false" outlineLevel="0" collapsed="false">
      <c r="K724" s="56" t="n">
        <f aca="false">K723+1</f>
        <v>717</v>
      </c>
      <c r="L724" s="57" t="n">
        <f aca="false">IF(AND(K724&lt;=Assumptions!$C$42,L723=1,P723=0,O723&gt;Assumptions!$C$43),1,0)</f>
        <v>0</v>
      </c>
      <c r="M724" s="58" t="n">
        <f aca="false">O723</f>
        <v>-10.8661391719591</v>
      </c>
      <c r="N724" s="58" t="n">
        <f aca="false">IF(L724=1,M724*$B$20,0)</f>
        <v>0</v>
      </c>
      <c r="O724" s="58" t="n">
        <f aca="false">IF(L724=1,M724+N724-$B$21,M724)</f>
        <v>-10.8661391719591</v>
      </c>
      <c r="P724" s="56" t="n">
        <f aca="false">IF(L724=1,IF($B$21&lt;=N724,1,0),0)</f>
        <v>0</v>
      </c>
      <c r="Q724" s="58" t="n">
        <f aca="false">Q723+N724</f>
        <v>989.13386082804</v>
      </c>
    </row>
    <row r="725" customFormat="false" ht="15" hidden="false" customHeight="false" outlineLevel="0" collapsed="false">
      <c r="K725" s="56" t="n">
        <f aca="false">K724+1</f>
        <v>718</v>
      </c>
      <c r="L725" s="57" t="n">
        <f aca="false">IF(AND(K725&lt;=Assumptions!$C$42,L724=1,P724=0,O724&gt;Assumptions!$C$43),1,0)</f>
        <v>0</v>
      </c>
      <c r="M725" s="58" t="n">
        <f aca="false">O724</f>
        <v>-10.8661391719591</v>
      </c>
      <c r="N725" s="58" t="n">
        <f aca="false">IF(L725=1,M725*$B$20,0)</f>
        <v>0</v>
      </c>
      <c r="O725" s="58" t="n">
        <f aca="false">IF(L725=1,M725+N725-$B$21,M725)</f>
        <v>-10.8661391719591</v>
      </c>
      <c r="P725" s="56" t="n">
        <f aca="false">IF(L725=1,IF($B$21&lt;=N725,1,0),0)</f>
        <v>0</v>
      </c>
      <c r="Q725" s="58" t="n">
        <f aca="false">Q724+N725</f>
        <v>989.13386082804</v>
      </c>
    </row>
    <row r="726" customFormat="false" ht="15" hidden="false" customHeight="false" outlineLevel="0" collapsed="false">
      <c r="K726" s="56" t="n">
        <f aca="false">K725+1</f>
        <v>719</v>
      </c>
      <c r="L726" s="57" t="n">
        <f aca="false">IF(AND(K726&lt;=Assumptions!$C$42,L725=1,P725=0,O725&gt;Assumptions!$C$43),1,0)</f>
        <v>0</v>
      </c>
      <c r="M726" s="58" t="n">
        <f aca="false">O725</f>
        <v>-10.8661391719591</v>
      </c>
      <c r="N726" s="58" t="n">
        <f aca="false">IF(L726=1,M726*$B$20,0)</f>
        <v>0</v>
      </c>
      <c r="O726" s="58" t="n">
        <f aca="false">IF(L726=1,M726+N726-$B$21,M726)</f>
        <v>-10.8661391719591</v>
      </c>
      <c r="P726" s="56" t="n">
        <f aca="false">IF(L726=1,IF($B$21&lt;=N726,1,0),0)</f>
        <v>0</v>
      </c>
      <c r="Q726" s="58" t="n">
        <f aca="false">Q725+N726</f>
        <v>989.13386082804</v>
      </c>
    </row>
    <row r="727" customFormat="false" ht="15" hidden="false" customHeight="false" outlineLevel="0" collapsed="false">
      <c r="K727" s="56" t="n">
        <f aca="false">K726+1</f>
        <v>720</v>
      </c>
      <c r="L727" s="57" t="n">
        <f aca="false">IF(AND(K727&lt;=Assumptions!$C$42,L726=1,P726=0,O726&gt;Assumptions!$C$43),1,0)</f>
        <v>0</v>
      </c>
      <c r="M727" s="58" t="n">
        <f aca="false">O726</f>
        <v>-10.8661391719591</v>
      </c>
      <c r="N727" s="58" t="n">
        <f aca="false">IF(L727=1,M727*$B$20,0)</f>
        <v>0</v>
      </c>
      <c r="O727" s="58" t="n">
        <f aca="false">IF(L727=1,M727+N727-$B$21,M727)</f>
        <v>-10.8661391719591</v>
      </c>
      <c r="P727" s="56" t="n">
        <f aca="false">IF(L727=1,IF($B$21&lt;=N727,1,0),0)</f>
        <v>0</v>
      </c>
      <c r="Q727" s="58" t="n">
        <f aca="false">Q726+N727</f>
        <v>989.13386082804</v>
      </c>
    </row>
    <row r="728" customFormat="false" ht="15" hidden="false" customHeight="false" outlineLevel="0" collapsed="false">
      <c r="K728" s="56" t="n">
        <f aca="false">K727+1</f>
        <v>721</v>
      </c>
      <c r="L728" s="57" t="n">
        <f aca="false">IF(AND(K728&lt;=Assumptions!$C$42,L727=1,P727=0,O727&gt;Assumptions!$C$43),1,0)</f>
        <v>0</v>
      </c>
      <c r="M728" s="58" t="n">
        <f aca="false">O727</f>
        <v>-10.8661391719591</v>
      </c>
      <c r="N728" s="58" t="n">
        <f aca="false">IF(L728=1,M728*$B$20,0)</f>
        <v>0</v>
      </c>
      <c r="O728" s="58" t="n">
        <f aca="false">IF(L728=1,M728+N728-$B$21,M728)</f>
        <v>-10.8661391719591</v>
      </c>
      <c r="P728" s="56" t="n">
        <f aca="false">IF(L728=1,IF($B$21&lt;=N728,1,0),0)</f>
        <v>0</v>
      </c>
      <c r="Q728" s="58" t="n">
        <f aca="false">Q727+N728</f>
        <v>989.13386082804</v>
      </c>
    </row>
    <row r="729" customFormat="false" ht="15" hidden="false" customHeight="false" outlineLevel="0" collapsed="false">
      <c r="K729" s="56" t="n">
        <f aca="false">K728+1</f>
        <v>722</v>
      </c>
      <c r="L729" s="57" t="n">
        <f aca="false">IF(AND(K729&lt;=Assumptions!$C$42,L728=1,P728=0,O728&gt;Assumptions!$C$43),1,0)</f>
        <v>0</v>
      </c>
      <c r="M729" s="58" t="n">
        <f aca="false">O728</f>
        <v>-10.8661391719591</v>
      </c>
      <c r="N729" s="58" t="n">
        <f aca="false">IF(L729=1,M729*$B$20,0)</f>
        <v>0</v>
      </c>
      <c r="O729" s="58" t="n">
        <f aca="false">IF(L729=1,M729+N729-$B$21,M729)</f>
        <v>-10.8661391719591</v>
      </c>
      <c r="P729" s="56" t="n">
        <f aca="false">IF(L729=1,IF($B$21&lt;=N729,1,0),0)</f>
        <v>0</v>
      </c>
      <c r="Q729" s="58" t="n">
        <f aca="false">Q728+N729</f>
        <v>989.13386082804</v>
      </c>
    </row>
    <row r="730" customFormat="false" ht="15" hidden="false" customHeight="false" outlineLevel="0" collapsed="false">
      <c r="K730" s="56" t="n">
        <f aca="false">K729+1</f>
        <v>723</v>
      </c>
      <c r="L730" s="57" t="n">
        <f aca="false">IF(AND(K730&lt;=Assumptions!$C$42,L729=1,P729=0,O729&gt;Assumptions!$C$43),1,0)</f>
        <v>0</v>
      </c>
      <c r="M730" s="58" t="n">
        <f aca="false">O729</f>
        <v>-10.8661391719591</v>
      </c>
      <c r="N730" s="58" t="n">
        <f aca="false">IF(L730=1,M730*$B$20,0)</f>
        <v>0</v>
      </c>
      <c r="O730" s="58" t="n">
        <f aca="false">IF(L730=1,M730+N730-$B$21,M730)</f>
        <v>-10.8661391719591</v>
      </c>
      <c r="P730" s="56" t="n">
        <f aca="false">IF(L730=1,IF($B$21&lt;=N730,1,0),0)</f>
        <v>0</v>
      </c>
      <c r="Q730" s="58" t="n">
        <f aca="false">Q729+N730</f>
        <v>989.13386082804</v>
      </c>
    </row>
    <row r="731" customFormat="false" ht="15" hidden="false" customHeight="false" outlineLevel="0" collapsed="false">
      <c r="K731" s="56" t="n">
        <f aca="false">K730+1</f>
        <v>724</v>
      </c>
      <c r="L731" s="57" t="n">
        <f aca="false">IF(AND(K731&lt;=Assumptions!$C$42,L730=1,P730=0,O730&gt;Assumptions!$C$43),1,0)</f>
        <v>0</v>
      </c>
      <c r="M731" s="58" t="n">
        <f aca="false">O730</f>
        <v>-10.8661391719591</v>
      </c>
      <c r="N731" s="58" t="n">
        <f aca="false">IF(L731=1,M731*$B$20,0)</f>
        <v>0</v>
      </c>
      <c r="O731" s="58" t="n">
        <f aca="false">IF(L731=1,M731+N731-$B$21,M731)</f>
        <v>-10.8661391719591</v>
      </c>
      <c r="P731" s="56" t="n">
        <f aca="false">IF(L731=1,IF($B$21&lt;=N731,1,0),0)</f>
        <v>0</v>
      </c>
      <c r="Q731" s="58" t="n">
        <f aca="false">Q730+N731</f>
        <v>989.13386082804</v>
      </c>
    </row>
    <row r="732" customFormat="false" ht="15" hidden="false" customHeight="false" outlineLevel="0" collapsed="false">
      <c r="K732" s="56" t="n">
        <f aca="false">K731+1</f>
        <v>725</v>
      </c>
      <c r="L732" s="57" t="n">
        <f aca="false">IF(AND(K732&lt;=Assumptions!$C$42,L731=1,P731=0,O731&gt;Assumptions!$C$43),1,0)</f>
        <v>0</v>
      </c>
      <c r="M732" s="58" t="n">
        <f aca="false">O731</f>
        <v>-10.8661391719591</v>
      </c>
      <c r="N732" s="58" t="n">
        <f aca="false">IF(L732=1,M732*$B$20,0)</f>
        <v>0</v>
      </c>
      <c r="O732" s="58" t="n">
        <f aca="false">IF(L732=1,M732+N732-$B$21,M732)</f>
        <v>-10.8661391719591</v>
      </c>
      <c r="P732" s="56" t="n">
        <f aca="false">IF(L732=1,IF($B$21&lt;=N732,1,0),0)</f>
        <v>0</v>
      </c>
      <c r="Q732" s="58" t="n">
        <f aca="false">Q731+N732</f>
        <v>989.13386082804</v>
      </c>
    </row>
    <row r="733" customFormat="false" ht="15" hidden="false" customHeight="false" outlineLevel="0" collapsed="false">
      <c r="K733" s="56" t="n">
        <f aca="false">K732+1</f>
        <v>726</v>
      </c>
      <c r="L733" s="57" t="n">
        <f aca="false">IF(AND(K733&lt;=Assumptions!$C$42,L732=1,P732=0,O732&gt;Assumptions!$C$43),1,0)</f>
        <v>0</v>
      </c>
      <c r="M733" s="58" t="n">
        <f aca="false">O732</f>
        <v>-10.8661391719591</v>
      </c>
      <c r="N733" s="58" t="n">
        <f aca="false">IF(L733=1,M733*$B$20,0)</f>
        <v>0</v>
      </c>
      <c r="O733" s="58" t="n">
        <f aca="false">IF(L733=1,M733+N733-$B$21,M733)</f>
        <v>-10.8661391719591</v>
      </c>
      <c r="P733" s="56" t="n">
        <f aca="false">IF(L733=1,IF($B$21&lt;=N733,1,0),0)</f>
        <v>0</v>
      </c>
      <c r="Q733" s="58" t="n">
        <f aca="false">Q732+N733</f>
        <v>989.13386082804</v>
      </c>
    </row>
    <row r="734" customFormat="false" ht="15" hidden="false" customHeight="false" outlineLevel="0" collapsed="false">
      <c r="K734" s="56" t="n">
        <f aca="false">K733+1</f>
        <v>727</v>
      </c>
      <c r="L734" s="57" t="n">
        <f aca="false">IF(AND(K734&lt;=Assumptions!$C$42,L733=1,P733=0,O733&gt;Assumptions!$C$43),1,0)</f>
        <v>0</v>
      </c>
      <c r="M734" s="58" t="n">
        <f aca="false">O733</f>
        <v>-10.8661391719591</v>
      </c>
      <c r="N734" s="58" t="n">
        <f aca="false">IF(L734=1,M734*$B$20,0)</f>
        <v>0</v>
      </c>
      <c r="O734" s="58" t="n">
        <f aca="false">IF(L734=1,M734+N734-$B$21,M734)</f>
        <v>-10.8661391719591</v>
      </c>
      <c r="P734" s="56" t="n">
        <f aca="false">IF(L734=1,IF($B$21&lt;=N734,1,0),0)</f>
        <v>0</v>
      </c>
      <c r="Q734" s="58" t="n">
        <f aca="false">Q733+N734</f>
        <v>989.13386082804</v>
      </c>
    </row>
    <row r="735" customFormat="false" ht="15" hidden="false" customHeight="false" outlineLevel="0" collapsed="false">
      <c r="K735" s="56" t="n">
        <f aca="false">K734+1</f>
        <v>728</v>
      </c>
      <c r="L735" s="57" t="n">
        <f aca="false">IF(AND(K735&lt;=Assumptions!$C$42,L734=1,P734=0,O734&gt;Assumptions!$C$43),1,0)</f>
        <v>0</v>
      </c>
      <c r="M735" s="58" t="n">
        <f aca="false">O734</f>
        <v>-10.8661391719591</v>
      </c>
      <c r="N735" s="58" t="n">
        <f aca="false">IF(L735=1,M735*$B$20,0)</f>
        <v>0</v>
      </c>
      <c r="O735" s="58" t="n">
        <f aca="false">IF(L735=1,M735+N735-$B$21,M735)</f>
        <v>-10.8661391719591</v>
      </c>
      <c r="P735" s="56" t="n">
        <f aca="false">IF(L735=1,IF($B$21&lt;=N735,1,0),0)</f>
        <v>0</v>
      </c>
      <c r="Q735" s="58" t="n">
        <f aca="false">Q734+N735</f>
        <v>989.13386082804</v>
      </c>
    </row>
    <row r="736" customFormat="false" ht="15" hidden="false" customHeight="false" outlineLevel="0" collapsed="false">
      <c r="K736" s="56" t="n">
        <f aca="false">K735+1</f>
        <v>729</v>
      </c>
      <c r="L736" s="57" t="n">
        <f aca="false">IF(AND(K736&lt;=Assumptions!$C$42,L735=1,P735=0,O735&gt;Assumptions!$C$43),1,0)</f>
        <v>0</v>
      </c>
      <c r="M736" s="58" t="n">
        <f aca="false">O735</f>
        <v>-10.8661391719591</v>
      </c>
      <c r="N736" s="58" t="n">
        <f aca="false">IF(L736=1,M736*$B$20,0)</f>
        <v>0</v>
      </c>
      <c r="O736" s="58" t="n">
        <f aca="false">IF(L736=1,M736+N736-$B$21,M736)</f>
        <v>-10.8661391719591</v>
      </c>
      <c r="P736" s="56" t="n">
        <f aca="false">IF(L736=1,IF($B$21&lt;=N736,1,0),0)</f>
        <v>0</v>
      </c>
      <c r="Q736" s="58" t="n">
        <f aca="false">Q735+N736</f>
        <v>989.13386082804</v>
      </c>
    </row>
    <row r="737" customFormat="false" ht="15" hidden="false" customHeight="false" outlineLevel="0" collapsed="false">
      <c r="K737" s="56" t="n">
        <f aca="false">K736+1</f>
        <v>730</v>
      </c>
      <c r="L737" s="57" t="n">
        <f aca="false">IF(AND(K737&lt;=Assumptions!$C$42,L736=1,P736=0,O736&gt;Assumptions!$C$43),1,0)</f>
        <v>0</v>
      </c>
      <c r="M737" s="58" t="n">
        <f aca="false">O736</f>
        <v>-10.8661391719591</v>
      </c>
      <c r="N737" s="58" t="n">
        <f aca="false">IF(L737=1,M737*$B$20,0)</f>
        <v>0</v>
      </c>
      <c r="O737" s="58" t="n">
        <f aca="false">IF(L737=1,M737+N737-$B$21,M737)</f>
        <v>-10.8661391719591</v>
      </c>
      <c r="P737" s="56" t="n">
        <f aca="false">IF(L737=1,IF($B$21&lt;=N737,1,0),0)</f>
        <v>0</v>
      </c>
      <c r="Q737" s="58" t="n">
        <f aca="false">Q736+N737</f>
        <v>989.13386082804</v>
      </c>
    </row>
    <row r="738" customFormat="false" ht="15" hidden="false" customHeight="false" outlineLevel="0" collapsed="false">
      <c r="K738" s="56" t="n">
        <f aca="false">K737+1</f>
        <v>731</v>
      </c>
      <c r="L738" s="57" t="n">
        <f aca="false">IF(AND(K738&lt;=Assumptions!$C$42,L737=1,P737=0,O737&gt;Assumptions!$C$43),1,0)</f>
        <v>0</v>
      </c>
      <c r="M738" s="58" t="n">
        <f aca="false">O737</f>
        <v>-10.8661391719591</v>
      </c>
      <c r="N738" s="58" t="n">
        <f aca="false">IF(L738=1,M738*$B$20,0)</f>
        <v>0</v>
      </c>
      <c r="O738" s="58" t="n">
        <f aca="false">IF(L738=1,M738+N738-$B$21,M738)</f>
        <v>-10.8661391719591</v>
      </c>
      <c r="P738" s="56" t="n">
        <f aca="false">IF(L738=1,IF($B$21&lt;=N738,1,0),0)</f>
        <v>0</v>
      </c>
      <c r="Q738" s="58" t="n">
        <f aca="false">Q737+N738</f>
        <v>989.13386082804</v>
      </c>
    </row>
    <row r="739" customFormat="false" ht="15" hidden="false" customHeight="false" outlineLevel="0" collapsed="false">
      <c r="K739" s="56" t="n">
        <f aca="false">K738+1</f>
        <v>732</v>
      </c>
      <c r="L739" s="57" t="n">
        <f aca="false">IF(AND(K739&lt;=Assumptions!$C$42,L738=1,P738=0,O738&gt;Assumptions!$C$43),1,0)</f>
        <v>0</v>
      </c>
      <c r="M739" s="58" t="n">
        <f aca="false">O738</f>
        <v>-10.8661391719591</v>
      </c>
      <c r="N739" s="58" t="n">
        <f aca="false">IF(L739=1,M739*$B$20,0)</f>
        <v>0</v>
      </c>
      <c r="O739" s="58" t="n">
        <f aca="false">IF(L739=1,M739+N739-$B$21,M739)</f>
        <v>-10.8661391719591</v>
      </c>
      <c r="P739" s="56" t="n">
        <f aca="false">IF(L739=1,IF($B$21&lt;=N739,1,0),0)</f>
        <v>0</v>
      </c>
      <c r="Q739" s="58" t="n">
        <f aca="false">Q738+N739</f>
        <v>989.13386082804</v>
      </c>
    </row>
    <row r="740" customFormat="false" ht="15" hidden="false" customHeight="false" outlineLevel="0" collapsed="false">
      <c r="K740" s="56" t="n">
        <f aca="false">K739+1</f>
        <v>733</v>
      </c>
      <c r="L740" s="57" t="n">
        <f aca="false">IF(AND(K740&lt;=Assumptions!$C$42,L739=1,P739=0,O739&gt;Assumptions!$C$43),1,0)</f>
        <v>0</v>
      </c>
      <c r="M740" s="58" t="n">
        <f aca="false">O739</f>
        <v>-10.8661391719591</v>
      </c>
      <c r="N740" s="58" t="n">
        <f aca="false">IF(L740=1,M740*$B$20,0)</f>
        <v>0</v>
      </c>
      <c r="O740" s="58" t="n">
        <f aca="false">IF(L740=1,M740+N740-$B$21,M740)</f>
        <v>-10.8661391719591</v>
      </c>
      <c r="P740" s="56" t="n">
        <f aca="false">IF(L740=1,IF($B$21&lt;=N740,1,0),0)</f>
        <v>0</v>
      </c>
      <c r="Q740" s="58" t="n">
        <f aca="false">Q739+N740</f>
        <v>989.13386082804</v>
      </c>
    </row>
    <row r="741" customFormat="false" ht="15" hidden="false" customHeight="false" outlineLevel="0" collapsed="false">
      <c r="K741" s="56" t="n">
        <f aca="false">K740+1</f>
        <v>734</v>
      </c>
      <c r="L741" s="57" t="n">
        <f aca="false">IF(AND(K741&lt;=Assumptions!$C$42,L740=1,P740=0,O740&gt;Assumptions!$C$43),1,0)</f>
        <v>0</v>
      </c>
      <c r="M741" s="58" t="n">
        <f aca="false">O740</f>
        <v>-10.8661391719591</v>
      </c>
      <c r="N741" s="58" t="n">
        <f aca="false">IF(L741=1,M741*$B$20,0)</f>
        <v>0</v>
      </c>
      <c r="O741" s="58" t="n">
        <f aca="false">IF(L741=1,M741+N741-$B$21,M741)</f>
        <v>-10.8661391719591</v>
      </c>
      <c r="P741" s="56" t="n">
        <f aca="false">IF(L741=1,IF($B$21&lt;=N741,1,0),0)</f>
        <v>0</v>
      </c>
      <c r="Q741" s="58" t="n">
        <f aca="false">Q740+N741</f>
        <v>989.13386082804</v>
      </c>
    </row>
    <row r="742" customFormat="false" ht="15" hidden="false" customHeight="false" outlineLevel="0" collapsed="false">
      <c r="K742" s="56" t="n">
        <f aca="false">K741+1</f>
        <v>735</v>
      </c>
      <c r="L742" s="57" t="n">
        <f aca="false">IF(AND(K742&lt;=Assumptions!$C$42,L741=1,P741=0,O741&gt;Assumptions!$C$43),1,0)</f>
        <v>0</v>
      </c>
      <c r="M742" s="58" t="n">
        <f aca="false">O741</f>
        <v>-10.8661391719591</v>
      </c>
      <c r="N742" s="58" t="n">
        <f aca="false">IF(L742=1,M742*$B$20,0)</f>
        <v>0</v>
      </c>
      <c r="O742" s="58" t="n">
        <f aca="false">IF(L742=1,M742+N742-$B$21,M742)</f>
        <v>-10.8661391719591</v>
      </c>
      <c r="P742" s="56" t="n">
        <f aca="false">IF(L742=1,IF($B$21&lt;=N742,1,0),0)</f>
        <v>0</v>
      </c>
      <c r="Q742" s="58" t="n">
        <f aca="false">Q741+N742</f>
        <v>989.13386082804</v>
      </c>
    </row>
    <row r="743" customFormat="false" ht="15" hidden="false" customHeight="false" outlineLevel="0" collapsed="false">
      <c r="K743" s="56" t="n">
        <f aca="false">K742+1</f>
        <v>736</v>
      </c>
      <c r="L743" s="57" t="n">
        <f aca="false">IF(AND(K743&lt;=Assumptions!$C$42,L742=1,P742=0,O742&gt;Assumptions!$C$43),1,0)</f>
        <v>0</v>
      </c>
      <c r="M743" s="58" t="n">
        <f aca="false">O742</f>
        <v>-10.8661391719591</v>
      </c>
      <c r="N743" s="58" t="n">
        <f aca="false">IF(L743=1,M743*$B$20,0)</f>
        <v>0</v>
      </c>
      <c r="O743" s="58" t="n">
        <f aca="false">IF(L743=1,M743+N743-$B$21,M743)</f>
        <v>-10.8661391719591</v>
      </c>
      <c r="P743" s="56" t="n">
        <f aca="false">IF(L743=1,IF($B$21&lt;=N743,1,0),0)</f>
        <v>0</v>
      </c>
      <c r="Q743" s="58" t="n">
        <f aca="false">Q742+N743</f>
        <v>989.13386082804</v>
      </c>
    </row>
    <row r="744" customFormat="false" ht="15" hidden="false" customHeight="false" outlineLevel="0" collapsed="false">
      <c r="K744" s="56" t="n">
        <f aca="false">K743+1</f>
        <v>737</v>
      </c>
      <c r="L744" s="57" t="n">
        <f aca="false">IF(AND(K744&lt;=Assumptions!$C$42,L743=1,P743=0,O743&gt;Assumptions!$C$43),1,0)</f>
        <v>0</v>
      </c>
      <c r="M744" s="58" t="n">
        <f aca="false">O743</f>
        <v>-10.8661391719591</v>
      </c>
      <c r="N744" s="58" t="n">
        <f aca="false">IF(L744=1,M744*$B$20,0)</f>
        <v>0</v>
      </c>
      <c r="O744" s="58" t="n">
        <f aca="false">IF(L744=1,M744+N744-$B$21,M744)</f>
        <v>-10.8661391719591</v>
      </c>
      <c r="P744" s="56" t="n">
        <f aca="false">IF(L744=1,IF($B$21&lt;=N744,1,0),0)</f>
        <v>0</v>
      </c>
      <c r="Q744" s="58" t="n">
        <f aca="false">Q743+N744</f>
        <v>989.13386082804</v>
      </c>
    </row>
    <row r="745" customFormat="false" ht="15" hidden="false" customHeight="false" outlineLevel="0" collapsed="false">
      <c r="K745" s="56" t="n">
        <f aca="false">K744+1</f>
        <v>738</v>
      </c>
      <c r="L745" s="57" t="n">
        <f aca="false">IF(AND(K745&lt;=Assumptions!$C$42,L744=1,P744=0,O744&gt;Assumptions!$C$43),1,0)</f>
        <v>0</v>
      </c>
      <c r="M745" s="58" t="n">
        <f aca="false">O744</f>
        <v>-10.8661391719591</v>
      </c>
      <c r="N745" s="58" t="n">
        <f aca="false">IF(L745=1,M745*$B$20,0)</f>
        <v>0</v>
      </c>
      <c r="O745" s="58" t="n">
        <f aca="false">IF(L745=1,M745+N745-$B$21,M745)</f>
        <v>-10.8661391719591</v>
      </c>
      <c r="P745" s="56" t="n">
        <f aca="false">IF(L745=1,IF($B$21&lt;=N745,1,0),0)</f>
        <v>0</v>
      </c>
      <c r="Q745" s="58" t="n">
        <f aca="false">Q744+N745</f>
        <v>989.13386082804</v>
      </c>
    </row>
    <row r="746" customFormat="false" ht="15" hidden="false" customHeight="false" outlineLevel="0" collapsed="false">
      <c r="K746" s="56" t="n">
        <f aca="false">K745+1</f>
        <v>739</v>
      </c>
      <c r="L746" s="57" t="n">
        <f aca="false">IF(AND(K746&lt;=Assumptions!$C$42,L745=1,P745=0,O745&gt;Assumptions!$C$43),1,0)</f>
        <v>0</v>
      </c>
      <c r="M746" s="58" t="n">
        <f aca="false">O745</f>
        <v>-10.8661391719591</v>
      </c>
      <c r="N746" s="58" t="n">
        <f aca="false">IF(L746=1,M746*$B$20,0)</f>
        <v>0</v>
      </c>
      <c r="O746" s="58" t="n">
        <f aca="false">IF(L746=1,M746+N746-$B$21,M746)</f>
        <v>-10.8661391719591</v>
      </c>
      <c r="P746" s="56" t="n">
        <f aca="false">IF(L746=1,IF($B$21&lt;=N746,1,0),0)</f>
        <v>0</v>
      </c>
      <c r="Q746" s="58" t="n">
        <f aca="false">Q745+N746</f>
        <v>989.13386082804</v>
      </c>
    </row>
    <row r="747" customFormat="false" ht="15" hidden="false" customHeight="false" outlineLevel="0" collapsed="false">
      <c r="K747" s="56" t="n">
        <f aca="false">K746+1</f>
        <v>740</v>
      </c>
      <c r="L747" s="57" t="n">
        <f aca="false">IF(AND(K747&lt;=Assumptions!$C$42,L746=1,P746=0,O746&gt;Assumptions!$C$43),1,0)</f>
        <v>0</v>
      </c>
      <c r="M747" s="58" t="n">
        <f aca="false">O746</f>
        <v>-10.8661391719591</v>
      </c>
      <c r="N747" s="58" t="n">
        <f aca="false">IF(L747=1,M747*$B$20,0)</f>
        <v>0</v>
      </c>
      <c r="O747" s="58" t="n">
        <f aca="false">IF(L747=1,M747+N747-$B$21,M747)</f>
        <v>-10.8661391719591</v>
      </c>
      <c r="P747" s="56" t="n">
        <f aca="false">IF(L747=1,IF($B$21&lt;=N747,1,0),0)</f>
        <v>0</v>
      </c>
      <c r="Q747" s="58" t="n">
        <f aca="false">Q746+N747</f>
        <v>989.13386082804</v>
      </c>
    </row>
    <row r="748" customFormat="false" ht="15" hidden="false" customHeight="false" outlineLevel="0" collapsed="false">
      <c r="K748" s="56" t="n">
        <f aca="false">K747+1</f>
        <v>741</v>
      </c>
      <c r="L748" s="57" t="n">
        <f aca="false">IF(AND(K748&lt;=Assumptions!$C$42,L747=1,P747=0,O747&gt;Assumptions!$C$43),1,0)</f>
        <v>0</v>
      </c>
      <c r="M748" s="58" t="n">
        <f aca="false">O747</f>
        <v>-10.8661391719591</v>
      </c>
      <c r="N748" s="58" t="n">
        <f aca="false">IF(L748=1,M748*$B$20,0)</f>
        <v>0</v>
      </c>
      <c r="O748" s="58" t="n">
        <f aca="false">IF(L748=1,M748+N748-$B$21,M748)</f>
        <v>-10.8661391719591</v>
      </c>
      <c r="P748" s="56" t="n">
        <f aca="false">IF(L748=1,IF($B$21&lt;=N748,1,0),0)</f>
        <v>0</v>
      </c>
      <c r="Q748" s="58" t="n">
        <f aca="false">Q747+N748</f>
        <v>989.13386082804</v>
      </c>
    </row>
    <row r="749" customFormat="false" ht="15" hidden="false" customHeight="false" outlineLevel="0" collapsed="false">
      <c r="K749" s="56" t="n">
        <f aca="false">K748+1</f>
        <v>742</v>
      </c>
      <c r="L749" s="57" t="n">
        <f aca="false">IF(AND(K749&lt;=Assumptions!$C$42,L748=1,P748=0,O748&gt;Assumptions!$C$43),1,0)</f>
        <v>0</v>
      </c>
      <c r="M749" s="58" t="n">
        <f aca="false">O748</f>
        <v>-10.8661391719591</v>
      </c>
      <c r="N749" s="58" t="n">
        <f aca="false">IF(L749=1,M749*$B$20,0)</f>
        <v>0</v>
      </c>
      <c r="O749" s="58" t="n">
        <f aca="false">IF(L749=1,M749+N749-$B$21,M749)</f>
        <v>-10.8661391719591</v>
      </c>
      <c r="P749" s="56" t="n">
        <f aca="false">IF(L749=1,IF($B$21&lt;=N749,1,0),0)</f>
        <v>0</v>
      </c>
      <c r="Q749" s="58" t="n">
        <f aca="false">Q748+N749</f>
        <v>989.13386082804</v>
      </c>
    </row>
    <row r="750" customFormat="false" ht="15" hidden="false" customHeight="false" outlineLevel="0" collapsed="false">
      <c r="K750" s="56" t="n">
        <f aca="false">K749+1</f>
        <v>743</v>
      </c>
      <c r="L750" s="57" t="n">
        <f aca="false">IF(AND(K750&lt;=Assumptions!$C$42,L749=1,P749=0,O749&gt;Assumptions!$C$43),1,0)</f>
        <v>0</v>
      </c>
      <c r="M750" s="58" t="n">
        <f aca="false">O749</f>
        <v>-10.8661391719591</v>
      </c>
      <c r="N750" s="58" t="n">
        <f aca="false">IF(L750=1,M750*$B$20,0)</f>
        <v>0</v>
      </c>
      <c r="O750" s="58" t="n">
        <f aca="false">IF(L750=1,M750+N750-$B$21,M750)</f>
        <v>-10.8661391719591</v>
      </c>
      <c r="P750" s="56" t="n">
        <f aca="false">IF(L750=1,IF($B$21&lt;=N750,1,0),0)</f>
        <v>0</v>
      </c>
      <c r="Q750" s="58" t="n">
        <f aca="false">Q749+N750</f>
        <v>989.13386082804</v>
      </c>
    </row>
    <row r="751" customFormat="false" ht="15" hidden="false" customHeight="false" outlineLevel="0" collapsed="false">
      <c r="K751" s="56" t="n">
        <f aca="false">K750+1</f>
        <v>744</v>
      </c>
      <c r="L751" s="57" t="n">
        <f aca="false">IF(AND(K751&lt;=Assumptions!$C$42,L750=1,P750=0,O750&gt;Assumptions!$C$43),1,0)</f>
        <v>0</v>
      </c>
      <c r="M751" s="58" t="n">
        <f aca="false">O750</f>
        <v>-10.8661391719591</v>
      </c>
      <c r="N751" s="58" t="n">
        <f aca="false">IF(L751=1,M751*$B$20,0)</f>
        <v>0</v>
      </c>
      <c r="O751" s="58" t="n">
        <f aca="false">IF(L751=1,M751+N751-$B$21,M751)</f>
        <v>-10.8661391719591</v>
      </c>
      <c r="P751" s="56" t="n">
        <f aca="false">IF(L751=1,IF($B$21&lt;=N751,1,0),0)</f>
        <v>0</v>
      </c>
      <c r="Q751" s="58" t="n">
        <f aca="false">Q750+N751</f>
        <v>989.13386082804</v>
      </c>
    </row>
    <row r="752" customFormat="false" ht="15" hidden="false" customHeight="false" outlineLevel="0" collapsed="false">
      <c r="K752" s="56" t="n">
        <f aca="false">K751+1</f>
        <v>745</v>
      </c>
      <c r="L752" s="57" t="n">
        <f aca="false">IF(AND(K752&lt;=Assumptions!$C$42,L751=1,P751=0,O751&gt;Assumptions!$C$43),1,0)</f>
        <v>0</v>
      </c>
      <c r="M752" s="58" t="n">
        <f aca="false">O751</f>
        <v>-10.8661391719591</v>
      </c>
      <c r="N752" s="58" t="n">
        <f aca="false">IF(L752=1,M752*$B$20,0)</f>
        <v>0</v>
      </c>
      <c r="O752" s="58" t="n">
        <f aca="false">IF(L752=1,M752+N752-$B$21,M752)</f>
        <v>-10.8661391719591</v>
      </c>
      <c r="P752" s="56" t="n">
        <f aca="false">IF(L752=1,IF($B$21&lt;=N752,1,0),0)</f>
        <v>0</v>
      </c>
      <c r="Q752" s="58" t="n">
        <f aca="false">Q751+N752</f>
        <v>989.13386082804</v>
      </c>
    </row>
    <row r="753" customFormat="false" ht="15" hidden="false" customHeight="false" outlineLevel="0" collapsed="false">
      <c r="K753" s="56" t="n">
        <f aca="false">K752+1</f>
        <v>746</v>
      </c>
      <c r="L753" s="57" t="n">
        <f aca="false">IF(AND(K753&lt;=Assumptions!$C$42,L752=1,P752=0,O752&gt;Assumptions!$C$43),1,0)</f>
        <v>0</v>
      </c>
      <c r="M753" s="58" t="n">
        <f aca="false">O752</f>
        <v>-10.8661391719591</v>
      </c>
      <c r="N753" s="58" t="n">
        <f aca="false">IF(L753=1,M753*$B$20,0)</f>
        <v>0</v>
      </c>
      <c r="O753" s="58" t="n">
        <f aca="false">IF(L753=1,M753+N753-$B$21,M753)</f>
        <v>-10.8661391719591</v>
      </c>
      <c r="P753" s="56" t="n">
        <f aca="false">IF(L753=1,IF($B$21&lt;=N753,1,0),0)</f>
        <v>0</v>
      </c>
      <c r="Q753" s="58" t="n">
        <f aca="false">Q752+N753</f>
        <v>989.13386082804</v>
      </c>
    </row>
    <row r="754" customFormat="false" ht="15" hidden="false" customHeight="false" outlineLevel="0" collapsed="false">
      <c r="K754" s="56" t="n">
        <f aca="false">K753+1</f>
        <v>747</v>
      </c>
      <c r="L754" s="57" t="n">
        <f aca="false">IF(AND(K754&lt;=Assumptions!$C$42,L753=1,P753=0,O753&gt;Assumptions!$C$43),1,0)</f>
        <v>0</v>
      </c>
      <c r="M754" s="58" t="n">
        <f aca="false">O753</f>
        <v>-10.8661391719591</v>
      </c>
      <c r="N754" s="58" t="n">
        <f aca="false">IF(L754=1,M754*$B$20,0)</f>
        <v>0</v>
      </c>
      <c r="O754" s="58" t="n">
        <f aca="false">IF(L754=1,M754+N754-$B$21,M754)</f>
        <v>-10.8661391719591</v>
      </c>
      <c r="P754" s="56" t="n">
        <f aca="false">IF(L754=1,IF($B$21&lt;=N754,1,0),0)</f>
        <v>0</v>
      </c>
      <c r="Q754" s="58" t="n">
        <f aca="false">Q753+N754</f>
        <v>989.13386082804</v>
      </c>
    </row>
    <row r="755" customFormat="false" ht="15" hidden="false" customHeight="false" outlineLevel="0" collapsed="false">
      <c r="K755" s="56" t="n">
        <f aca="false">K754+1</f>
        <v>748</v>
      </c>
      <c r="L755" s="57" t="n">
        <f aca="false">IF(AND(K755&lt;=Assumptions!$C$42,L754=1,P754=0,O754&gt;Assumptions!$C$43),1,0)</f>
        <v>0</v>
      </c>
      <c r="M755" s="58" t="n">
        <f aca="false">O754</f>
        <v>-10.8661391719591</v>
      </c>
      <c r="N755" s="58" t="n">
        <f aca="false">IF(L755=1,M755*$B$20,0)</f>
        <v>0</v>
      </c>
      <c r="O755" s="58" t="n">
        <f aca="false">IF(L755=1,M755+N755-$B$21,M755)</f>
        <v>-10.8661391719591</v>
      </c>
      <c r="P755" s="56" t="n">
        <f aca="false">IF(L755=1,IF($B$21&lt;=N755,1,0),0)</f>
        <v>0</v>
      </c>
      <c r="Q755" s="58" t="n">
        <f aca="false">Q754+N755</f>
        <v>989.13386082804</v>
      </c>
    </row>
    <row r="756" customFormat="false" ht="15" hidden="false" customHeight="false" outlineLevel="0" collapsed="false">
      <c r="K756" s="56" t="n">
        <f aca="false">K755+1</f>
        <v>749</v>
      </c>
      <c r="L756" s="57" t="n">
        <f aca="false">IF(AND(K756&lt;=Assumptions!$C$42,L755=1,P755=0,O755&gt;Assumptions!$C$43),1,0)</f>
        <v>0</v>
      </c>
      <c r="M756" s="58" t="n">
        <f aca="false">O755</f>
        <v>-10.8661391719591</v>
      </c>
      <c r="N756" s="58" t="n">
        <f aca="false">IF(L756=1,M756*$B$20,0)</f>
        <v>0</v>
      </c>
      <c r="O756" s="58" t="n">
        <f aca="false">IF(L756=1,M756+N756-$B$21,M756)</f>
        <v>-10.8661391719591</v>
      </c>
      <c r="P756" s="56" t="n">
        <f aca="false">IF(L756=1,IF($B$21&lt;=N756,1,0),0)</f>
        <v>0</v>
      </c>
      <c r="Q756" s="58" t="n">
        <f aca="false">Q755+N756</f>
        <v>989.13386082804</v>
      </c>
    </row>
    <row r="757" customFormat="false" ht="15" hidden="false" customHeight="false" outlineLevel="0" collapsed="false">
      <c r="K757" s="56" t="n">
        <f aca="false">K756+1</f>
        <v>750</v>
      </c>
      <c r="L757" s="57" t="n">
        <f aca="false">IF(AND(K757&lt;=Assumptions!$C$42,L756=1,P756=0,O756&gt;Assumptions!$C$43),1,0)</f>
        <v>0</v>
      </c>
      <c r="M757" s="58" t="n">
        <f aca="false">O756</f>
        <v>-10.8661391719591</v>
      </c>
      <c r="N757" s="58" t="n">
        <f aca="false">IF(L757=1,M757*$B$20,0)</f>
        <v>0</v>
      </c>
      <c r="O757" s="58" t="n">
        <f aca="false">IF(L757=1,M757+N757-$B$21,M757)</f>
        <v>-10.8661391719591</v>
      </c>
      <c r="P757" s="56" t="n">
        <f aca="false">IF(L757=1,IF($B$21&lt;=N757,1,0),0)</f>
        <v>0</v>
      </c>
      <c r="Q757" s="58" t="n">
        <f aca="false">Q756+N757</f>
        <v>989.13386082804</v>
      </c>
    </row>
    <row r="758" customFormat="false" ht="15" hidden="false" customHeight="false" outlineLevel="0" collapsed="false">
      <c r="K758" s="56" t="n">
        <f aca="false">K757+1</f>
        <v>751</v>
      </c>
      <c r="L758" s="57" t="n">
        <f aca="false">IF(AND(K758&lt;=Assumptions!$C$42,L757=1,P757=0,O757&gt;Assumptions!$C$43),1,0)</f>
        <v>0</v>
      </c>
      <c r="M758" s="58" t="n">
        <f aca="false">O757</f>
        <v>-10.8661391719591</v>
      </c>
      <c r="N758" s="58" t="n">
        <f aca="false">IF(L758=1,M758*$B$20,0)</f>
        <v>0</v>
      </c>
      <c r="O758" s="58" t="n">
        <f aca="false">IF(L758=1,M758+N758-$B$21,M758)</f>
        <v>-10.8661391719591</v>
      </c>
      <c r="P758" s="56" t="n">
        <f aca="false">IF(L758=1,IF($B$21&lt;=N758,1,0),0)</f>
        <v>0</v>
      </c>
      <c r="Q758" s="58" t="n">
        <f aca="false">Q757+N758</f>
        <v>989.13386082804</v>
      </c>
    </row>
    <row r="759" customFormat="false" ht="15" hidden="false" customHeight="false" outlineLevel="0" collapsed="false">
      <c r="K759" s="56" t="n">
        <f aca="false">K758+1</f>
        <v>752</v>
      </c>
      <c r="L759" s="57" t="n">
        <f aca="false">IF(AND(K759&lt;=Assumptions!$C$42,L758=1,P758=0,O758&gt;Assumptions!$C$43),1,0)</f>
        <v>0</v>
      </c>
      <c r="M759" s="58" t="n">
        <f aca="false">O758</f>
        <v>-10.8661391719591</v>
      </c>
      <c r="N759" s="58" t="n">
        <f aca="false">IF(L759=1,M759*$B$20,0)</f>
        <v>0</v>
      </c>
      <c r="O759" s="58" t="n">
        <f aca="false">IF(L759=1,M759+N759-$B$21,M759)</f>
        <v>-10.8661391719591</v>
      </c>
      <c r="P759" s="56" t="n">
        <f aca="false">IF(L759=1,IF($B$21&lt;=N759,1,0),0)</f>
        <v>0</v>
      </c>
      <c r="Q759" s="58" t="n">
        <f aca="false">Q758+N759</f>
        <v>989.13386082804</v>
      </c>
    </row>
    <row r="760" customFormat="false" ht="15" hidden="false" customHeight="false" outlineLevel="0" collapsed="false">
      <c r="K760" s="56" t="n">
        <f aca="false">K759+1</f>
        <v>753</v>
      </c>
      <c r="L760" s="57" t="n">
        <f aca="false">IF(AND(K760&lt;=Assumptions!$C$42,L759=1,P759=0,O759&gt;Assumptions!$C$43),1,0)</f>
        <v>0</v>
      </c>
      <c r="M760" s="58" t="n">
        <f aca="false">O759</f>
        <v>-10.8661391719591</v>
      </c>
      <c r="N760" s="58" t="n">
        <f aca="false">IF(L760=1,M760*$B$20,0)</f>
        <v>0</v>
      </c>
      <c r="O760" s="58" t="n">
        <f aca="false">IF(L760=1,M760+N760-$B$21,M760)</f>
        <v>-10.8661391719591</v>
      </c>
      <c r="P760" s="56" t="n">
        <f aca="false">IF(L760=1,IF($B$21&lt;=N760,1,0),0)</f>
        <v>0</v>
      </c>
      <c r="Q760" s="58" t="n">
        <f aca="false">Q759+N760</f>
        <v>989.13386082804</v>
      </c>
    </row>
    <row r="761" customFormat="false" ht="15" hidden="false" customHeight="false" outlineLevel="0" collapsed="false">
      <c r="K761" s="56" t="n">
        <f aca="false">K760+1</f>
        <v>754</v>
      </c>
      <c r="L761" s="57" t="n">
        <f aca="false">IF(AND(K761&lt;=Assumptions!$C$42,L760=1,P760=0,O760&gt;Assumptions!$C$43),1,0)</f>
        <v>0</v>
      </c>
      <c r="M761" s="58" t="n">
        <f aca="false">O760</f>
        <v>-10.8661391719591</v>
      </c>
      <c r="N761" s="58" t="n">
        <f aca="false">IF(L761=1,M761*$B$20,0)</f>
        <v>0</v>
      </c>
      <c r="O761" s="58" t="n">
        <f aca="false">IF(L761=1,M761+N761-$B$21,M761)</f>
        <v>-10.8661391719591</v>
      </c>
      <c r="P761" s="56" t="n">
        <f aca="false">IF(L761=1,IF($B$21&lt;=N761,1,0),0)</f>
        <v>0</v>
      </c>
      <c r="Q761" s="58" t="n">
        <f aca="false">Q760+N761</f>
        <v>989.13386082804</v>
      </c>
    </row>
    <row r="762" customFormat="false" ht="15" hidden="false" customHeight="false" outlineLevel="0" collapsed="false">
      <c r="K762" s="56" t="n">
        <f aca="false">K761+1</f>
        <v>755</v>
      </c>
      <c r="L762" s="57" t="n">
        <f aca="false">IF(AND(K762&lt;=Assumptions!$C$42,L761=1,P761=0,O761&gt;Assumptions!$C$43),1,0)</f>
        <v>0</v>
      </c>
      <c r="M762" s="58" t="n">
        <f aca="false">O761</f>
        <v>-10.8661391719591</v>
      </c>
      <c r="N762" s="58" t="n">
        <f aca="false">IF(L762=1,M762*$B$20,0)</f>
        <v>0</v>
      </c>
      <c r="O762" s="58" t="n">
        <f aca="false">IF(L762=1,M762+N762-$B$21,M762)</f>
        <v>-10.8661391719591</v>
      </c>
      <c r="P762" s="56" t="n">
        <f aca="false">IF(L762=1,IF($B$21&lt;=N762,1,0),0)</f>
        <v>0</v>
      </c>
      <c r="Q762" s="58" t="n">
        <f aca="false">Q761+N762</f>
        <v>989.13386082804</v>
      </c>
    </row>
    <row r="763" customFormat="false" ht="15" hidden="false" customHeight="false" outlineLevel="0" collapsed="false">
      <c r="K763" s="56" t="n">
        <f aca="false">K762+1</f>
        <v>756</v>
      </c>
      <c r="L763" s="57" t="n">
        <f aca="false">IF(AND(K763&lt;=Assumptions!$C$42,L762=1,P762=0,O762&gt;Assumptions!$C$43),1,0)</f>
        <v>0</v>
      </c>
      <c r="M763" s="58" t="n">
        <f aca="false">O762</f>
        <v>-10.8661391719591</v>
      </c>
      <c r="N763" s="58" t="n">
        <f aca="false">IF(L763=1,M763*$B$20,0)</f>
        <v>0</v>
      </c>
      <c r="O763" s="58" t="n">
        <f aca="false">IF(L763=1,M763+N763-$B$21,M763)</f>
        <v>-10.8661391719591</v>
      </c>
      <c r="P763" s="56" t="n">
        <f aca="false">IF(L763=1,IF($B$21&lt;=N763,1,0),0)</f>
        <v>0</v>
      </c>
      <c r="Q763" s="58" t="n">
        <f aca="false">Q762+N763</f>
        <v>989.13386082804</v>
      </c>
    </row>
    <row r="764" customFormat="false" ht="15" hidden="false" customHeight="false" outlineLevel="0" collapsed="false">
      <c r="K764" s="56" t="n">
        <f aca="false">K763+1</f>
        <v>757</v>
      </c>
      <c r="L764" s="57" t="n">
        <f aca="false">IF(AND(K764&lt;=Assumptions!$C$42,L763=1,P763=0,O763&gt;Assumptions!$C$43),1,0)</f>
        <v>0</v>
      </c>
      <c r="M764" s="58" t="n">
        <f aca="false">O763</f>
        <v>-10.8661391719591</v>
      </c>
      <c r="N764" s="58" t="n">
        <f aca="false">IF(L764=1,M764*$B$20,0)</f>
        <v>0</v>
      </c>
      <c r="O764" s="58" t="n">
        <f aca="false">IF(L764=1,M764+N764-$B$21,M764)</f>
        <v>-10.8661391719591</v>
      </c>
      <c r="P764" s="56" t="n">
        <f aca="false">IF(L764=1,IF($B$21&lt;=N764,1,0),0)</f>
        <v>0</v>
      </c>
      <c r="Q764" s="58" t="n">
        <f aca="false">Q763+N764</f>
        <v>989.13386082804</v>
      </c>
    </row>
    <row r="765" customFormat="false" ht="15" hidden="false" customHeight="false" outlineLevel="0" collapsed="false">
      <c r="K765" s="56" t="n">
        <f aca="false">K764+1</f>
        <v>758</v>
      </c>
      <c r="L765" s="57" t="n">
        <f aca="false">IF(AND(K765&lt;=Assumptions!$C$42,L764=1,P764=0,O764&gt;Assumptions!$C$43),1,0)</f>
        <v>0</v>
      </c>
      <c r="M765" s="58" t="n">
        <f aca="false">O764</f>
        <v>-10.8661391719591</v>
      </c>
      <c r="N765" s="58" t="n">
        <f aca="false">IF(L765=1,M765*$B$20,0)</f>
        <v>0</v>
      </c>
      <c r="O765" s="58" t="n">
        <f aca="false">IF(L765=1,M765+N765-$B$21,M765)</f>
        <v>-10.8661391719591</v>
      </c>
      <c r="P765" s="56" t="n">
        <f aca="false">IF(L765=1,IF($B$21&lt;=N765,1,0),0)</f>
        <v>0</v>
      </c>
      <c r="Q765" s="58" t="n">
        <f aca="false">Q764+N765</f>
        <v>989.13386082804</v>
      </c>
    </row>
    <row r="766" customFormat="false" ht="15" hidden="false" customHeight="false" outlineLevel="0" collapsed="false">
      <c r="K766" s="56" t="n">
        <f aca="false">K765+1</f>
        <v>759</v>
      </c>
      <c r="L766" s="57" t="n">
        <f aca="false">IF(AND(K766&lt;=Assumptions!$C$42,L765=1,P765=0,O765&gt;Assumptions!$C$43),1,0)</f>
        <v>0</v>
      </c>
      <c r="M766" s="58" t="n">
        <f aca="false">O765</f>
        <v>-10.8661391719591</v>
      </c>
      <c r="N766" s="58" t="n">
        <f aca="false">IF(L766=1,M766*$B$20,0)</f>
        <v>0</v>
      </c>
      <c r="O766" s="58" t="n">
        <f aca="false">IF(L766=1,M766+N766-$B$21,M766)</f>
        <v>-10.8661391719591</v>
      </c>
      <c r="P766" s="56" t="n">
        <f aca="false">IF(L766=1,IF($B$21&lt;=N766,1,0),0)</f>
        <v>0</v>
      </c>
      <c r="Q766" s="58" t="n">
        <f aca="false">Q765+N766</f>
        <v>989.13386082804</v>
      </c>
    </row>
    <row r="767" customFormat="false" ht="15" hidden="false" customHeight="false" outlineLevel="0" collapsed="false">
      <c r="K767" s="56" t="n">
        <f aca="false">K766+1</f>
        <v>760</v>
      </c>
      <c r="L767" s="57" t="n">
        <f aca="false">IF(AND(K767&lt;=Assumptions!$C$42,L766=1,P766=0,O766&gt;Assumptions!$C$43),1,0)</f>
        <v>0</v>
      </c>
      <c r="M767" s="58" t="n">
        <f aca="false">O766</f>
        <v>-10.8661391719591</v>
      </c>
      <c r="N767" s="58" t="n">
        <f aca="false">IF(L767=1,M767*$B$20,0)</f>
        <v>0</v>
      </c>
      <c r="O767" s="58" t="n">
        <f aca="false">IF(L767=1,M767+N767-$B$21,M767)</f>
        <v>-10.8661391719591</v>
      </c>
      <c r="P767" s="56" t="n">
        <f aca="false">IF(L767=1,IF($B$21&lt;=N767,1,0),0)</f>
        <v>0</v>
      </c>
      <c r="Q767" s="58" t="n">
        <f aca="false">Q766+N767</f>
        <v>989.13386082804</v>
      </c>
    </row>
    <row r="768" customFormat="false" ht="15" hidden="false" customHeight="false" outlineLevel="0" collapsed="false">
      <c r="K768" s="56" t="n">
        <f aca="false">K767+1</f>
        <v>761</v>
      </c>
      <c r="L768" s="57" t="n">
        <f aca="false">IF(AND(K768&lt;=Assumptions!$C$42,L767=1,P767=0,O767&gt;Assumptions!$C$43),1,0)</f>
        <v>0</v>
      </c>
      <c r="M768" s="58" t="n">
        <f aca="false">O767</f>
        <v>-10.8661391719591</v>
      </c>
      <c r="N768" s="58" t="n">
        <f aca="false">IF(L768=1,M768*$B$20,0)</f>
        <v>0</v>
      </c>
      <c r="O768" s="58" t="n">
        <f aca="false">IF(L768=1,M768+N768-$B$21,M768)</f>
        <v>-10.8661391719591</v>
      </c>
      <c r="P768" s="56" t="n">
        <f aca="false">IF(L768=1,IF($B$21&lt;=N768,1,0),0)</f>
        <v>0</v>
      </c>
      <c r="Q768" s="58" t="n">
        <f aca="false">Q767+N768</f>
        <v>989.13386082804</v>
      </c>
    </row>
    <row r="769" customFormat="false" ht="15" hidden="false" customHeight="false" outlineLevel="0" collapsed="false">
      <c r="K769" s="56" t="n">
        <f aca="false">K768+1</f>
        <v>762</v>
      </c>
      <c r="L769" s="57" t="n">
        <f aca="false">IF(AND(K769&lt;=Assumptions!$C$42,L768=1,P768=0,O768&gt;Assumptions!$C$43),1,0)</f>
        <v>0</v>
      </c>
      <c r="M769" s="58" t="n">
        <f aca="false">O768</f>
        <v>-10.8661391719591</v>
      </c>
      <c r="N769" s="58" t="n">
        <f aca="false">IF(L769=1,M769*$B$20,0)</f>
        <v>0</v>
      </c>
      <c r="O769" s="58" t="n">
        <f aca="false">IF(L769=1,M769+N769-$B$21,M769)</f>
        <v>-10.8661391719591</v>
      </c>
      <c r="P769" s="56" t="n">
        <f aca="false">IF(L769=1,IF($B$21&lt;=N769,1,0),0)</f>
        <v>0</v>
      </c>
      <c r="Q769" s="58" t="n">
        <f aca="false">Q768+N769</f>
        <v>989.13386082804</v>
      </c>
    </row>
    <row r="770" customFormat="false" ht="15" hidden="false" customHeight="false" outlineLevel="0" collapsed="false">
      <c r="K770" s="56" t="n">
        <f aca="false">K769+1</f>
        <v>763</v>
      </c>
      <c r="L770" s="57" t="n">
        <f aca="false">IF(AND(K770&lt;=Assumptions!$C$42,L769=1,P769=0,O769&gt;Assumptions!$C$43),1,0)</f>
        <v>0</v>
      </c>
      <c r="M770" s="58" t="n">
        <f aca="false">O769</f>
        <v>-10.8661391719591</v>
      </c>
      <c r="N770" s="58" t="n">
        <f aca="false">IF(L770=1,M770*$B$20,0)</f>
        <v>0</v>
      </c>
      <c r="O770" s="58" t="n">
        <f aca="false">IF(L770=1,M770+N770-$B$21,M770)</f>
        <v>-10.8661391719591</v>
      </c>
      <c r="P770" s="56" t="n">
        <f aca="false">IF(L770=1,IF($B$21&lt;=N770,1,0),0)</f>
        <v>0</v>
      </c>
      <c r="Q770" s="58" t="n">
        <f aca="false">Q769+N770</f>
        <v>989.13386082804</v>
      </c>
    </row>
    <row r="771" customFormat="false" ht="15" hidden="false" customHeight="false" outlineLevel="0" collapsed="false">
      <c r="K771" s="56" t="n">
        <f aca="false">K770+1</f>
        <v>764</v>
      </c>
      <c r="L771" s="57" t="n">
        <f aca="false">IF(AND(K771&lt;=Assumptions!$C$42,L770=1,P770=0,O770&gt;Assumptions!$C$43),1,0)</f>
        <v>0</v>
      </c>
      <c r="M771" s="58" t="n">
        <f aca="false">O770</f>
        <v>-10.8661391719591</v>
      </c>
      <c r="N771" s="58" t="n">
        <f aca="false">IF(L771=1,M771*$B$20,0)</f>
        <v>0</v>
      </c>
      <c r="O771" s="58" t="n">
        <f aca="false">IF(L771=1,M771+N771-$B$21,M771)</f>
        <v>-10.8661391719591</v>
      </c>
      <c r="P771" s="56" t="n">
        <f aca="false">IF(L771=1,IF($B$21&lt;=N771,1,0),0)</f>
        <v>0</v>
      </c>
      <c r="Q771" s="58" t="n">
        <f aca="false">Q770+N771</f>
        <v>989.13386082804</v>
      </c>
    </row>
    <row r="772" customFormat="false" ht="15" hidden="false" customHeight="false" outlineLevel="0" collapsed="false">
      <c r="K772" s="56" t="n">
        <f aca="false">K771+1</f>
        <v>765</v>
      </c>
      <c r="L772" s="57" t="n">
        <f aca="false">IF(AND(K772&lt;=Assumptions!$C$42,L771=1,P771=0,O771&gt;Assumptions!$C$43),1,0)</f>
        <v>0</v>
      </c>
      <c r="M772" s="58" t="n">
        <f aca="false">O771</f>
        <v>-10.8661391719591</v>
      </c>
      <c r="N772" s="58" t="n">
        <f aca="false">IF(L772=1,M772*$B$20,0)</f>
        <v>0</v>
      </c>
      <c r="O772" s="58" t="n">
        <f aca="false">IF(L772=1,M772+N772-$B$21,M772)</f>
        <v>-10.8661391719591</v>
      </c>
      <c r="P772" s="56" t="n">
        <f aca="false">IF(L772=1,IF($B$21&lt;=N772,1,0),0)</f>
        <v>0</v>
      </c>
      <c r="Q772" s="58" t="n">
        <f aca="false">Q771+N772</f>
        <v>989.13386082804</v>
      </c>
    </row>
    <row r="773" customFormat="false" ht="15" hidden="false" customHeight="false" outlineLevel="0" collapsed="false">
      <c r="K773" s="56" t="n">
        <f aca="false">K772+1</f>
        <v>766</v>
      </c>
      <c r="L773" s="57" t="n">
        <f aca="false">IF(AND(K773&lt;=Assumptions!$C$42,L772=1,P772=0,O772&gt;Assumptions!$C$43),1,0)</f>
        <v>0</v>
      </c>
      <c r="M773" s="58" t="n">
        <f aca="false">O772</f>
        <v>-10.8661391719591</v>
      </c>
      <c r="N773" s="58" t="n">
        <f aca="false">IF(L773=1,M773*$B$20,0)</f>
        <v>0</v>
      </c>
      <c r="O773" s="58" t="n">
        <f aca="false">IF(L773=1,M773+N773-$B$21,M773)</f>
        <v>-10.8661391719591</v>
      </c>
      <c r="P773" s="56" t="n">
        <f aca="false">IF(L773=1,IF($B$21&lt;=N773,1,0),0)</f>
        <v>0</v>
      </c>
      <c r="Q773" s="58" t="n">
        <f aca="false">Q772+N773</f>
        <v>989.13386082804</v>
      </c>
    </row>
    <row r="774" customFormat="false" ht="15" hidden="false" customHeight="false" outlineLevel="0" collapsed="false">
      <c r="K774" s="56" t="n">
        <f aca="false">K773+1</f>
        <v>767</v>
      </c>
      <c r="L774" s="57" t="n">
        <f aca="false">IF(AND(K774&lt;=Assumptions!$C$42,L773=1,P773=0,O773&gt;Assumptions!$C$43),1,0)</f>
        <v>0</v>
      </c>
      <c r="M774" s="58" t="n">
        <f aca="false">O773</f>
        <v>-10.8661391719591</v>
      </c>
      <c r="N774" s="58" t="n">
        <f aca="false">IF(L774=1,M774*$B$20,0)</f>
        <v>0</v>
      </c>
      <c r="O774" s="58" t="n">
        <f aca="false">IF(L774=1,M774+N774-$B$21,M774)</f>
        <v>-10.8661391719591</v>
      </c>
      <c r="P774" s="56" t="n">
        <f aca="false">IF(L774=1,IF($B$21&lt;=N774,1,0),0)</f>
        <v>0</v>
      </c>
      <c r="Q774" s="58" t="n">
        <f aca="false">Q773+N774</f>
        <v>989.13386082804</v>
      </c>
    </row>
    <row r="775" customFormat="false" ht="15" hidden="false" customHeight="false" outlineLevel="0" collapsed="false">
      <c r="K775" s="56" t="n">
        <f aca="false">K774+1</f>
        <v>768</v>
      </c>
      <c r="L775" s="57" t="n">
        <f aca="false">IF(AND(K775&lt;=Assumptions!$C$42,L774=1,P774=0,O774&gt;Assumptions!$C$43),1,0)</f>
        <v>0</v>
      </c>
      <c r="M775" s="58" t="n">
        <f aca="false">O774</f>
        <v>-10.8661391719591</v>
      </c>
      <c r="N775" s="58" t="n">
        <f aca="false">IF(L775=1,M775*$B$20,0)</f>
        <v>0</v>
      </c>
      <c r="O775" s="58" t="n">
        <f aca="false">IF(L775=1,M775+N775-$B$21,M775)</f>
        <v>-10.8661391719591</v>
      </c>
      <c r="P775" s="56" t="n">
        <f aca="false">IF(L775=1,IF($B$21&lt;=N775,1,0),0)</f>
        <v>0</v>
      </c>
      <c r="Q775" s="58" t="n">
        <f aca="false">Q774+N775</f>
        <v>989.13386082804</v>
      </c>
    </row>
    <row r="776" customFormat="false" ht="15" hidden="false" customHeight="false" outlineLevel="0" collapsed="false">
      <c r="K776" s="56" t="n">
        <f aca="false">K775+1</f>
        <v>769</v>
      </c>
      <c r="L776" s="57" t="n">
        <f aca="false">IF(AND(K776&lt;=Assumptions!$C$42,L775=1,P775=0,O775&gt;Assumptions!$C$43),1,0)</f>
        <v>0</v>
      </c>
      <c r="M776" s="58" t="n">
        <f aca="false">O775</f>
        <v>-10.8661391719591</v>
      </c>
      <c r="N776" s="58" t="n">
        <f aca="false">IF(L776=1,M776*$B$20,0)</f>
        <v>0</v>
      </c>
      <c r="O776" s="58" t="n">
        <f aca="false">IF(L776=1,M776+N776-$B$21,M776)</f>
        <v>-10.8661391719591</v>
      </c>
      <c r="P776" s="56" t="n">
        <f aca="false">IF(L776=1,IF($B$21&lt;=N776,1,0),0)</f>
        <v>0</v>
      </c>
      <c r="Q776" s="58" t="n">
        <f aca="false">Q775+N776</f>
        <v>989.13386082804</v>
      </c>
    </row>
    <row r="777" customFormat="false" ht="15" hidden="false" customHeight="false" outlineLevel="0" collapsed="false">
      <c r="K777" s="56" t="n">
        <f aca="false">K776+1</f>
        <v>770</v>
      </c>
      <c r="L777" s="57" t="n">
        <f aca="false">IF(AND(K777&lt;=Assumptions!$C$42,L776=1,P776=0,O776&gt;Assumptions!$C$43),1,0)</f>
        <v>0</v>
      </c>
      <c r="M777" s="58" t="n">
        <f aca="false">O776</f>
        <v>-10.8661391719591</v>
      </c>
      <c r="N777" s="58" t="n">
        <f aca="false">IF(L777=1,M777*$B$20,0)</f>
        <v>0</v>
      </c>
      <c r="O777" s="58" t="n">
        <f aca="false">IF(L777=1,M777+N777-$B$21,M777)</f>
        <v>-10.8661391719591</v>
      </c>
      <c r="P777" s="56" t="n">
        <f aca="false">IF(L777=1,IF($B$21&lt;=N777,1,0),0)</f>
        <v>0</v>
      </c>
      <c r="Q777" s="58" t="n">
        <f aca="false">Q776+N777</f>
        <v>989.13386082804</v>
      </c>
    </row>
    <row r="778" customFormat="false" ht="15" hidden="false" customHeight="false" outlineLevel="0" collapsed="false">
      <c r="K778" s="56" t="n">
        <f aca="false">K777+1</f>
        <v>771</v>
      </c>
      <c r="L778" s="57" t="n">
        <f aca="false">IF(AND(K778&lt;=Assumptions!$C$42,L777=1,P777=0,O777&gt;Assumptions!$C$43),1,0)</f>
        <v>0</v>
      </c>
      <c r="M778" s="58" t="n">
        <f aca="false">O777</f>
        <v>-10.8661391719591</v>
      </c>
      <c r="N778" s="58" t="n">
        <f aca="false">IF(L778=1,M778*$B$20,0)</f>
        <v>0</v>
      </c>
      <c r="O778" s="58" t="n">
        <f aca="false">IF(L778=1,M778+N778-$B$21,M778)</f>
        <v>-10.8661391719591</v>
      </c>
      <c r="P778" s="56" t="n">
        <f aca="false">IF(L778=1,IF($B$21&lt;=N778,1,0),0)</f>
        <v>0</v>
      </c>
      <c r="Q778" s="58" t="n">
        <f aca="false">Q777+N778</f>
        <v>989.13386082804</v>
      </c>
    </row>
    <row r="779" customFormat="false" ht="15" hidden="false" customHeight="false" outlineLevel="0" collapsed="false">
      <c r="K779" s="56" t="n">
        <f aca="false">K778+1</f>
        <v>772</v>
      </c>
      <c r="L779" s="57" t="n">
        <f aca="false">IF(AND(K779&lt;=Assumptions!$C$42,L778=1,P778=0,O778&gt;Assumptions!$C$43),1,0)</f>
        <v>0</v>
      </c>
      <c r="M779" s="58" t="n">
        <f aca="false">O778</f>
        <v>-10.8661391719591</v>
      </c>
      <c r="N779" s="58" t="n">
        <f aca="false">IF(L779=1,M779*$B$20,0)</f>
        <v>0</v>
      </c>
      <c r="O779" s="58" t="n">
        <f aca="false">IF(L779=1,M779+N779-$B$21,M779)</f>
        <v>-10.8661391719591</v>
      </c>
      <c r="P779" s="56" t="n">
        <f aca="false">IF(L779=1,IF($B$21&lt;=N779,1,0),0)</f>
        <v>0</v>
      </c>
      <c r="Q779" s="58" t="n">
        <f aca="false">Q778+N779</f>
        <v>989.13386082804</v>
      </c>
    </row>
    <row r="780" customFormat="false" ht="15" hidden="false" customHeight="false" outlineLevel="0" collapsed="false">
      <c r="K780" s="56" t="n">
        <f aca="false">K779+1</f>
        <v>773</v>
      </c>
      <c r="L780" s="57" t="n">
        <f aca="false">IF(AND(K780&lt;=Assumptions!$C$42,L779=1,P779=0,O779&gt;Assumptions!$C$43),1,0)</f>
        <v>0</v>
      </c>
      <c r="M780" s="58" t="n">
        <f aca="false">O779</f>
        <v>-10.8661391719591</v>
      </c>
      <c r="N780" s="58" t="n">
        <f aca="false">IF(L780=1,M780*$B$20,0)</f>
        <v>0</v>
      </c>
      <c r="O780" s="58" t="n">
        <f aca="false">IF(L780=1,M780+N780-$B$21,M780)</f>
        <v>-10.8661391719591</v>
      </c>
      <c r="P780" s="56" t="n">
        <f aca="false">IF(L780=1,IF($B$21&lt;=N780,1,0),0)</f>
        <v>0</v>
      </c>
      <c r="Q780" s="58" t="n">
        <f aca="false">Q779+N780</f>
        <v>989.13386082804</v>
      </c>
    </row>
    <row r="781" customFormat="false" ht="15" hidden="false" customHeight="false" outlineLevel="0" collapsed="false">
      <c r="K781" s="56" t="n">
        <f aca="false">K780+1</f>
        <v>774</v>
      </c>
      <c r="L781" s="57" t="n">
        <f aca="false">IF(AND(K781&lt;=Assumptions!$C$42,L780=1,P780=0,O780&gt;Assumptions!$C$43),1,0)</f>
        <v>0</v>
      </c>
      <c r="M781" s="58" t="n">
        <f aca="false">O780</f>
        <v>-10.8661391719591</v>
      </c>
      <c r="N781" s="58" t="n">
        <f aca="false">IF(L781=1,M781*$B$20,0)</f>
        <v>0</v>
      </c>
      <c r="O781" s="58" t="n">
        <f aca="false">IF(L781=1,M781+N781-$B$21,M781)</f>
        <v>-10.8661391719591</v>
      </c>
      <c r="P781" s="56" t="n">
        <f aca="false">IF(L781=1,IF($B$21&lt;=N781,1,0),0)</f>
        <v>0</v>
      </c>
      <c r="Q781" s="58" t="n">
        <f aca="false">Q780+N781</f>
        <v>989.13386082804</v>
      </c>
    </row>
    <row r="782" customFormat="false" ht="15" hidden="false" customHeight="false" outlineLevel="0" collapsed="false">
      <c r="K782" s="56" t="n">
        <f aca="false">K781+1</f>
        <v>775</v>
      </c>
      <c r="L782" s="57" t="n">
        <f aca="false">IF(AND(K782&lt;=Assumptions!$C$42,L781=1,P781=0,O781&gt;Assumptions!$C$43),1,0)</f>
        <v>0</v>
      </c>
      <c r="M782" s="58" t="n">
        <f aca="false">O781</f>
        <v>-10.8661391719591</v>
      </c>
      <c r="N782" s="58" t="n">
        <f aca="false">IF(L782=1,M782*$B$20,0)</f>
        <v>0</v>
      </c>
      <c r="O782" s="58" t="n">
        <f aca="false">IF(L782=1,M782+N782-$B$21,M782)</f>
        <v>-10.8661391719591</v>
      </c>
      <c r="P782" s="56" t="n">
        <f aca="false">IF(L782=1,IF($B$21&lt;=N782,1,0),0)</f>
        <v>0</v>
      </c>
      <c r="Q782" s="58" t="n">
        <f aca="false">Q781+N782</f>
        <v>989.13386082804</v>
      </c>
    </row>
    <row r="783" customFormat="false" ht="15" hidden="false" customHeight="false" outlineLevel="0" collapsed="false">
      <c r="K783" s="56" t="n">
        <f aca="false">K782+1</f>
        <v>776</v>
      </c>
      <c r="L783" s="57" t="n">
        <f aca="false">IF(AND(K783&lt;=Assumptions!$C$42,L782=1,P782=0,O782&gt;Assumptions!$C$43),1,0)</f>
        <v>0</v>
      </c>
      <c r="M783" s="58" t="n">
        <f aca="false">O782</f>
        <v>-10.8661391719591</v>
      </c>
      <c r="N783" s="58" t="n">
        <f aca="false">IF(L783=1,M783*$B$20,0)</f>
        <v>0</v>
      </c>
      <c r="O783" s="58" t="n">
        <f aca="false">IF(L783=1,M783+N783-$B$21,M783)</f>
        <v>-10.8661391719591</v>
      </c>
      <c r="P783" s="56" t="n">
        <f aca="false">IF(L783=1,IF($B$21&lt;=N783,1,0),0)</f>
        <v>0</v>
      </c>
      <c r="Q783" s="58" t="n">
        <f aca="false">Q782+N783</f>
        <v>989.13386082804</v>
      </c>
    </row>
    <row r="784" customFormat="false" ht="15" hidden="false" customHeight="false" outlineLevel="0" collapsed="false">
      <c r="K784" s="56" t="n">
        <f aca="false">K783+1</f>
        <v>777</v>
      </c>
      <c r="L784" s="57" t="n">
        <f aca="false">IF(AND(K784&lt;=Assumptions!$C$42,L783=1,P783=0,O783&gt;Assumptions!$C$43),1,0)</f>
        <v>0</v>
      </c>
      <c r="M784" s="58" t="n">
        <f aca="false">O783</f>
        <v>-10.8661391719591</v>
      </c>
      <c r="N784" s="58" t="n">
        <f aca="false">IF(L784=1,M784*$B$20,0)</f>
        <v>0</v>
      </c>
      <c r="O784" s="58" t="n">
        <f aca="false">IF(L784=1,M784+N784-$B$21,M784)</f>
        <v>-10.8661391719591</v>
      </c>
      <c r="P784" s="56" t="n">
        <f aca="false">IF(L784=1,IF($B$21&lt;=N784,1,0),0)</f>
        <v>0</v>
      </c>
      <c r="Q784" s="58" t="n">
        <f aca="false">Q783+N784</f>
        <v>989.13386082804</v>
      </c>
    </row>
    <row r="785" customFormat="false" ht="15" hidden="false" customHeight="false" outlineLevel="0" collapsed="false">
      <c r="K785" s="56" t="n">
        <f aca="false">K784+1</f>
        <v>778</v>
      </c>
      <c r="L785" s="57" t="n">
        <f aca="false">IF(AND(K785&lt;=Assumptions!$C$42,L784=1,P784=0,O784&gt;Assumptions!$C$43),1,0)</f>
        <v>0</v>
      </c>
      <c r="M785" s="58" t="n">
        <f aca="false">O784</f>
        <v>-10.8661391719591</v>
      </c>
      <c r="N785" s="58" t="n">
        <f aca="false">IF(L785=1,M785*$B$20,0)</f>
        <v>0</v>
      </c>
      <c r="O785" s="58" t="n">
        <f aca="false">IF(L785=1,M785+N785-$B$21,M785)</f>
        <v>-10.8661391719591</v>
      </c>
      <c r="P785" s="56" t="n">
        <f aca="false">IF(L785=1,IF($B$21&lt;=N785,1,0),0)</f>
        <v>0</v>
      </c>
      <c r="Q785" s="58" t="n">
        <f aca="false">Q784+N785</f>
        <v>989.13386082804</v>
      </c>
    </row>
    <row r="786" customFormat="false" ht="15" hidden="false" customHeight="false" outlineLevel="0" collapsed="false">
      <c r="K786" s="56" t="n">
        <f aca="false">K785+1</f>
        <v>779</v>
      </c>
      <c r="L786" s="57" t="n">
        <f aca="false">IF(AND(K786&lt;=Assumptions!$C$42,L785=1,P785=0,O785&gt;Assumptions!$C$43),1,0)</f>
        <v>0</v>
      </c>
      <c r="M786" s="58" t="n">
        <f aca="false">O785</f>
        <v>-10.8661391719591</v>
      </c>
      <c r="N786" s="58" t="n">
        <f aca="false">IF(L786=1,M786*$B$20,0)</f>
        <v>0</v>
      </c>
      <c r="O786" s="58" t="n">
        <f aca="false">IF(L786=1,M786+N786-$B$21,M786)</f>
        <v>-10.8661391719591</v>
      </c>
      <c r="P786" s="56" t="n">
        <f aca="false">IF(L786=1,IF($B$21&lt;=N786,1,0),0)</f>
        <v>0</v>
      </c>
      <c r="Q786" s="58" t="n">
        <f aca="false">Q785+N786</f>
        <v>989.13386082804</v>
      </c>
    </row>
    <row r="787" customFormat="false" ht="15" hidden="false" customHeight="false" outlineLevel="0" collapsed="false">
      <c r="K787" s="56" t="n">
        <f aca="false">K786+1</f>
        <v>780</v>
      </c>
      <c r="L787" s="57" t="n">
        <f aca="false">IF(AND(K787&lt;=Assumptions!$C$42,L786=1,P786=0,O786&gt;Assumptions!$C$43),1,0)</f>
        <v>0</v>
      </c>
      <c r="M787" s="58" t="n">
        <f aca="false">O786</f>
        <v>-10.8661391719591</v>
      </c>
      <c r="N787" s="58" t="n">
        <f aca="false">IF(L787=1,M787*$B$20,0)</f>
        <v>0</v>
      </c>
      <c r="O787" s="58" t="n">
        <f aca="false">IF(L787=1,M787+N787-$B$21,M787)</f>
        <v>-10.8661391719591</v>
      </c>
      <c r="P787" s="56" t="n">
        <f aca="false">IF(L787=1,IF($B$21&lt;=N787,1,0),0)</f>
        <v>0</v>
      </c>
      <c r="Q787" s="58" t="n">
        <f aca="false">Q786+N787</f>
        <v>989.13386082804</v>
      </c>
    </row>
    <row r="788" customFormat="false" ht="15" hidden="false" customHeight="false" outlineLevel="0" collapsed="false">
      <c r="K788" s="56" t="n">
        <f aca="false">K787+1</f>
        <v>781</v>
      </c>
      <c r="L788" s="57" t="n">
        <f aca="false">IF(AND(K788&lt;=Assumptions!$C$42,L787=1,P787=0,O787&gt;Assumptions!$C$43),1,0)</f>
        <v>0</v>
      </c>
      <c r="M788" s="58" t="n">
        <f aca="false">O787</f>
        <v>-10.8661391719591</v>
      </c>
      <c r="N788" s="58" t="n">
        <f aca="false">IF(L788=1,M788*$B$20,0)</f>
        <v>0</v>
      </c>
      <c r="O788" s="58" t="n">
        <f aca="false">IF(L788=1,M788+N788-$B$21,M788)</f>
        <v>-10.8661391719591</v>
      </c>
      <c r="P788" s="56" t="n">
        <f aca="false">IF(L788=1,IF($B$21&lt;=N788,1,0),0)</f>
        <v>0</v>
      </c>
      <c r="Q788" s="58" t="n">
        <f aca="false">Q787+N788</f>
        <v>989.13386082804</v>
      </c>
    </row>
    <row r="789" customFormat="false" ht="15" hidden="false" customHeight="false" outlineLevel="0" collapsed="false">
      <c r="K789" s="56" t="n">
        <f aca="false">K788+1</f>
        <v>782</v>
      </c>
      <c r="L789" s="57" t="n">
        <f aca="false">IF(AND(K789&lt;=Assumptions!$C$42,L788=1,P788=0,O788&gt;Assumptions!$C$43),1,0)</f>
        <v>0</v>
      </c>
      <c r="M789" s="58" t="n">
        <f aca="false">O788</f>
        <v>-10.8661391719591</v>
      </c>
      <c r="N789" s="58" t="n">
        <f aca="false">IF(L789=1,M789*$B$20,0)</f>
        <v>0</v>
      </c>
      <c r="O789" s="58" t="n">
        <f aca="false">IF(L789=1,M789+N789-$B$21,M789)</f>
        <v>-10.8661391719591</v>
      </c>
      <c r="P789" s="56" t="n">
        <f aca="false">IF(L789=1,IF($B$21&lt;=N789,1,0),0)</f>
        <v>0</v>
      </c>
      <c r="Q789" s="58" t="n">
        <f aca="false">Q788+N789</f>
        <v>989.13386082804</v>
      </c>
    </row>
    <row r="790" customFormat="false" ht="15" hidden="false" customHeight="false" outlineLevel="0" collapsed="false">
      <c r="K790" s="56" t="n">
        <f aca="false">K789+1</f>
        <v>783</v>
      </c>
      <c r="L790" s="57" t="n">
        <f aca="false">IF(AND(K790&lt;=Assumptions!$C$42,L789=1,P789=0,O789&gt;Assumptions!$C$43),1,0)</f>
        <v>0</v>
      </c>
      <c r="M790" s="58" t="n">
        <f aca="false">O789</f>
        <v>-10.8661391719591</v>
      </c>
      <c r="N790" s="58" t="n">
        <f aca="false">IF(L790=1,M790*$B$20,0)</f>
        <v>0</v>
      </c>
      <c r="O790" s="58" t="n">
        <f aca="false">IF(L790=1,M790+N790-$B$21,M790)</f>
        <v>-10.8661391719591</v>
      </c>
      <c r="P790" s="56" t="n">
        <f aca="false">IF(L790=1,IF($B$21&lt;=N790,1,0),0)</f>
        <v>0</v>
      </c>
      <c r="Q790" s="58" t="n">
        <f aca="false">Q789+N790</f>
        <v>989.13386082804</v>
      </c>
    </row>
    <row r="791" customFormat="false" ht="15" hidden="false" customHeight="false" outlineLevel="0" collapsed="false">
      <c r="K791" s="56" t="n">
        <f aca="false">K790+1</f>
        <v>784</v>
      </c>
      <c r="L791" s="57" t="n">
        <f aca="false">IF(AND(K791&lt;=Assumptions!$C$42,L790=1,P790=0,O790&gt;Assumptions!$C$43),1,0)</f>
        <v>0</v>
      </c>
      <c r="M791" s="58" t="n">
        <f aca="false">O790</f>
        <v>-10.8661391719591</v>
      </c>
      <c r="N791" s="58" t="n">
        <f aca="false">IF(L791=1,M791*$B$20,0)</f>
        <v>0</v>
      </c>
      <c r="O791" s="58" t="n">
        <f aca="false">IF(L791=1,M791+N791-$B$21,M791)</f>
        <v>-10.8661391719591</v>
      </c>
      <c r="P791" s="56" t="n">
        <f aca="false">IF(L791=1,IF($B$21&lt;=N791,1,0),0)</f>
        <v>0</v>
      </c>
      <c r="Q791" s="58" t="n">
        <f aca="false">Q790+N791</f>
        <v>989.13386082804</v>
      </c>
    </row>
    <row r="792" customFormat="false" ht="15" hidden="false" customHeight="false" outlineLevel="0" collapsed="false">
      <c r="K792" s="56" t="n">
        <f aca="false">K791+1</f>
        <v>785</v>
      </c>
      <c r="L792" s="57" t="n">
        <f aca="false">IF(AND(K792&lt;=Assumptions!$C$42,L791=1,P791=0,O791&gt;Assumptions!$C$43),1,0)</f>
        <v>0</v>
      </c>
      <c r="M792" s="58" t="n">
        <f aca="false">O791</f>
        <v>-10.8661391719591</v>
      </c>
      <c r="N792" s="58" t="n">
        <f aca="false">IF(L792=1,M792*$B$20,0)</f>
        <v>0</v>
      </c>
      <c r="O792" s="58" t="n">
        <f aca="false">IF(L792=1,M792+N792-$B$21,M792)</f>
        <v>-10.8661391719591</v>
      </c>
      <c r="P792" s="56" t="n">
        <f aca="false">IF(L792=1,IF($B$21&lt;=N792,1,0),0)</f>
        <v>0</v>
      </c>
      <c r="Q792" s="58" t="n">
        <f aca="false">Q791+N792</f>
        <v>989.13386082804</v>
      </c>
    </row>
    <row r="793" customFormat="false" ht="15" hidden="false" customHeight="false" outlineLevel="0" collapsed="false">
      <c r="K793" s="56" t="n">
        <f aca="false">K792+1</f>
        <v>786</v>
      </c>
      <c r="L793" s="57" t="n">
        <f aca="false">IF(AND(K793&lt;=Assumptions!$C$42,L792=1,P792=0,O792&gt;Assumptions!$C$43),1,0)</f>
        <v>0</v>
      </c>
      <c r="M793" s="58" t="n">
        <f aca="false">O792</f>
        <v>-10.8661391719591</v>
      </c>
      <c r="N793" s="58" t="n">
        <f aca="false">IF(L793=1,M793*$B$20,0)</f>
        <v>0</v>
      </c>
      <c r="O793" s="58" t="n">
        <f aca="false">IF(L793=1,M793+N793-$B$21,M793)</f>
        <v>-10.8661391719591</v>
      </c>
      <c r="P793" s="56" t="n">
        <f aca="false">IF(L793=1,IF($B$21&lt;=N793,1,0),0)</f>
        <v>0</v>
      </c>
      <c r="Q793" s="58" t="n">
        <f aca="false">Q792+N793</f>
        <v>989.13386082804</v>
      </c>
    </row>
    <row r="794" customFormat="false" ht="15" hidden="false" customHeight="false" outlineLevel="0" collapsed="false">
      <c r="K794" s="56" t="n">
        <f aca="false">K793+1</f>
        <v>787</v>
      </c>
      <c r="L794" s="57" t="n">
        <f aca="false">IF(AND(K794&lt;=Assumptions!$C$42,L793=1,P793=0,O793&gt;Assumptions!$C$43),1,0)</f>
        <v>0</v>
      </c>
      <c r="M794" s="58" t="n">
        <f aca="false">O793</f>
        <v>-10.8661391719591</v>
      </c>
      <c r="N794" s="58" t="n">
        <f aca="false">IF(L794=1,M794*$B$20,0)</f>
        <v>0</v>
      </c>
      <c r="O794" s="58" t="n">
        <f aca="false">IF(L794=1,M794+N794-$B$21,M794)</f>
        <v>-10.8661391719591</v>
      </c>
      <c r="P794" s="56" t="n">
        <f aca="false">IF(L794=1,IF($B$21&lt;=N794,1,0),0)</f>
        <v>0</v>
      </c>
      <c r="Q794" s="58" t="n">
        <f aca="false">Q793+N794</f>
        <v>989.13386082804</v>
      </c>
    </row>
    <row r="795" customFormat="false" ht="15" hidden="false" customHeight="false" outlineLevel="0" collapsed="false">
      <c r="K795" s="56" t="n">
        <f aca="false">K794+1</f>
        <v>788</v>
      </c>
      <c r="L795" s="57" t="n">
        <f aca="false">IF(AND(K795&lt;=Assumptions!$C$42,L794=1,P794=0,O794&gt;Assumptions!$C$43),1,0)</f>
        <v>0</v>
      </c>
      <c r="M795" s="58" t="n">
        <f aca="false">O794</f>
        <v>-10.8661391719591</v>
      </c>
      <c r="N795" s="58" t="n">
        <f aca="false">IF(L795=1,M795*$B$20,0)</f>
        <v>0</v>
      </c>
      <c r="O795" s="58" t="n">
        <f aca="false">IF(L795=1,M795+N795-$B$21,M795)</f>
        <v>-10.8661391719591</v>
      </c>
      <c r="P795" s="56" t="n">
        <f aca="false">IF(L795=1,IF($B$21&lt;=N795,1,0),0)</f>
        <v>0</v>
      </c>
      <c r="Q795" s="58" t="n">
        <f aca="false">Q794+N795</f>
        <v>989.13386082804</v>
      </c>
    </row>
    <row r="796" customFormat="false" ht="15" hidden="false" customHeight="false" outlineLevel="0" collapsed="false">
      <c r="K796" s="56" t="n">
        <f aca="false">K795+1</f>
        <v>789</v>
      </c>
      <c r="L796" s="57" t="n">
        <f aca="false">IF(AND(K796&lt;=Assumptions!$C$42,L795=1,P795=0,O795&gt;Assumptions!$C$43),1,0)</f>
        <v>0</v>
      </c>
      <c r="M796" s="58" t="n">
        <f aca="false">O795</f>
        <v>-10.8661391719591</v>
      </c>
      <c r="N796" s="58" t="n">
        <f aca="false">IF(L796=1,M796*$B$20,0)</f>
        <v>0</v>
      </c>
      <c r="O796" s="58" t="n">
        <f aca="false">IF(L796=1,M796+N796-$B$21,M796)</f>
        <v>-10.8661391719591</v>
      </c>
      <c r="P796" s="56" t="n">
        <f aca="false">IF(L796=1,IF($B$21&lt;=N796,1,0),0)</f>
        <v>0</v>
      </c>
      <c r="Q796" s="58" t="n">
        <f aca="false">Q795+N796</f>
        <v>989.13386082804</v>
      </c>
    </row>
    <row r="797" customFormat="false" ht="15" hidden="false" customHeight="false" outlineLevel="0" collapsed="false">
      <c r="K797" s="56" t="n">
        <f aca="false">K796+1</f>
        <v>790</v>
      </c>
      <c r="L797" s="57" t="n">
        <f aca="false">IF(AND(K797&lt;=Assumptions!$C$42,L796=1,P796=0,O796&gt;Assumptions!$C$43),1,0)</f>
        <v>0</v>
      </c>
      <c r="M797" s="58" t="n">
        <f aca="false">O796</f>
        <v>-10.8661391719591</v>
      </c>
      <c r="N797" s="58" t="n">
        <f aca="false">IF(L797=1,M797*$B$20,0)</f>
        <v>0</v>
      </c>
      <c r="O797" s="58" t="n">
        <f aca="false">IF(L797=1,M797+N797-$B$21,M797)</f>
        <v>-10.8661391719591</v>
      </c>
      <c r="P797" s="56" t="n">
        <f aca="false">IF(L797=1,IF($B$21&lt;=N797,1,0),0)</f>
        <v>0</v>
      </c>
      <c r="Q797" s="58" t="n">
        <f aca="false">Q796+N797</f>
        <v>989.13386082804</v>
      </c>
    </row>
    <row r="798" customFormat="false" ht="15" hidden="false" customHeight="false" outlineLevel="0" collapsed="false">
      <c r="K798" s="56" t="n">
        <f aca="false">K797+1</f>
        <v>791</v>
      </c>
      <c r="L798" s="57" t="n">
        <f aca="false">IF(AND(K798&lt;=Assumptions!$C$42,L797=1,P797=0,O797&gt;Assumptions!$C$43),1,0)</f>
        <v>0</v>
      </c>
      <c r="M798" s="58" t="n">
        <f aca="false">O797</f>
        <v>-10.8661391719591</v>
      </c>
      <c r="N798" s="58" t="n">
        <f aca="false">IF(L798=1,M798*$B$20,0)</f>
        <v>0</v>
      </c>
      <c r="O798" s="58" t="n">
        <f aca="false">IF(L798=1,M798+N798-$B$21,M798)</f>
        <v>-10.8661391719591</v>
      </c>
      <c r="P798" s="56" t="n">
        <f aca="false">IF(L798=1,IF($B$21&lt;=N798,1,0),0)</f>
        <v>0</v>
      </c>
      <c r="Q798" s="58" t="n">
        <f aca="false">Q797+N798</f>
        <v>989.13386082804</v>
      </c>
    </row>
    <row r="799" customFormat="false" ht="15" hidden="false" customHeight="false" outlineLevel="0" collapsed="false">
      <c r="K799" s="56" t="n">
        <f aca="false">K798+1</f>
        <v>792</v>
      </c>
      <c r="L799" s="57" t="n">
        <f aca="false">IF(AND(K799&lt;=Assumptions!$C$42,L798=1,P798=0,O798&gt;Assumptions!$C$43),1,0)</f>
        <v>0</v>
      </c>
      <c r="M799" s="58" t="n">
        <f aca="false">O798</f>
        <v>-10.8661391719591</v>
      </c>
      <c r="N799" s="58" t="n">
        <f aca="false">IF(L799=1,M799*$B$20,0)</f>
        <v>0</v>
      </c>
      <c r="O799" s="58" t="n">
        <f aca="false">IF(L799=1,M799+N799-$B$21,M799)</f>
        <v>-10.8661391719591</v>
      </c>
      <c r="P799" s="56" t="n">
        <f aca="false">IF(L799=1,IF($B$21&lt;=N799,1,0),0)</f>
        <v>0</v>
      </c>
      <c r="Q799" s="58" t="n">
        <f aca="false">Q798+N799</f>
        <v>989.13386082804</v>
      </c>
    </row>
    <row r="800" customFormat="false" ht="15" hidden="false" customHeight="false" outlineLevel="0" collapsed="false">
      <c r="K800" s="56" t="n">
        <f aca="false">K799+1</f>
        <v>793</v>
      </c>
      <c r="L800" s="57" t="n">
        <f aca="false">IF(AND(K800&lt;=Assumptions!$C$42,L799=1,P799=0,O799&gt;Assumptions!$C$43),1,0)</f>
        <v>0</v>
      </c>
      <c r="M800" s="58" t="n">
        <f aca="false">O799</f>
        <v>-10.8661391719591</v>
      </c>
      <c r="N800" s="58" t="n">
        <f aca="false">IF(L800=1,M800*$B$20,0)</f>
        <v>0</v>
      </c>
      <c r="O800" s="58" t="n">
        <f aca="false">IF(L800=1,M800+N800-$B$21,M800)</f>
        <v>-10.8661391719591</v>
      </c>
      <c r="P800" s="56" t="n">
        <f aca="false">IF(L800=1,IF($B$21&lt;=N800,1,0),0)</f>
        <v>0</v>
      </c>
      <c r="Q800" s="58" t="n">
        <f aca="false">Q799+N800</f>
        <v>989.13386082804</v>
      </c>
    </row>
    <row r="801" customFormat="false" ht="15" hidden="false" customHeight="false" outlineLevel="0" collapsed="false">
      <c r="K801" s="56" t="n">
        <f aca="false">K800+1</f>
        <v>794</v>
      </c>
      <c r="L801" s="57" t="n">
        <f aca="false">IF(AND(K801&lt;=Assumptions!$C$42,L800=1,P800=0,O800&gt;Assumptions!$C$43),1,0)</f>
        <v>0</v>
      </c>
      <c r="M801" s="58" t="n">
        <f aca="false">O800</f>
        <v>-10.8661391719591</v>
      </c>
      <c r="N801" s="58" t="n">
        <f aca="false">IF(L801=1,M801*$B$20,0)</f>
        <v>0</v>
      </c>
      <c r="O801" s="58" t="n">
        <f aca="false">IF(L801=1,M801+N801-$B$21,M801)</f>
        <v>-10.8661391719591</v>
      </c>
      <c r="P801" s="56" t="n">
        <f aca="false">IF(L801=1,IF($B$21&lt;=N801,1,0),0)</f>
        <v>0</v>
      </c>
      <c r="Q801" s="58" t="n">
        <f aca="false">Q800+N801</f>
        <v>989.13386082804</v>
      </c>
    </row>
    <row r="802" customFormat="false" ht="15" hidden="false" customHeight="false" outlineLevel="0" collapsed="false">
      <c r="K802" s="56" t="n">
        <f aca="false">K801+1</f>
        <v>795</v>
      </c>
      <c r="L802" s="57" t="n">
        <f aca="false">IF(AND(K802&lt;=Assumptions!$C$42,L801=1,P801=0,O801&gt;Assumptions!$C$43),1,0)</f>
        <v>0</v>
      </c>
      <c r="M802" s="58" t="n">
        <f aca="false">O801</f>
        <v>-10.8661391719591</v>
      </c>
      <c r="N802" s="58" t="n">
        <f aca="false">IF(L802=1,M802*$B$20,0)</f>
        <v>0</v>
      </c>
      <c r="O802" s="58" t="n">
        <f aca="false">IF(L802=1,M802+N802-$B$21,M802)</f>
        <v>-10.8661391719591</v>
      </c>
      <c r="P802" s="56" t="n">
        <f aca="false">IF(L802=1,IF($B$21&lt;=N802,1,0),0)</f>
        <v>0</v>
      </c>
      <c r="Q802" s="58" t="n">
        <f aca="false">Q801+N802</f>
        <v>989.13386082804</v>
      </c>
    </row>
    <row r="803" customFormat="false" ht="15" hidden="false" customHeight="false" outlineLevel="0" collapsed="false">
      <c r="K803" s="56" t="n">
        <f aca="false">K802+1</f>
        <v>796</v>
      </c>
      <c r="L803" s="57" t="n">
        <f aca="false">IF(AND(K803&lt;=Assumptions!$C$42,L802=1,P802=0,O802&gt;Assumptions!$C$43),1,0)</f>
        <v>0</v>
      </c>
      <c r="M803" s="58" t="n">
        <f aca="false">O802</f>
        <v>-10.8661391719591</v>
      </c>
      <c r="N803" s="58" t="n">
        <f aca="false">IF(L803=1,M803*$B$20,0)</f>
        <v>0</v>
      </c>
      <c r="O803" s="58" t="n">
        <f aca="false">IF(L803=1,M803+N803-$B$21,M803)</f>
        <v>-10.8661391719591</v>
      </c>
      <c r="P803" s="56" t="n">
        <f aca="false">IF(L803=1,IF($B$21&lt;=N803,1,0),0)</f>
        <v>0</v>
      </c>
      <c r="Q803" s="58" t="n">
        <f aca="false">Q802+N803</f>
        <v>989.13386082804</v>
      </c>
    </row>
    <row r="804" customFormat="false" ht="15" hidden="false" customHeight="false" outlineLevel="0" collapsed="false">
      <c r="K804" s="56" t="n">
        <f aca="false">K803+1</f>
        <v>797</v>
      </c>
      <c r="L804" s="57" t="n">
        <f aca="false">IF(AND(K804&lt;=Assumptions!$C$42,L803=1,P803=0,O803&gt;Assumptions!$C$43),1,0)</f>
        <v>0</v>
      </c>
      <c r="M804" s="58" t="n">
        <f aca="false">O803</f>
        <v>-10.8661391719591</v>
      </c>
      <c r="N804" s="58" t="n">
        <f aca="false">IF(L804=1,M804*$B$20,0)</f>
        <v>0</v>
      </c>
      <c r="O804" s="58" t="n">
        <f aca="false">IF(L804=1,M804+N804-$B$21,M804)</f>
        <v>-10.8661391719591</v>
      </c>
      <c r="P804" s="56" t="n">
        <f aca="false">IF(L804=1,IF($B$21&lt;=N804,1,0),0)</f>
        <v>0</v>
      </c>
      <c r="Q804" s="58" t="n">
        <f aca="false">Q803+N804</f>
        <v>989.13386082804</v>
      </c>
    </row>
    <row r="805" customFormat="false" ht="15" hidden="false" customHeight="false" outlineLevel="0" collapsed="false">
      <c r="K805" s="56" t="n">
        <f aca="false">K804+1</f>
        <v>798</v>
      </c>
      <c r="L805" s="57" t="n">
        <f aca="false">IF(AND(K805&lt;=Assumptions!$C$42,L804=1,P804=0,O804&gt;Assumptions!$C$43),1,0)</f>
        <v>0</v>
      </c>
      <c r="M805" s="58" t="n">
        <f aca="false">O804</f>
        <v>-10.8661391719591</v>
      </c>
      <c r="N805" s="58" t="n">
        <f aca="false">IF(L805=1,M805*$B$20,0)</f>
        <v>0</v>
      </c>
      <c r="O805" s="58" t="n">
        <f aca="false">IF(L805=1,M805+N805-$B$21,M805)</f>
        <v>-10.8661391719591</v>
      </c>
      <c r="P805" s="56" t="n">
        <f aca="false">IF(L805=1,IF($B$21&lt;=N805,1,0),0)</f>
        <v>0</v>
      </c>
      <c r="Q805" s="58" t="n">
        <f aca="false">Q804+N805</f>
        <v>989.13386082804</v>
      </c>
    </row>
    <row r="806" customFormat="false" ht="15" hidden="false" customHeight="false" outlineLevel="0" collapsed="false">
      <c r="K806" s="56" t="n">
        <f aca="false">K805+1</f>
        <v>799</v>
      </c>
      <c r="L806" s="57" t="n">
        <f aca="false">IF(AND(K806&lt;=Assumptions!$C$42,L805=1,P805=0,O805&gt;Assumptions!$C$43),1,0)</f>
        <v>0</v>
      </c>
      <c r="M806" s="58" t="n">
        <f aca="false">O805</f>
        <v>-10.8661391719591</v>
      </c>
      <c r="N806" s="58" t="n">
        <f aca="false">IF(L806=1,M806*$B$20,0)</f>
        <v>0</v>
      </c>
      <c r="O806" s="58" t="n">
        <f aca="false">IF(L806=1,M806+N806-$B$21,M806)</f>
        <v>-10.8661391719591</v>
      </c>
      <c r="P806" s="56" t="n">
        <f aca="false">IF(L806=1,IF($B$21&lt;=N806,1,0),0)</f>
        <v>0</v>
      </c>
      <c r="Q806" s="58" t="n">
        <f aca="false">Q805+N806</f>
        <v>989.13386082804</v>
      </c>
    </row>
    <row r="807" customFormat="false" ht="15" hidden="false" customHeight="false" outlineLevel="0" collapsed="false">
      <c r="K807" s="56" t="n">
        <f aca="false">K806+1</f>
        <v>800</v>
      </c>
      <c r="L807" s="57" t="n">
        <f aca="false">IF(AND(K807&lt;=Assumptions!$C$42,L806=1,P806=0,O806&gt;Assumptions!$C$43),1,0)</f>
        <v>0</v>
      </c>
      <c r="M807" s="58" t="n">
        <f aca="false">O806</f>
        <v>-10.8661391719591</v>
      </c>
      <c r="N807" s="58" t="n">
        <f aca="false">IF(L807=1,M807*$B$20,0)</f>
        <v>0</v>
      </c>
      <c r="O807" s="58" t="n">
        <f aca="false">IF(L807=1,M807+N807-$B$21,M807)</f>
        <v>-10.8661391719591</v>
      </c>
      <c r="P807" s="56" t="n">
        <f aca="false">IF(L807=1,IF($B$21&lt;=N807,1,0),0)</f>
        <v>0</v>
      </c>
      <c r="Q807" s="58" t="n">
        <f aca="false">Q806+N807</f>
        <v>989.13386082804</v>
      </c>
    </row>
    <row r="808" customFormat="false" ht="15" hidden="false" customHeight="false" outlineLevel="0" collapsed="false">
      <c r="K808" s="56" t="n">
        <f aca="false">K807+1</f>
        <v>801</v>
      </c>
      <c r="L808" s="57" t="n">
        <f aca="false">IF(AND(K808&lt;=Assumptions!$C$42,L807=1,P807=0,O807&gt;Assumptions!$C$43),1,0)</f>
        <v>0</v>
      </c>
      <c r="M808" s="58" t="n">
        <f aca="false">O807</f>
        <v>-10.8661391719591</v>
      </c>
      <c r="N808" s="58" t="n">
        <f aca="false">IF(L808=1,M808*$B$20,0)</f>
        <v>0</v>
      </c>
      <c r="O808" s="58" t="n">
        <f aca="false">IF(L808=1,M808+N808-$B$21,M808)</f>
        <v>-10.8661391719591</v>
      </c>
      <c r="P808" s="56" t="n">
        <f aca="false">IF(L808=1,IF($B$21&lt;=N808,1,0),0)</f>
        <v>0</v>
      </c>
      <c r="Q808" s="58" t="n">
        <f aca="false">Q807+N808</f>
        <v>989.13386082804</v>
      </c>
    </row>
    <row r="809" customFormat="false" ht="15" hidden="false" customHeight="false" outlineLevel="0" collapsed="false">
      <c r="K809" s="56" t="n">
        <f aca="false">K808+1</f>
        <v>802</v>
      </c>
      <c r="L809" s="57" t="n">
        <f aca="false">IF(AND(K809&lt;=Assumptions!$C$42,L808=1,P808=0,O808&gt;Assumptions!$C$43),1,0)</f>
        <v>0</v>
      </c>
      <c r="M809" s="58" t="n">
        <f aca="false">O808</f>
        <v>-10.8661391719591</v>
      </c>
      <c r="N809" s="58" t="n">
        <f aca="false">IF(L809=1,M809*$B$20,0)</f>
        <v>0</v>
      </c>
      <c r="O809" s="58" t="n">
        <f aca="false">IF(L809=1,M809+N809-$B$21,M809)</f>
        <v>-10.8661391719591</v>
      </c>
      <c r="P809" s="56" t="n">
        <f aca="false">IF(L809=1,IF($B$21&lt;=N809,1,0),0)</f>
        <v>0</v>
      </c>
      <c r="Q809" s="58" t="n">
        <f aca="false">Q808+N809</f>
        <v>989.13386082804</v>
      </c>
    </row>
    <row r="810" customFormat="false" ht="15" hidden="false" customHeight="false" outlineLevel="0" collapsed="false">
      <c r="K810" s="56" t="n">
        <f aca="false">K809+1</f>
        <v>803</v>
      </c>
      <c r="L810" s="57" t="n">
        <f aca="false">IF(AND(K810&lt;=Assumptions!$C$42,L809=1,P809=0,O809&gt;Assumptions!$C$43),1,0)</f>
        <v>0</v>
      </c>
      <c r="M810" s="58" t="n">
        <f aca="false">O809</f>
        <v>-10.8661391719591</v>
      </c>
      <c r="N810" s="58" t="n">
        <f aca="false">IF(L810=1,M810*$B$20,0)</f>
        <v>0</v>
      </c>
      <c r="O810" s="58" t="n">
        <f aca="false">IF(L810=1,M810+N810-$B$21,M810)</f>
        <v>-10.8661391719591</v>
      </c>
      <c r="P810" s="56" t="n">
        <f aca="false">IF(L810=1,IF($B$21&lt;=N810,1,0),0)</f>
        <v>0</v>
      </c>
      <c r="Q810" s="58" t="n">
        <f aca="false">Q809+N810</f>
        <v>989.13386082804</v>
      </c>
    </row>
    <row r="811" customFormat="false" ht="15" hidden="false" customHeight="false" outlineLevel="0" collapsed="false">
      <c r="K811" s="56" t="n">
        <f aca="false">K810+1</f>
        <v>804</v>
      </c>
      <c r="L811" s="57" t="n">
        <f aca="false">IF(AND(K811&lt;=Assumptions!$C$42,L810=1,P810=0,O810&gt;Assumptions!$C$43),1,0)</f>
        <v>0</v>
      </c>
      <c r="M811" s="58" t="n">
        <f aca="false">O810</f>
        <v>-10.8661391719591</v>
      </c>
      <c r="N811" s="58" t="n">
        <f aca="false">IF(L811=1,M811*$B$20,0)</f>
        <v>0</v>
      </c>
      <c r="O811" s="58" t="n">
        <f aca="false">IF(L811=1,M811+N811-$B$21,M811)</f>
        <v>-10.8661391719591</v>
      </c>
      <c r="P811" s="56" t="n">
        <f aca="false">IF(L811=1,IF($B$21&lt;=N811,1,0),0)</f>
        <v>0</v>
      </c>
      <c r="Q811" s="58" t="n">
        <f aca="false">Q810+N811</f>
        <v>989.13386082804</v>
      </c>
    </row>
    <row r="812" customFormat="false" ht="15" hidden="false" customHeight="false" outlineLevel="0" collapsed="false">
      <c r="K812" s="56" t="n">
        <f aca="false">K811+1</f>
        <v>805</v>
      </c>
      <c r="L812" s="57" t="n">
        <f aca="false">IF(AND(K812&lt;=Assumptions!$C$42,L811=1,P811=0,O811&gt;Assumptions!$C$43),1,0)</f>
        <v>0</v>
      </c>
      <c r="M812" s="58" t="n">
        <f aca="false">O811</f>
        <v>-10.8661391719591</v>
      </c>
      <c r="N812" s="58" t="n">
        <f aca="false">IF(L812=1,M812*$B$20,0)</f>
        <v>0</v>
      </c>
      <c r="O812" s="58" t="n">
        <f aca="false">IF(L812=1,M812+N812-$B$21,M812)</f>
        <v>-10.8661391719591</v>
      </c>
      <c r="P812" s="56" t="n">
        <f aca="false">IF(L812=1,IF($B$21&lt;=N812,1,0),0)</f>
        <v>0</v>
      </c>
      <c r="Q812" s="58" t="n">
        <f aca="false">Q811+N812</f>
        <v>989.13386082804</v>
      </c>
    </row>
    <row r="813" customFormat="false" ht="15" hidden="false" customHeight="false" outlineLevel="0" collapsed="false">
      <c r="K813" s="56" t="n">
        <f aca="false">K812+1</f>
        <v>806</v>
      </c>
      <c r="L813" s="57" t="n">
        <f aca="false">IF(AND(K813&lt;=Assumptions!$C$42,L812=1,P812=0,O812&gt;Assumptions!$C$43),1,0)</f>
        <v>0</v>
      </c>
      <c r="M813" s="58" t="n">
        <f aca="false">O812</f>
        <v>-10.8661391719591</v>
      </c>
      <c r="N813" s="58" t="n">
        <f aca="false">IF(L813=1,M813*$B$20,0)</f>
        <v>0</v>
      </c>
      <c r="O813" s="58" t="n">
        <f aca="false">IF(L813=1,M813+N813-$B$21,M813)</f>
        <v>-10.8661391719591</v>
      </c>
      <c r="P813" s="56" t="n">
        <f aca="false">IF(L813=1,IF($B$21&lt;=N813,1,0),0)</f>
        <v>0</v>
      </c>
      <c r="Q813" s="58" t="n">
        <f aca="false">Q812+N813</f>
        <v>989.13386082804</v>
      </c>
    </row>
    <row r="814" customFormat="false" ht="15" hidden="false" customHeight="false" outlineLevel="0" collapsed="false">
      <c r="K814" s="56" t="n">
        <f aca="false">K813+1</f>
        <v>807</v>
      </c>
      <c r="L814" s="57" t="n">
        <f aca="false">IF(AND(K814&lt;=Assumptions!$C$42,L813=1,P813=0,O813&gt;Assumptions!$C$43),1,0)</f>
        <v>0</v>
      </c>
      <c r="M814" s="58" t="n">
        <f aca="false">O813</f>
        <v>-10.8661391719591</v>
      </c>
      <c r="N814" s="58" t="n">
        <f aca="false">IF(L814=1,M814*$B$20,0)</f>
        <v>0</v>
      </c>
      <c r="O814" s="58" t="n">
        <f aca="false">IF(L814=1,M814+N814-$B$21,M814)</f>
        <v>-10.8661391719591</v>
      </c>
      <c r="P814" s="56" t="n">
        <f aca="false">IF(L814=1,IF($B$21&lt;=N814,1,0),0)</f>
        <v>0</v>
      </c>
      <c r="Q814" s="58" t="n">
        <f aca="false">Q813+N814</f>
        <v>989.13386082804</v>
      </c>
    </row>
    <row r="815" customFormat="false" ht="15" hidden="false" customHeight="false" outlineLevel="0" collapsed="false">
      <c r="K815" s="56" t="n">
        <f aca="false">K814+1</f>
        <v>808</v>
      </c>
      <c r="L815" s="57" t="n">
        <f aca="false">IF(AND(K815&lt;=Assumptions!$C$42,L814=1,P814=0,O814&gt;Assumptions!$C$43),1,0)</f>
        <v>0</v>
      </c>
      <c r="M815" s="58" t="n">
        <f aca="false">O814</f>
        <v>-10.8661391719591</v>
      </c>
      <c r="N815" s="58" t="n">
        <f aca="false">IF(L815=1,M815*$B$20,0)</f>
        <v>0</v>
      </c>
      <c r="O815" s="58" t="n">
        <f aca="false">IF(L815=1,M815+N815-$B$21,M815)</f>
        <v>-10.8661391719591</v>
      </c>
      <c r="P815" s="56" t="n">
        <f aca="false">IF(L815=1,IF($B$21&lt;=N815,1,0),0)</f>
        <v>0</v>
      </c>
      <c r="Q815" s="58" t="n">
        <f aca="false">Q814+N815</f>
        <v>989.13386082804</v>
      </c>
    </row>
    <row r="816" customFormat="false" ht="15" hidden="false" customHeight="false" outlineLevel="0" collapsed="false">
      <c r="K816" s="56" t="n">
        <f aca="false">K815+1</f>
        <v>809</v>
      </c>
      <c r="L816" s="57" t="n">
        <f aca="false">IF(AND(K816&lt;=Assumptions!$C$42,L815=1,P815=0,O815&gt;Assumptions!$C$43),1,0)</f>
        <v>0</v>
      </c>
      <c r="M816" s="58" t="n">
        <f aca="false">O815</f>
        <v>-10.8661391719591</v>
      </c>
      <c r="N816" s="58" t="n">
        <f aca="false">IF(L816=1,M816*$B$20,0)</f>
        <v>0</v>
      </c>
      <c r="O816" s="58" t="n">
        <f aca="false">IF(L816=1,M816+N816-$B$21,M816)</f>
        <v>-10.8661391719591</v>
      </c>
      <c r="P816" s="56" t="n">
        <f aca="false">IF(L816=1,IF($B$21&lt;=N816,1,0),0)</f>
        <v>0</v>
      </c>
      <c r="Q816" s="58" t="n">
        <f aca="false">Q815+N816</f>
        <v>989.13386082804</v>
      </c>
    </row>
    <row r="817" customFormat="false" ht="15" hidden="false" customHeight="false" outlineLevel="0" collapsed="false">
      <c r="K817" s="56" t="n">
        <f aca="false">K816+1</f>
        <v>810</v>
      </c>
      <c r="L817" s="57" t="n">
        <f aca="false">IF(AND(K817&lt;=Assumptions!$C$42,L816=1,P816=0,O816&gt;Assumptions!$C$43),1,0)</f>
        <v>0</v>
      </c>
      <c r="M817" s="58" t="n">
        <f aca="false">O816</f>
        <v>-10.8661391719591</v>
      </c>
      <c r="N817" s="58" t="n">
        <f aca="false">IF(L817=1,M817*$B$20,0)</f>
        <v>0</v>
      </c>
      <c r="O817" s="58" t="n">
        <f aca="false">IF(L817=1,M817+N817-$B$21,M817)</f>
        <v>-10.8661391719591</v>
      </c>
      <c r="P817" s="56" t="n">
        <f aca="false">IF(L817=1,IF($B$21&lt;=N817,1,0),0)</f>
        <v>0</v>
      </c>
      <c r="Q817" s="58" t="n">
        <f aca="false">Q816+N817</f>
        <v>989.13386082804</v>
      </c>
    </row>
    <row r="818" customFormat="false" ht="15" hidden="false" customHeight="false" outlineLevel="0" collapsed="false">
      <c r="K818" s="56" t="n">
        <f aca="false">K817+1</f>
        <v>811</v>
      </c>
      <c r="L818" s="57" t="n">
        <f aca="false">IF(AND(K818&lt;=Assumptions!$C$42,L817=1,P817=0,O817&gt;Assumptions!$C$43),1,0)</f>
        <v>0</v>
      </c>
      <c r="M818" s="58" t="n">
        <f aca="false">O817</f>
        <v>-10.8661391719591</v>
      </c>
      <c r="N818" s="58" t="n">
        <f aca="false">IF(L818=1,M818*$B$20,0)</f>
        <v>0</v>
      </c>
      <c r="O818" s="58" t="n">
        <f aca="false">IF(L818=1,M818+N818-$B$21,M818)</f>
        <v>-10.8661391719591</v>
      </c>
      <c r="P818" s="56" t="n">
        <f aca="false">IF(L818=1,IF($B$21&lt;=N818,1,0),0)</f>
        <v>0</v>
      </c>
      <c r="Q818" s="58" t="n">
        <f aca="false">Q817+N818</f>
        <v>989.13386082804</v>
      </c>
    </row>
    <row r="819" customFormat="false" ht="15" hidden="false" customHeight="false" outlineLevel="0" collapsed="false">
      <c r="K819" s="56" t="n">
        <f aca="false">K818+1</f>
        <v>812</v>
      </c>
      <c r="L819" s="57" t="n">
        <f aca="false">IF(AND(K819&lt;=Assumptions!$C$42,L818=1,P818=0,O818&gt;Assumptions!$C$43),1,0)</f>
        <v>0</v>
      </c>
      <c r="M819" s="58" t="n">
        <f aca="false">O818</f>
        <v>-10.8661391719591</v>
      </c>
      <c r="N819" s="58" t="n">
        <f aca="false">IF(L819=1,M819*$B$20,0)</f>
        <v>0</v>
      </c>
      <c r="O819" s="58" t="n">
        <f aca="false">IF(L819=1,M819+N819-$B$21,M819)</f>
        <v>-10.8661391719591</v>
      </c>
      <c r="P819" s="56" t="n">
        <f aca="false">IF(L819=1,IF($B$21&lt;=N819,1,0),0)</f>
        <v>0</v>
      </c>
      <c r="Q819" s="58" t="n">
        <f aca="false">Q818+N819</f>
        <v>989.13386082804</v>
      </c>
    </row>
    <row r="820" customFormat="false" ht="15" hidden="false" customHeight="false" outlineLevel="0" collapsed="false">
      <c r="K820" s="56" t="n">
        <f aca="false">K819+1</f>
        <v>813</v>
      </c>
      <c r="L820" s="57" t="n">
        <f aca="false">IF(AND(K820&lt;=Assumptions!$C$42,L819=1,P819=0,O819&gt;Assumptions!$C$43),1,0)</f>
        <v>0</v>
      </c>
      <c r="M820" s="58" t="n">
        <f aca="false">O819</f>
        <v>-10.8661391719591</v>
      </c>
      <c r="N820" s="58" t="n">
        <f aca="false">IF(L820=1,M820*$B$20,0)</f>
        <v>0</v>
      </c>
      <c r="O820" s="58" t="n">
        <f aca="false">IF(L820=1,M820+N820-$B$21,M820)</f>
        <v>-10.8661391719591</v>
      </c>
      <c r="P820" s="56" t="n">
        <f aca="false">IF(L820=1,IF($B$21&lt;=N820,1,0),0)</f>
        <v>0</v>
      </c>
      <c r="Q820" s="58" t="n">
        <f aca="false">Q819+N820</f>
        <v>989.13386082804</v>
      </c>
    </row>
    <row r="821" customFormat="false" ht="15" hidden="false" customHeight="false" outlineLevel="0" collapsed="false">
      <c r="K821" s="56" t="n">
        <f aca="false">K820+1</f>
        <v>814</v>
      </c>
      <c r="L821" s="57" t="n">
        <f aca="false">IF(AND(K821&lt;=Assumptions!$C$42,L820=1,P820=0,O820&gt;Assumptions!$C$43),1,0)</f>
        <v>0</v>
      </c>
      <c r="M821" s="58" t="n">
        <f aca="false">O820</f>
        <v>-10.8661391719591</v>
      </c>
      <c r="N821" s="58" t="n">
        <f aca="false">IF(L821=1,M821*$B$20,0)</f>
        <v>0</v>
      </c>
      <c r="O821" s="58" t="n">
        <f aca="false">IF(L821=1,M821+N821-$B$21,M821)</f>
        <v>-10.8661391719591</v>
      </c>
      <c r="P821" s="56" t="n">
        <f aca="false">IF(L821=1,IF($B$21&lt;=N821,1,0),0)</f>
        <v>0</v>
      </c>
      <c r="Q821" s="58" t="n">
        <f aca="false">Q820+N821</f>
        <v>989.13386082804</v>
      </c>
    </row>
    <row r="822" customFormat="false" ht="15" hidden="false" customHeight="false" outlineLevel="0" collapsed="false">
      <c r="K822" s="56" t="n">
        <f aca="false">K821+1</f>
        <v>815</v>
      </c>
      <c r="L822" s="57" t="n">
        <f aca="false">IF(AND(K822&lt;=Assumptions!$C$42,L821=1,P821=0,O821&gt;Assumptions!$C$43),1,0)</f>
        <v>0</v>
      </c>
      <c r="M822" s="58" t="n">
        <f aca="false">O821</f>
        <v>-10.8661391719591</v>
      </c>
      <c r="N822" s="58" t="n">
        <f aca="false">IF(L822=1,M822*$B$20,0)</f>
        <v>0</v>
      </c>
      <c r="O822" s="58" t="n">
        <f aca="false">IF(L822=1,M822+N822-$B$21,M822)</f>
        <v>-10.8661391719591</v>
      </c>
      <c r="P822" s="56" t="n">
        <f aca="false">IF(L822=1,IF($B$21&lt;=N822,1,0),0)</f>
        <v>0</v>
      </c>
      <c r="Q822" s="58" t="n">
        <f aca="false">Q821+N822</f>
        <v>989.13386082804</v>
      </c>
    </row>
    <row r="823" customFormat="false" ht="15" hidden="false" customHeight="false" outlineLevel="0" collapsed="false">
      <c r="K823" s="56" t="n">
        <f aca="false">K822+1</f>
        <v>816</v>
      </c>
      <c r="L823" s="57" t="n">
        <f aca="false">IF(AND(K823&lt;=Assumptions!$C$42,L822=1,P822=0,O822&gt;Assumptions!$C$43),1,0)</f>
        <v>0</v>
      </c>
      <c r="M823" s="58" t="n">
        <f aca="false">O822</f>
        <v>-10.8661391719591</v>
      </c>
      <c r="N823" s="58" t="n">
        <f aca="false">IF(L823=1,M823*$B$20,0)</f>
        <v>0</v>
      </c>
      <c r="O823" s="58" t="n">
        <f aca="false">IF(L823=1,M823+N823-$B$21,M823)</f>
        <v>-10.8661391719591</v>
      </c>
      <c r="P823" s="56" t="n">
        <f aca="false">IF(L823=1,IF($B$21&lt;=N823,1,0),0)</f>
        <v>0</v>
      </c>
      <c r="Q823" s="58" t="n">
        <f aca="false">Q822+N823</f>
        <v>989.13386082804</v>
      </c>
    </row>
    <row r="824" customFormat="false" ht="15" hidden="false" customHeight="false" outlineLevel="0" collapsed="false">
      <c r="K824" s="56" t="n">
        <f aca="false">K823+1</f>
        <v>817</v>
      </c>
      <c r="L824" s="57" t="n">
        <f aca="false">IF(AND(K824&lt;=Assumptions!$C$42,L823=1,P823=0,O823&gt;Assumptions!$C$43),1,0)</f>
        <v>0</v>
      </c>
      <c r="M824" s="58" t="n">
        <f aca="false">O823</f>
        <v>-10.8661391719591</v>
      </c>
      <c r="N824" s="58" t="n">
        <f aca="false">IF(L824=1,M824*$B$20,0)</f>
        <v>0</v>
      </c>
      <c r="O824" s="58" t="n">
        <f aca="false">IF(L824=1,M824+N824-$B$21,M824)</f>
        <v>-10.8661391719591</v>
      </c>
      <c r="P824" s="56" t="n">
        <f aca="false">IF(L824=1,IF($B$21&lt;=N824,1,0),0)</f>
        <v>0</v>
      </c>
      <c r="Q824" s="58" t="n">
        <f aca="false">Q823+N824</f>
        <v>989.13386082804</v>
      </c>
    </row>
    <row r="825" customFormat="false" ht="15" hidden="false" customHeight="false" outlineLevel="0" collapsed="false">
      <c r="K825" s="56" t="n">
        <f aca="false">K824+1</f>
        <v>818</v>
      </c>
      <c r="L825" s="57" t="n">
        <f aca="false">IF(AND(K825&lt;=Assumptions!$C$42,L824=1,P824=0,O824&gt;Assumptions!$C$43),1,0)</f>
        <v>0</v>
      </c>
      <c r="M825" s="58" t="n">
        <f aca="false">O824</f>
        <v>-10.8661391719591</v>
      </c>
      <c r="N825" s="58" t="n">
        <f aca="false">IF(L825=1,M825*$B$20,0)</f>
        <v>0</v>
      </c>
      <c r="O825" s="58" t="n">
        <f aca="false">IF(L825=1,M825+N825-$B$21,M825)</f>
        <v>-10.8661391719591</v>
      </c>
      <c r="P825" s="56" t="n">
        <f aca="false">IF(L825=1,IF($B$21&lt;=N825,1,0),0)</f>
        <v>0</v>
      </c>
      <c r="Q825" s="58" t="n">
        <f aca="false">Q824+N825</f>
        <v>989.13386082804</v>
      </c>
    </row>
    <row r="826" customFormat="false" ht="15" hidden="false" customHeight="false" outlineLevel="0" collapsed="false">
      <c r="K826" s="56" t="n">
        <f aca="false">K825+1</f>
        <v>819</v>
      </c>
      <c r="L826" s="57" t="n">
        <f aca="false">IF(AND(K826&lt;=Assumptions!$C$42,L825=1,P825=0,O825&gt;Assumptions!$C$43),1,0)</f>
        <v>0</v>
      </c>
      <c r="M826" s="58" t="n">
        <f aca="false">O825</f>
        <v>-10.8661391719591</v>
      </c>
      <c r="N826" s="58" t="n">
        <f aca="false">IF(L826=1,M826*$B$20,0)</f>
        <v>0</v>
      </c>
      <c r="O826" s="58" t="n">
        <f aca="false">IF(L826=1,M826+N826-$B$21,M826)</f>
        <v>-10.8661391719591</v>
      </c>
      <c r="P826" s="56" t="n">
        <f aca="false">IF(L826=1,IF($B$21&lt;=N826,1,0),0)</f>
        <v>0</v>
      </c>
      <c r="Q826" s="58" t="n">
        <f aca="false">Q825+N826</f>
        <v>989.13386082804</v>
      </c>
    </row>
    <row r="827" customFormat="false" ht="15" hidden="false" customHeight="false" outlineLevel="0" collapsed="false">
      <c r="K827" s="56" t="n">
        <f aca="false">K826+1</f>
        <v>820</v>
      </c>
      <c r="L827" s="57" t="n">
        <f aca="false">IF(AND(K827&lt;=Assumptions!$C$42,L826=1,P826=0,O826&gt;Assumptions!$C$43),1,0)</f>
        <v>0</v>
      </c>
      <c r="M827" s="58" t="n">
        <f aca="false">O826</f>
        <v>-10.8661391719591</v>
      </c>
      <c r="N827" s="58" t="n">
        <f aca="false">IF(L827=1,M827*$B$20,0)</f>
        <v>0</v>
      </c>
      <c r="O827" s="58" t="n">
        <f aca="false">IF(L827=1,M827+N827-$B$21,M827)</f>
        <v>-10.8661391719591</v>
      </c>
      <c r="P827" s="56" t="n">
        <f aca="false">IF(L827=1,IF($B$21&lt;=N827,1,0),0)</f>
        <v>0</v>
      </c>
      <c r="Q827" s="58" t="n">
        <f aca="false">Q826+N827</f>
        <v>989.13386082804</v>
      </c>
    </row>
    <row r="828" customFormat="false" ht="15" hidden="false" customHeight="false" outlineLevel="0" collapsed="false">
      <c r="K828" s="56" t="n">
        <f aca="false">K827+1</f>
        <v>821</v>
      </c>
      <c r="L828" s="57" t="n">
        <f aca="false">IF(AND(K828&lt;=Assumptions!$C$42,L827=1,P827=0,O827&gt;Assumptions!$C$43),1,0)</f>
        <v>0</v>
      </c>
      <c r="M828" s="58" t="n">
        <f aca="false">O827</f>
        <v>-10.8661391719591</v>
      </c>
      <c r="N828" s="58" t="n">
        <f aca="false">IF(L828=1,M828*$B$20,0)</f>
        <v>0</v>
      </c>
      <c r="O828" s="58" t="n">
        <f aca="false">IF(L828=1,M828+N828-$B$21,M828)</f>
        <v>-10.8661391719591</v>
      </c>
      <c r="P828" s="56" t="n">
        <f aca="false">IF(L828=1,IF($B$21&lt;=N828,1,0),0)</f>
        <v>0</v>
      </c>
      <c r="Q828" s="58" t="n">
        <f aca="false">Q827+N828</f>
        <v>989.13386082804</v>
      </c>
    </row>
    <row r="829" customFormat="false" ht="15" hidden="false" customHeight="false" outlineLevel="0" collapsed="false">
      <c r="K829" s="56" t="n">
        <f aca="false">K828+1</f>
        <v>822</v>
      </c>
      <c r="L829" s="57" t="n">
        <f aca="false">IF(AND(K829&lt;=Assumptions!$C$42,L828=1,P828=0,O828&gt;Assumptions!$C$43),1,0)</f>
        <v>0</v>
      </c>
      <c r="M829" s="58" t="n">
        <f aca="false">O828</f>
        <v>-10.8661391719591</v>
      </c>
      <c r="N829" s="58" t="n">
        <f aca="false">IF(L829=1,M829*$B$20,0)</f>
        <v>0</v>
      </c>
      <c r="O829" s="58" t="n">
        <f aca="false">IF(L829=1,M829+N829-$B$21,M829)</f>
        <v>-10.8661391719591</v>
      </c>
      <c r="P829" s="56" t="n">
        <f aca="false">IF(L829=1,IF($B$21&lt;=N829,1,0),0)</f>
        <v>0</v>
      </c>
      <c r="Q829" s="58" t="n">
        <f aca="false">Q828+N829</f>
        <v>989.13386082804</v>
      </c>
    </row>
    <row r="830" customFormat="false" ht="15" hidden="false" customHeight="false" outlineLevel="0" collapsed="false">
      <c r="K830" s="56" t="n">
        <f aca="false">K829+1</f>
        <v>823</v>
      </c>
      <c r="L830" s="57" t="n">
        <f aca="false">IF(AND(K830&lt;=Assumptions!$C$42,L829=1,P829=0,O829&gt;Assumptions!$C$43),1,0)</f>
        <v>0</v>
      </c>
      <c r="M830" s="58" t="n">
        <f aca="false">O829</f>
        <v>-10.8661391719591</v>
      </c>
      <c r="N830" s="58" t="n">
        <f aca="false">IF(L830=1,M830*$B$20,0)</f>
        <v>0</v>
      </c>
      <c r="O830" s="58" t="n">
        <f aca="false">IF(L830=1,M830+N830-$B$21,M830)</f>
        <v>-10.8661391719591</v>
      </c>
      <c r="P830" s="56" t="n">
        <f aca="false">IF(L830=1,IF($B$21&lt;=N830,1,0),0)</f>
        <v>0</v>
      </c>
      <c r="Q830" s="58" t="n">
        <f aca="false">Q829+N830</f>
        <v>989.13386082804</v>
      </c>
    </row>
    <row r="831" customFormat="false" ht="15" hidden="false" customHeight="false" outlineLevel="0" collapsed="false">
      <c r="K831" s="56" t="n">
        <f aca="false">K830+1</f>
        <v>824</v>
      </c>
      <c r="L831" s="57" t="n">
        <f aca="false">IF(AND(K831&lt;=Assumptions!$C$42,L830=1,P830=0,O830&gt;Assumptions!$C$43),1,0)</f>
        <v>0</v>
      </c>
      <c r="M831" s="58" t="n">
        <f aca="false">O830</f>
        <v>-10.8661391719591</v>
      </c>
      <c r="N831" s="58" t="n">
        <f aca="false">IF(L831=1,M831*$B$20,0)</f>
        <v>0</v>
      </c>
      <c r="O831" s="58" t="n">
        <f aca="false">IF(L831=1,M831+N831-$B$21,M831)</f>
        <v>-10.8661391719591</v>
      </c>
      <c r="P831" s="56" t="n">
        <f aca="false">IF(L831=1,IF($B$21&lt;=N831,1,0),0)</f>
        <v>0</v>
      </c>
      <c r="Q831" s="58" t="n">
        <f aca="false">Q830+N831</f>
        <v>989.13386082804</v>
      </c>
    </row>
    <row r="832" customFormat="false" ht="15" hidden="false" customHeight="false" outlineLevel="0" collapsed="false">
      <c r="K832" s="56" t="n">
        <f aca="false">K831+1</f>
        <v>825</v>
      </c>
      <c r="L832" s="57" t="n">
        <f aca="false">IF(AND(K832&lt;=Assumptions!$C$42,L831=1,P831=0,O831&gt;Assumptions!$C$43),1,0)</f>
        <v>0</v>
      </c>
      <c r="M832" s="58" t="n">
        <f aca="false">O831</f>
        <v>-10.8661391719591</v>
      </c>
      <c r="N832" s="58" t="n">
        <f aca="false">IF(L832=1,M832*$B$20,0)</f>
        <v>0</v>
      </c>
      <c r="O832" s="58" t="n">
        <f aca="false">IF(L832=1,M832+N832-$B$21,M832)</f>
        <v>-10.8661391719591</v>
      </c>
      <c r="P832" s="56" t="n">
        <f aca="false">IF(L832=1,IF($B$21&lt;=N832,1,0),0)</f>
        <v>0</v>
      </c>
      <c r="Q832" s="58" t="n">
        <f aca="false">Q831+N832</f>
        <v>989.13386082804</v>
      </c>
    </row>
    <row r="833" customFormat="false" ht="15" hidden="false" customHeight="false" outlineLevel="0" collapsed="false">
      <c r="K833" s="56" t="n">
        <f aca="false">K832+1</f>
        <v>826</v>
      </c>
      <c r="L833" s="57" t="n">
        <f aca="false">IF(AND(K833&lt;=Assumptions!$C$42,L832=1,P832=0,O832&gt;Assumptions!$C$43),1,0)</f>
        <v>0</v>
      </c>
      <c r="M833" s="58" t="n">
        <f aca="false">O832</f>
        <v>-10.8661391719591</v>
      </c>
      <c r="N833" s="58" t="n">
        <f aca="false">IF(L833=1,M833*$B$20,0)</f>
        <v>0</v>
      </c>
      <c r="O833" s="58" t="n">
        <f aca="false">IF(L833=1,M833+N833-$B$21,M833)</f>
        <v>-10.8661391719591</v>
      </c>
      <c r="P833" s="56" t="n">
        <f aca="false">IF(L833=1,IF($B$21&lt;=N833,1,0),0)</f>
        <v>0</v>
      </c>
      <c r="Q833" s="58" t="n">
        <f aca="false">Q832+N833</f>
        <v>989.13386082804</v>
      </c>
    </row>
    <row r="834" customFormat="false" ht="15" hidden="false" customHeight="false" outlineLevel="0" collapsed="false">
      <c r="K834" s="56" t="n">
        <f aca="false">K833+1</f>
        <v>827</v>
      </c>
      <c r="L834" s="57" t="n">
        <f aca="false">IF(AND(K834&lt;=Assumptions!$C$42,L833=1,P833=0,O833&gt;Assumptions!$C$43),1,0)</f>
        <v>0</v>
      </c>
      <c r="M834" s="58" t="n">
        <f aca="false">O833</f>
        <v>-10.8661391719591</v>
      </c>
      <c r="N834" s="58" t="n">
        <f aca="false">IF(L834=1,M834*$B$20,0)</f>
        <v>0</v>
      </c>
      <c r="O834" s="58" t="n">
        <f aca="false">IF(L834=1,M834+N834-$B$21,M834)</f>
        <v>-10.8661391719591</v>
      </c>
      <c r="P834" s="56" t="n">
        <f aca="false">IF(L834=1,IF($B$21&lt;=N834,1,0),0)</f>
        <v>0</v>
      </c>
      <c r="Q834" s="58" t="n">
        <f aca="false">Q833+N834</f>
        <v>989.13386082804</v>
      </c>
    </row>
    <row r="835" customFormat="false" ht="15" hidden="false" customHeight="false" outlineLevel="0" collapsed="false">
      <c r="K835" s="56" t="n">
        <f aca="false">K834+1</f>
        <v>828</v>
      </c>
      <c r="L835" s="57" t="n">
        <f aca="false">IF(AND(K835&lt;=Assumptions!$C$42,L834=1,P834=0,O834&gt;Assumptions!$C$43),1,0)</f>
        <v>0</v>
      </c>
      <c r="M835" s="58" t="n">
        <f aca="false">O834</f>
        <v>-10.8661391719591</v>
      </c>
      <c r="N835" s="58" t="n">
        <f aca="false">IF(L835=1,M835*$B$20,0)</f>
        <v>0</v>
      </c>
      <c r="O835" s="58" t="n">
        <f aca="false">IF(L835=1,M835+N835-$B$21,M835)</f>
        <v>-10.8661391719591</v>
      </c>
      <c r="P835" s="56" t="n">
        <f aca="false">IF(L835=1,IF($B$21&lt;=N835,1,0),0)</f>
        <v>0</v>
      </c>
      <c r="Q835" s="58" t="n">
        <f aca="false">Q834+N835</f>
        <v>989.13386082804</v>
      </c>
    </row>
    <row r="836" customFormat="false" ht="15" hidden="false" customHeight="false" outlineLevel="0" collapsed="false">
      <c r="K836" s="56" t="n">
        <f aca="false">K835+1</f>
        <v>829</v>
      </c>
      <c r="L836" s="57" t="n">
        <f aca="false">IF(AND(K836&lt;=Assumptions!$C$42,L835=1,P835=0,O835&gt;Assumptions!$C$43),1,0)</f>
        <v>0</v>
      </c>
      <c r="M836" s="58" t="n">
        <f aca="false">O835</f>
        <v>-10.8661391719591</v>
      </c>
      <c r="N836" s="58" t="n">
        <f aca="false">IF(L836=1,M836*$B$20,0)</f>
        <v>0</v>
      </c>
      <c r="O836" s="58" t="n">
        <f aca="false">IF(L836=1,M836+N836-$B$21,M836)</f>
        <v>-10.8661391719591</v>
      </c>
      <c r="P836" s="56" t="n">
        <f aca="false">IF(L836=1,IF($B$21&lt;=N836,1,0),0)</f>
        <v>0</v>
      </c>
      <c r="Q836" s="58" t="n">
        <f aca="false">Q835+N836</f>
        <v>989.13386082804</v>
      </c>
    </row>
    <row r="837" customFormat="false" ht="15" hidden="false" customHeight="false" outlineLevel="0" collapsed="false">
      <c r="K837" s="56" t="n">
        <f aca="false">K836+1</f>
        <v>830</v>
      </c>
      <c r="L837" s="57" t="n">
        <f aca="false">IF(AND(K837&lt;=Assumptions!$C$42,L836=1,P836=0,O836&gt;Assumptions!$C$43),1,0)</f>
        <v>0</v>
      </c>
      <c r="M837" s="58" t="n">
        <f aca="false">O836</f>
        <v>-10.8661391719591</v>
      </c>
      <c r="N837" s="58" t="n">
        <f aca="false">IF(L837=1,M837*$B$20,0)</f>
        <v>0</v>
      </c>
      <c r="O837" s="58" t="n">
        <f aca="false">IF(L837=1,M837+N837-$B$21,M837)</f>
        <v>-10.8661391719591</v>
      </c>
      <c r="P837" s="56" t="n">
        <f aca="false">IF(L837=1,IF($B$21&lt;=N837,1,0),0)</f>
        <v>0</v>
      </c>
      <c r="Q837" s="58" t="n">
        <f aca="false">Q836+N837</f>
        <v>989.13386082804</v>
      </c>
    </row>
    <row r="838" customFormat="false" ht="15" hidden="false" customHeight="false" outlineLevel="0" collapsed="false">
      <c r="K838" s="56" t="n">
        <f aca="false">K837+1</f>
        <v>831</v>
      </c>
      <c r="L838" s="57" t="n">
        <f aca="false">IF(AND(K838&lt;=Assumptions!$C$42,L837=1,P837=0,O837&gt;Assumptions!$C$43),1,0)</f>
        <v>0</v>
      </c>
      <c r="M838" s="58" t="n">
        <f aca="false">O837</f>
        <v>-10.8661391719591</v>
      </c>
      <c r="N838" s="58" t="n">
        <f aca="false">IF(L838=1,M838*$B$20,0)</f>
        <v>0</v>
      </c>
      <c r="O838" s="58" t="n">
        <f aca="false">IF(L838=1,M838+N838-$B$21,M838)</f>
        <v>-10.8661391719591</v>
      </c>
      <c r="P838" s="56" t="n">
        <f aca="false">IF(L838=1,IF($B$21&lt;=N838,1,0),0)</f>
        <v>0</v>
      </c>
      <c r="Q838" s="58" t="n">
        <f aca="false">Q837+N838</f>
        <v>989.13386082804</v>
      </c>
    </row>
    <row r="839" customFormat="false" ht="15" hidden="false" customHeight="false" outlineLevel="0" collapsed="false">
      <c r="K839" s="56" t="n">
        <f aca="false">K838+1</f>
        <v>832</v>
      </c>
      <c r="L839" s="57" t="n">
        <f aca="false">IF(AND(K839&lt;=Assumptions!$C$42,L838=1,P838=0,O838&gt;Assumptions!$C$43),1,0)</f>
        <v>0</v>
      </c>
      <c r="M839" s="58" t="n">
        <f aca="false">O838</f>
        <v>-10.8661391719591</v>
      </c>
      <c r="N839" s="58" t="n">
        <f aca="false">IF(L839=1,M839*$B$20,0)</f>
        <v>0</v>
      </c>
      <c r="O839" s="58" t="n">
        <f aca="false">IF(L839=1,M839+N839-$B$21,M839)</f>
        <v>-10.8661391719591</v>
      </c>
      <c r="P839" s="56" t="n">
        <f aca="false">IF(L839=1,IF($B$21&lt;=N839,1,0),0)</f>
        <v>0</v>
      </c>
      <c r="Q839" s="58" t="n">
        <f aca="false">Q838+N839</f>
        <v>989.13386082804</v>
      </c>
    </row>
    <row r="840" customFormat="false" ht="15" hidden="false" customHeight="false" outlineLevel="0" collapsed="false">
      <c r="K840" s="56" t="n">
        <f aca="false">K839+1</f>
        <v>833</v>
      </c>
      <c r="L840" s="57" t="n">
        <f aca="false">IF(AND(K840&lt;=Assumptions!$C$42,L839=1,P839=0,O839&gt;Assumptions!$C$43),1,0)</f>
        <v>0</v>
      </c>
      <c r="M840" s="58" t="n">
        <f aca="false">O839</f>
        <v>-10.8661391719591</v>
      </c>
      <c r="N840" s="58" t="n">
        <f aca="false">IF(L840=1,M840*$B$20,0)</f>
        <v>0</v>
      </c>
      <c r="O840" s="58" t="n">
        <f aca="false">IF(L840=1,M840+N840-$B$21,M840)</f>
        <v>-10.8661391719591</v>
      </c>
      <c r="P840" s="56" t="n">
        <f aca="false">IF(L840=1,IF($B$21&lt;=N840,1,0),0)</f>
        <v>0</v>
      </c>
      <c r="Q840" s="58" t="n">
        <f aca="false">Q839+N840</f>
        <v>989.13386082804</v>
      </c>
    </row>
    <row r="841" customFormat="false" ht="15" hidden="false" customHeight="false" outlineLevel="0" collapsed="false">
      <c r="K841" s="56" t="n">
        <f aca="false">K840+1</f>
        <v>834</v>
      </c>
      <c r="L841" s="57" t="n">
        <f aca="false">IF(AND(K841&lt;=Assumptions!$C$42,L840=1,P840=0,O840&gt;Assumptions!$C$43),1,0)</f>
        <v>0</v>
      </c>
      <c r="M841" s="58" t="n">
        <f aca="false">O840</f>
        <v>-10.8661391719591</v>
      </c>
      <c r="N841" s="58" t="n">
        <f aca="false">IF(L841=1,M841*$B$20,0)</f>
        <v>0</v>
      </c>
      <c r="O841" s="58" t="n">
        <f aca="false">IF(L841=1,M841+N841-$B$21,M841)</f>
        <v>-10.8661391719591</v>
      </c>
      <c r="P841" s="56" t="n">
        <f aca="false">IF(L841=1,IF($B$21&lt;=N841,1,0),0)</f>
        <v>0</v>
      </c>
      <c r="Q841" s="58" t="n">
        <f aca="false">Q840+N841</f>
        <v>989.13386082804</v>
      </c>
    </row>
    <row r="842" customFormat="false" ht="15" hidden="false" customHeight="false" outlineLevel="0" collapsed="false">
      <c r="K842" s="56" t="n">
        <f aca="false">K841+1</f>
        <v>835</v>
      </c>
      <c r="L842" s="57" t="n">
        <f aca="false">IF(AND(K842&lt;=Assumptions!$C$42,L841=1,P841=0,O841&gt;Assumptions!$C$43),1,0)</f>
        <v>0</v>
      </c>
      <c r="M842" s="58" t="n">
        <f aca="false">O841</f>
        <v>-10.8661391719591</v>
      </c>
      <c r="N842" s="58" t="n">
        <f aca="false">IF(L842=1,M842*$B$20,0)</f>
        <v>0</v>
      </c>
      <c r="O842" s="58" t="n">
        <f aca="false">IF(L842=1,M842+N842-$B$21,M842)</f>
        <v>-10.8661391719591</v>
      </c>
      <c r="P842" s="56" t="n">
        <f aca="false">IF(L842=1,IF($B$21&lt;=N842,1,0),0)</f>
        <v>0</v>
      </c>
      <c r="Q842" s="58" t="n">
        <f aca="false">Q841+N842</f>
        <v>989.13386082804</v>
      </c>
    </row>
    <row r="843" customFormat="false" ht="15" hidden="false" customHeight="false" outlineLevel="0" collapsed="false">
      <c r="K843" s="56" t="n">
        <f aca="false">K842+1</f>
        <v>836</v>
      </c>
      <c r="L843" s="57" t="n">
        <f aca="false">IF(AND(K843&lt;=Assumptions!$C$42,L842=1,P842=0,O842&gt;Assumptions!$C$43),1,0)</f>
        <v>0</v>
      </c>
      <c r="M843" s="58" t="n">
        <f aca="false">O842</f>
        <v>-10.8661391719591</v>
      </c>
      <c r="N843" s="58" t="n">
        <f aca="false">IF(L843=1,M843*$B$20,0)</f>
        <v>0</v>
      </c>
      <c r="O843" s="58" t="n">
        <f aca="false">IF(L843=1,M843+N843-$B$21,M843)</f>
        <v>-10.8661391719591</v>
      </c>
      <c r="P843" s="56" t="n">
        <f aca="false">IF(L843=1,IF($B$21&lt;=N843,1,0),0)</f>
        <v>0</v>
      </c>
      <c r="Q843" s="58" t="n">
        <f aca="false">Q842+N843</f>
        <v>989.13386082804</v>
      </c>
    </row>
    <row r="844" customFormat="false" ht="15" hidden="false" customHeight="false" outlineLevel="0" collapsed="false">
      <c r="K844" s="56" t="n">
        <f aca="false">K843+1</f>
        <v>837</v>
      </c>
      <c r="L844" s="57" t="n">
        <f aca="false">IF(AND(K844&lt;=Assumptions!$C$42,L843=1,P843=0,O843&gt;Assumptions!$C$43),1,0)</f>
        <v>0</v>
      </c>
      <c r="M844" s="58" t="n">
        <f aca="false">O843</f>
        <v>-10.8661391719591</v>
      </c>
      <c r="N844" s="58" t="n">
        <f aca="false">IF(L844=1,M844*$B$20,0)</f>
        <v>0</v>
      </c>
      <c r="O844" s="58" t="n">
        <f aca="false">IF(L844=1,M844+N844-$B$21,M844)</f>
        <v>-10.8661391719591</v>
      </c>
      <c r="P844" s="56" t="n">
        <f aca="false">IF(L844=1,IF($B$21&lt;=N844,1,0),0)</f>
        <v>0</v>
      </c>
      <c r="Q844" s="58" t="n">
        <f aca="false">Q843+N844</f>
        <v>989.13386082804</v>
      </c>
    </row>
    <row r="845" customFormat="false" ht="15" hidden="false" customHeight="false" outlineLevel="0" collapsed="false">
      <c r="K845" s="56" t="n">
        <f aca="false">K844+1</f>
        <v>838</v>
      </c>
      <c r="L845" s="57" t="n">
        <f aca="false">IF(AND(K845&lt;=Assumptions!$C$42,L844=1,P844=0,O844&gt;Assumptions!$C$43),1,0)</f>
        <v>0</v>
      </c>
      <c r="M845" s="58" t="n">
        <f aca="false">O844</f>
        <v>-10.8661391719591</v>
      </c>
      <c r="N845" s="58" t="n">
        <f aca="false">IF(L845=1,M845*$B$20,0)</f>
        <v>0</v>
      </c>
      <c r="O845" s="58" t="n">
        <f aca="false">IF(L845=1,M845+N845-$B$21,M845)</f>
        <v>-10.8661391719591</v>
      </c>
      <c r="P845" s="56" t="n">
        <f aca="false">IF(L845=1,IF($B$21&lt;=N845,1,0),0)</f>
        <v>0</v>
      </c>
      <c r="Q845" s="58" t="n">
        <f aca="false">Q844+N845</f>
        <v>989.13386082804</v>
      </c>
    </row>
    <row r="846" customFormat="false" ht="15" hidden="false" customHeight="false" outlineLevel="0" collapsed="false">
      <c r="K846" s="56" t="n">
        <f aca="false">K845+1</f>
        <v>839</v>
      </c>
      <c r="L846" s="57" t="n">
        <f aca="false">IF(AND(K846&lt;=Assumptions!$C$42,L845=1,P845=0,O845&gt;Assumptions!$C$43),1,0)</f>
        <v>0</v>
      </c>
      <c r="M846" s="58" t="n">
        <f aca="false">O845</f>
        <v>-10.8661391719591</v>
      </c>
      <c r="N846" s="58" t="n">
        <f aca="false">IF(L846=1,M846*$B$20,0)</f>
        <v>0</v>
      </c>
      <c r="O846" s="58" t="n">
        <f aca="false">IF(L846=1,M846+N846-$B$21,M846)</f>
        <v>-10.8661391719591</v>
      </c>
      <c r="P846" s="56" t="n">
        <f aca="false">IF(L846=1,IF($B$21&lt;=N846,1,0),0)</f>
        <v>0</v>
      </c>
      <c r="Q846" s="58" t="n">
        <f aca="false">Q845+N846</f>
        <v>989.13386082804</v>
      </c>
    </row>
    <row r="847" customFormat="false" ht="15" hidden="false" customHeight="false" outlineLevel="0" collapsed="false">
      <c r="K847" s="56" t="n">
        <f aca="false">K846+1</f>
        <v>840</v>
      </c>
      <c r="L847" s="57" t="n">
        <f aca="false">IF(AND(K847&lt;=Assumptions!$C$42,L846=1,P846=0,O846&gt;Assumptions!$C$43),1,0)</f>
        <v>0</v>
      </c>
      <c r="M847" s="58" t="n">
        <f aca="false">O846</f>
        <v>-10.8661391719591</v>
      </c>
      <c r="N847" s="58" t="n">
        <f aca="false">IF(L847=1,M847*$B$20,0)</f>
        <v>0</v>
      </c>
      <c r="O847" s="58" t="n">
        <f aca="false">IF(L847=1,M847+N847-$B$21,M847)</f>
        <v>-10.8661391719591</v>
      </c>
      <c r="P847" s="56" t="n">
        <f aca="false">IF(L847=1,IF($B$21&lt;=N847,1,0),0)</f>
        <v>0</v>
      </c>
      <c r="Q847" s="58" t="n">
        <f aca="false">Q846+N847</f>
        <v>989.13386082804</v>
      </c>
    </row>
    <row r="848" customFormat="false" ht="15" hidden="false" customHeight="false" outlineLevel="0" collapsed="false">
      <c r="K848" s="56" t="n">
        <f aca="false">K847+1</f>
        <v>841</v>
      </c>
      <c r="L848" s="57" t="n">
        <f aca="false">IF(AND(K848&lt;=Assumptions!$C$42,L847=1,P847=0,O847&gt;Assumptions!$C$43),1,0)</f>
        <v>0</v>
      </c>
      <c r="M848" s="58" t="n">
        <f aca="false">O847</f>
        <v>-10.8661391719591</v>
      </c>
      <c r="N848" s="58" t="n">
        <f aca="false">IF(L848=1,M848*$B$20,0)</f>
        <v>0</v>
      </c>
      <c r="O848" s="58" t="n">
        <f aca="false">IF(L848=1,M848+N848-$B$21,M848)</f>
        <v>-10.8661391719591</v>
      </c>
      <c r="P848" s="56" t="n">
        <f aca="false">IF(L848=1,IF($B$21&lt;=N848,1,0),0)</f>
        <v>0</v>
      </c>
      <c r="Q848" s="58" t="n">
        <f aca="false">Q847+N848</f>
        <v>989.13386082804</v>
      </c>
    </row>
    <row r="849" customFormat="false" ht="15" hidden="false" customHeight="false" outlineLevel="0" collapsed="false">
      <c r="K849" s="56" t="n">
        <f aca="false">K848+1</f>
        <v>842</v>
      </c>
      <c r="L849" s="57" t="n">
        <f aca="false">IF(AND(K849&lt;=Assumptions!$C$42,L848=1,P848=0,O848&gt;Assumptions!$C$43),1,0)</f>
        <v>0</v>
      </c>
      <c r="M849" s="58" t="n">
        <f aca="false">O848</f>
        <v>-10.8661391719591</v>
      </c>
      <c r="N849" s="58" t="n">
        <f aca="false">IF(L849=1,M849*$B$20,0)</f>
        <v>0</v>
      </c>
      <c r="O849" s="58" t="n">
        <f aca="false">IF(L849=1,M849+N849-$B$21,M849)</f>
        <v>-10.8661391719591</v>
      </c>
      <c r="P849" s="56" t="n">
        <f aca="false">IF(L849=1,IF($B$21&lt;=N849,1,0),0)</f>
        <v>0</v>
      </c>
      <c r="Q849" s="58" t="n">
        <f aca="false">Q848+N849</f>
        <v>989.13386082804</v>
      </c>
    </row>
    <row r="850" customFormat="false" ht="15" hidden="false" customHeight="false" outlineLevel="0" collapsed="false">
      <c r="K850" s="56" t="n">
        <f aca="false">K849+1</f>
        <v>843</v>
      </c>
      <c r="L850" s="57" t="n">
        <f aca="false">IF(AND(K850&lt;=Assumptions!$C$42,L849=1,P849=0,O849&gt;Assumptions!$C$43),1,0)</f>
        <v>0</v>
      </c>
      <c r="M850" s="58" t="n">
        <f aca="false">O849</f>
        <v>-10.8661391719591</v>
      </c>
      <c r="N850" s="58" t="n">
        <f aca="false">IF(L850=1,M850*$B$20,0)</f>
        <v>0</v>
      </c>
      <c r="O850" s="58" t="n">
        <f aca="false">IF(L850=1,M850+N850-$B$21,M850)</f>
        <v>-10.8661391719591</v>
      </c>
      <c r="P850" s="56" t="n">
        <f aca="false">IF(L850=1,IF($B$21&lt;=N850,1,0),0)</f>
        <v>0</v>
      </c>
      <c r="Q850" s="58" t="n">
        <f aca="false">Q849+N850</f>
        <v>989.13386082804</v>
      </c>
    </row>
    <row r="851" customFormat="false" ht="15" hidden="false" customHeight="false" outlineLevel="0" collapsed="false">
      <c r="K851" s="56" t="n">
        <f aca="false">K850+1</f>
        <v>844</v>
      </c>
      <c r="L851" s="57" t="n">
        <f aca="false">IF(AND(K851&lt;=Assumptions!$C$42,L850=1,P850=0,O850&gt;Assumptions!$C$43),1,0)</f>
        <v>0</v>
      </c>
      <c r="M851" s="58" t="n">
        <f aca="false">O850</f>
        <v>-10.8661391719591</v>
      </c>
      <c r="N851" s="58" t="n">
        <f aca="false">IF(L851=1,M851*$B$20,0)</f>
        <v>0</v>
      </c>
      <c r="O851" s="58" t="n">
        <f aca="false">IF(L851=1,M851+N851-$B$21,M851)</f>
        <v>-10.8661391719591</v>
      </c>
      <c r="P851" s="56" t="n">
        <f aca="false">IF(L851=1,IF($B$21&lt;=N851,1,0),0)</f>
        <v>0</v>
      </c>
      <c r="Q851" s="58" t="n">
        <f aca="false">Q850+N851</f>
        <v>989.13386082804</v>
      </c>
    </row>
    <row r="852" customFormat="false" ht="15" hidden="false" customHeight="false" outlineLevel="0" collapsed="false">
      <c r="K852" s="56" t="n">
        <f aca="false">K851+1</f>
        <v>845</v>
      </c>
      <c r="L852" s="57" t="n">
        <f aca="false">IF(AND(K852&lt;=Assumptions!$C$42,L851=1,P851=0,O851&gt;Assumptions!$C$43),1,0)</f>
        <v>0</v>
      </c>
      <c r="M852" s="58" t="n">
        <f aca="false">O851</f>
        <v>-10.8661391719591</v>
      </c>
      <c r="N852" s="58" t="n">
        <f aca="false">IF(L852=1,M852*$B$20,0)</f>
        <v>0</v>
      </c>
      <c r="O852" s="58" t="n">
        <f aca="false">IF(L852=1,M852+N852-$B$21,M852)</f>
        <v>-10.8661391719591</v>
      </c>
      <c r="P852" s="56" t="n">
        <f aca="false">IF(L852=1,IF($B$21&lt;=N852,1,0),0)</f>
        <v>0</v>
      </c>
      <c r="Q852" s="58" t="n">
        <f aca="false">Q851+N852</f>
        <v>989.13386082804</v>
      </c>
    </row>
    <row r="853" customFormat="false" ht="15" hidden="false" customHeight="false" outlineLevel="0" collapsed="false">
      <c r="K853" s="56" t="n">
        <f aca="false">K852+1</f>
        <v>846</v>
      </c>
      <c r="L853" s="57" t="n">
        <f aca="false">IF(AND(K853&lt;=Assumptions!$C$42,L852=1,P852=0,O852&gt;Assumptions!$C$43),1,0)</f>
        <v>0</v>
      </c>
      <c r="M853" s="58" t="n">
        <f aca="false">O852</f>
        <v>-10.8661391719591</v>
      </c>
      <c r="N853" s="58" t="n">
        <f aca="false">IF(L853=1,M853*$B$20,0)</f>
        <v>0</v>
      </c>
      <c r="O853" s="58" t="n">
        <f aca="false">IF(L853=1,M853+N853-$B$21,M853)</f>
        <v>-10.8661391719591</v>
      </c>
      <c r="P853" s="56" t="n">
        <f aca="false">IF(L853=1,IF($B$21&lt;=N853,1,0),0)</f>
        <v>0</v>
      </c>
      <c r="Q853" s="58" t="n">
        <f aca="false">Q852+N853</f>
        <v>989.13386082804</v>
      </c>
    </row>
    <row r="854" customFormat="false" ht="15" hidden="false" customHeight="false" outlineLevel="0" collapsed="false">
      <c r="K854" s="56" t="n">
        <f aca="false">K853+1</f>
        <v>847</v>
      </c>
      <c r="L854" s="57" t="n">
        <f aca="false">IF(AND(K854&lt;=Assumptions!$C$42,L853=1,P853=0,O853&gt;Assumptions!$C$43),1,0)</f>
        <v>0</v>
      </c>
      <c r="M854" s="58" t="n">
        <f aca="false">O853</f>
        <v>-10.8661391719591</v>
      </c>
      <c r="N854" s="58" t="n">
        <f aca="false">IF(L854=1,M854*$B$20,0)</f>
        <v>0</v>
      </c>
      <c r="O854" s="58" t="n">
        <f aca="false">IF(L854=1,M854+N854-$B$21,M854)</f>
        <v>-10.8661391719591</v>
      </c>
      <c r="P854" s="56" t="n">
        <f aca="false">IF(L854=1,IF($B$21&lt;=N854,1,0),0)</f>
        <v>0</v>
      </c>
      <c r="Q854" s="58" t="n">
        <f aca="false">Q853+N854</f>
        <v>989.13386082804</v>
      </c>
    </row>
    <row r="855" customFormat="false" ht="15" hidden="false" customHeight="false" outlineLevel="0" collapsed="false">
      <c r="K855" s="56" t="n">
        <f aca="false">K854+1</f>
        <v>848</v>
      </c>
      <c r="L855" s="57" t="n">
        <f aca="false">IF(AND(K855&lt;=Assumptions!$C$42,L854=1,P854=0,O854&gt;Assumptions!$C$43),1,0)</f>
        <v>0</v>
      </c>
      <c r="M855" s="58" t="n">
        <f aca="false">O854</f>
        <v>-10.8661391719591</v>
      </c>
      <c r="N855" s="58" t="n">
        <f aca="false">IF(L855=1,M855*$B$20,0)</f>
        <v>0</v>
      </c>
      <c r="O855" s="58" t="n">
        <f aca="false">IF(L855=1,M855+N855-$B$21,M855)</f>
        <v>-10.8661391719591</v>
      </c>
      <c r="P855" s="56" t="n">
        <f aca="false">IF(L855=1,IF($B$21&lt;=N855,1,0),0)</f>
        <v>0</v>
      </c>
      <c r="Q855" s="58" t="n">
        <f aca="false">Q854+N855</f>
        <v>989.13386082804</v>
      </c>
    </row>
    <row r="856" customFormat="false" ht="15" hidden="false" customHeight="false" outlineLevel="0" collapsed="false">
      <c r="K856" s="56" t="n">
        <f aca="false">K855+1</f>
        <v>849</v>
      </c>
      <c r="L856" s="57" t="n">
        <f aca="false">IF(AND(K856&lt;=Assumptions!$C$42,L855=1,P855=0,O855&gt;Assumptions!$C$43),1,0)</f>
        <v>0</v>
      </c>
      <c r="M856" s="58" t="n">
        <f aca="false">O855</f>
        <v>-10.8661391719591</v>
      </c>
      <c r="N856" s="58" t="n">
        <f aca="false">IF(L856=1,M856*$B$20,0)</f>
        <v>0</v>
      </c>
      <c r="O856" s="58" t="n">
        <f aca="false">IF(L856=1,M856+N856-$B$21,M856)</f>
        <v>-10.8661391719591</v>
      </c>
      <c r="P856" s="56" t="n">
        <f aca="false">IF(L856=1,IF($B$21&lt;=N856,1,0),0)</f>
        <v>0</v>
      </c>
      <c r="Q856" s="58" t="n">
        <f aca="false">Q855+N856</f>
        <v>989.13386082804</v>
      </c>
    </row>
    <row r="857" customFormat="false" ht="15" hidden="false" customHeight="false" outlineLevel="0" collapsed="false">
      <c r="K857" s="56" t="n">
        <f aca="false">K856+1</f>
        <v>850</v>
      </c>
      <c r="L857" s="57" t="n">
        <f aca="false">IF(AND(K857&lt;=Assumptions!$C$42,L856=1,P856=0,O856&gt;Assumptions!$C$43),1,0)</f>
        <v>0</v>
      </c>
      <c r="M857" s="58" t="n">
        <f aca="false">O856</f>
        <v>-10.8661391719591</v>
      </c>
      <c r="N857" s="58" t="n">
        <f aca="false">IF(L857=1,M857*$B$20,0)</f>
        <v>0</v>
      </c>
      <c r="O857" s="58" t="n">
        <f aca="false">IF(L857=1,M857+N857-$B$21,M857)</f>
        <v>-10.8661391719591</v>
      </c>
      <c r="P857" s="56" t="n">
        <f aca="false">IF(L857=1,IF($B$21&lt;=N857,1,0),0)</f>
        <v>0</v>
      </c>
      <c r="Q857" s="58" t="n">
        <f aca="false">Q856+N857</f>
        <v>989.13386082804</v>
      </c>
    </row>
    <row r="858" customFormat="false" ht="15" hidden="false" customHeight="false" outlineLevel="0" collapsed="false">
      <c r="K858" s="56" t="n">
        <f aca="false">K857+1</f>
        <v>851</v>
      </c>
      <c r="L858" s="57" t="n">
        <f aca="false">IF(AND(K858&lt;=Assumptions!$C$42,L857=1,P857=0,O857&gt;Assumptions!$C$43),1,0)</f>
        <v>0</v>
      </c>
      <c r="M858" s="58" t="n">
        <f aca="false">O857</f>
        <v>-10.8661391719591</v>
      </c>
      <c r="N858" s="58" t="n">
        <f aca="false">IF(L858=1,M858*$B$20,0)</f>
        <v>0</v>
      </c>
      <c r="O858" s="58" t="n">
        <f aca="false">IF(L858=1,M858+N858-$B$21,M858)</f>
        <v>-10.8661391719591</v>
      </c>
      <c r="P858" s="56" t="n">
        <f aca="false">IF(L858=1,IF($B$21&lt;=N858,1,0),0)</f>
        <v>0</v>
      </c>
      <c r="Q858" s="58" t="n">
        <f aca="false">Q857+N858</f>
        <v>989.13386082804</v>
      </c>
    </row>
    <row r="859" customFormat="false" ht="15" hidden="false" customHeight="false" outlineLevel="0" collapsed="false">
      <c r="K859" s="56" t="n">
        <f aca="false">K858+1</f>
        <v>852</v>
      </c>
      <c r="L859" s="57" t="n">
        <f aca="false">IF(AND(K859&lt;=Assumptions!$C$42,L858=1,P858=0,O858&gt;Assumptions!$C$43),1,0)</f>
        <v>0</v>
      </c>
      <c r="M859" s="58" t="n">
        <f aca="false">O858</f>
        <v>-10.8661391719591</v>
      </c>
      <c r="N859" s="58" t="n">
        <f aca="false">IF(L859=1,M859*$B$20,0)</f>
        <v>0</v>
      </c>
      <c r="O859" s="58" t="n">
        <f aca="false">IF(L859=1,M859+N859-$B$21,M859)</f>
        <v>-10.8661391719591</v>
      </c>
      <c r="P859" s="56" t="n">
        <f aca="false">IF(L859=1,IF($B$21&lt;=N859,1,0),0)</f>
        <v>0</v>
      </c>
      <c r="Q859" s="58" t="n">
        <f aca="false">Q858+N859</f>
        <v>989.13386082804</v>
      </c>
    </row>
    <row r="860" customFormat="false" ht="15" hidden="false" customHeight="false" outlineLevel="0" collapsed="false">
      <c r="K860" s="56" t="n">
        <f aca="false">K859+1</f>
        <v>853</v>
      </c>
      <c r="L860" s="57" t="n">
        <f aca="false">IF(AND(K860&lt;=Assumptions!$C$42,L859=1,P859=0,O859&gt;Assumptions!$C$43),1,0)</f>
        <v>0</v>
      </c>
      <c r="M860" s="58" t="n">
        <f aca="false">O859</f>
        <v>-10.8661391719591</v>
      </c>
      <c r="N860" s="58" t="n">
        <f aca="false">IF(L860=1,M860*$B$20,0)</f>
        <v>0</v>
      </c>
      <c r="O860" s="58" t="n">
        <f aca="false">IF(L860=1,M860+N860-$B$21,M860)</f>
        <v>-10.8661391719591</v>
      </c>
      <c r="P860" s="56" t="n">
        <f aca="false">IF(L860=1,IF($B$21&lt;=N860,1,0),0)</f>
        <v>0</v>
      </c>
      <c r="Q860" s="58" t="n">
        <f aca="false">Q859+N860</f>
        <v>989.13386082804</v>
      </c>
    </row>
    <row r="861" customFormat="false" ht="15" hidden="false" customHeight="false" outlineLevel="0" collapsed="false">
      <c r="K861" s="56" t="n">
        <f aca="false">K860+1</f>
        <v>854</v>
      </c>
      <c r="L861" s="57" t="n">
        <f aca="false">IF(AND(K861&lt;=Assumptions!$C$42,L860=1,P860=0,O860&gt;Assumptions!$C$43),1,0)</f>
        <v>0</v>
      </c>
      <c r="M861" s="58" t="n">
        <f aca="false">O860</f>
        <v>-10.8661391719591</v>
      </c>
      <c r="N861" s="58" t="n">
        <f aca="false">IF(L861=1,M861*$B$20,0)</f>
        <v>0</v>
      </c>
      <c r="O861" s="58" t="n">
        <f aca="false">IF(L861=1,M861+N861-$B$21,M861)</f>
        <v>-10.8661391719591</v>
      </c>
      <c r="P861" s="56" t="n">
        <f aca="false">IF(L861=1,IF($B$21&lt;=N861,1,0),0)</f>
        <v>0</v>
      </c>
      <c r="Q861" s="58" t="n">
        <f aca="false">Q860+N861</f>
        <v>989.13386082804</v>
      </c>
    </row>
    <row r="862" customFormat="false" ht="15" hidden="false" customHeight="false" outlineLevel="0" collapsed="false">
      <c r="K862" s="56" t="n">
        <f aca="false">K861+1</f>
        <v>855</v>
      </c>
      <c r="L862" s="57" t="n">
        <f aca="false">IF(AND(K862&lt;=Assumptions!$C$42,L861=1,P861=0,O861&gt;Assumptions!$C$43),1,0)</f>
        <v>0</v>
      </c>
      <c r="M862" s="58" t="n">
        <f aca="false">O861</f>
        <v>-10.8661391719591</v>
      </c>
      <c r="N862" s="58" t="n">
        <f aca="false">IF(L862=1,M862*$B$20,0)</f>
        <v>0</v>
      </c>
      <c r="O862" s="58" t="n">
        <f aca="false">IF(L862=1,M862+N862-$B$21,M862)</f>
        <v>-10.8661391719591</v>
      </c>
      <c r="P862" s="56" t="n">
        <f aca="false">IF(L862=1,IF($B$21&lt;=N862,1,0),0)</f>
        <v>0</v>
      </c>
      <c r="Q862" s="58" t="n">
        <f aca="false">Q861+N862</f>
        <v>989.13386082804</v>
      </c>
    </row>
    <row r="863" customFormat="false" ht="15" hidden="false" customHeight="false" outlineLevel="0" collapsed="false">
      <c r="K863" s="56" t="n">
        <f aca="false">K862+1</f>
        <v>856</v>
      </c>
      <c r="L863" s="57" t="n">
        <f aca="false">IF(AND(K863&lt;=Assumptions!$C$42,L862=1,P862=0,O862&gt;Assumptions!$C$43),1,0)</f>
        <v>0</v>
      </c>
      <c r="M863" s="58" t="n">
        <f aca="false">O862</f>
        <v>-10.8661391719591</v>
      </c>
      <c r="N863" s="58" t="n">
        <f aca="false">IF(L863=1,M863*$B$20,0)</f>
        <v>0</v>
      </c>
      <c r="O863" s="58" t="n">
        <f aca="false">IF(L863=1,M863+N863-$B$21,M863)</f>
        <v>-10.8661391719591</v>
      </c>
      <c r="P863" s="56" t="n">
        <f aca="false">IF(L863=1,IF($B$21&lt;=N863,1,0),0)</f>
        <v>0</v>
      </c>
      <c r="Q863" s="58" t="n">
        <f aca="false">Q862+N863</f>
        <v>989.13386082804</v>
      </c>
    </row>
    <row r="864" customFormat="false" ht="15" hidden="false" customHeight="false" outlineLevel="0" collapsed="false">
      <c r="K864" s="56" t="n">
        <f aca="false">K863+1</f>
        <v>857</v>
      </c>
      <c r="L864" s="57" t="n">
        <f aca="false">IF(AND(K864&lt;=Assumptions!$C$42,L863=1,P863=0,O863&gt;Assumptions!$C$43),1,0)</f>
        <v>0</v>
      </c>
      <c r="M864" s="58" t="n">
        <f aca="false">O863</f>
        <v>-10.8661391719591</v>
      </c>
      <c r="N864" s="58" t="n">
        <f aca="false">IF(L864=1,M864*$B$20,0)</f>
        <v>0</v>
      </c>
      <c r="O864" s="58" t="n">
        <f aca="false">IF(L864=1,M864+N864-$B$21,M864)</f>
        <v>-10.8661391719591</v>
      </c>
      <c r="P864" s="56" t="n">
        <f aca="false">IF(L864=1,IF($B$21&lt;=N864,1,0),0)</f>
        <v>0</v>
      </c>
      <c r="Q864" s="58" t="n">
        <f aca="false">Q863+N864</f>
        <v>989.13386082804</v>
      </c>
    </row>
    <row r="865" customFormat="false" ht="15" hidden="false" customHeight="false" outlineLevel="0" collapsed="false">
      <c r="K865" s="56" t="n">
        <f aca="false">K864+1</f>
        <v>858</v>
      </c>
      <c r="L865" s="57" t="n">
        <f aca="false">IF(AND(K865&lt;=Assumptions!$C$42,L864=1,P864=0,O864&gt;Assumptions!$C$43),1,0)</f>
        <v>0</v>
      </c>
      <c r="M865" s="58" t="n">
        <f aca="false">O864</f>
        <v>-10.8661391719591</v>
      </c>
      <c r="N865" s="58" t="n">
        <f aca="false">IF(L865=1,M865*$B$20,0)</f>
        <v>0</v>
      </c>
      <c r="O865" s="58" t="n">
        <f aca="false">IF(L865=1,M865+N865-$B$21,M865)</f>
        <v>-10.8661391719591</v>
      </c>
      <c r="P865" s="56" t="n">
        <f aca="false">IF(L865=1,IF($B$21&lt;=N865,1,0),0)</f>
        <v>0</v>
      </c>
      <c r="Q865" s="58" t="n">
        <f aca="false">Q864+N865</f>
        <v>989.13386082804</v>
      </c>
    </row>
    <row r="866" customFormat="false" ht="15" hidden="false" customHeight="false" outlineLevel="0" collapsed="false">
      <c r="K866" s="56" t="n">
        <f aca="false">K865+1</f>
        <v>859</v>
      </c>
      <c r="L866" s="57" t="n">
        <f aca="false">IF(AND(K866&lt;=Assumptions!$C$42,L865=1,P865=0,O865&gt;Assumptions!$C$43),1,0)</f>
        <v>0</v>
      </c>
      <c r="M866" s="58" t="n">
        <f aca="false">O865</f>
        <v>-10.8661391719591</v>
      </c>
      <c r="N866" s="58" t="n">
        <f aca="false">IF(L866=1,M866*$B$20,0)</f>
        <v>0</v>
      </c>
      <c r="O866" s="58" t="n">
        <f aca="false">IF(L866=1,M866+N866-$B$21,M866)</f>
        <v>-10.8661391719591</v>
      </c>
      <c r="P866" s="56" t="n">
        <f aca="false">IF(L866=1,IF($B$21&lt;=N866,1,0),0)</f>
        <v>0</v>
      </c>
      <c r="Q866" s="58" t="n">
        <f aca="false">Q865+N866</f>
        <v>989.13386082804</v>
      </c>
    </row>
    <row r="867" customFormat="false" ht="15" hidden="false" customHeight="false" outlineLevel="0" collapsed="false">
      <c r="K867" s="56" t="n">
        <f aca="false">K866+1</f>
        <v>860</v>
      </c>
      <c r="L867" s="57" t="n">
        <f aca="false">IF(AND(K867&lt;=Assumptions!$C$42,L866=1,P866=0,O866&gt;Assumptions!$C$43),1,0)</f>
        <v>0</v>
      </c>
      <c r="M867" s="58" t="n">
        <f aca="false">O866</f>
        <v>-10.8661391719591</v>
      </c>
      <c r="N867" s="58" t="n">
        <f aca="false">IF(L867=1,M867*$B$20,0)</f>
        <v>0</v>
      </c>
      <c r="O867" s="58" t="n">
        <f aca="false">IF(L867=1,M867+N867-$B$21,M867)</f>
        <v>-10.8661391719591</v>
      </c>
      <c r="P867" s="56" t="n">
        <f aca="false">IF(L867=1,IF($B$21&lt;=N867,1,0),0)</f>
        <v>0</v>
      </c>
      <c r="Q867" s="58" t="n">
        <f aca="false">Q866+N867</f>
        <v>989.13386082804</v>
      </c>
    </row>
    <row r="868" customFormat="false" ht="15" hidden="false" customHeight="false" outlineLevel="0" collapsed="false">
      <c r="K868" s="56" t="n">
        <f aca="false">K867+1</f>
        <v>861</v>
      </c>
      <c r="L868" s="57" t="n">
        <f aca="false">IF(AND(K868&lt;=Assumptions!$C$42,L867=1,P867=0,O867&gt;Assumptions!$C$43),1,0)</f>
        <v>0</v>
      </c>
      <c r="M868" s="58" t="n">
        <f aca="false">O867</f>
        <v>-10.8661391719591</v>
      </c>
      <c r="N868" s="58" t="n">
        <f aca="false">IF(L868=1,M868*$B$20,0)</f>
        <v>0</v>
      </c>
      <c r="O868" s="58" t="n">
        <f aca="false">IF(L868=1,M868+N868-$B$21,M868)</f>
        <v>-10.8661391719591</v>
      </c>
      <c r="P868" s="56" t="n">
        <f aca="false">IF(L868=1,IF($B$21&lt;=N868,1,0),0)</f>
        <v>0</v>
      </c>
      <c r="Q868" s="58" t="n">
        <f aca="false">Q867+N868</f>
        <v>989.13386082804</v>
      </c>
    </row>
    <row r="869" customFormat="false" ht="15" hidden="false" customHeight="false" outlineLevel="0" collapsed="false">
      <c r="K869" s="56" t="n">
        <f aca="false">K868+1</f>
        <v>862</v>
      </c>
      <c r="L869" s="57" t="n">
        <f aca="false">IF(AND(K869&lt;=Assumptions!$C$42,L868=1,P868=0,O868&gt;Assumptions!$C$43),1,0)</f>
        <v>0</v>
      </c>
      <c r="M869" s="58" t="n">
        <f aca="false">O868</f>
        <v>-10.8661391719591</v>
      </c>
      <c r="N869" s="58" t="n">
        <f aca="false">IF(L869=1,M869*$B$20,0)</f>
        <v>0</v>
      </c>
      <c r="O869" s="58" t="n">
        <f aca="false">IF(L869=1,M869+N869-$B$21,M869)</f>
        <v>-10.8661391719591</v>
      </c>
      <c r="P869" s="56" t="n">
        <f aca="false">IF(L869=1,IF($B$21&lt;=N869,1,0),0)</f>
        <v>0</v>
      </c>
      <c r="Q869" s="58" t="n">
        <f aca="false">Q868+N869</f>
        <v>989.13386082804</v>
      </c>
    </row>
    <row r="870" customFormat="false" ht="15" hidden="false" customHeight="false" outlineLevel="0" collapsed="false">
      <c r="K870" s="56" t="n">
        <f aca="false">K869+1</f>
        <v>863</v>
      </c>
      <c r="L870" s="57" t="n">
        <f aca="false">IF(AND(K870&lt;=Assumptions!$C$42,L869=1,P869=0,O869&gt;Assumptions!$C$43),1,0)</f>
        <v>0</v>
      </c>
      <c r="M870" s="58" t="n">
        <f aca="false">O869</f>
        <v>-10.8661391719591</v>
      </c>
      <c r="N870" s="58" t="n">
        <f aca="false">IF(L870=1,M870*$B$20,0)</f>
        <v>0</v>
      </c>
      <c r="O870" s="58" t="n">
        <f aca="false">IF(L870=1,M870+N870-$B$21,M870)</f>
        <v>-10.8661391719591</v>
      </c>
      <c r="P870" s="56" t="n">
        <f aca="false">IF(L870=1,IF($B$21&lt;=N870,1,0),0)</f>
        <v>0</v>
      </c>
      <c r="Q870" s="58" t="n">
        <f aca="false">Q869+N870</f>
        <v>989.13386082804</v>
      </c>
    </row>
    <row r="871" customFormat="false" ht="15" hidden="false" customHeight="false" outlineLevel="0" collapsed="false">
      <c r="K871" s="56" t="n">
        <f aca="false">K870+1</f>
        <v>864</v>
      </c>
      <c r="L871" s="57" t="n">
        <f aca="false">IF(AND(K871&lt;=Assumptions!$C$42,L870=1,P870=0,O870&gt;Assumptions!$C$43),1,0)</f>
        <v>0</v>
      </c>
      <c r="M871" s="58" t="n">
        <f aca="false">O870</f>
        <v>-10.8661391719591</v>
      </c>
      <c r="N871" s="58" t="n">
        <f aca="false">IF(L871=1,M871*$B$20,0)</f>
        <v>0</v>
      </c>
      <c r="O871" s="58" t="n">
        <f aca="false">IF(L871=1,M871+N871-$B$21,M871)</f>
        <v>-10.8661391719591</v>
      </c>
      <c r="P871" s="56" t="n">
        <f aca="false">IF(L871=1,IF($B$21&lt;=N871,1,0),0)</f>
        <v>0</v>
      </c>
      <c r="Q871" s="58" t="n">
        <f aca="false">Q870+N871</f>
        <v>989.13386082804</v>
      </c>
    </row>
    <row r="872" customFormat="false" ht="15" hidden="false" customHeight="false" outlineLevel="0" collapsed="false">
      <c r="K872" s="56" t="n">
        <f aca="false">K871+1</f>
        <v>865</v>
      </c>
      <c r="L872" s="57" t="n">
        <f aca="false">IF(AND(K872&lt;=Assumptions!$C$42,L871=1,P871=0,O871&gt;Assumptions!$C$43),1,0)</f>
        <v>0</v>
      </c>
      <c r="M872" s="58" t="n">
        <f aca="false">O871</f>
        <v>-10.8661391719591</v>
      </c>
      <c r="N872" s="58" t="n">
        <f aca="false">IF(L872=1,M872*$B$20,0)</f>
        <v>0</v>
      </c>
      <c r="O872" s="58" t="n">
        <f aca="false">IF(L872=1,M872+N872-$B$21,M872)</f>
        <v>-10.8661391719591</v>
      </c>
      <c r="P872" s="56" t="n">
        <f aca="false">IF(L872=1,IF($B$21&lt;=N872,1,0),0)</f>
        <v>0</v>
      </c>
      <c r="Q872" s="58" t="n">
        <f aca="false">Q871+N872</f>
        <v>989.13386082804</v>
      </c>
    </row>
    <row r="873" customFormat="false" ht="15" hidden="false" customHeight="false" outlineLevel="0" collapsed="false">
      <c r="K873" s="56" t="n">
        <f aca="false">K872+1</f>
        <v>866</v>
      </c>
      <c r="L873" s="57" t="n">
        <f aca="false">IF(AND(K873&lt;=Assumptions!$C$42,L872=1,P872=0,O872&gt;Assumptions!$C$43),1,0)</f>
        <v>0</v>
      </c>
      <c r="M873" s="58" t="n">
        <f aca="false">O872</f>
        <v>-10.8661391719591</v>
      </c>
      <c r="N873" s="58" t="n">
        <f aca="false">IF(L873=1,M873*$B$20,0)</f>
        <v>0</v>
      </c>
      <c r="O873" s="58" t="n">
        <f aca="false">IF(L873=1,M873+N873-$B$21,M873)</f>
        <v>-10.8661391719591</v>
      </c>
      <c r="P873" s="56" t="n">
        <f aca="false">IF(L873=1,IF($B$21&lt;=N873,1,0),0)</f>
        <v>0</v>
      </c>
      <c r="Q873" s="58" t="n">
        <f aca="false">Q872+N873</f>
        <v>989.13386082804</v>
      </c>
    </row>
    <row r="874" customFormat="false" ht="15" hidden="false" customHeight="false" outlineLevel="0" collapsed="false">
      <c r="K874" s="56" t="n">
        <f aca="false">K873+1</f>
        <v>867</v>
      </c>
      <c r="L874" s="57" t="n">
        <f aca="false">IF(AND(K874&lt;=Assumptions!$C$42,L873=1,P873=0,O873&gt;Assumptions!$C$43),1,0)</f>
        <v>0</v>
      </c>
      <c r="M874" s="58" t="n">
        <f aca="false">O873</f>
        <v>-10.8661391719591</v>
      </c>
      <c r="N874" s="58" t="n">
        <f aca="false">IF(L874=1,M874*$B$20,0)</f>
        <v>0</v>
      </c>
      <c r="O874" s="58" t="n">
        <f aca="false">IF(L874=1,M874+N874-$B$21,M874)</f>
        <v>-10.8661391719591</v>
      </c>
      <c r="P874" s="56" t="n">
        <f aca="false">IF(L874=1,IF($B$21&lt;=N874,1,0),0)</f>
        <v>0</v>
      </c>
      <c r="Q874" s="58" t="n">
        <f aca="false">Q873+N874</f>
        <v>989.13386082804</v>
      </c>
    </row>
    <row r="875" customFormat="false" ht="15" hidden="false" customHeight="false" outlineLevel="0" collapsed="false">
      <c r="K875" s="56" t="n">
        <f aca="false">K874+1</f>
        <v>868</v>
      </c>
      <c r="L875" s="57" t="n">
        <f aca="false">IF(AND(K875&lt;=Assumptions!$C$42,L874=1,P874=0,O874&gt;Assumptions!$C$43),1,0)</f>
        <v>0</v>
      </c>
      <c r="M875" s="58" t="n">
        <f aca="false">O874</f>
        <v>-10.8661391719591</v>
      </c>
      <c r="N875" s="58" t="n">
        <f aca="false">IF(L875=1,M875*$B$20,0)</f>
        <v>0</v>
      </c>
      <c r="O875" s="58" t="n">
        <f aca="false">IF(L875=1,M875+N875-$B$21,M875)</f>
        <v>-10.8661391719591</v>
      </c>
      <c r="P875" s="56" t="n">
        <f aca="false">IF(L875=1,IF($B$21&lt;=N875,1,0),0)</f>
        <v>0</v>
      </c>
      <c r="Q875" s="58" t="n">
        <f aca="false">Q874+N875</f>
        <v>989.13386082804</v>
      </c>
    </row>
    <row r="876" customFormat="false" ht="15" hidden="false" customHeight="false" outlineLevel="0" collapsed="false">
      <c r="K876" s="56" t="n">
        <f aca="false">K875+1</f>
        <v>869</v>
      </c>
      <c r="L876" s="57" t="n">
        <f aca="false">IF(AND(K876&lt;=Assumptions!$C$42,L875=1,P875=0,O875&gt;Assumptions!$C$43),1,0)</f>
        <v>0</v>
      </c>
      <c r="M876" s="58" t="n">
        <f aca="false">O875</f>
        <v>-10.8661391719591</v>
      </c>
      <c r="N876" s="58" t="n">
        <f aca="false">IF(L876=1,M876*$B$20,0)</f>
        <v>0</v>
      </c>
      <c r="O876" s="58" t="n">
        <f aca="false">IF(L876=1,M876+N876-$B$21,M876)</f>
        <v>-10.8661391719591</v>
      </c>
      <c r="P876" s="56" t="n">
        <f aca="false">IF(L876=1,IF($B$21&lt;=N876,1,0),0)</f>
        <v>0</v>
      </c>
      <c r="Q876" s="58" t="n">
        <f aca="false">Q875+N876</f>
        <v>989.13386082804</v>
      </c>
    </row>
    <row r="877" customFormat="false" ht="15" hidden="false" customHeight="false" outlineLevel="0" collapsed="false">
      <c r="K877" s="56" t="n">
        <f aca="false">K876+1</f>
        <v>870</v>
      </c>
      <c r="L877" s="57" t="n">
        <f aca="false">IF(AND(K877&lt;=Assumptions!$C$42,L876=1,P876=0,O876&gt;Assumptions!$C$43),1,0)</f>
        <v>0</v>
      </c>
      <c r="M877" s="58" t="n">
        <f aca="false">O876</f>
        <v>-10.8661391719591</v>
      </c>
      <c r="N877" s="58" t="n">
        <f aca="false">IF(L877=1,M877*$B$20,0)</f>
        <v>0</v>
      </c>
      <c r="O877" s="58" t="n">
        <f aca="false">IF(L877=1,M877+N877-$B$21,M877)</f>
        <v>-10.8661391719591</v>
      </c>
      <c r="P877" s="56" t="n">
        <f aca="false">IF(L877=1,IF($B$21&lt;=N877,1,0),0)</f>
        <v>0</v>
      </c>
      <c r="Q877" s="58" t="n">
        <f aca="false">Q876+N877</f>
        <v>989.13386082804</v>
      </c>
    </row>
    <row r="878" customFormat="false" ht="15" hidden="false" customHeight="false" outlineLevel="0" collapsed="false">
      <c r="K878" s="56" t="n">
        <f aca="false">K877+1</f>
        <v>871</v>
      </c>
      <c r="L878" s="57" t="n">
        <f aca="false">IF(AND(K878&lt;=Assumptions!$C$42,L877=1,P877=0,O877&gt;Assumptions!$C$43),1,0)</f>
        <v>0</v>
      </c>
      <c r="M878" s="58" t="n">
        <f aca="false">O877</f>
        <v>-10.8661391719591</v>
      </c>
      <c r="N878" s="58" t="n">
        <f aca="false">IF(L878=1,M878*$B$20,0)</f>
        <v>0</v>
      </c>
      <c r="O878" s="58" t="n">
        <f aca="false">IF(L878=1,M878+N878-$B$21,M878)</f>
        <v>-10.8661391719591</v>
      </c>
      <c r="P878" s="56" t="n">
        <f aca="false">IF(L878=1,IF($B$21&lt;=N878,1,0),0)</f>
        <v>0</v>
      </c>
      <c r="Q878" s="58" t="n">
        <f aca="false">Q877+N878</f>
        <v>989.13386082804</v>
      </c>
    </row>
    <row r="879" customFormat="false" ht="15" hidden="false" customHeight="false" outlineLevel="0" collapsed="false">
      <c r="K879" s="56" t="n">
        <f aca="false">K878+1</f>
        <v>872</v>
      </c>
      <c r="L879" s="57" t="n">
        <f aca="false">IF(AND(K879&lt;=Assumptions!$C$42,L878=1,P878=0,O878&gt;Assumptions!$C$43),1,0)</f>
        <v>0</v>
      </c>
      <c r="M879" s="58" t="n">
        <f aca="false">O878</f>
        <v>-10.8661391719591</v>
      </c>
      <c r="N879" s="58" t="n">
        <f aca="false">IF(L879=1,M879*$B$20,0)</f>
        <v>0</v>
      </c>
      <c r="O879" s="58" t="n">
        <f aca="false">IF(L879=1,M879+N879-$B$21,M879)</f>
        <v>-10.8661391719591</v>
      </c>
      <c r="P879" s="56" t="n">
        <f aca="false">IF(L879=1,IF($B$21&lt;=N879,1,0),0)</f>
        <v>0</v>
      </c>
      <c r="Q879" s="58" t="n">
        <f aca="false">Q878+N879</f>
        <v>989.13386082804</v>
      </c>
    </row>
    <row r="880" customFormat="false" ht="15" hidden="false" customHeight="false" outlineLevel="0" collapsed="false">
      <c r="K880" s="56" t="n">
        <f aca="false">K879+1</f>
        <v>873</v>
      </c>
      <c r="L880" s="57" t="n">
        <f aca="false">IF(AND(K880&lt;=Assumptions!$C$42,L879=1,P879=0,O879&gt;Assumptions!$C$43),1,0)</f>
        <v>0</v>
      </c>
      <c r="M880" s="58" t="n">
        <f aca="false">O879</f>
        <v>-10.8661391719591</v>
      </c>
      <c r="N880" s="58" t="n">
        <f aca="false">IF(L880=1,M880*$B$20,0)</f>
        <v>0</v>
      </c>
      <c r="O880" s="58" t="n">
        <f aca="false">IF(L880=1,M880+N880-$B$21,M880)</f>
        <v>-10.8661391719591</v>
      </c>
      <c r="P880" s="56" t="n">
        <f aca="false">IF(L880=1,IF($B$21&lt;=N880,1,0),0)</f>
        <v>0</v>
      </c>
      <c r="Q880" s="58" t="n">
        <f aca="false">Q879+N880</f>
        <v>989.13386082804</v>
      </c>
    </row>
    <row r="881" customFormat="false" ht="15" hidden="false" customHeight="false" outlineLevel="0" collapsed="false">
      <c r="K881" s="56" t="n">
        <f aca="false">K880+1</f>
        <v>874</v>
      </c>
      <c r="L881" s="57" t="n">
        <f aca="false">IF(AND(K881&lt;=Assumptions!$C$42,L880=1,P880=0,O880&gt;Assumptions!$C$43),1,0)</f>
        <v>0</v>
      </c>
      <c r="M881" s="58" t="n">
        <f aca="false">O880</f>
        <v>-10.8661391719591</v>
      </c>
      <c r="N881" s="58" t="n">
        <f aca="false">IF(L881=1,M881*$B$20,0)</f>
        <v>0</v>
      </c>
      <c r="O881" s="58" t="n">
        <f aca="false">IF(L881=1,M881+N881-$B$21,M881)</f>
        <v>-10.8661391719591</v>
      </c>
      <c r="P881" s="56" t="n">
        <f aca="false">IF(L881=1,IF($B$21&lt;=N881,1,0),0)</f>
        <v>0</v>
      </c>
      <c r="Q881" s="58" t="n">
        <f aca="false">Q880+N881</f>
        <v>989.13386082804</v>
      </c>
    </row>
    <row r="882" customFormat="false" ht="15" hidden="false" customHeight="false" outlineLevel="0" collapsed="false">
      <c r="K882" s="56" t="n">
        <f aca="false">K881+1</f>
        <v>875</v>
      </c>
      <c r="L882" s="57" t="n">
        <f aca="false">IF(AND(K882&lt;=Assumptions!$C$42,L881=1,P881=0,O881&gt;Assumptions!$C$43),1,0)</f>
        <v>0</v>
      </c>
      <c r="M882" s="58" t="n">
        <f aca="false">O881</f>
        <v>-10.8661391719591</v>
      </c>
      <c r="N882" s="58" t="n">
        <f aca="false">IF(L882=1,M882*$B$20,0)</f>
        <v>0</v>
      </c>
      <c r="O882" s="58" t="n">
        <f aca="false">IF(L882=1,M882+N882-$B$21,M882)</f>
        <v>-10.8661391719591</v>
      </c>
      <c r="P882" s="56" t="n">
        <f aca="false">IF(L882=1,IF($B$21&lt;=N882,1,0),0)</f>
        <v>0</v>
      </c>
      <c r="Q882" s="58" t="n">
        <f aca="false">Q881+N882</f>
        <v>989.13386082804</v>
      </c>
    </row>
    <row r="883" customFormat="false" ht="15" hidden="false" customHeight="false" outlineLevel="0" collapsed="false">
      <c r="K883" s="56" t="n">
        <f aca="false">K882+1</f>
        <v>876</v>
      </c>
      <c r="L883" s="57" t="n">
        <f aca="false">IF(AND(K883&lt;=Assumptions!$C$42,L882=1,P882=0,O882&gt;Assumptions!$C$43),1,0)</f>
        <v>0</v>
      </c>
      <c r="M883" s="58" t="n">
        <f aca="false">O882</f>
        <v>-10.8661391719591</v>
      </c>
      <c r="N883" s="58" t="n">
        <f aca="false">IF(L883=1,M883*$B$20,0)</f>
        <v>0</v>
      </c>
      <c r="O883" s="58" t="n">
        <f aca="false">IF(L883=1,M883+N883-$B$21,M883)</f>
        <v>-10.8661391719591</v>
      </c>
      <c r="P883" s="56" t="n">
        <f aca="false">IF(L883=1,IF($B$21&lt;=N883,1,0),0)</f>
        <v>0</v>
      </c>
      <c r="Q883" s="58" t="n">
        <f aca="false">Q882+N883</f>
        <v>989.13386082804</v>
      </c>
    </row>
    <row r="884" customFormat="false" ht="15" hidden="false" customHeight="false" outlineLevel="0" collapsed="false">
      <c r="K884" s="56" t="n">
        <f aca="false">K883+1</f>
        <v>877</v>
      </c>
      <c r="L884" s="57" t="n">
        <f aca="false">IF(AND(K884&lt;=Assumptions!$C$42,L883=1,P883=0,O883&gt;Assumptions!$C$43),1,0)</f>
        <v>0</v>
      </c>
      <c r="M884" s="58" t="n">
        <f aca="false">O883</f>
        <v>-10.8661391719591</v>
      </c>
      <c r="N884" s="58" t="n">
        <f aca="false">IF(L884=1,M884*$B$20,0)</f>
        <v>0</v>
      </c>
      <c r="O884" s="58" t="n">
        <f aca="false">IF(L884=1,M884+N884-$B$21,M884)</f>
        <v>-10.8661391719591</v>
      </c>
      <c r="P884" s="56" t="n">
        <f aca="false">IF(L884=1,IF($B$21&lt;=N884,1,0),0)</f>
        <v>0</v>
      </c>
      <c r="Q884" s="58" t="n">
        <f aca="false">Q883+N884</f>
        <v>989.13386082804</v>
      </c>
    </row>
    <row r="885" customFormat="false" ht="15" hidden="false" customHeight="false" outlineLevel="0" collapsed="false">
      <c r="K885" s="56" t="n">
        <f aca="false">K884+1</f>
        <v>878</v>
      </c>
      <c r="L885" s="57" t="n">
        <f aca="false">IF(AND(K885&lt;=Assumptions!$C$42,L884=1,P884=0,O884&gt;Assumptions!$C$43),1,0)</f>
        <v>0</v>
      </c>
      <c r="M885" s="58" t="n">
        <f aca="false">O884</f>
        <v>-10.8661391719591</v>
      </c>
      <c r="N885" s="58" t="n">
        <f aca="false">IF(L885=1,M885*$B$20,0)</f>
        <v>0</v>
      </c>
      <c r="O885" s="58" t="n">
        <f aca="false">IF(L885=1,M885+N885-$B$21,M885)</f>
        <v>-10.8661391719591</v>
      </c>
      <c r="P885" s="56" t="n">
        <f aca="false">IF(L885=1,IF($B$21&lt;=N885,1,0),0)</f>
        <v>0</v>
      </c>
      <c r="Q885" s="58" t="n">
        <f aca="false">Q884+N885</f>
        <v>989.13386082804</v>
      </c>
    </row>
    <row r="886" customFormat="false" ht="15" hidden="false" customHeight="false" outlineLevel="0" collapsed="false">
      <c r="K886" s="56" t="n">
        <f aca="false">K885+1</f>
        <v>879</v>
      </c>
      <c r="L886" s="57" t="n">
        <f aca="false">IF(AND(K886&lt;=Assumptions!$C$42,L885=1,P885=0,O885&gt;Assumptions!$C$43),1,0)</f>
        <v>0</v>
      </c>
      <c r="M886" s="58" t="n">
        <f aca="false">O885</f>
        <v>-10.8661391719591</v>
      </c>
      <c r="N886" s="58" t="n">
        <f aca="false">IF(L886=1,M886*$B$20,0)</f>
        <v>0</v>
      </c>
      <c r="O886" s="58" t="n">
        <f aca="false">IF(L886=1,M886+N886-$B$21,M886)</f>
        <v>-10.8661391719591</v>
      </c>
      <c r="P886" s="56" t="n">
        <f aca="false">IF(L886=1,IF($B$21&lt;=N886,1,0),0)</f>
        <v>0</v>
      </c>
      <c r="Q886" s="58" t="n">
        <f aca="false">Q885+N886</f>
        <v>989.13386082804</v>
      </c>
    </row>
    <row r="887" customFormat="false" ht="15" hidden="false" customHeight="false" outlineLevel="0" collapsed="false">
      <c r="K887" s="56" t="n">
        <f aca="false">K886+1</f>
        <v>880</v>
      </c>
      <c r="L887" s="57" t="n">
        <f aca="false">IF(AND(K887&lt;=Assumptions!$C$42,L886=1,P886=0,O886&gt;Assumptions!$C$43),1,0)</f>
        <v>0</v>
      </c>
      <c r="M887" s="58" t="n">
        <f aca="false">O886</f>
        <v>-10.8661391719591</v>
      </c>
      <c r="N887" s="58" t="n">
        <f aca="false">IF(L887=1,M887*$B$20,0)</f>
        <v>0</v>
      </c>
      <c r="O887" s="58" t="n">
        <f aca="false">IF(L887=1,M887+N887-$B$21,M887)</f>
        <v>-10.8661391719591</v>
      </c>
      <c r="P887" s="56" t="n">
        <f aca="false">IF(L887=1,IF($B$21&lt;=N887,1,0),0)</f>
        <v>0</v>
      </c>
      <c r="Q887" s="58" t="n">
        <f aca="false">Q886+N887</f>
        <v>989.13386082804</v>
      </c>
    </row>
    <row r="888" customFormat="false" ht="15" hidden="false" customHeight="false" outlineLevel="0" collapsed="false">
      <c r="K888" s="56" t="n">
        <f aca="false">K887+1</f>
        <v>881</v>
      </c>
      <c r="L888" s="57" t="n">
        <f aca="false">IF(AND(K888&lt;=Assumptions!$C$42,L887=1,P887=0,O887&gt;Assumptions!$C$43),1,0)</f>
        <v>0</v>
      </c>
      <c r="M888" s="58" t="n">
        <f aca="false">O887</f>
        <v>-10.8661391719591</v>
      </c>
      <c r="N888" s="58" t="n">
        <f aca="false">IF(L888=1,M888*$B$20,0)</f>
        <v>0</v>
      </c>
      <c r="O888" s="58" t="n">
        <f aca="false">IF(L888=1,M888+N888-$B$21,M888)</f>
        <v>-10.8661391719591</v>
      </c>
      <c r="P888" s="56" t="n">
        <f aca="false">IF(L888=1,IF($B$21&lt;=N888,1,0),0)</f>
        <v>0</v>
      </c>
      <c r="Q888" s="58" t="n">
        <f aca="false">Q887+N888</f>
        <v>989.13386082804</v>
      </c>
    </row>
    <row r="889" customFormat="false" ht="15" hidden="false" customHeight="false" outlineLevel="0" collapsed="false">
      <c r="K889" s="56" t="n">
        <f aca="false">K888+1</f>
        <v>882</v>
      </c>
      <c r="L889" s="57" t="n">
        <f aca="false">IF(AND(K889&lt;=Assumptions!$C$42,L888=1,P888=0,O888&gt;Assumptions!$C$43),1,0)</f>
        <v>0</v>
      </c>
      <c r="M889" s="58" t="n">
        <f aca="false">O888</f>
        <v>-10.8661391719591</v>
      </c>
      <c r="N889" s="58" t="n">
        <f aca="false">IF(L889=1,M889*$B$20,0)</f>
        <v>0</v>
      </c>
      <c r="O889" s="58" t="n">
        <f aca="false">IF(L889=1,M889+N889-$B$21,M889)</f>
        <v>-10.8661391719591</v>
      </c>
      <c r="P889" s="56" t="n">
        <f aca="false">IF(L889=1,IF($B$21&lt;=N889,1,0),0)</f>
        <v>0</v>
      </c>
      <c r="Q889" s="58" t="n">
        <f aca="false">Q888+N889</f>
        <v>989.13386082804</v>
      </c>
    </row>
    <row r="890" customFormat="false" ht="15" hidden="false" customHeight="false" outlineLevel="0" collapsed="false">
      <c r="K890" s="56" t="n">
        <f aca="false">K889+1</f>
        <v>883</v>
      </c>
      <c r="L890" s="57" t="n">
        <f aca="false">IF(AND(K890&lt;=Assumptions!$C$42,L889=1,P889=0,O889&gt;Assumptions!$C$43),1,0)</f>
        <v>0</v>
      </c>
      <c r="M890" s="58" t="n">
        <f aca="false">O889</f>
        <v>-10.8661391719591</v>
      </c>
      <c r="N890" s="58" t="n">
        <f aca="false">IF(L890=1,M890*$B$20,0)</f>
        <v>0</v>
      </c>
      <c r="O890" s="58" t="n">
        <f aca="false">IF(L890=1,M890+N890-$B$21,M890)</f>
        <v>-10.8661391719591</v>
      </c>
      <c r="P890" s="56" t="n">
        <f aca="false">IF(L890=1,IF($B$21&lt;=N890,1,0),0)</f>
        <v>0</v>
      </c>
      <c r="Q890" s="58" t="n">
        <f aca="false">Q889+N890</f>
        <v>989.13386082804</v>
      </c>
    </row>
    <row r="891" customFormat="false" ht="15" hidden="false" customHeight="false" outlineLevel="0" collapsed="false">
      <c r="K891" s="56" t="n">
        <f aca="false">K890+1</f>
        <v>884</v>
      </c>
      <c r="L891" s="57" t="n">
        <f aca="false">IF(AND(K891&lt;=Assumptions!$C$42,L890=1,P890=0,O890&gt;Assumptions!$C$43),1,0)</f>
        <v>0</v>
      </c>
      <c r="M891" s="58" t="n">
        <f aca="false">O890</f>
        <v>-10.8661391719591</v>
      </c>
      <c r="N891" s="58" t="n">
        <f aca="false">IF(L891=1,M891*$B$20,0)</f>
        <v>0</v>
      </c>
      <c r="O891" s="58" t="n">
        <f aca="false">IF(L891=1,M891+N891-$B$21,M891)</f>
        <v>-10.8661391719591</v>
      </c>
      <c r="P891" s="56" t="n">
        <f aca="false">IF(L891=1,IF($B$21&lt;=N891,1,0),0)</f>
        <v>0</v>
      </c>
      <c r="Q891" s="58" t="n">
        <f aca="false">Q890+N891</f>
        <v>989.13386082804</v>
      </c>
    </row>
    <row r="892" customFormat="false" ht="15" hidden="false" customHeight="false" outlineLevel="0" collapsed="false">
      <c r="K892" s="56" t="n">
        <f aca="false">K891+1</f>
        <v>885</v>
      </c>
      <c r="L892" s="57" t="n">
        <f aca="false">IF(AND(K892&lt;=Assumptions!$C$42,L891=1,P891=0,O891&gt;Assumptions!$C$43),1,0)</f>
        <v>0</v>
      </c>
      <c r="M892" s="58" t="n">
        <f aca="false">O891</f>
        <v>-10.8661391719591</v>
      </c>
      <c r="N892" s="58" t="n">
        <f aca="false">IF(L892=1,M892*$B$20,0)</f>
        <v>0</v>
      </c>
      <c r="O892" s="58" t="n">
        <f aca="false">IF(L892=1,M892+N892-$B$21,M892)</f>
        <v>-10.8661391719591</v>
      </c>
      <c r="P892" s="56" t="n">
        <f aca="false">IF(L892=1,IF($B$21&lt;=N892,1,0),0)</f>
        <v>0</v>
      </c>
      <c r="Q892" s="58" t="n">
        <f aca="false">Q891+N892</f>
        <v>989.13386082804</v>
      </c>
    </row>
    <row r="893" customFormat="false" ht="15" hidden="false" customHeight="false" outlineLevel="0" collapsed="false">
      <c r="K893" s="56" t="n">
        <f aca="false">K892+1</f>
        <v>886</v>
      </c>
      <c r="L893" s="57" t="n">
        <f aca="false">IF(AND(K893&lt;=Assumptions!$C$42,L892=1,P892=0,O892&gt;Assumptions!$C$43),1,0)</f>
        <v>0</v>
      </c>
      <c r="M893" s="58" t="n">
        <f aca="false">O892</f>
        <v>-10.8661391719591</v>
      </c>
      <c r="N893" s="58" t="n">
        <f aca="false">IF(L893=1,M893*$B$20,0)</f>
        <v>0</v>
      </c>
      <c r="O893" s="58" t="n">
        <f aca="false">IF(L893=1,M893+N893-$B$21,M893)</f>
        <v>-10.8661391719591</v>
      </c>
      <c r="P893" s="56" t="n">
        <f aca="false">IF(L893=1,IF($B$21&lt;=N893,1,0),0)</f>
        <v>0</v>
      </c>
      <c r="Q893" s="58" t="n">
        <f aca="false">Q892+N893</f>
        <v>989.13386082804</v>
      </c>
    </row>
    <row r="894" customFormat="false" ht="15" hidden="false" customHeight="false" outlineLevel="0" collapsed="false">
      <c r="K894" s="56" t="n">
        <f aca="false">K893+1</f>
        <v>887</v>
      </c>
      <c r="L894" s="57" t="n">
        <f aca="false">IF(AND(K894&lt;=Assumptions!$C$42,L893=1,P893=0,O893&gt;Assumptions!$C$43),1,0)</f>
        <v>0</v>
      </c>
      <c r="M894" s="58" t="n">
        <f aca="false">O893</f>
        <v>-10.8661391719591</v>
      </c>
      <c r="N894" s="58" t="n">
        <f aca="false">IF(L894=1,M894*$B$20,0)</f>
        <v>0</v>
      </c>
      <c r="O894" s="58" t="n">
        <f aca="false">IF(L894=1,M894+N894-$B$21,M894)</f>
        <v>-10.8661391719591</v>
      </c>
      <c r="P894" s="56" t="n">
        <f aca="false">IF(L894=1,IF($B$21&lt;=N894,1,0),0)</f>
        <v>0</v>
      </c>
      <c r="Q894" s="58" t="n">
        <f aca="false">Q893+N894</f>
        <v>989.13386082804</v>
      </c>
    </row>
    <row r="895" customFormat="false" ht="15" hidden="false" customHeight="false" outlineLevel="0" collapsed="false">
      <c r="K895" s="56" t="n">
        <f aca="false">K894+1</f>
        <v>888</v>
      </c>
      <c r="L895" s="57" t="n">
        <f aca="false">IF(AND(K895&lt;=Assumptions!$C$42,L894=1,P894=0,O894&gt;Assumptions!$C$43),1,0)</f>
        <v>0</v>
      </c>
      <c r="M895" s="58" t="n">
        <f aca="false">O894</f>
        <v>-10.8661391719591</v>
      </c>
      <c r="N895" s="58" t="n">
        <f aca="false">IF(L895=1,M895*$B$20,0)</f>
        <v>0</v>
      </c>
      <c r="O895" s="58" t="n">
        <f aca="false">IF(L895=1,M895+N895-$B$21,M895)</f>
        <v>-10.8661391719591</v>
      </c>
      <c r="P895" s="56" t="n">
        <f aca="false">IF(L895=1,IF($B$21&lt;=N895,1,0),0)</f>
        <v>0</v>
      </c>
      <c r="Q895" s="58" t="n">
        <f aca="false">Q894+N895</f>
        <v>989.13386082804</v>
      </c>
    </row>
    <row r="896" customFormat="false" ht="15" hidden="false" customHeight="false" outlineLevel="0" collapsed="false">
      <c r="K896" s="56" t="n">
        <f aca="false">K895+1</f>
        <v>889</v>
      </c>
      <c r="L896" s="57" t="n">
        <f aca="false">IF(AND(K896&lt;=Assumptions!$C$42,L895=1,P895=0,O895&gt;Assumptions!$C$43),1,0)</f>
        <v>0</v>
      </c>
      <c r="M896" s="58" t="n">
        <f aca="false">O895</f>
        <v>-10.8661391719591</v>
      </c>
      <c r="N896" s="58" t="n">
        <f aca="false">IF(L896=1,M896*$B$20,0)</f>
        <v>0</v>
      </c>
      <c r="O896" s="58" t="n">
        <f aca="false">IF(L896=1,M896+N896-$B$21,M896)</f>
        <v>-10.8661391719591</v>
      </c>
      <c r="P896" s="56" t="n">
        <f aca="false">IF(L896=1,IF($B$21&lt;=N896,1,0),0)</f>
        <v>0</v>
      </c>
      <c r="Q896" s="58" t="n">
        <f aca="false">Q895+N896</f>
        <v>989.13386082804</v>
      </c>
    </row>
    <row r="897" customFormat="false" ht="15" hidden="false" customHeight="false" outlineLevel="0" collapsed="false">
      <c r="K897" s="56" t="n">
        <f aca="false">K896+1</f>
        <v>890</v>
      </c>
      <c r="L897" s="57" t="n">
        <f aca="false">IF(AND(K897&lt;=Assumptions!$C$42,L896=1,P896=0,O896&gt;Assumptions!$C$43),1,0)</f>
        <v>0</v>
      </c>
      <c r="M897" s="58" t="n">
        <f aca="false">O896</f>
        <v>-10.8661391719591</v>
      </c>
      <c r="N897" s="58" t="n">
        <f aca="false">IF(L897=1,M897*$B$20,0)</f>
        <v>0</v>
      </c>
      <c r="O897" s="58" t="n">
        <f aca="false">IF(L897=1,M897+N897-$B$21,M897)</f>
        <v>-10.8661391719591</v>
      </c>
      <c r="P897" s="56" t="n">
        <f aca="false">IF(L897=1,IF($B$21&lt;=N897,1,0),0)</f>
        <v>0</v>
      </c>
      <c r="Q897" s="58" t="n">
        <f aca="false">Q896+N897</f>
        <v>989.13386082804</v>
      </c>
    </row>
    <row r="898" customFormat="false" ht="15" hidden="false" customHeight="false" outlineLevel="0" collapsed="false">
      <c r="K898" s="56" t="n">
        <f aca="false">K897+1</f>
        <v>891</v>
      </c>
      <c r="L898" s="57" t="n">
        <f aca="false">IF(AND(K898&lt;=Assumptions!$C$42,L897=1,P897=0,O897&gt;Assumptions!$C$43),1,0)</f>
        <v>0</v>
      </c>
      <c r="M898" s="58" t="n">
        <f aca="false">O897</f>
        <v>-10.8661391719591</v>
      </c>
      <c r="N898" s="58" t="n">
        <f aca="false">IF(L898=1,M898*$B$20,0)</f>
        <v>0</v>
      </c>
      <c r="O898" s="58" t="n">
        <f aca="false">IF(L898=1,M898+N898-$B$21,M898)</f>
        <v>-10.8661391719591</v>
      </c>
      <c r="P898" s="56" t="n">
        <f aca="false">IF(L898=1,IF($B$21&lt;=N898,1,0),0)</f>
        <v>0</v>
      </c>
      <c r="Q898" s="58" t="n">
        <f aca="false">Q897+N898</f>
        <v>989.13386082804</v>
      </c>
    </row>
    <row r="899" customFormat="false" ht="15" hidden="false" customHeight="false" outlineLevel="0" collapsed="false">
      <c r="K899" s="56" t="n">
        <f aca="false">K898+1</f>
        <v>892</v>
      </c>
      <c r="L899" s="57" t="n">
        <f aca="false">IF(AND(K899&lt;=Assumptions!$C$42,L898=1,P898=0,O898&gt;Assumptions!$C$43),1,0)</f>
        <v>0</v>
      </c>
      <c r="M899" s="58" t="n">
        <f aca="false">O898</f>
        <v>-10.8661391719591</v>
      </c>
      <c r="N899" s="58" t="n">
        <f aca="false">IF(L899=1,M899*$B$20,0)</f>
        <v>0</v>
      </c>
      <c r="O899" s="58" t="n">
        <f aca="false">IF(L899=1,M899+N899-$B$21,M899)</f>
        <v>-10.8661391719591</v>
      </c>
      <c r="P899" s="56" t="n">
        <f aca="false">IF(L899=1,IF($B$21&lt;=N899,1,0),0)</f>
        <v>0</v>
      </c>
      <c r="Q899" s="58" t="n">
        <f aca="false">Q898+N899</f>
        <v>989.13386082804</v>
      </c>
    </row>
    <row r="900" customFormat="false" ht="15" hidden="false" customHeight="false" outlineLevel="0" collapsed="false">
      <c r="K900" s="56" t="n">
        <f aca="false">K899+1</f>
        <v>893</v>
      </c>
      <c r="L900" s="57" t="n">
        <f aca="false">IF(AND(K900&lt;=Assumptions!$C$42,L899=1,P899=0,O899&gt;Assumptions!$C$43),1,0)</f>
        <v>0</v>
      </c>
      <c r="M900" s="58" t="n">
        <f aca="false">O899</f>
        <v>-10.8661391719591</v>
      </c>
      <c r="N900" s="58" t="n">
        <f aca="false">IF(L900=1,M900*$B$20,0)</f>
        <v>0</v>
      </c>
      <c r="O900" s="58" t="n">
        <f aca="false">IF(L900=1,M900+N900-$B$21,M900)</f>
        <v>-10.8661391719591</v>
      </c>
      <c r="P900" s="56" t="n">
        <f aca="false">IF(L900=1,IF($B$21&lt;=N900,1,0),0)</f>
        <v>0</v>
      </c>
      <c r="Q900" s="58" t="n">
        <f aca="false">Q899+N900</f>
        <v>989.13386082804</v>
      </c>
    </row>
    <row r="901" customFormat="false" ht="15" hidden="false" customHeight="false" outlineLevel="0" collapsed="false">
      <c r="K901" s="56" t="n">
        <f aca="false">K900+1</f>
        <v>894</v>
      </c>
      <c r="L901" s="57" t="n">
        <f aca="false">IF(AND(K901&lt;=Assumptions!$C$42,L900=1,P900=0,O900&gt;Assumptions!$C$43),1,0)</f>
        <v>0</v>
      </c>
      <c r="M901" s="58" t="n">
        <f aca="false">O900</f>
        <v>-10.8661391719591</v>
      </c>
      <c r="N901" s="58" t="n">
        <f aca="false">IF(L901=1,M901*$B$20,0)</f>
        <v>0</v>
      </c>
      <c r="O901" s="58" t="n">
        <f aca="false">IF(L901=1,M901+N901-$B$21,M901)</f>
        <v>-10.8661391719591</v>
      </c>
      <c r="P901" s="56" t="n">
        <f aca="false">IF(L901=1,IF($B$21&lt;=N901,1,0),0)</f>
        <v>0</v>
      </c>
      <c r="Q901" s="58" t="n">
        <f aca="false">Q900+N901</f>
        <v>989.13386082804</v>
      </c>
    </row>
    <row r="902" customFormat="false" ht="15" hidden="false" customHeight="false" outlineLevel="0" collapsed="false">
      <c r="K902" s="56" t="n">
        <f aca="false">K901+1</f>
        <v>895</v>
      </c>
      <c r="L902" s="57" t="n">
        <f aca="false">IF(AND(K902&lt;=Assumptions!$C$42,L901=1,P901=0,O901&gt;Assumptions!$C$43),1,0)</f>
        <v>0</v>
      </c>
      <c r="M902" s="58" t="n">
        <f aca="false">O901</f>
        <v>-10.8661391719591</v>
      </c>
      <c r="N902" s="58" t="n">
        <f aca="false">IF(L902=1,M902*$B$20,0)</f>
        <v>0</v>
      </c>
      <c r="O902" s="58" t="n">
        <f aca="false">IF(L902=1,M902+N902-$B$21,M902)</f>
        <v>-10.8661391719591</v>
      </c>
      <c r="P902" s="56" t="n">
        <f aca="false">IF(L902=1,IF($B$21&lt;=N902,1,0),0)</f>
        <v>0</v>
      </c>
      <c r="Q902" s="58" t="n">
        <f aca="false">Q901+N902</f>
        <v>989.13386082804</v>
      </c>
    </row>
    <row r="903" customFormat="false" ht="15" hidden="false" customHeight="false" outlineLevel="0" collapsed="false">
      <c r="K903" s="56" t="n">
        <f aca="false">K902+1</f>
        <v>896</v>
      </c>
      <c r="L903" s="57" t="n">
        <f aca="false">IF(AND(K903&lt;=Assumptions!$C$42,L902=1,P902=0,O902&gt;Assumptions!$C$43),1,0)</f>
        <v>0</v>
      </c>
      <c r="M903" s="58" t="n">
        <f aca="false">O902</f>
        <v>-10.8661391719591</v>
      </c>
      <c r="N903" s="58" t="n">
        <f aca="false">IF(L903=1,M903*$B$20,0)</f>
        <v>0</v>
      </c>
      <c r="O903" s="58" t="n">
        <f aca="false">IF(L903=1,M903+N903-$B$21,M903)</f>
        <v>-10.8661391719591</v>
      </c>
      <c r="P903" s="56" t="n">
        <f aca="false">IF(L903=1,IF($B$21&lt;=N903,1,0),0)</f>
        <v>0</v>
      </c>
      <c r="Q903" s="58" t="n">
        <f aca="false">Q902+N903</f>
        <v>989.13386082804</v>
      </c>
    </row>
    <row r="904" customFormat="false" ht="15" hidden="false" customHeight="false" outlineLevel="0" collapsed="false">
      <c r="K904" s="56" t="n">
        <f aca="false">K903+1</f>
        <v>897</v>
      </c>
      <c r="L904" s="57" t="n">
        <f aca="false">IF(AND(K904&lt;=Assumptions!$C$42,L903=1,P903=0,O903&gt;Assumptions!$C$43),1,0)</f>
        <v>0</v>
      </c>
      <c r="M904" s="58" t="n">
        <f aca="false">O903</f>
        <v>-10.8661391719591</v>
      </c>
      <c r="N904" s="58" t="n">
        <f aca="false">IF(L904=1,M904*$B$20,0)</f>
        <v>0</v>
      </c>
      <c r="O904" s="58" t="n">
        <f aca="false">IF(L904=1,M904+N904-$B$21,M904)</f>
        <v>-10.8661391719591</v>
      </c>
      <c r="P904" s="56" t="n">
        <f aca="false">IF(L904=1,IF($B$21&lt;=N904,1,0),0)</f>
        <v>0</v>
      </c>
      <c r="Q904" s="58" t="n">
        <f aca="false">Q903+N904</f>
        <v>989.13386082804</v>
      </c>
    </row>
    <row r="905" customFormat="false" ht="15" hidden="false" customHeight="false" outlineLevel="0" collapsed="false">
      <c r="K905" s="56" t="n">
        <f aca="false">K904+1</f>
        <v>898</v>
      </c>
      <c r="L905" s="57" t="n">
        <f aca="false">IF(AND(K905&lt;=Assumptions!$C$42,L904=1,P904=0,O904&gt;Assumptions!$C$43),1,0)</f>
        <v>0</v>
      </c>
      <c r="M905" s="58" t="n">
        <f aca="false">O904</f>
        <v>-10.8661391719591</v>
      </c>
      <c r="N905" s="58" t="n">
        <f aca="false">IF(L905=1,M905*$B$20,0)</f>
        <v>0</v>
      </c>
      <c r="O905" s="58" t="n">
        <f aca="false">IF(L905=1,M905+N905-$B$21,M905)</f>
        <v>-10.8661391719591</v>
      </c>
      <c r="P905" s="56" t="n">
        <f aca="false">IF(L905=1,IF($B$21&lt;=N905,1,0),0)</f>
        <v>0</v>
      </c>
      <c r="Q905" s="58" t="n">
        <f aca="false">Q904+N905</f>
        <v>989.13386082804</v>
      </c>
    </row>
    <row r="906" customFormat="false" ht="15" hidden="false" customHeight="false" outlineLevel="0" collapsed="false">
      <c r="K906" s="56" t="n">
        <f aca="false">K905+1</f>
        <v>899</v>
      </c>
      <c r="L906" s="57" t="n">
        <f aca="false">IF(AND(K906&lt;=Assumptions!$C$42,L905=1,P905=0,O905&gt;Assumptions!$C$43),1,0)</f>
        <v>0</v>
      </c>
      <c r="M906" s="58" t="n">
        <f aca="false">O905</f>
        <v>-10.8661391719591</v>
      </c>
      <c r="N906" s="58" t="n">
        <f aca="false">IF(L906=1,M906*$B$20,0)</f>
        <v>0</v>
      </c>
      <c r="O906" s="58" t="n">
        <f aca="false">IF(L906=1,M906+N906-$B$21,M906)</f>
        <v>-10.8661391719591</v>
      </c>
      <c r="P906" s="56" t="n">
        <f aca="false">IF(L906=1,IF($B$21&lt;=N906,1,0),0)</f>
        <v>0</v>
      </c>
      <c r="Q906" s="58" t="n">
        <f aca="false">Q905+N906</f>
        <v>989.13386082804</v>
      </c>
    </row>
    <row r="907" customFormat="false" ht="15" hidden="false" customHeight="false" outlineLevel="0" collapsed="false">
      <c r="K907" s="56" t="n">
        <f aca="false">K906+1</f>
        <v>900</v>
      </c>
      <c r="L907" s="57" t="n">
        <f aca="false">IF(AND(K907&lt;=Assumptions!$C$42,L906=1,P906=0,O906&gt;Assumptions!$C$43),1,0)</f>
        <v>0</v>
      </c>
      <c r="M907" s="58" t="n">
        <f aca="false">O906</f>
        <v>-10.8661391719591</v>
      </c>
      <c r="N907" s="58" t="n">
        <f aca="false">IF(L907=1,M907*$B$20,0)</f>
        <v>0</v>
      </c>
      <c r="O907" s="58" t="n">
        <f aca="false">IF(L907=1,M907+N907-$B$21,M907)</f>
        <v>-10.8661391719591</v>
      </c>
      <c r="P907" s="56" t="n">
        <f aca="false">IF(L907=1,IF($B$21&lt;=N907,1,0),0)</f>
        <v>0</v>
      </c>
      <c r="Q907" s="58" t="n">
        <f aca="false">Q906+N907</f>
        <v>989.13386082804</v>
      </c>
    </row>
    <row r="908" customFormat="false" ht="15" hidden="false" customHeight="false" outlineLevel="0" collapsed="false">
      <c r="K908" s="56" t="n">
        <f aca="false">K907+1</f>
        <v>901</v>
      </c>
      <c r="L908" s="57" t="n">
        <f aca="false">IF(AND(K908&lt;=Assumptions!$C$42,L907=1,P907=0,O907&gt;Assumptions!$C$43),1,0)</f>
        <v>0</v>
      </c>
      <c r="M908" s="58" t="n">
        <f aca="false">O907</f>
        <v>-10.8661391719591</v>
      </c>
      <c r="N908" s="58" t="n">
        <f aca="false">IF(L908=1,M908*$B$20,0)</f>
        <v>0</v>
      </c>
      <c r="O908" s="58" t="n">
        <f aca="false">IF(L908=1,M908+N908-$B$21,M908)</f>
        <v>-10.8661391719591</v>
      </c>
      <c r="P908" s="56" t="n">
        <f aca="false">IF(L908=1,IF($B$21&lt;=N908,1,0),0)</f>
        <v>0</v>
      </c>
      <c r="Q908" s="58" t="n">
        <f aca="false">Q907+N908</f>
        <v>989.13386082804</v>
      </c>
    </row>
    <row r="909" customFormat="false" ht="15" hidden="false" customHeight="false" outlineLevel="0" collapsed="false">
      <c r="K909" s="56" t="n">
        <f aca="false">K908+1</f>
        <v>902</v>
      </c>
      <c r="L909" s="57" t="n">
        <f aca="false">IF(AND(K909&lt;=Assumptions!$C$42,L908=1,P908=0,O908&gt;Assumptions!$C$43),1,0)</f>
        <v>0</v>
      </c>
      <c r="M909" s="58" t="n">
        <f aca="false">O908</f>
        <v>-10.8661391719591</v>
      </c>
      <c r="N909" s="58" t="n">
        <f aca="false">IF(L909=1,M909*$B$20,0)</f>
        <v>0</v>
      </c>
      <c r="O909" s="58" t="n">
        <f aca="false">IF(L909=1,M909+N909-$B$21,M909)</f>
        <v>-10.8661391719591</v>
      </c>
      <c r="P909" s="56" t="n">
        <f aca="false">IF(L909=1,IF($B$21&lt;=N909,1,0),0)</f>
        <v>0</v>
      </c>
      <c r="Q909" s="58" t="n">
        <f aca="false">Q908+N909</f>
        <v>989.13386082804</v>
      </c>
    </row>
    <row r="910" customFormat="false" ht="15" hidden="false" customHeight="false" outlineLevel="0" collapsed="false">
      <c r="K910" s="56" t="n">
        <f aca="false">K909+1</f>
        <v>903</v>
      </c>
      <c r="L910" s="57" t="n">
        <f aca="false">IF(AND(K910&lt;=Assumptions!$C$42,L909=1,P909=0,O909&gt;Assumptions!$C$43),1,0)</f>
        <v>0</v>
      </c>
      <c r="M910" s="58" t="n">
        <f aca="false">O909</f>
        <v>-10.8661391719591</v>
      </c>
      <c r="N910" s="58" t="n">
        <f aca="false">IF(L910=1,M910*$B$20,0)</f>
        <v>0</v>
      </c>
      <c r="O910" s="58" t="n">
        <f aca="false">IF(L910=1,M910+N910-$B$21,M910)</f>
        <v>-10.8661391719591</v>
      </c>
      <c r="P910" s="56" t="n">
        <f aca="false">IF(L910=1,IF($B$21&lt;=N910,1,0),0)</f>
        <v>0</v>
      </c>
      <c r="Q910" s="58" t="n">
        <f aca="false">Q909+N910</f>
        <v>989.13386082804</v>
      </c>
    </row>
    <row r="911" customFormat="false" ht="15" hidden="false" customHeight="false" outlineLevel="0" collapsed="false">
      <c r="K911" s="56" t="n">
        <f aca="false">K910+1</f>
        <v>904</v>
      </c>
      <c r="L911" s="57" t="n">
        <f aca="false">IF(AND(K911&lt;=Assumptions!$C$42,L910=1,P910=0,O910&gt;Assumptions!$C$43),1,0)</f>
        <v>0</v>
      </c>
      <c r="M911" s="58" t="n">
        <f aca="false">O910</f>
        <v>-10.8661391719591</v>
      </c>
      <c r="N911" s="58" t="n">
        <f aca="false">IF(L911=1,M911*$B$20,0)</f>
        <v>0</v>
      </c>
      <c r="O911" s="58" t="n">
        <f aca="false">IF(L911=1,M911+N911-$B$21,M911)</f>
        <v>-10.8661391719591</v>
      </c>
      <c r="P911" s="56" t="n">
        <f aca="false">IF(L911=1,IF($B$21&lt;=N911,1,0),0)</f>
        <v>0</v>
      </c>
      <c r="Q911" s="58" t="n">
        <f aca="false">Q910+N911</f>
        <v>989.13386082804</v>
      </c>
    </row>
    <row r="912" customFormat="false" ht="15" hidden="false" customHeight="false" outlineLevel="0" collapsed="false">
      <c r="K912" s="56" t="n">
        <f aca="false">K911+1</f>
        <v>905</v>
      </c>
      <c r="L912" s="57" t="n">
        <f aca="false">IF(AND(K912&lt;=Assumptions!$C$42,L911=1,P911=0,O911&gt;Assumptions!$C$43),1,0)</f>
        <v>0</v>
      </c>
      <c r="M912" s="58" t="n">
        <f aca="false">O911</f>
        <v>-10.8661391719591</v>
      </c>
      <c r="N912" s="58" t="n">
        <f aca="false">IF(L912=1,M912*$B$20,0)</f>
        <v>0</v>
      </c>
      <c r="O912" s="58" t="n">
        <f aca="false">IF(L912=1,M912+N912-$B$21,M912)</f>
        <v>-10.8661391719591</v>
      </c>
      <c r="P912" s="56" t="n">
        <f aca="false">IF(L912=1,IF($B$21&lt;=N912,1,0),0)</f>
        <v>0</v>
      </c>
      <c r="Q912" s="58" t="n">
        <f aca="false">Q911+N912</f>
        <v>989.13386082804</v>
      </c>
    </row>
    <row r="913" customFormat="false" ht="15" hidden="false" customHeight="false" outlineLevel="0" collapsed="false">
      <c r="K913" s="56" t="n">
        <f aca="false">K912+1</f>
        <v>906</v>
      </c>
      <c r="L913" s="57" t="n">
        <f aca="false">IF(AND(K913&lt;=Assumptions!$C$42,L912=1,P912=0,O912&gt;Assumptions!$C$43),1,0)</f>
        <v>0</v>
      </c>
      <c r="M913" s="58" t="n">
        <f aca="false">O912</f>
        <v>-10.8661391719591</v>
      </c>
      <c r="N913" s="58" t="n">
        <f aca="false">IF(L913=1,M913*$B$20,0)</f>
        <v>0</v>
      </c>
      <c r="O913" s="58" t="n">
        <f aca="false">IF(L913=1,M913+N913-$B$21,M913)</f>
        <v>-10.8661391719591</v>
      </c>
      <c r="P913" s="56" t="n">
        <f aca="false">IF(L913=1,IF($B$21&lt;=N913,1,0),0)</f>
        <v>0</v>
      </c>
      <c r="Q913" s="58" t="n">
        <f aca="false">Q912+N913</f>
        <v>989.13386082804</v>
      </c>
    </row>
    <row r="914" customFormat="false" ht="15" hidden="false" customHeight="false" outlineLevel="0" collapsed="false">
      <c r="K914" s="56" t="n">
        <f aca="false">K913+1</f>
        <v>907</v>
      </c>
      <c r="L914" s="57" t="n">
        <f aca="false">IF(AND(K914&lt;=Assumptions!$C$42,L913=1,P913=0,O913&gt;Assumptions!$C$43),1,0)</f>
        <v>0</v>
      </c>
      <c r="M914" s="58" t="n">
        <f aca="false">O913</f>
        <v>-10.8661391719591</v>
      </c>
      <c r="N914" s="58" t="n">
        <f aca="false">IF(L914=1,M914*$B$20,0)</f>
        <v>0</v>
      </c>
      <c r="O914" s="58" t="n">
        <f aca="false">IF(L914=1,M914+N914-$B$21,M914)</f>
        <v>-10.8661391719591</v>
      </c>
      <c r="P914" s="56" t="n">
        <f aca="false">IF(L914=1,IF($B$21&lt;=N914,1,0),0)</f>
        <v>0</v>
      </c>
      <c r="Q914" s="58" t="n">
        <f aca="false">Q913+N914</f>
        <v>989.13386082804</v>
      </c>
    </row>
    <row r="915" customFormat="false" ht="15" hidden="false" customHeight="false" outlineLevel="0" collapsed="false">
      <c r="K915" s="56" t="n">
        <f aca="false">K914+1</f>
        <v>908</v>
      </c>
      <c r="L915" s="57" t="n">
        <f aca="false">IF(AND(K915&lt;=Assumptions!$C$42,L914=1,P914=0,O914&gt;Assumptions!$C$43),1,0)</f>
        <v>0</v>
      </c>
      <c r="M915" s="58" t="n">
        <f aca="false">O914</f>
        <v>-10.8661391719591</v>
      </c>
      <c r="N915" s="58" t="n">
        <f aca="false">IF(L915=1,M915*$B$20,0)</f>
        <v>0</v>
      </c>
      <c r="O915" s="58" t="n">
        <f aca="false">IF(L915=1,M915+N915-$B$21,M915)</f>
        <v>-10.8661391719591</v>
      </c>
      <c r="P915" s="56" t="n">
        <f aca="false">IF(L915=1,IF($B$21&lt;=N915,1,0),0)</f>
        <v>0</v>
      </c>
      <c r="Q915" s="58" t="n">
        <f aca="false">Q914+N915</f>
        <v>989.13386082804</v>
      </c>
    </row>
    <row r="916" customFormat="false" ht="15" hidden="false" customHeight="false" outlineLevel="0" collapsed="false">
      <c r="K916" s="56" t="n">
        <f aca="false">K915+1</f>
        <v>909</v>
      </c>
      <c r="L916" s="57" t="n">
        <f aca="false">IF(AND(K916&lt;=Assumptions!$C$42,L915=1,P915=0,O915&gt;Assumptions!$C$43),1,0)</f>
        <v>0</v>
      </c>
      <c r="M916" s="58" t="n">
        <f aca="false">O915</f>
        <v>-10.8661391719591</v>
      </c>
      <c r="N916" s="58" t="n">
        <f aca="false">IF(L916=1,M916*$B$20,0)</f>
        <v>0</v>
      </c>
      <c r="O916" s="58" t="n">
        <f aca="false">IF(L916=1,M916+N916-$B$21,M916)</f>
        <v>-10.8661391719591</v>
      </c>
      <c r="P916" s="56" t="n">
        <f aca="false">IF(L916=1,IF($B$21&lt;=N916,1,0),0)</f>
        <v>0</v>
      </c>
      <c r="Q916" s="58" t="n">
        <f aca="false">Q915+N916</f>
        <v>989.13386082804</v>
      </c>
    </row>
    <row r="917" customFormat="false" ht="15" hidden="false" customHeight="false" outlineLevel="0" collapsed="false">
      <c r="K917" s="56" t="n">
        <f aca="false">K916+1</f>
        <v>910</v>
      </c>
      <c r="L917" s="57" t="n">
        <f aca="false">IF(AND(K917&lt;=Assumptions!$C$42,L916=1,P916=0,O916&gt;Assumptions!$C$43),1,0)</f>
        <v>0</v>
      </c>
      <c r="M917" s="58" t="n">
        <f aca="false">O916</f>
        <v>-10.8661391719591</v>
      </c>
      <c r="N917" s="58" t="n">
        <f aca="false">IF(L917=1,M917*$B$20,0)</f>
        <v>0</v>
      </c>
      <c r="O917" s="58" t="n">
        <f aca="false">IF(L917=1,M917+N917-$B$21,M917)</f>
        <v>-10.8661391719591</v>
      </c>
      <c r="P917" s="56" t="n">
        <f aca="false">IF(L917=1,IF($B$21&lt;=N917,1,0),0)</f>
        <v>0</v>
      </c>
      <c r="Q917" s="58" t="n">
        <f aca="false">Q916+N917</f>
        <v>989.13386082804</v>
      </c>
    </row>
    <row r="918" customFormat="false" ht="15" hidden="false" customHeight="false" outlineLevel="0" collapsed="false">
      <c r="K918" s="56" t="n">
        <f aca="false">K917+1</f>
        <v>911</v>
      </c>
      <c r="L918" s="57" t="n">
        <f aca="false">IF(AND(K918&lt;=Assumptions!$C$42,L917=1,P917=0,O917&gt;Assumptions!$C$43),1,0)</f>
        <v>0</v>
      </c>
      <c r="M918" s="58" t="n">
        <f aca="false">O917</f>
        <v>-10.8661391719591</v>
      </c>
      <c r="N918" s="58" t="n">
        <f aca="false">IF(L918=1,M918*$B$20,0)</f>
        <v>0</v>
      </c>
      <c r="O918" s="58" t="n">
        <f aca="false">IF(L918=1,M918+N918-$B$21,M918)</f>
        <v>-10.8661391719591</v>
      </c>
      <c r="P918" s="56" t="n">
        <f aca="false">IF(L918=1,IF($B$21&lt;=N918,1,0),0)</f>
        <v>0</v>
      </c>
      <c r="Q918" s="58" t="n">
        <f aca="false">Q917+N918</f>
        <v>989.13386082804</v>
      </c>
    </row>
    <row r="919" customFormat="false" ht="15" hidden="false" customHeight="false" outlineLevel="0" collapsed="false">
      <c r="K919" s="56" t="n">
        <f aca="false">K918+1</f>
        <v>912</v>
      </c>
      <c r="L919" s="57" t="n">
        <f aca="false">IF(AND(K919&lt;=Assumptions!$C$42,L918=1,P918=0,O918&gt;Assumptions!$C$43),1,0)</f>
        <v>0</v>
      </c>
      <c r="M919" s="58" t="n">
        <f aca="false">O918</f>
        <v>-10.8661391719591</v>
      </c>
      <c r="N919" s="58" t="n">
        <f aca="false">IF(L919=1,M919*$B$20,0)</f>
        <v>0</v>
      </c>
      <c r="O919" s="58" t="n">
        <f aca="false">IF(L919=1,M919+N919-$B$21,M919)</f>
        <v>-10.8661391719591</v>
      </c>
      <c r="P919" s="56" t="n">
        <f aca="false">IF(L919=1,IF($B$21&lt;=N919,1,0),0)</f>
        <v>0</v>
      </c>
      <c r="Q919" s="58" t="n">
        <f aca="false">Q918+N919</f>
        <v>989.13386082804</v>
      </c>
    </row>
    <row r="920" customFormat="false" ht="15" hidden="false" customHeight="false" outlineLevel="0" collapsed="false">
      <c r="K920" s="56" t="n">
        <f aca="false">K919+1</f>
        <v>913</v>
      </c>
      <c r="L920" s="57" t="n">
        <f aca="false">IF(AND(K920&lt;=Assumptions!$C$42,L919=1,P919=0,O919&gt;Assumptions!$C$43),1,0)</f>
        <v>0</v>
      </c>
      <c r="M920" s="58" t="n">
        <f aca="false">O919</f>
        <v>-10.8661391719591</v>
      </c>
      <c r="N920" s="58" t="n">
        <f aca="false">IF(L920=1,M920*$B$20,0)</f>
        <v>0</v>
      </c>
      <c r="O920" s="58" t="n">
        <f aca="false">IF(L920=1,M920+N920-$B$21,M920)</f>
        <v>-10.8661391719591</v>
      </c>
      <c r="P920" s="56" t="n">
        <f aca="false">IF(L920=1,IF($B$21&lt;=N920,1,0),0)</f>
        <v>0</v>
      </c>
      <c r="Q920" s="58" t="n">
        <f aca="false">Q919+N920</f>
        <v>989.13386082804</v>
      </c>
    </row>
    <row r="921" customFormat="false" ht="15" hidden="false" customHeight="false" outlineLevel="0" collapsed="false">
      <c r="K921" s="56" t="n">
        <f aca="false">K920+1</f>
        <v>914</v>
      </c>
      <c r="L921" s="57" t="n">
        <f aca="false">IF(AND(K921&lt;=Assumptions!$C$42,L920=1,P920=0,O920&gt;Assumptions!$C$43),1,0)</f>
        <v>0</v>
      </c>
      <c r="M921" s="58" t="n">
        <f aca="false">O920</f>
        <v>-10.8661391719591</v>
      </c>
      <c r="N921" s="58" t="n">
        <f aca="false">IF(L921=1,M921*$B$20,0)</f>
        <v>0</v>
      </c>
      <c r="O921" s="58" t="n">
        <f aca="false">IF(L921=1,M921+N921-$B$21,M921)</f>
        <v>-10.8661391719591</v>
      </c>
      <c r="P921" s="56" t="n">
        <f aca="false">IF(L921=1,IF($B$21&lt;=N921,1,0),0)</f>
        <v>0</v>
      </c>
      <c r="Q921" s="58" t="n">
        <f aca="false">Q920+N921</f>
        <v>989.13386082804</v>
      </c>
    </row>
    <row r="922" customFormat="false" ht="15" hidden="false" customHeight="false" outlineLevel="0" collapsed="false">
      <c r="K922" s="56" t="n">
        <f aca="false">K921+1</f>
        <v>915</v>
      </c>
      <c r="L922" s="57" t="n">
        <f aca="false">IF(AND(K922&lt;=Assumptions!$C$42,L921=1,P921=0,O921&gt;Assumptions!$C$43),1,0)</f>
        <v>0</v>
      </c>
      <c r="M922" s="58" t="n">
        <f aca="false">O921</f>
        <v>-10.8661391719591</v>
      </c>
      <c r="N922" s="58" t="n">
        <f aca="false">IF(L922=1,M922*$B$20,0)</f>
        <v>0</v>
      </c>
      <c r="O922" s="58" t="n">
        <f aca="false">IF(L922=1,M922+N922-$B$21,M922)</f>
        <v>-10.8661391719591</v>
      </c>
      <c r="P922" s="56" t="n">
        <f aca="false">IF(L922=1,IF($B$21&lt;=N922,1,0),0)</f>
        <v>0</v>
      </c>
      <c r="Q922" s="58" t="n">
        <f aca="false">Q921+N922</f>
        <v>989.13386082804</v>
      </c>
    </row>
    <row r="923" customFormat="false" ht="15" hidden="false" customHeight="false" outlineLevel="0" collapsed="false">
      <c r="K923" s="56" t="n">
        <f aca="false">K922+1</f>
        <v>916</v>
      </c>
      <c r="L923" s="57" t="n">
        <f aca="false">IF(AND(K923&lt;=Assumptions!$C$42,L922=1,P922=0,O922&gt;Assumptions!$C$43),1,0)</f>
        <v>0</v>
      </c>
      <c r="M923" s="58" t="n">
        <f aca="false">O922</f>
        <v>-10.8661391719591</v>
      </c>
      <c r="N923" s="58" t="n">
        <f aca="false">IF(L923=1,M923*$B$20,0)</f>
        <v>0</v>
      </c>
      <c r="O923" s="58" t="n">
        <f aca="false">IF(L923=1,M923+N923-$B$21,M923)</f>
        <v>-10.8661391719591</v>
      </c>
      <c r="P923" s="56" t="n">
        <f aca="false">IF(L923=1,IF($B$21&lt;=N923,1,0),0)</f>
        <v>0</v>
      </c>
      <c r="Q923" s="58" t="n">
        <f aca="false">Q922+N923</f>
        <v>989.13386082804</v>
      </c>
    </row>
    <row r="924" customFormat="false" ht="15" hidden="false" customHeight="false" outlineLevel="0" collapsed="false">
      <c r="K924" s="56" t="n">
        <f aca="false">K923+1</f>
        <v>917</v>
      </c>
      <c r="L924" s="57" t="n">
        <f aca="false">IF(AND(K924&lt;=Assumptions!$C$42,L923=1,P923=0,O923&gt;Assumptions!$C$43),1,0)</f>
        <v>0</v>
      </c>
      <c r="M924" s="58" t="n">
        <f aca="false">O923</f>
        <v>-10.8661391719591</v>
      </c>
      <c r="N924" s="58" t="n">
        <f aca="false">IF(L924=1,M924*$B$20,0)</f>
        <v>0</v>
      </c>
      <c r="O924" s="58" t="n">
        <f aca="false">IF(L924=1,M924+N924-$B$21,M924)</f>
        <v>-10.8661391719591</v>
      </c>
      <c r="P924" s="56" t="n">
        <f aca="false">IF(L924=1,IF($B$21&lt;=N924,1,0),0)</f>
        <v>0</v>
      </c>
      <c r="Q924" s="58" t="n">
        <f aca="false">Q923+N924</f>
        <v>989.13386082804</v>
      </c>
    </row>
    <row r="925" customFormat="false" ht="15" hidden="false" customHeight="false" outlineLevel="0" collapsed="false">
      <c r="K925" s="56" t="n">
        <f aca="false">K924+1</f>
        <v>918</v>
      </c>
      <c r="L925" s="57" t="n">
        <f aca="false">IF(AND(K925&lt;=Assumptions!$C$42,L924=1,P924=0,O924&gt;Assumptions!$C$43),1,0)</f>
        <v>0</v>
      </c>
      <c r="M925" s="58" t="n">
        <f aca="false">O924</f>
        <v>-10.8661391719591</v>
      </c>
      <c r="N925" s="58" t="n">
        <f aca="false">IF(L925=1,M925*$B$20,0)</f>
        <v>0</v>
      </c>
      <c r="O925" s="58" t="n">
        <f aca="false">IF(L925=1,M925+N925-$B$21,M925)</f>
        <v>-10.8661391719591</v>
      </c>
      <c r="P925" s="56" t="n">
        <f aca="false">IF(L925=1,IF($B$21&lt;=N925,1,0),0)</f>
        <v>0</v>
      </c>
      <c r="Q925" s="58" t="n">
        <f aca="false">Q924+N925</f>
        <v>989.13386082804</v>
      </c>
    </row>
    <row r="926" customFormat="false" ht="15" hidden="false" customHeight="false" outlineLevel="0" collapsed="false">
      <c r="K926" s="56" t="n">
        <f aca="false">K925+1</f>
        <v>919</v>
      </c>
      <c r="L926" s="57" t="n">
        <f aca="false">IF(AND(K926&lt;=Assumptions!$C$42,L925=1,P925=0,O925&gt;Assumptions!$C$43),1,0)</f>
        <v>0</v>
      </c>
      <c r="M926" s="58" t="n">
        <f aca="false">O925</f>
        <v>-10.8661391719591</v>
      </c>
      <c r="N926" s="58" t="n">
        <f aca="false">IF(L926=1,M926*$B$20,0)</f>
        <v>0</v>
      </c>
      <c r="O926" s="58" t="n">
        <f aca="false">IF(L926=1,M926+N926-$B$21,M926)</f>
        <v>-10.8661391719591</v>
      </c>
      <c r="P926" s="56" t="n">
        <f aca="false">IF(L926=1,IF($B$21&lt;=N926,1,0),0)</f>
        <v>0</v>
      </c>
      <c r="Q926" s="58" t="n">
        <f aca="false">Q925+N926</f>
        <v>989.13386082804</v>
      </c>
    </row>
    <row r="927" customFormat="false" ht="15" hidden="false" customHeight="false" outlineLevel="0" collapsed="false">
      <c r="K927" s="56" t="n">
        <f aca="false">K926+1</f>
        <v>920</v>
      </c>
      <c r="L927" s="57" t="n">
        <f aca="false">IF(AND(K927&lt;=Assumptions!$C$42,L926=1,P926=0,O926&gt;Assumptions!$C$43),1,0)</f>
        <v>0</v>
      </c>
      <c r="M927" s="58" t="n">
        <f aca="false">O926</f>
        <v>-10.8661391719591</v>
      </c>
      <c r="N927" s="58" t="n">
        <f aca="false">IF(L927=1,M927*$B$20,0)</f>
        <v>0</v>
      </c>
      <c r="O927" s="58" t="n">
        <f aca="false">IF(L927=1,M927+N927-$B$21,M927)</f>
        <v>-10.8661391719591</v>
      </c>
      <c r="P927" s="56" t="n">
        <f aca="false">IF(L927=1,IF($B$21&lt;=N927,1,0),0)</f>
        <v>0</v>
      </c>
      <c r="Q927" s="58" t="n">
        <f aca="false">Q926+N927</f>
        <v>989.13386082804</v>
      </c>
    </row>
    <row r="928" customFormat="false" ht="15" hidden="false" customHeight="false" outlineLevel="0" collapsed="false">
      <c r="K928" s="56" t="n">
        <f aca="false">K927+1</f>
        <v>921</v>
      </c>
      <c r="L928" s="57" t="n">
        <f aca="false">IF(AND(K928&lt;=Assumptions!$C$42,L927=1,P927=0,O927&gt;Assumptions!$C$43),1,0)</f>
        <v>0</v>
      </c>
      <c r="M928" s="58" t="n">
        <f aca="false">O927</f>
        <v>-10.8661391719591</v>
      </c>
      <c r="N928" s="58" t="n">
        <f aca="false">IF(L928=1,M928*$B$20,0)</f>
        <v>0</v>
      </c>
      <c r="O928" s="58" t="n">
        <f aca="false">IF(L928=1,M928+N928-$B$21,M928)</f>
        <v>-10.8661391719591</v>
      </c>
      <c r="P928" s="56" t="n">
        <f aca="false">IF(L928=1,IF($B$21&lt;=N928,1,0),0)</f>
        <v>0</v>
      </c>
      <c r="Q928" s="58" t="n">
        <f aca="false">Q927+N928</f>
        <v>989.13386082804</v>
      </c>
    </row>
    <row r="929" customFormat="false" ht="15" hidden="false" customHeight="false" outlineLevel="0" collapsed="false">
      <c r="K929" s="56" t="n">
        <f aca="false">K928+1</f>
        <v>922</v>
      </c>
      <c r="L929" s="57" t="n">
        <f aca="false">IF(AND(K929&lt;=Assumptions!$C$42,L928=1,P928=0,O928&gt;Assumptions!$C$43),1,0)</f>
        <v>0</v>
      </c>
      <c r="M929" s="58" t="n">
        <f aca="false">O928</f>
        <v>-10.8661391719591</v>
      </c>
      <c r="N929" s="58" t="n">
        <f aca="false">IF(L929=1,M929*$B$20,0)</f>
        <v>0</v>
      </c>
      <c r="O929" s="58" t="n">
        <f aca="false">IF(L929=1,M929+N929-$B$21,M929)</f>
        <v>-10.8661391719591</v>
      </c>
      <c r="P929" s="56" t="n">
        <f aca="false">IF(L929=1,IF($B$21&lt;=N929,1,0),0)</f>
        <v>0</v>
      </c>
      <c r="Q929" s="58" t="n">
        <f aca="false">Q928+N929</f>
        <v>989.13386082804</v>
      </c>
    </row>
    <row r="930" customFormat="false" ht="15" hidden="false" customHeight="false" outlineLevel="0" collapsed="false">
      <c r="K930" s="56" t="n">
        <f aca="false">K929+1</f>
        <v>923</v>
      </c>
      <c r="L930" s="57" t="n">
        <f aca="false">IF(AND(K930&lt;=Assumptions!$C$42,L929=1,P929=0,O929&gt;Assumptions!$C$43),1,0)</f>
        <v>0</v>
      </c>
      <c r="M930" s="58" t="n">
        <f aca="false">O929</f>
        <v>-10.8661391719591</v>
      </c>
      <c r="N930" s="58" t="n">
        <f aca="false">IF(L930=1,M930*$B$20,0)</f>
        <v>0</v>
      </c>
      <c r="O930" s="58" t="n">
        <f aca="false">IF(L930=1,M930+N930-$B$21,M930)</f>
        <v>-10.8661391719591</v>
      </c>
      <c r="P930" s="56" t="n">
        <f aca="false">IF(L930=1,IF($B$21&lt;=N930,1,0),0)</f>
        <v>0</v>
      </c>
      <c r="Q930" s="58" t="n">
        <f aca="false">Q929+N930</f>
        <v>989.13386082804</v>
      </c>
    </row>
    <row r="931" customFormat="false" ht="15" hidden="false" customHeight="false" outlineLevel="0" collapsed="false">
      <c r="K931" s="56" t="n">
        <f aca="false">K930+1</f>
        <v>924</v>
      </c>
      <c r="L931" s="57" t="n">
        <f aca="false">IF(AND(K931&lt;=Assumptions!$C$42,L930=1,P930=0,O930&gt;Assumptions!$C$43),1,0)</f>
        <v>0</v>
      </c>
      <c r="M931" s="58" t="n">
        <f aca="false">O930</f>
        <v>-10.8661391719591</v>
      </c>
      <c r="N931" s="58" t="n">
        <f aca="false">IF(L931=1,M931*$B$20,0)</f>
        <v>0</v>
      </c>
      <c r="O931" s="58" t="n">
        <f aca="false">IF(L931=1,M931+N931-$B$21,M931)</f>
        <v>-10.8661391719591</v>
      </c>
      <c r="P931" s="56" t="n">
        <f aca="false">IF(L931=1,IF($B$21&lt;=N931,1,0),0)</f>
        <v>0</v>
      </c>
      <c r="Q931" s="58" t="n">
        <f aca="false">Q930+N931</f>
        <v>989.13386082804</v>
      </c>
    </row>
    <row r="932" customFormat="false" ht="15" hidden="false" customHeight="false" outlineLevel="0" collapsed="false">
      <c r="K932" s="56" t="n">
        <f aca="false">K931+1</f>
        <v>925</v>
      </c>
      <c r="L932" s="57" t="n">
        <f aca="false">IF(AND(K932&lt;=Assumptions!$C$42,L931=1,P931=0,O931&gt;Assumptions!$C$43),1,0)</f>
        <v>0</v>
      </c>
      <c r="M932" s="58" t="n">
        <f aca="false">O931</f>
        <v>-10.8661391719591</v>
      </c>
      <c r="N932" s="58" t="n">
        <f aca="false">IF(L932=1,M932*$B$20,0)</f>
        <v>0</v>
      </c>
      <c r="O932" s="58" t="n">
        <f aca="false">IF(L932=1,M932+N932-$B$21,M932)</f>
        <v>-10.8661391719591</v>
      </c>
      <c r="P932" s="56" t="n">
        <f aca="false">IF(L932=1,IF($B$21&lt;=N932,1,0),0)</f>
        <v>0</v>
      </c>
      <c r="Q932" s="58" t="n">
        <f aca="false">Q931+N932</f>
        <v>989.13386082804</v>
      </c>
    </row>
    <row r="933" customFormat="false" ht="15" hidden="false" customHeight="false" outlineLevel="0" collapsed="false">
      <c r="K933" s="56" t="n">
        <f aca="false">K932+1</f>
        <v>926</v>
      </c>
      <c r="L933" s="57" t="n">
        <f aca="false">IF(AND(K933&lt;=Assumptions!$C$42,L932=1,P932=0,O932&gt;Assumptions!$C$43),1,0)</f>
        <v>0</v>
      </c>
      <c r="M933" s="58" t="n">
        <f aca="false">O932</f>
        <v>-10.8661391719591</v>
      </c>
      <c r="N933" s="58" t="n">
        <f aca="false">IF(L933=1,M933*$B$20,0)</f>
        <v>0</v>
      </c>
      <c r="O933" s="58" t="n">
        <f aca="false">IF(L933=1,M933+N933-$B$21,M933)</f>
        <v>-10.8661391719591</v>
      </c>
      <c r="P933" s="56" t="n">
        <f aca="false">IF(L933=1,IF($B$21&lt;=N933,1,0),0)</f>
        <v>0</v>
      </c>
      <c r="Q933" s="58" t="n">
        <f aca="false">Q932+N933</f>
        <v>989.13386082804</v>
      </c>
    </row>
    <row r="934" customFormat="false" ht="15" hidden="false" customHeight="false" outlineLevel="0" collapsed="false">
      <c r="K934" s="56" t="n">
        <f aca="false">K933+1</f>
        <v>927</v>
      </c>
      <c r="L934" s="57" t="n">
        <f aca="false">IF(AND(K934&lt;=Assumptions!$C$42,L933=1,P933=0,O933&gt;Assumptions!$C$43),1,0)</f>
        <v>0</v>
      </c>
      <c r="M934" s="58" t="n">
        <f aca="false">O933</f>
        <v>-10.8661391719591</v>
      </c>
      <c r="N934" s="58" t="n">
        <f aca="false">IF(L934=1,M934*$B$20,0)</f>
        <v>0</v>
      </c>
      <c r="O934" s="58" t="n">
        <f aca="false">IF(L934=1,M934+N934-$B$21,M934)</f>
        <v>-10.8661391719591</v>
      </c>
      <c r="P934" s="56" t="n">
        <f aca="false">IF(L934=1,IF($B$21&lt;=N934,1,0),0)</f>
        <v>0</v>
      </c>
      <c r="Q934" s="58" t="n">
        <f aca="false">Q933+N934</f>
        <v>989.13386082804</v>
      </c>
    </row>
    <row r="935" customFormat="false" ht="15" hidden="false" customHeight="false" outlineLevel="0" collapsed="false">
      <c r="K935" s="56" t="n">
        <f aca="false">K934+1</f>
        <v>928</v>
      </c>
      <c r="L935" s="57" t="n">
        <f aca="false">IF(AND(K935&lt;=Assumptions!$C$42,L934=1,P934=0,O934&gt;Assumptions!$C$43),1,0)</f>
        <v>0</v>
      </c>
      <c r="M935" s="58" t="n">
        <f aca="false">O934</f>
        <v>-10.8661391719591</v>
      </c>
      <c r="N935" s="58" t="n">
        <f aca="false">IF(L935=1,M935*$B$20,0)</f>
        <v>0</v>
      </c>
      <c r="O935" s="58" t="n">
        <f aca="false">IF(L935=1,M935+N935-$B$21,M935)</f>
        <v>-10.8661391719591</v>
      </c>
      <c r="P935" s="56" t="n">
        <f aca="false">IF(L935=1,IF($B$21&lt;=N935,1,0),0)</f>
        <v>0</v>
      </c>
      <c r="Q935" s="58" t="n">
        <f aca="false">Q934+N935</f>
        <v>989.13386082804</v>
      </c>
    </row>
    <row r="936" customFormat="false" ht="15" hidden="false" customHeight="false" outlineLevel="0" collapsed="false">
      <c r="K936" s="56" t="n">
        <f aca="false">K935+1</f>
        <v>929</v>
      </c>
      <c r="L936" s="57" t="n">
        <f aca="false">IF(AND(K936&lt;=Assumptions!$C$42,L935=1,P935=0,O935&gt;Assumptions!$C$43),1,0)</f>
        <v>0</v>
      </c>
      <c r="M936" s="58" t="n">
        <f aca="false">O935</f>
        <v>-10.8661391719591</v>
      </c>
      <c r="N936" s="58" t="n">
        <f aca="false">IF(L936=1,M936*$B$20,0)</f>
        <v>0</v>
      </c>
      <c r="O936" s="58" t="n">
        <f aca="false">IF(L936=1,M936+N936-$B$21,M936)</f>
        <v>-10.8661391719591</v>
      </c>
      <c r="P936" s="56" t="n">
        <f aca="false">IF(L936=1,IF($B$21&lt;=N936,1,0),0)</f>
        <v>0</v>
      </c>
      <c r="Q936" s="58" t="n">
        <f aca="false">Q935+N936</f>
        <v>989.13386082804</v>
      </c>
    </row>
    <row r="937" customFormat="false" ht="15" hidden="false" customHeight="false" outlineLevel="0" collapsed="false">
      <c r="K937" s="56" t="n">
        <f aca="false">K936+1</f>
        <v>930</v>
      </c>
      <c r="L937" s="57" t="n">
        <f aca="false">IF(AND(K937&lt;=Assumptions!$C$42,L936=1,P936=0,O936&gt;Assumptions!$C$43),1,0)</f>
        <v>0</v>
      </c>
      <c r="M937" s="58" t="n">
        <f aca="false">O936</f>
        <v>-10.8661391719591</v>
      </c>
      <c r="N937" s="58" t="n">
        <f aca="false">IF(L937=1,M937*$B$20,0)</f>
        <v>0</v>
      </c>
      <c r="O937" s="58" t="n">
        <f aca="false">IF(L937=1,M937+N937-$B$21,M937)</f>
        <v>-10.8661391719591</v>
      </c>
      <c r="P937" s="56" t="n">
        <f aca="false">IF(L937=1,IF($B$21&lt;=N937,1,0),0)</f>
        <v>0</v>
      </c>
      <c r="Q937" s="58" t="n">
        <f aca="false">Q936+N937</f>
        <v>989.13386082804</v>
      </c>
    </row>
    <row r="938" customFormat="false" ht="15" hidden="false" customHeight="false" outlineLevel="0" collapsed="false">
      <c r="K938" s="56" t="n">
        <f aca="false">K937+1</f>
        <v>931</v>
      </c>
      <c r="L938" s="57" t="n">
        <f aca="false">IF(AND(K938&lt;=Assumptions!$C$42,L937=1,P937=0,O937&gt;Assumptions!$C$43),1,0)</f>
        <v>0</v>
      </c>
      <c r="M938" s="58" t="n">
        <f aca="false">O937</f>
        <v>-10.8661391719591</v>
      </c>
      <c r="N938" s="58" t="n">
        <f aca="false">IF(L938=1,M938*$B$20,0)</f>
        <v>0</v>
      </c>
      <c r="O938" s="58" t="n">
        <f aca="false">IF(L938=1,M938+N938-$B$21,M938)</f>
        <v>-10.8661391719591</v>
      </c>
      <c r="P938" s="56" t="n">
        <f aca="false">IF(L938=1,IF($B$21&lt;=N938,1,0),0)</f>
        <v>0</v>
      </c>
      <c r="Q938" s="58" t="n">
        <f aca="false">Q937+N938</f>
        <v>989.13386082804</v>
      </c>
    </row>
    <row r="939" customFormat="false" ht="15" hidden="false" customHeight="false" outlineLevel="0" collapsed="false">
      <c r="K939" s="56" t="n">
        <f aca="false">K938+1</f>
        <v>932</v>
      </c>
      <c r="L939" s="57" t="n">
        <f aca="false">IF(AND(K939&lt;=Assumptions!$C$42,L938=1,P938=0,O938&gt;Assumptions!$C$43),1,0)</f>
        <v>0</v>
      </c>
      <c r="M939" s="58" t="n">
        <f aca="false">O938</f>
        <v>-10.8661391719591</v>
      </c>
      <c r="N939" s="58" t="n">
        <f aca="false">IF(L939=1,M939*$B$20,0)</f>
        <v>0</v>
      </c>
      <c r="O939" s="58" t="n">
        <f aca="false">IF(L939=1,M939+N939-$B$21,M939)</f>
        <v>-10.8661391719591</v>
      </c>
      <c r="P939" s="56" t="n">
        <f aca="false">IF(L939=1,IF($B$21&lt;=N939,1,0),0)</f>
        <v>0</v>
      </c>
      <c r="Q939" s="58" t="n">
        <f aca="false">Q938+N939</f>
        <v>989.13386082804</v>
      </c>
    </row>
    <row r="940" customFormat="false" ht="15" hidden="false" customHeight="false" outlineLevel="0" collapsed="false">
      <c r="K940" s="56" t="n">
        <f aca="false">K939+1</f>
        <v>933</v>
      </c>
      <c r="L940" s="57" t="n">
        <f aca="false">IF(AND(K940&lt;=Assumptions!$C$42,L939=1,P939=0,O939&gt;Assumptions!$C$43),1,0)</f>
        <v>0</v>
      </c>
      <c r="M940" s="58" t="n">
        <f aca="false">O939</f>
        <v>-10.8661391719591</v>
      </c>
      <c r="N940" s="58" t="n">
        <f aca="false">IF(L940=1,M940*$B$20,0)</f>
        <v>0</v>
      </c>
      <c r="O940" s="58" t="n">
        <f aca="false">IF(L940=1,M940+N940-$B$21,M940)</f>
        <v>-10.8661391719591</v>
      </c>
      <c r="P940" s="56" t="n">
        <f aca="false">IF(L940=1,IF($B$21&lt;=N940,1,0),0)</f>
        <v>0</v>
      </c>
      <c r="Q940" s="58" t="n">
        <f aca="false">Q939+N940</f>
        <v>989.13386082804</v>
      </c>
    </row>
    <row r="941" customFormat="false" ht="15" hidden="false" customHeight="false" outlineLevel="0" collapsed="false">
      <c r="K941" s="56" t="n">
        <f aca="false">K940+1</f>
        <v>934</v>
      </c>
      <c r="L941" s="57" t="n">
        <f aca="false">IF(AND(K941&lt;=Assumptions!$C$42,L940=1,P940=0,O940&gt;Assumptions!$C$43),1,0)</f>
        <v>0</v>
      </c>
      <c r="M941" s="58" t="n">
        <f aca="false">O940</f>
        <v>-10.8661391719591</v>
      </c>
      <c r="N941" s="58" t="n">
        <f aca="false">IF(L941=1,M941*$B$20,0)</f>
        <v>0</v>
      </c>
      <c r="O941" s="58" t="n">
        <f aca="false">IF(L941=1,M941+N941-$B$21,M941)</f>
        <v>-10.8661391719591</v>
      </c>
      <c r="P941" s="56" t="n">
        <f aca="false">IF(L941=1,IF($B$21&lt;=N941,1,0),0)</f>
        <v>0</v>
      </c>
      <c r="Q941" s="58" t="n">
        <f aca="false">Q940+N941</f>
        <v>989.13386082804</v>
      </c>
    </row>
    <row r="942" customFormat="false" ht="15" hidden="false" customHeight="false" outlineLevel="0" collapsed="false">
      <c r="K942" s="56" t="n">
        <f aca="false">K941+1</f>
        <v>935</v>
      </c>
      <c r="L942" s="57" t="n">
        <f aca="false">IF(AND(K942&lt;=Assumptions!$C$42,L941=1,P941=0,O941&gt;Assumptions!$C$43),1,0)</f>
        <v>0</v>
      </c>
      <c r="M942" s="58" t="n">
        <f aca="false">O941</f>
        <v>-10.8661391719591</v>
      </c>
      <c r="N942" s="58" t="n">
        <f aca="false">IF(L942=1,M942*$B$20,0)</f>
        <v>0</v>
      </c>
      <c r="O942" s="58" t="n">
        <f aca="false">IF(L942=1,M942+N942-$B$21,M942)</f>
        <v>-10.8661391719591</v>
      </c>
      <c r="P942" s="56" t="n">
        <f aca="false">IF(L942=1,IF($B$21&lt;=N942,1,0),0)</f>
        <v>0</v>
      </c>
      <c r="Q942" s="58" t="n">
        <f aca="false">Q941+N942</f>
        <v>989.13386082804</v>
      </c>
    </row>
    <row r="943" customFormat="false" ht="15" hidden="false" customHeight="false" outlineLevel="0" collapsed="false">
      <c r="K943" s="56" t="n">
        <f aca="false">K942+1</f>
        <v>936</v>
      </c>
      <c r="L943" s="57" t="n">
        <f aca="false">IF(AND(K943&lt;=Assumptions!$C$42,L942=1,P942=0,O942&gt;Assumptions!$C$43),1,0)</f>
        <v>0</v>
      </c>
      <c r="M943" s="58" t="n">
        <f aca="false">O942</f>
        <v>-10.8661391719591</v>
      </c>
      <c r="N943" s="58" t="n">
        <f aca="false">IF(L943=1,M943*$B$20,0)</f>
        <v>0</v>
      </c>
      <c r="O943" s="58" t="n">
        <f aca="false">IF(L943=1,M943+N943-$B$21,M943)</f>
        <v>-10.8661391719591</v>
      </c>
      <c r="P943" s="56" t="n">
        <f aca="false">IF(L943=1,IF($B$21&lt;=N943,1,0),0)</f>
        <v>0</v>
      </c>
      <c r="Q943" s="58" t="n">
        <f aca="false">Q942+N943</f>
        <v>989.13386082804</v>
      </c>
    </row>
    <row r="944" customFormat="false" ht="15" hidden="false" customHeight="false" outlineLevel="0" collapsed="false">
      <c r="K944" s="56" t="n">
        <f aca="false">K943+1</f>
        <v>937</v>
      </c>
      <c r="L944" s="57" t="n">
        <f aca="false">IF(AND(K944&lt;=Assumptions!$C$42,L943=1,P943=0,O943&gt;Assumptions!$C$43),1,0)</f>
        <v>0</v>
      </c>
      <c r="M944" s="58" t="n">
        <f aca="false">O943</f>
        <v>-10.8661391719591</v>
      </c>
      <c r="N944" s="58" t="n">
        <f aca="false">IF(L944=1,M944*$B$20,0)</f>
        <v>0</v>
      </c>
      <c r="O944" s="58" t="n">
        <f aca="false">IF(L944=1,M944+N944-$B$21,M944)</f>
        <v>-10.8661391719591</v>
      </c>
      <c r="P944" s="56" t="n">
        <f aca="false">IF(L944=1,IF($B$21&lt;=N944,1,0),0)</f>
        <v>0</v>
      </c>
      <c r="Q944" s="58" t="n">
        <f aca="false">Q943+N944</f>
        <v>989.13386082804</v>
      </c>
    </row>
    <row r="945" customFormat="false" ht="15" hidden="false" customHeight="false" outlineLevel="0" collapsed="false">
      <c r="K945" s="56" t="n">
        <f aca="false">K944+1</f>
        <v>938</v>
      </c>
      <c r="L945" s="57" t="n">
        <f aca="false">IF(AND(K945&lt;=Assumptions!$C$42,L944=1,P944=0,O944&gt;Assumptions!$C$43),1,0)</f>
        <v>0</v>
      </c>
      <c r="M945" s="58" t="n">
        <f aca="false">O944</f>
        <v>-10.8661391719591</v>
      </c>
      <c r="N945" s="58" t="n">
        <f aca="false">IF(L945=1,M945*$B$20,0)</f>
        <v>0</v>
      </c>
      <c r="O945" s="58" t="n">
        <f aca="false">IF(L945=1,M945+N945-$B$21,M945)</f>
        <v>-10.8661391719591</v>
      </c>
      <c r="P945" s="56" t="n">
        <f aca="false">IF(L945=1,IF($B$21&lt;=N945,1,0),0)</f>
        <v>0</v>
      </c>
      <c r="Q945" s="58" t="n">
        <f aca="false">Q944+N945</f>
        <v>989.13386082804</v>
      </c>
    </row>
    <row r="946" customFormat="false" ht="15" hidden="false" customHeight="false" outlineLevel="0" collapsed="false">
      <c r="K946" s="56" t="n">
        <f aca="false">K945+1</f>
        <v>939</v>
      </c>
      <c r="L946" s="57" t="n">
        <f aca="false">IF(AND(K946&lt;=Assumptions!$C$42,L945=1,P945=0,O945&gt;Assumptions!$C$43),1,0)</f>
        <v>0</v>
      </c>
      <c r="M946" s="58" t="n">
        <f aca="false">O945</f>
        <v>-10.8661391719591</v>
      </c>
      <c r="N946" s="58" t="n">
        <f aca="false">IF(L946=1,M946*$B$20,0)</f>
        <v>0</v>
      </c>
      <c r="O946" s="58" t="n">
        <f aca="false">IF(L946=1,M946+N946-$B$21,M946)</f>
        <v>-10.8661391719591</v>
      </c>
      <c r="P946" s="56" t="n">
        <f aca="false">IF(L946=1,IF($B$21&lt;=N946,1,0),0)</f>
        <v>0</v>
      </c>
      <c r="Q946" s="58" t="n">
        <f aca="false">Q945+N946</f>
        <v>989.13386082804</v>
      </c>
    </row>
    <row r="947" customFormat="false" ht="15" hidden="false" customHeight="false" outlineLevel="0" collapsed="false">
      <c r="K947" s="56" t="n">
        <f aca="false">K946+1</f>
        <v>940</v>
      </c>
      <c r="L947" s="57" t="n">
        <f aca="false">IF(AND(K947&lt;=Assumptions!$C$42,L946=1,P946=0,O946&gt;Assumptions!$C$43),1,0)</f>
        <v>0</v>
      </c>
      <c r="M947" s="58" t="n">
        <f aca="false">O946</f>
        <v>-10.8661391719591</v>
      </c>
      <c r="N947" s="58" t="n">
        <f aca="false">IF(L947=1,M947*$B$20,0)</f>
        <v>0</v>
      </c>
      <c r="O947" s="58" t="n">
        <f aca="false">IF(L947=1,M947+N947-$B$21,M947)</f>
        <v>-10.8661391719591</v>
      </c>
      <c r="P947" s="56" t="n">
        <f aca="false">IF(L947=1,IF($B$21&lt;=N947,1,0),0)</f>
        <v>0</v>
      </c>
      <c r="Q947" s="58" t="n">
        <f aca="false">Q946+N947</f>
        <v>989.13386082804</v>
      </c>
    </row>
    <row r="948" customFormat="false" ht="15" hidden="false" customHeight="false" outlineLevel="0" collapsed="false">
      <c r="K948" s="56" t="n">
        <f aca="false">K947+1</f>
        <v>941</v>
      </c>
      <c r="L948" s="57" t="n">
        <f aca="false">IF(AND(K948&lt;=Assumptions!$C$42,L947=1,P947=0,O947&gt;Assumptions!$C$43),1,0)</f>
        <v>0</v>
      </c>
      <c r="M948" s="58" t="n">
        <f aca="false">O947</f>
        <v>-10.8661391719591</v>
      </c>
      <c r="N948" s="58" t="n">
        <f aca="false">IF(L948=1,M948*$B$20,0)</f>
        <v>0</v>
      </c>
      <c r="O948" s="58" t="n">
        <f aca="false">IF(L948=1,M948+N948-$B$21,M948)</f>
        <v>-10.8661391719591</v>
      </c>
      <c r="P948" s="56" t="n">
        <f aca="false">IF(L948=1,IF($B$21&lt;=N948,1,0),0)</f>
        <v>0</v>
      </c>
      <c r="Q948" s="58" t="n">
        <f aca="false">Q947+N948</f>
        <v>989.13386082804</v>
      </c>
    </row>
    <row r="949" customFormat="false" ht="15" hidden="false" customHeight="false" outlineLevel="0" collapsed="false">
      <c r="K949" s="56" t="n">
        <f aca="false">K948+1</f>
        <v>942</v>
      </c>
      <c r="L949" s="57" t="n">
        <f aca="false">IF(AND(K949&lt;=Assumptions!$C$42,L948=1,P948=0,O948&gt;Assumptions!$C$43),1,0)</f>
        <v>0</v>
      </c>
      <c r="M949" s="58" t="n">
        <f aca="false">O948</f>
        <v>-10.8661391719591</v>
      </c>
      <c r="N949" s="58" t="n">
        <f aca="false">IF(L949=1,M949*$B$20,0)</f>
        <v>0</v>
      </c>
      <c r="O949" s="58" t="n">
        <f aca="false">IF(L949=1,M949+N949-$B$21,M949)</f>
        <v>-10.8661391719591</v>
      </c>
      <c r="P949" s="56" t="n">
        <f aca="false">IF(L949=1,IF($B$21&lt;=N949,1,0),0)</f>
        <v>0</v>
      </c>
      <c r="Q949" s="58" t="n">
        <f aca="false">Q948+N949</f>
        <v>989.13386082804</v>
      </c>
    </row>
    <row r="950" customFormat="false" ht="15" hidden="false" customHeight="false" outlineLevel="0" collapsed="false">
      <c r="K950" s="56" t="n">
        <f aca="false">K949+1</f>
        <v>943</v>
      </c>
      <c r="L950" s="57" t="n">
        <f aca="false">IF(AND(K950&lt;=Assumptions!$C$42,L949=1,P949=0,O949&gt;Assumptions!$C$43),1,0)</f>
        <v>0</v>
      </c>
      <c r="M950" s="58" t="n">
        <f aca="false">O949</f>
        <v>-10.8661391719591</v>
      </c>
      <c r="N950" s="58" t="n">
        <f aca="false">IF(L950=1,M950*$B$20,0)</f>
        <v>0</v>
      </c>
      <c r="O950" s="58" t="n">
        <f aca="false">IF(L950=1,M950+N950-$B$21,M950)</f>
        <v>-10.8661391719591</v>
      </c>
      <c r="P950" s="56" t="n">
        <f aca="false">IF(L950=1,IF($B$21&lt;=N950,1,0),0)</f>
        <v>0</v>
      </c>
      <c r="Q950" s="58" t="n">
        <f aca="false">Q949+N950</f>
        <v>989.13386082804</v>
      </c>
    </row>
    <row r="951" customFormat="false" ht="15" hidden="false" customHeight="false" outlineLevel="0" collapsed="false">
      <c r="K951" s="56" t="n">
        <f aca="false">K950+1</f>
        <v>944</v>
      </c>
      <c r="L951" s="57" t="n">
        <f aca="false">IF(AND(K951&lt;=Assumptions!$C$42,L950=1,P950=0,O950&gt;Assumptions!$C$43),1,0)</f>
        <v>0</v>
      </c>
      <c r="M951" s="58" t="n">
        <f aca="false">O950</f>
        <v>-10.8661391719591</v>
      </c>
      <c r="N951" s="58" t="n">
        <f aca="false">IF(L951=1,M951*$B$20,0)</f>
        <v>0</v>
      </c>
      <c r="O951" s="58" t="n">
        <f aca="false">IF(L951=1,M951+N951-$B$21,M951)</f>
        <v>-10.8661391719591</v>
      </c>
      <c r="P951" s="56" t="n">
        <f aca="false">IF(L951=1,IF($B$21&lt;=N951,1,0),0)</f>
        <v>0</v>
      </c>
      <c r="Q951" s="58" t="n">
        <f aca="false">Q950+N951</f>
        <v>989.13386082804</v>
      </c>
    </row>
    <row r="952" customFormat="false" ht="15" hidden="false" customHeight="false" outlineLevel="0" collapsed="false">
      <c r="K952" s="56" t="n">
        <f aca="false">K951+1</f>
        <v>945</v>
      </c>
      <c r="L952" s="57" t="n">
        <f aca="false">IF(AND(K952&lt;=Assumptions!$C$42,L951=1,P951=0,O951&gt;Assumptions!$C$43),1,0)</f>
        <v>0</v>
      </c>
      <c r="M952" s="58" t="n">
        <f aca="false">O951</f>
        <v>-10.8661391719591</v>
      </c>
      <c r="N952" s="58" t="n">
        <f aca="false">IF(L952=1,M952*$B$20,0)</f>
        <v>0</v>
      </c>
      <c r="O952" s="58" t="n">
        <f aca="false">IF(L952=1,M952+N952-$B$21,M952)</f>
        <v>-10.8661391719591</v>
      </c>
      <c r="P952" s="56" t="n">
        <f aca="false">IF(L952=1,IF($B$21&lt;=N952,1,0),0)</f>
        <v>0</v>
      </c>
      <c r="Q952" s="58" t="n">
        <f aca="false">Q951+N952</f>
        <v>989.13386082804</v>
      </c>
    </row>
    <row r="953" customFormat="false" ht="15" hidden="false" customHeight="false" outlineLevel="0" collapsed="false">
      <c r="K953" s="56" t="n">
        <f aca="false">K952+1</f>
        <v>946</v>
      </c>
      <c r="L953" s="57" t="n">
        <f aca="false">IF(AND(K953&lt;=Assumptions!$C$42,L952=1,P952=0,O952&gt;Assumptions!$C$43),1,0)</f>
        <v>0</v>
      </c>
      <c r="M953" s="58" t="n">
        <f aca="false">O952</f>
        <v>-10.8661391719591</v>
      </c>
      <c r="N953" s="58" t="n">
        <f aca="false">IF(L953=1,M953*$B$20,0)</f>
        <v>0</v>
      </c>
      <c r="O953" s="58" t="n">
        <f aca="false">IF(L953=1,M953+N953-$B$21,M953)</f>
        <v>-10.8661391719591</v>
      </c>
      <c r="P953" s="56" t="n">
        <f aca="false">IF(L953=1,IF($B$21&lt;=N953,1,0),0)</f>
        <v>0</v>
      </c>
      <c r="Q953" s="58" t="n">
        <f aca="false">Q952+N953</f>
        <v>989.13386082804</v>
      </c>
    </row>
    <row r="954" customFormat="false" ht="15" hidden="false" customHeight="false" outlineLevel="0" collapsed="false">
      <c r="K954" s="56" t="n">
        <f aca="false">K953+1</f>
        <v>947</v>
      </c>
      <c r="L954" s="57" t="n">
        <f aca="false">IF(AND(K954&lt;=Assumptions!$C$42,L953=1,P953=0,O953&gt;Assumptions!$C$43),1,0)</f>
        <v>0</v>
      </c>
      <c r="M954" s="58" t="n">
        <f aca="false">O953</f>
        <v>-10.8661391719591</v>
      </c>
      <c r="N954" s="58" t="n">
        <f aca="false">IF(L954=1,M954*$B$20,0)</f>
        <v>0</v>
      </c>
      <c r="O954" s="58" t="n">
        <f aca="false">IF(L954=1,M954+N954-$B$21,M954)</f>
        <v>-10.8661391719591</v>
      </c>
      <c r="P954" s="56" t="n">
        <f aca="false">IF(L954=1,IF($B$21&lt;=N954,1,0),0)</f>
        <v>0</v>
      </c>
      <c r="Q954" s="58" t="n">
        <f aca="false">Q953+N954</f>
        <v>989.13386082804</v>
      </c>
    </row>
    <row r="955" customFormat="false" ht="15" hidden="false" customHeight="false" outlineLevel="0" collapsed="false">
      <c r="K955" s="56" t="n">
        <f aca="false">K954+1</f>
        <v>948</v>
      </c>
      <c r="L955" s="57" t="n">
        <f aca="false">IF(AND(K955&lt;=Assumptions!$C$42,L954=1,P954=0,O954&gt;Assumptions!$C$43),1,0)</f>
        <v>0</v>
      </c>
      <c r="M955" s="58" t="n">
        <f aca="false">O954</f>
        <v>-10.8661391719591</v>
      </c>
      <c r="N955" s="58" t="n">
        <f aca="false">IF(L955=1,M955*$B$20,0)</f>
        <v>0</v>
      </c>
      <c r="O955" s="58" t="n">
        <f aca="false">IF(L955=1,M955+N955-$B$21,M955)</f>
        <v>-10.8661391719591</v>
      </c>
      <c r="P955" s="56" t="n">
        <f aca="false">IF(L955=1,IF($B$21&lt;=N955,1,0),0)</f>
        <v>0</v>
      </c>
      <c r="Q955" s="58" t="n">
        <f aca="false">Q954+N955</f>
        <v>989.13386082804</v>
      </c>
    </row>
    <row r="956" customFormat="false" ht="15" hidden="false" customHeight="false" outlineLevel="0" collapsed="false">
      <c r="K956" s="56" t="n">
        <f aca="false">K955+1</f>
        <v>949</v>
      </c>
      <c r="L956" s="57" t="n">
        <f aca="false">IF(AND(K956&lt;=Assumptions!$C$42,L955=1,P955=0,O955&gt;Assumptions!$C$43),1,0)</f>
        <v>0</v>
      </c>
      <c r="M956" s="58" t="n">
        <f aca="false">O955</f>
        <v>-10.8661391719591</v>
      </c>
      <c r="N956" s="58" t="n">
        <f aca="false">IF(L956=1,M956*$B$20,0)</f>
        <v>0</v>
      </c>
      <c r="O956" s="58" t="n">
        <f aca="false">IF(L956=1,M956+N956-$B$21,M956)</f>
        <v>-10.8661391719591</v>
      </c>
      <c r="P956" s="56" t="n">
        <f aca="false">IF(L956=1,IF($B$21&lt;=N956,1,0),0)</f>
        <v>0</v>
      </c>
      <c r="Q956" s="58" t="n">
        <f aca="false">Q955+N956</f>
        <v>989.13386082804</v>
      </c>
    </row>
    <row r="957" customFormat="false" ht="15" hidden="false" customHeight="false" outlineLevel="0" collapsed="false">
      <c r="K957" s="56" t="n">
        <f aca="false">K956+1</f>
        <v>950</v>
      </c>
      <c r="L957" s="57" t="n">
        <f aca="false">IF(AND(K957&lt;=Assumptions!$C$42,L956=1,P956=0,O956&gt;Assumptions!$C$43),1,0)</f>
        <v>0</v>
      </c>
      <c r="M957" s="58" t="n">
        <f aca="false">O956</f>
        <v>-10.8661391719591</v>
      </c>
      <c r="N957" s="58" t="n">
        <f aca="false">IF(L957=1,M957*$B$20,0)</f>
        <v>0</v>
      </c>
      <c r="O957" s="58" t="n">
        <f aca="false">IF(L957=1,M957+N957-$B$21,M957)</f>
        <v>-10.8661391719591</v>
      </c>
      <c r="P957" s="56" t="n">
        <f aca="false">IF(L957=1,IF($B$21&lt;=N957,1,0),0)</f>
        <v>0</v>
      </c>
      <c r="Q957" s="58" t="n">
        <f aca="false">Q956+N957</f>
        <v>989.13386082804</v>
      </c>
    </row>
    <row r="958" customFormat="false" ht="15" hidden="false" customHeight="false" outlineLevel="0" collapsed="false">
      <c r="K958" s="56" t="n">
        <f aca="false">K957+1</f>
        <v>951</v>
      </c>
      <c r="L958" s="57" t="n">
        <f aca="false">IF(AND(K958&lt;=Assumptions!$C$42,L957=1,P957=0,O957&gt;Assumptions!$C$43),1,0)</f>
        <v>0</v>
      </c>
      <c r="M958" s="58" t="n">
        <f aca="false">O957</f>
        <v>-10.8661391719591</v>
      </c>
      <c r="N958" s="58" t="n">
        <f aca="false">IF(L958=1,M958*$B$20,0)</f>
        <v>0</v>
      </c>
      <c r="O958" s="58" t="n">
        <f aca="false">IF(L958=1,M958+N958-$B$21,M958)</f>
        <v>-10.8661391719591</v>
      </c>
      <c r="P958" s="56" t="n">
        <f aca="false">IF(L958=1,IF($B$21&lt;=N958,1,0),0)</f>
        <v>0</v>
      </c>
      <c r="Q958" s="58" t="n">
        <f aca="false">Q957+N958</f>
        <v>989.13386082804</v>
      </c>
    </row>
    <row r="959" customFormat="false" ht="15" hidden="false" customHeight="false" outlineLevel="0" collapsed="false">
      <c r="K959" s="56" t="n">
        <f aca="false">K958+1</f>
        <v>952</v>
      </c>
      <c r="L959" s="57" t="n">
        <f aca="false">IF(AND(K959&lt;=Assumptions!$C$42,L958=1,P958=0,O958&gt;Assumptions!$C$43),1,0)</f>
        <v>0</v>
      </c>
      <c r="M959" s="58" t="n">
        <f aca="false">O958</f>
        <v>-10.8661391719591</v>
      </c>
      <c r="N959" s="58" t="n">
        <f aca="false">IF(L959=1,M959*$B$20,0)</f>
        <v>0</v>
      </c>
      <c r="O959" s="58" t="n">
        <f aca="false">IF(L959=1,M959+N959-$B$21,M959)</f>
        <v>-10.8661391719591</v>
      </c>
      <c r="P959" s="56" t="n">
        <f aca="false">IF(L959=1,IF($B$21&lt;=N959,1,0),0)</f>
        <v>0</v>
      </c>
      <c r="Q959" s="58" t="n">
        <f aca="false">Q958+N959</f>
        <v>989.13386082804</v>
      </c>
    </row>
    <row r="960" customFormat="false" ht="15" hidden="false" customHeight="false" outlineLevel="0" collapsed="false">
      <c r="K960" s="56" t="n">
        <f aca="false">K959+1</f>
        <v>953</v>
      </c>
      <c r="L960" s="57" t="n">
        <f aca="false">IF(AND(K960&lt;=Assumptions!$C$42,L959=1,P959=0,O959&gt;Assumptions!$C$43),1,0)</f>
        <v>0</v>
      </c>
      <c r="M960" s="58" t="n">
        <f aca="false">O959</f>
        <v>-10.8661391719591</v>
      </c>
      <c r="N960" s="58" t="n">
        <f aca="false">IF(L960=1,M960*$B$20,0)</f>
        <v>0</v>
      </c>
      <c r="O960" s="58" t="n">
        <f aca="false">IF(L960=1,M960+N960-$B$21,M960)</f>
        <v>-10.8661391719591</v>
      </c>
      <c r="P960" s="56" t="n">
        <f aca="false">IF(L960=1,IF($B$21&lt;=N960,1,0),0)</f>
        <v>0</v>
      </c>
      <c r="Q960" s="58" t="n">
        <f aca="false">Q959+N960</f>
        <v>989.13386082804</v>
      </c>
    </row>
    <row r="961" customFormat="false" ht="15" hidden="false" customHeight="false" outlineLevel="0" collapsed="false">
      <c r="K961" s="56" t="n">
        <f aca="false">K960+1</f>
        <v>954</v>
      </c>
      <c r="L961" s="57" t="n">
        <f aca="false">IF(AND(K961&lt;=Assumptions!$C$42,L960=1,P960=0,O960&gt;Assumptions!$C$43),1,0)</f>
        <v>0</v>
      </c>
      <c r="M961" s="58" t="n">
        <f aca="false">O960</f>
        <v>-10.8661391719591</v>
      </c>
      <c r="N961" s="58" t="n">
        <f aca="false">IF(L961=1,M961*$B$20,0)</f>
        <v>0</v>
      </c>
      <c r="O961" s="58" t="n">
        <f aca="false">IF(L961=1,M961+N961-$B$21,M961)</f>
        <v>-10.8661391719591</v>
      </c>
      <c r="P961" s="56" t="n">
        <f aca="false">IF(L961=1,IF($B$21&lt;=N961,1,0),0)</f>
        <v>0</v>
      </c>
      <c r="Q961" s="58" t="n">
        <f aca="false">Q960+N961</f>
        <v>989.13386082804</v>
      </c>
    </row>
    <row r="962" customFormat="false" ht="15" hidden="false" customHeight="false" outlineLevel="0" collapsed="false">
      <c r="K962" s="56" t="n">
        <f aca="false">K961+1</f>
        <v>955</v>
      </c>
      <c r="L962" s="57" t="n">
        <f aca="false">IF(AND(K962&lt;=Assumptions!$C$42,L961=1,P961=0,O961&gt;Assumptions!$C$43),1,0)</f>
        <v>0</v>
      </c>
      <c r="M962" s="58" t="n">
        <f aca="false">O961</f>
        <v>-10.8661391719591</v>
      </c>
      <c r="N962" s="58" t="n">
        <f aca="false">IF(L962=1,M962*$B$20,0)</f>
        <v>0</v>
      </c>
      <c r="O962" s="58" t="n">
        <f aca="false">IF(L962=1,M962+N962-$B$21,M962)</f>
        <v>-10.8661391719591</v>
      </c>
      <c r="P962" s="56" t="n">
        <f aca="false">IF(L962=1,IF($B$21&lt;=N962,1,0),0)</f>
        <v>0</v>
      </c>
      <c r="Q962" s="58" t="n">
        <f aca="false">Q961+N962</f>
        <v>989.13386082804</v>
      </c>
    </row>
    <row r="963" customFormat="false" ht="15" hidden="false" customHeight="false" outlineLevel="0" collapsed="false">
      <c r="K963" s="56" t="n">
        <f aca="false">K962+1</f>
        <v>956</v>
      </c>
      <c r="L963" s="57" t="n">
        <f aca="false">IF(AND(K963&lt;=Assumptions!$C$42,L962=1,P962=0,O962&gt;Assumptions!$C$43),1,0)</f>
        <v>0</v>
      </c>
      <c r="M963" s="58" t="n">
        <f aca="false">O962</f>
        <v>-10.8661391719591</v>
      </c>
      <c r="N963" s="58" t="n">
        <f aca="false">IF(L963=1,M963*$B$20,0)</f>
        <v>0</v>
      </c>
      <c r="O963" s="58" t="n">
        <f aca="false">IF(L963=1,M963+N963-$B$21,M963)</f>
        <v>-10.8661391719591</v>
      </c>
      <c r="P963" s="56" t="n">
        <f aca="false">IF(L963=1,IF($B$21&lt;=N963,1,0),0)</f>
        <v>0</v>
      </c>
      <c r="Q963" s="58" t="n">
        <f aca="false">Q962+N963</f>
        <v>989.13386082804</v>
      </c>
    </row>
    <row r="964" customFormat="false" ht="15" hidden="false" customHeight="false" outlineLevel="0" collapsed="false">
      <c r="K964" s="56" t="n">
        <f aca="false">K963+1</f>
        <v>957</v>
      </c>
      <c r="L964" s="57" t="n">
        <f aca="false">IF(AND(K964&lt;=Assumptions!$C$42,L963=1,P963=0,O963&gt;Assumptions!$C$43),1,0)</f>
        <v>0</v>
      </c>
      <c r="M964" s="58" t="n">
        <f aca="false">O963</f>
        <v>-10.8661391719591</v>
      </c>
      <c r="N964" s="58" t="n">
        <f aca="false">IF(L964=1,M964*$B$20,0)</f>
        <v>0</v>
      </c>
      <c r="O964" s="58" t="n">
        <f aca="false">IF(L964=1,M964+N964-$B$21,M964)</f>
        <v>-10.8661391719591</v>
      </c>
      <c r="P964" s="56" t="n">
        <f aca="false">IF(L964=1,IF($B$21&lt;=N964,1,0),0)</f>
        <v>0</v>
      </c>
      <c r="Q964" s="58" t="n">
        <f aca="false">Q963+N964</f>
        <v>989.13386082804</v>
      </c>
    </row>
    <row r="965" customFormat="false" ht="15" hidden="false" customHeight="false" outlineLevel="0" collapsed="false">
      <c r="K965" s="56" t="n">
        <f aca="false">K964+1</f>
        <v>958</v>
      </c>
      <c r="L965" s="57" t="n">
        <f aca="false">IF(AND(K965&lt;=Assumptions!$C$42,L964=1,P964=0,O964&gt;Assumptions!$C$43),1,0)</f>
        <v>0</v>
      </c>
      <c r="M965" s="58" t="n">
        <f aca="false">O964</f>
        <v>-10.8661391719591</v>
      </c>
      <c r="N965" s="58" t="n">
        <f aca="false">IF(L965=1,M965*$B$20,0)</f>
        <v>0</v>
      </c>
      <c r="O965" s="58" t="n">
        <f aca="false">IF(L965=1,M965+N965-$B$21,M965)</f>
        <v>-10.8661391719591</v>
      </c>
      <c r="P965" s="56" t="n">
        <f aca="false">IF(L965=1,IF($B$21&lt;=N965,1,0),0)</f>
        <v>0</v>
      </c>
      <c r="Q965" s="58" t="n">
        <f aca="false">Q964+N965</f>
        <v>989.13386082804</v>
      </c>
    </row>
    <row r="966" customFormat="false" ht="15" hidden="false" customHeight="false" outlineLevel="0" collapsed="false">
      <c r="K966" s="56" t="n">
        <f aca="false">K965+1</f>
        <v>959</v>
      </c>
      <c r="L966" s="57" t="n">
        <f aca="false">IF(AND(K966&lt;=Assumptions!$C$42,L965=1,P965=0,O965&gt;Assumptions!$C$43),1,0)</f>
        <v>0</v>
      </c>
      <c r="M966" s="58" t="n">
        <f aca="false">O965</f>
        <v>-10.8661391719591</v>
      </c>
      <c r="N966" s="58" t="n">
        <f aca="false">IF(L966=1,M966*$B$20,0)</f>
        <v>0</v>
      </c>
      <c r="O966" s="58" t="n">
        <f aca="false">IF(L966=1,M966+N966-$B$21,M966)</f>
        <v>-10.8661391719591</v>
      </c>
      <c r="P966" s="56" t="n">
        <f aca="false">IF(L966=1,IF($B$21&lt;=N966,1,0),0)</f>
        <v>0</v>
      </c>
      <c r="Q966" s="58" t="n">
        <f aca="false">Q965+N966</f>
        <v>989.13386082804</v>
      </c>
    </row>
    <row r="967" customFormat="false" ht="15" hidden="false" customHeight="false" outlineLevel="0" collapsed="false">
      <c r="K967" s="56" t="n">
        <f aca="false">K966+1</f>
        <v>960</v>
      </c>
      <c r="L967" s="57" t="n">
        <f aca="false">IF(AND(K967&lt;=Assumptions!$C$42,L966=1,P966=0,O966&gt;Assumptions!$C$43),1,0)</f>
        <v>0</v>
      </c>
      <c r="M967" s="58" t="n">
        <f aca="false">O966</f>
        <v>-10.8661391719591</v>
      </c>
      <c r="N967" s="58" t="n">
        <f aca="false">IF(L967=1,M967*$B$20,0)</f>
        <v>0</v>
      </c>
      <c r="O967" s="58" t="n">
        <f aca="false">IF(L967=1,M967+N967-$B$21,M967)</f>
        <v>-10.8661391719591</v>
      </c>
      <c r="P967" s="56" t="n">
        <f aca="false">IF(L967=1,IF($B$21&lt;=N967,1,0),0)</f>
        <v>0</v>
      </c>
      <c r="Q967" s="58" t="n">
        <f aca="false">Q966+N967</f>
        <v>989.13386082804</v>
      </c>
    </row>
    <row r="968" customFormat="false" ht="15" hidden="false" customHeight="false" outlineLevel="0" collapsed="false">
      <c r="K968" s="56" t="n">
        <f aca="false">K967+1</f>
        <v>961</v>
      </c>
      <c r="L968" s="57" t="n">
        <f aca="false">IF(AND(K968&lt;=Assumptions!$C$42,L967=1,P967=0,O967&gt;Assumptions!$C$43),1,0)</f>
        <v>0</v>
      </c>
      <c r="M968" s="58" t="n">
        <f aca="false">O967</f>
        <v>-10.8661391719591</v>
      </c>
      <c r="N968" s="58" t="n">
        <f aca="false">IF(L968=1,M968*$B$20,0)</f>
        <v>0</v>
      </c>
      <c r="O968" s="58" t="n">
        <f aca="false">IF(L968=1,M968+N968-$B$21,M968)</f>
        <v>-10.8661391719591</v>
      </c>
      <c r="P968" s="56" t="n">
        <f aca="false">IF(L968=1,IF($B$21&lt;=N968,1,0),0)</f>
        <v>0</v>
      </c>
      <c r="Q968" s="58" t="n">
        <f aca="false">Q967+N968</f>
        <v>989.13386082804</v>
      </c>
    </row>
    <row r="969" customFormat="false" ht="15" hidden="false" customHeight="false" outlineLevel="0" collapsed="false">
      <c r="K969" s="56" t="n">
        <f aca="false">K968+1</f>
        <v>962</v>
      </c>
      <c r="L969" s="57" t="n">
        <f aca="false">IF(AND(K969&lt;=Assumptions!$C$42,L968=1,P968=0,O968&gt;Assumptions!$C$43),1,0)</f>
        <v>0</v>
      </c>
      <c r="M969" s="58" t="n">
        <f aca="false">O968</f>
        <v>-10.8661391719591</v>
      </c>
      <c r="N969" s="58" t="n">
        <f aca="false">IF(L969=1,M969*$B$20,0)</f>
        <v>0</v>
      </c>
      <c r="O969" s="58" t="n">
        <f aca="false">IF(L969=1,M969+N969-$B$21,M969)</f>
        <v>-10.8661391719591</v>
      </c>
      <c r="P969" s="56" t="n">
        <f aca="false">IF(L969=1,IF($B$21&lt;=N969,1,0),0)</f>
        <v>0</v>
      </c>
      <c r="Q969" s="58" t="n">
        <f aca="false">Q968+N969</f>
        <v>989.13386082804</v>
      </c>
    </row>
    <row r="970" customFormat="false" ht="15" hidden="false" customHeight="false" outlineLevel="0" collapsed="false">
      <c r="K970" s="56" t="n">
        <f aca="false">K969+1</f>
        <v>963</v>
      </c>
      <c r="L970" s="57" t="n">
        <f aca="false">IF(AND(K970&lt;=Assumptions!$C$42,L969=1,P969=0,O969&gt;Assumptions!$C$43),1,0)</f>
        <v>0</v>
      </c>
      <c r="M970" s="58" t="n">
        <f aca="false">O969</f>
        <v>-10.8661391719591</v>
      </c>
      <c r="N970" s="58" t="n">
        <f aca="false">IF(L970=1,M970*$B$20,0)</f>
        <v>0</v>
      </c>
      <c r="O970" s="58" t="n">
        <f aca="false">IF(L970=1,M970+N970-$B$21,M970)</f>
        <v>-10.8661391719591</v>
      </c>
      <c r="P970" s="56" t="n">
        <f aca="false">IF(L970=1,IF($B$21&lt;=N970,1,0),0)</f>
        <v>0</v>
      </c>
      <c r="Q970" s="58" t="n">
        <f aca="false">Q969+N970</f>
        <v>989.13386082804</v>
      </c>
    </row>
    <row r="971" customFormat="false" ht="15" hidden="false" customHeight="false" outlineLevel="0" collapsed="false">
      <c r="K971" s="56" t="n">
        <f aca="false">K970+1</f>
        <v>964</v>
      </c>
      <c r="L971" s="57" t="n">
        <f aca="false">IF(AND(K971&lt;=Assumptions!$C$42,L970=1,P970=0,O970&gt;Assumptions!$C$43),1,0)</f>
        <v>0</v>
      </c>
      <c r="M971" s="58" t="n">
        <f aca="false">O970</f>
        <v>-10.8661391719591</v>
      </c>
      <c r="N971" s="58" t="n">
        <f aca="false">IF(L971=1,M971*$B$20,0)</f>
        <v>0</v>
      </c>
      <c r="O971" s="58" t="n">
        <f aca="false">IF(L971=1,M971+N971-$B$21,M971)</f>
        <v>-10.8661391719591</v>
      </c>
      <c r="P971" s="56" t="n">
        <f aca="false">IF(L971=1,IF($B$21&lt;=N971,1,0),0)</f>
        <v>0</v>
      </c>
      <c r="Q971" s="58" t="n">
        <f aca="false">Q970+N971</f>
        <v>989.13386082804</v>
      </c>
    </row>
    <row r="972" customFormat="false" ht="15" hidden="false" customHeight="false" outlineLevel="0" collapsed="false">
      <c r="K972" s="56" t="n">
        <f aca="false">K971+1</f>
        <v>965</v>
      </c>
      <c r="L972" s="57" t="n">
        <f aca="false">IF(AND(K972&lt;=Assumptions!$C$42,L971=1,P971=0,O971&gt;Assumptions!$C$43),1,0)</f>
        <v>0</v>
      </c>
      <c r="M972" s="58" t="n">
        <f aca="false">O971</f>
        <v>-10.8661391719591</v>
      </c>
      <c r="N972" s="58" t="n">
        <f aca="false">IF(L972=1,M972*$B$20,0)</f>
        <v>0</v>
      </c>
      <c r="O972" s="58" t="n">
        <f aca="false">IF(L972=1,M972+N972-$B$21,M972)</f>
        <v>-10.8661391719591</v>
      </c>
      <c r="P972" s="56" t="n">
        <f aca="false">IF(L972=1,IF($B$21&lt;=N972,1,0),0)</f>
        <v>0</v>
      </c>
      <c r="Q972" s="58" t="n">
        <f aca="false">Q971+N972</f>
        <v>989.13386082804</v>
      </c>
    </row>
    <row r="973" customFormat="false" ht="15" hidden="false" customHeight="false" outlineLevel="0" collapsed="false">
      <c r="K973" s="56" t="n">
        <f aca="false">K972+1</f>
        <v>966</v>
      </c>
      <c r="L973" s="57" t="n">
        <f aca="false">IF(AND(K973&lt;=Assumptions!$C$42,L972=1,P972=0,O972&gt;Assumptions!$C$43),1,0)</f>
        <v>0</v>
      </c>
      <c r="M973" s="58" t="n">
        <f aca="false">O972</f>
        <v>-10.8661391719591</v>
      </c>
      <c r="N973" s="58" t="n">
        <f aca="false">IF(L973=1,M973*$B$20,0)</f>
        <v>0</v>
      </c>
      <c r="O973" s="58" t="n">
        <f aca="false">IF(L973=1,M973+N973-$B$21,M973)</f>
        <v>-10.8661391719591</v>
      </c>
      <c r="P973" s="56" t="n">
        <f aca="false">IF(L973=1,IF($B$21&lt;=N973,1,0),0)</f>
        <v>0</v>
      </c>
      <c r="Q973" s="58" t="n">
        <f aca="false">Q972+N973</f>
        <v>989.13386082804</v>
      </c>
    </row>
    <row r="974" customFormat="false" ht="15" hidden="false" customHeight="false" outlineLevel="0" collapsed="false">
      <c r="K974" s="56" t="n">
        <f aca="false">K973+1</f>
        <v>967</v>
      </c>
      <c r="L974" s="57" t="n">
        <f aca="false">IF(AND(K974&lt;=Assumptions!$C$42,L973=1,P973=0,O973&gt;Assumptions!$C$43),1,0)</f>
        <v>0</v>
      </c>
      <c r="M974" s="58" t="n">
        <f aca="false">O973</f>
        <v>-10.8661391719591</v>
      </c>
      <c r="N974" s="58" t="n">
        <f aca="false">IF(L974=1,M974*$B$20,0)</f>
        <v>0</v>
      </c>
      <c r="O974" s="58" t="n">
        <f aca="false">IF(L974=1,M974+N974-$B$21,M974)</f>
        <v>-10.8661391719591</v>
      </c>
      <c r="P974" s="56" t="n">
        <f aca="false">IF(L974=1,IF($B$21&lt;=N974,1,0),0)</f>
        <v>0</v>
      </c>
      <c r="Q974" s="58" t="n">
        <f aca="false">Q973+N974</f>
        <v>989.13386082804</v>
      </c>
    </row>
    <row r="975" customFormat="false" ht="15" hidden="false" customHeight="false" outlineLevel="0" collapsed="false">
      <c r="K975" s="56" t="n">
        <f aca="false">K974+1</f>
        <v>968</v>
      </c>
      <c r="L975" s="57" t="n">
        <f aca="false">IF(AND(K975&lt;=Assumptions!$C$42,L974=1,P974=0,O974&gt;Assumptions!$C$43),1,0)</f>
        <v>0</v>
      </c>
      <c r="M975" s="58" t="n">
        <f aca="false">O974</f>
        <v>-10.8661391719591</v>
      </c>
      <c r="N975" s="58" t="n">
        <f aca="false">IF(L975=1,M975*$B$20,0)</f>
        <v>0</v>
      </c>
      <c r="O975" s="58" t="n">
        <f aca="false">IF(L975=1,M975+N975-$B$21,M975)</f>
        <v>-10.8661391719591</v>
      </c>
      <c r="P975" s="56" t="n">
        <f aca="false">IF(L975=1,IF($B$21&lt;=N975,1,0),0)</f>
        <v>0</v>
      </c>
      <c r="Q975" s="58" t="n">
        <f aca="false">Q974+N975</f>
        <v>989.13386082804</v>
      </c>
    </row>
    <row r="976" customFormat="false" ht="15" hidden="false" customHeight="false" outlineLevel="0" collapsed="false">
      <c r="K976" s="56" t="n">
        <f aca="false">K975+1</f>
        <v>969</v>
      </c>
      <c r="L976" s="57" t="n">
        <f aca="false">IF(AND(K976&lt;=Assumptions!$C$42,L975=1,P975=0,O975&gt;Assumptions!$C$43),1,0)</f>
        <v>0</v>
      </c>
      <c r="M976" s="58" t="n">
        <f aca="false">O975</f>
        <v>-10.8661391719591</v>
      </c>
      <c r="N976" s="58" t="n">
        <f aca="false">IF(L976=1,M976*$B$20,0)</f>
        <v>0</v>
      </c>
      <c r="O976" s="58" t="n">
        <f aca="false">IF(L976=1,M976+N976-$B$21,M976)</f>
        <v>-10.8661391719591</v>
      </c>
      <c r="P976" s="56" t="n">
        <f aca="false">IF(L976=1,IF($B$21&lt;=N976,1,0),0)</f>
        <v>0</v>
      </c>
      <c r="Q976" s="58" t="n">
        <f aca="false">Q975+N976</f>
        <v>989.13386082804</v>
      </c>
    </row>
    <row r="977" customFormat="false" ht="15" hidden="false" customHeight="false" outlineLevel="0" collapsed="false">
      <c r="K977" s="56" t="n">
        <f aca="false">K976+1</f>
        <v>970</v>
      </c>
      <c r="L977" s="57" t="n">
        <f aca="false">IF(AND(K977&lt;=Assumptions!$C$42,L976=1,P976=0,O976&gt;Assumptions!$C$43),1,0)</f>
        <v>0</v>
      </c>
      <c r="M977" s="58" t="n">
        <f aca="false">O976</f>
        <v>-10.8661391719591</v>
      </c>
      <c r="N977" s="58" t="n">
        <f aca="false">IF(L977=1,M977*$B$20,0)</f>
        <v>0</v>
      </c>
      <c r="O977" s="58" t="n">
        <f aca="false">IF(L977=1,M977+N977-$B$21,M977)</f>
        <v>-10.8661391719591</v>
      </c>
      <c r="P977" s="56" t="n">
        <f aca="false">IF(L977=1,IF($B$21&lt;=N977,1,0),0)</f>
        <v>0</v>
      </c>
      <c r="Q977" s="58" t="n">
        <f aca="false">Q976+N977</f>
        <v>989.13386082804</v>
      </c>
    </row>
    <row r="978" customFormat="false" ht="15" hidden="false" customHeight="false" outlineLevel="0" collapsed="false">
      <c r="K978" s="56" t="n">
        <f aca="false">K977+1</f>
        <v>971</v>
      </c>
      <c r="L978" s="57" t="n">
        <f aca="false">IF(AND(K978&lt;=Assumptions!$C$42,L977=1,P977=0,O977&gt;Assumptions!$C$43),1,0)</f>
        <v>0</v>
      </c>
      <c r="M978" s="58" t="n">
        <f aca="false">O977</f>
        <v>-10.8661391719591</v>
      </c>
      <c r="N978" s="58" t="n">
        <f aca="false">IF(L978=1,M978*$B$20,0)</f>
        <v>0</v>
      </c>
      <c r="O978" s="58" t="n">
        <f aca="false">IF(L978=1,M978+N978-$B$21,M978)</f>
        <v>-10.8661391719591</v>
      </c>
      <c r="P978" s="56" t="n">
        <f aca="false">IF(L978=1,IF($B$21&lt;=N978,1,0),0)</f>
        <v>0</v>
      </c>
      <c r="Q978" s="58" t="n">
        <f aca="false">Q977+N978</f>
        <v>989.13386082804</v>
      </c>
    </row>
    <row r="979" customFormat="false" ht="15" hidden="false" customHeight="false" outlineLevel="0" collapsed="false">
      <c r="K979" s="56" t="n">
        <f aca="false">K978+1</f>
        <v>972</v>
      </c>
      <c r="L979" s="57" t="n">
        <f aca="false">IF(AND(K979&lt;=Assumptions!$C$42,L978=1,P978=0,O978&gt;Assumptions!$C$43),1,0)</f>
        <v>0</v>
      </c>
      <c r="M979" s="58" t="n">
        <f aca="false">O978</f>
        <v>-10.8661391719591</v>
      </c>
      <c r="N979" s="58" t="n">
        <f aca="false">IF(L979=1,M979*$B$20,0)</f>
        <v>0</v>
      </c>
      <c r="O979" s="58" t="n">
        <f aca="false">IF(L979=1,M979+N979-$B$21,M979)</f>
        <v>-10.8661391719591</v>
      </c>
      <c r="P979" s="56" t="n">
        <f aca="false">IF(L979=1,IF($B$21&lt;=N979,1,0),0)</f>
        <v>0</v>
      </c>
      <c r="Q979" s="58" t="n">
        <f aca="false">Q978+N979</f>
        <v>989.13386082804</v>
      </c>
    </row>
    <row r="980" customFormat="false" ht="15" hidden="false" customHeight="false" outlineLevel="0" collapsed="false">
      <c r="K980" s="56" t="n">
        <f aca="false">K979+1</f>
        <v>973</v>
      </c>
      <c r="L980" s="57" t="n">
        <f aca="false">IF(AND(K980&lt;=Assumptions!$C$42,L979=1,P979=0,O979&gt;Assumptions!$C$43),1,0)</f>
        <v>0</v>
      </c>
      <c r="M980" s="58" t="n">
        <f aca="false">O979</f>
        <v>-10.8661391719591</v>
      </c>
      <c r="N980" s="58" t="n">
        <f aca="false">IF(L980=1,M980*$B$20,0)</f>
        <v>0</v>
      </c>
      <c r="O980" s="58" t="n">
        <f aca="false">IF(L980=1,M980+N980-$B$21,M980)</f>
        <v>-10.8661391719591</v>
      </c>
      <c r="P980" s="56" t="n">
        <f aca="false">IF(L980=1,IF($B$21&lt;=N980,1,0),0)</f>
        <v>0</v>
      </c>
      <c r="Q980" s="58" t="n">
        <f aca="false">Q979+N980</f>
        <v>989.13386082804</v>
      </c>
    </row>
    <row r="981" customFormat="false" ht="15" hidden="false" customHeight="false" outlineLevel="0" collapsed="false">
      <c r="K981" s="56" t="n">
        <f aca="false">K980+1</f>
        <v>974</v>
      </c>
      <c r="L981" s="57" t="n">
        <f aca="false">IF(AND(K981&lt;=Assumptions!$C$42,L980=1,P980=0,O980&gt;Assumptions!$C$43),1,0)</f>
        <v>0</v>
      </c>
      <c r="M981" s="58" t="n">
        <f aca="false">O980</f>
        <v>-10.8661391719591</v>
      </c>
      <c r="N981" s="58" t="n">
        <f aca="false">IF(L981=1,M981*$B$20,0)</f>
        <v>0</v>
      </c>
      <c r="O981" s="58" t="n">
        <f aca="false">IF(L981=1,M981+N981-$B$21,M981)</f>
        <v>-10.8661391719591</v>
      </c>
      <c r="P981" s="56" t="n">
        <f aca="false">IF(L981=1,IF($B$21&lt;=N981,1,0),0)</f>
        <v>0</v>
      </c>
      <c r="Q981" s="58" t="n">
        <f aca="false">Q980+N981</f>
        <v>989.13386082804</v>
      </c>
    </row>
    <row r="982" customFormat="false" ht="15" hidden="false" customHeight="false" outlineLevel="0" collapsed="false">
      <c r="K982" s="56" t="n">
        <f aca="false">K981+1</f>
        <v>975</v>
      </c>
      <c r="L982" s="57" t="n">
        <f aca="false">IF(AND(K982&lt;=Assumptions!$C$42,L981=1,P981=0,O981&gt;Assumptions!$C$43),1,0)</f>
        <v>0</v>
      </c>
      <c r="M982" s="58" t="n">
        <f aca="false">O981</f>
        <v>-10.8661391719591</v>
      </c>
      <c r="N982" s="58" t="n">
        <f aca="false">IF(L982=1,M982*$B$20,0)</f>
        <v>0</v>
      </c>
      <c r="O982" s="58" t="n">
        <f aca="false">IF(L982=1,M982+N982-$B$21,M982)</f>
        <v>-10.8661391719591</v>
      </c>
      <c r="P982" s="56" t="n">
        <f aca="false">IF(L982=1,IF($B$21&lt;=N982,1,0),0)</f>
        <v>0</v>
      </c>
      <c r="Q982" s="58" t="n">
        <f aca="false">Q981+N982</f>
        <v>989.13386082804</v>
      </c>
    </row>
    <row r="983" customFormat="false" ht="15" hidden="false" customHeight="false" outlineLevel="0" collapsed="false">
      <c r="K983" s="56" t="n">
        <f aca="false">K982+1</f>
        <v>976</v>
      </c>
      <c r="L983" s="57" t="n">
        <f aca="false">IF(AND(K983&lt;=Assumptions!$C$42,L982=1,P982=0,O982&gt;Assumptions!$C$43),1,0)</f>
        <v>0</v>
      </c>
      <c r="M983" s="58" t="n">
        <f aca="false">O982</f>
        <v>-10.8661391719591</v>
      </c>
      <c r="N983" s="58" t="n">
        <f aca="false">IF(L983=1,M983*$B$20,0)</f>
        <v>0</v>
      </c>
      <c r="O983" s="58" t="n">
        <f aca="false">IF(L983=1,M983+N983-$B$21,M983)</f>
        <v>-10.8661391719591</v>
      </c>
      <c r="P983" s="56" t="n">
        <f aca="false">IF(L983=1,IF($B$21&lt;=N983,1,0),0)</f>
        <v>0</v>
      </c>
      <c r="Q983" s="58" t="n">
        <f aca="false">Q982+N983</f>
        <v>989.13386082804</v>
      </c>
    </row>
    <row r="984" customFormat="false" ht="15" hidden="false" customHeight="false" outlineLevel="0" collapsed="false">
      <c r="K984" s="56" t="n">
        <f aca="false">K983+1</f>
        <v>977</v>
      </c>
      <c r="L984" s="57" t="n">
        <f aca="false">IF(AND(K984&lt;=Assumptions!$C$42,L983=1,P983=0,O983&gt;Assumptions!$C$43),1,0)</f>
        <v>0</v>
      </c>
      <c r="M984" s="58" t="n">
        <f aca="false">O983</f>
        <v>-10.8661391719591</v>
      </c>
      <c r="N984" s="58" t="n">
        <f aca="false">IF(L984=1,M984*$B$20,0)</f>
        <v>0</v>
      </c>
      <c r="O984" s="58" t="n">
        <f aca="false">IF(L984=1,M984+N984-$B$21,M984)</f>
        <v>-10.8661391719591</v>
      </c>
      <c r="P984" s="56" t="n">
        <f aca="false">IF(L984=1,IF($B$21&lt;=N984,1,0),0)</f>
        <v>0</v>
      </c>
      <c r="Q984" s="58" t="n">
        <f aca="false">Q983+N984</f>
        <v>989.13386082804</v>
      </c>
    </row>
    <row r="985" customFormat="false" ht="15" hidden="false" customHeight="false" outlineLevel="0" collapsed="false">
      <c r="K985" s="56" t="n">
        <f aca="false">K984+1</f>
        <v>978</v>
      </c>
      <c r="L985" s="57" t="n">
        <f aca="false">IF(AND(K985&lt;=Assumptions!$C$42,L984=1,P984=0,O984&gt;Assumptions!$C$43),1,0)</f>
        <v>0</v>
      </c>
      <c r="M985" s="58" t="n">
        <f aca="false">O984</f>
        <v>-10.8661391719591</v>
      </c>
      <c r="N985" s="58" t="n">
        <f aca="false">IF(L985=1,M985*$B$20,0)</f>
        <v>0</v>
      </c>
      <c r="O985" s="58" t="n">
        <f aca="false">IF(L985=1,M985+N985-$B$21,M985)</f>
        <v>-10.8661391719591</v>
      </c>
      <c r="P985" s="56" t="n">
        <f aca="false">IF(L985=1,IF($B$21&lt;=N985,1,0),0)</f>
        <v>0</v>
      </c>
      <c r="Q985" s="58" t="n">
        <f aca="false">Q984+N985</f>
        <v>989.13386082804</v>
      </c>
    </row>
    <row r="986" customFormat="false" ht="15" hidden="false" customHeight="false" outlineLevel="0" collapsed="false">
      <c r="K986" s="56" t="n">
        <f aca="false">K985+1</f>
        <v>979</v>
      </c>
      <c r="L986" s="57" t="n">
        <f aca="false">IF(AND(K986&lt;=Assumptions!$C$42,L985=1,P985=0,O985&gt;Assumptions!$C$43),1,0)</f>
        <v>0</v>
      </c>
      <c r="M986" s="58" t="n">
        <f aca="false">O985</f>
        <v>-10.8661391719591</v>
      </c>
      <c r="N986" s="58" t="n">
        <f aca="false">IF(L986=1,M986*$B$20,0)</f>
        <v>0</v>
      </c>
      <c r="O986" s="58" t="n">
        <f aca="false">IF(L986=1,M986+N986-$B$21,M986)</f>
        <v>-10.8661391719591</v>
      </c>
      <c r="P986" s="56" t="n">
        <f aca="false">IF(L986=1,IF($B$21&lt;=N986,1,0),0)</f>
        <v>0</v>
      </c>
      <c r="Q986" s="58" t="n">
        <f aca="false">Q985+N986</f>
        <v>989.13386082804</v>
      </c>
    </row>
    <row r="987" customFormat="false" ht="15" hidden="false" customHeight="false" outlineLevel="0" collapsed="false">
      <c r="K987" s="56" t="n">
        <f aca="false">K986+1</f>
        <v>980</v>
      </c>
      <c r="L987" s="57" t="n">
        <f aca="false">IF(AND(K987&lt;=Assumptions!$C$42,L986=1,P986=0,O986&gt;Assumptions!$C$43),1,0)</f>
        <v>0</v>
      </c>
      <c r="M987" s="58" t="n">
        <f aca="false">O986</f>
        <v>-10.8661391719591</v>
      </c>
      <c r="N987" s="58" t="n">
        <f aca="false">IF(L987=1,M987*$B$20,0)</f>
        <v>0</v>
      </c>
      <c r="O987" s="58" t="n">
        <f aca="false">IF(L987=1,M987+N987-$B$21,M987)</f>
        <v>-10.8661391719591</v>
      </c>
      <c r="P987" s="56" t="n">
        <f aca="false">IF(L987=1,IF($B$21&lt;=N987,1,0),0)</f>
        <v>0</v>
      </c>
      <c r="Q987" s="58" t="n">
        <f aca="false">Q986+N987</f>
        <v>989.13386082804</v>
      </c>
    </row>
    <row r="988" customFormat="false" ht="15" hidden="false" customHeight="false" outlineLevel="0" collapsed="false">
      <c r="K988" s="56" t="n">
        <f aca="false">K987+1</f>
        <v>981</v>
      </c>
      <c r="L988" s="57" t="n">
        <f aca="false">IF(AND(K988&lt;=Assumptions!$C$42,L987=1,P987=0,O987&gt;Assumptions!$C$43),1,0)</f>
        <v>0</v>
      </c>
      <c r="M988" s="58" t="n">
        <f aca="false">O987</f>
        <v>-10.8661391719591</v>
      </c>
      <c r="N988" s="58" t="n">
        <f aca="false">IF(L988=1,M988*$B$20,0)</f>
        <v>0</v>
      </c>
      <c r="O988" s="58" t="n">
        <f aca="false">IF(L988=1,M988+N988-$B$21,M988)</f>
        <v>-10.8661391719591</v>
      </c>
      <c r="P988" s="56" t="n">
        <f aca="false">IF(L988=1,IF($B$21&lt;=N988,1,0),0)</f>
        <v>0</v>
      </c>
      <c r="Q988" s="58" t="n">
        <f aca="false">Q987+N988</f>
        <v>989.13386082804</v>
      </c>
    </row>
    <row r="989" customFormat="false" ht="15" hidden="false" customHeight="false" outlineLevel="0" collapsed="false">
      <c r="K989" s="56" t="n">
        <f aca="false">K988+1</f>
        <v>982</v>
      </c>
      <c r="L989" s="57" t="n">
        <f aca="false">IF(AND(K989&lt;=Assumptions!$C$42,L988=1,P988=0,O988&gt;Assumptions!$C$43),1,0)</f>
        <v>0</v>
      </c>
      <c r="M989" s="58" t="n">
        <f aca="false">O988</f>
        <v>-10.8661391719591</v>
      </c>
      <c r="N989" s="58" t="n">
        <f aca="false">IF(L989=1,M989*$B$20,0)</f>
        <v>0</v>
      </c>
      <c r="O989" s="58" t="n">
        <f aca="false">IF(L989=1,M989+N989-$B$21,M989)</f>
        <v>-10.8661391719591</v>
      </c>
      <c r="P989" s="56" t="n">
        <f aca="false">IF(L989=1,IF($B$21&lt;=N989,1,0),0)</f>
        <v>0</v>
      </c>
      <c r="Q989" s="58" t="n">
        <f aca="false">Q988+N989</f>
        <v>989.13386082804</v>
      </c>
    </row>
    <row r="990" customFormat="false" ht="15" hidden="false" customHeight="false" outlineLevel="0" collapsed="false">
      <c r="K990" s="56" t="n">
        <f aca="false">K989+1</f>
        <v>983</v>
      </c>
      <c r="L990" s="57" t="n">
        <f aca="false">IF(AND(K990&lt;=Assumptions!$C$42,L989=1,P989=0,O989&gt;Assumptions!$C$43),1,0)</f>
        <v>0</v>
      </c>
      <c r="M990" s="58" t="n">
        <f aca="false">O989</f>
        <v>-10.8661391719591</v>
      </c>
      <c r="N990" s="58" t="n">
        <f aca="false">IF(L990=1,M990*$B$20,0)</f>
        <v>0</v>
      </c>
      <c r="O990" s="58" t="n">
        <f aca="false">IF(L990=1,M990+N990-$B$21,M990)</f>
        <v>-10.8661391719591</v>
      </c>
      <c r="P990" s="56" t="n">
        <f aca="false">IF(L990=1,IF($B$21&lt;=N990,1,0),0)</f>
        <v>0</v>
      </c>
      <c r="Q990" s="58" t="n">
        <f aca="false">Q989+N990</f>
        <v>989.13386082804</v>
      </c>
    </row>
    <row r="991" customFormat="false" ht="15" hidden="false" customHeight="false" outlineLevel="0" collapsed="false">
      <c r="K991" s="56" t="n">
        <f aca="false">K990+1</f>
        <v>984</v>
      </c>
      <c r="L991" s="57" t="n">
        <f aca="false">IF(AND(K991&lt;=Assumptions!$C$42,L990=1,P990=0,O990&gt;Assumptions!$C$43),1,0)</f>
        <v>0</v>
      </c>
      <c r="M991" s="58" t="n">
        <f aca="false">O990</f>
        <v>-10.8661391719591</v>
      </c>
      <c r="N991" s="58" t="n">
        <f aca="false">IF(L991=1,M991*$B$20,0)</f>
        <v>0</v>
      </c>
      <c r="O991" s="58" t="n">
        <f aca="false">IF(L991=1,M991+N991-$B$21,M991)</f>
        <v>-10.8661391719591</v>
      </c>
      <c r="P991" s="56" t="n">
        <f aca="false">IF(L991=1,IF($B$21&lt;=N991,1,0),0)</f>
        <v>0</v>
      </c>
      <c r="Q991" s="58" t="n">
        <f aca="false">Q990+N991</f>
        <v>989.13386082804</v>
      </c>
    </row>
    <row r="992" customFormat="false" ht="15" hidden="false" customHeight="false" outlineLevel="0" collapsed="false">
      <c r="K992" s="56" t="n">
        <f aca="false">K991+1</f>
        <v>985</v>
      </c>
      <c r="L992" s="57" t="n">
        <f aca="false">IF(AND(K992&lt;=Assumptions!$C$42,L991=1,P991=0,O991&gt;Assumptions!$C$43),1,0)</f>
        <v>0</v>
      </c>
      <c r="M992" s="58" t="n">
        <f aca="false">O991</f>
        <v>-10.8661391719591</v>
      </c>
      <c r="N992" s="58" t="n">
        <f aca="false">IF(L992=1,M992*$B$20,0)</f>
        <v>0</v>
      </c>
      <c r="O992" s="58" t="n">
        <f aca="false">IF(L992=1,M992+N992-$B$21,M992)</f>
        <v>-10.8661391719591</v>
      </c>
      <c r="P992" s="56" t="n">
        <f aca="false">IF(L992=1,IF($B$21&lt;=N992,1,0),0)</f>
        <v>0</v>
      </c>
      <c r="Q992" s="58" t="n">
        <f aca="false">Q991+N992</f>
        <v>989.13386082804</v>
      </c>
    </row>
    <row r="993" customFormat="false" ht="15" hidden="false" customHeight="false" outlineLevel="0" collapsed="false">
      <c r="K993" s="56" t="n">
        <f aca="false">K992+1</f>
        <v>986</v>
      </c>
      <c r="L993" s="57" t="n">
        <f aca="false">IF(AND(K993&lt;=Assumptions!$C$42,L992=1,P992=0,O992&gt;Assumptions!$C$43),1,0)</f>
        <v>0</v>
      </c>
      <c r="M993" s="58" t="n">
        <f aca="false">O992</f>
        <v>-10.8661391719591</v>
      </c>
      <c r="N993" s="58" t="n">
        <f aca="false">IF(L993=1,M993*$B$20,0)</f>
        <v>0</v>
      </c>
      <c r="O993" s="58" t="n">
        <f aca="false">IF(L993=1,M993+N993-$B$21,M993)</f>
        <v>-10.8661391719591</v>
      </c>
      <c r="P993" s="56" t="n">
        <f aca="false">IF(L993=1,IF($B$21&lt;=N993,1,0),0)</f>
        <v>0</v>
      </c>
      <c r="Q993" s="58" t="n">
        <f aca="false">Q992+N993</f>
        <v>989.13386082804</v>
      </c>
    </row>
    <row r="994" customFormat="false" ht="15" hidden="false" customHeight="false" outlineLevel="0" collapsed="false">
      <c r="K994" s="56" t="n">
        <f aca="false">K993+1</f>
        <v>987</v>
      </c>
      <c r="L994" s="57" t="n">
        <f aca="false">IF(AND(K994&lt;=Assumptions!$C$42,L993=1,P993=0,O993&gt;Assumptions!$C$43),1,0)</f>
        <v>0</v>
      </c>
      <c r="M994" s="58" t="n">
        <f aca="false">O993</f>
        <v>-10.8661391719591</v>
      </c>
      <c r="N994" s="58" t="n">
        <f aca="false">IF(L994=1,M994*$B$20,0)</f>
        <v>0</v>
      </c>
      <c r="O994" s="58" t="n">
        <f aca="false">IF(L994=1,M994+N994-$B$21,M994)</f>
        <v>-10.8661391719591</v>
      </c>
      <c r="P994" s="56" t="n">
        <f aca="false">IF(L994=1,IF($B$21&lt;=N994,1,0),0)</f>
        <v>0</v>
      </c>
      <c r="Q994" s="58" t="n">
        <f aca="false">Q993+N994</f>
        <v>989.13386082804</v>
      </c>
    </row>
    <row r="995" customFormat="false" ht="15" hidden="false" customHeight="false" outlineLevel="0" collapsed="false">
      <c r="K995" s="56" t="n">
        <f aca="false">K994+1</f>
        <v>988</v>
      </c>
      <c r="L995" s="57" t="n">
        <f aca="false">IF(AND(K995&lt;=Assumptions!$C$42,L994=1,P994=0,O994&gt;Assumptions!$C$43),1,0)</f>
        <v>0</v>
      </c>
      <c r="M995" s="58" t="n">
        <f aca="false">O994</f>
        <v>-10.8661391719591</v>
      </c>
      <c r="N995" s="58" t="n">
        <f aca="false">IF(L995=1,M995*$B$20,0)</f>
        <v>0</v>
      </c>
      <c r="O995" s="58" t="n">
        <f aca="false">IF(L995=1,M995+N995-$B$21,M995)</f>
        <v>-10.8661391719591</v>
      </c>
      <c r="P995" s="56" t="n">
        <f aca="false">IF(L995=1,IF($B$21&lt;=N995,1,0),0)</f>
        <v>0</v>
      </c>
      <c r="Q995" s="58" t="n">
        <f aca="false">Q994+N995</f>
        <v>989.13386082804</v>
      </c>
    </row>
    <row r="996" customFormat="false" ht="15" hidden="false" customHeight="false" outlineLevel="0" collapsed="false">
      <c r="K996" s="56" t="n">
        <f aca="false">K995+1</f>
        <v>989</v>
      </c>
      <c r="L996" s="57" t="n">
        <f aca="false">IF(AND(K996&lt;=Assumptions!$C$42,L995=1,P995=0,O995&gt;Assumptions!$C$43),1,0)</f>
        <v>0</v>
      </c>
      <c r="M996" s="58" t="n">
        <f aca="false">O995</f>
        <v>-10.8661391719591</v>
      </c>
      <c r="N996" s="58" t="n">
        <f aca="false">IF(L996=1,M996*$B$20,0)</f>
        <v>0</v>
      </c>
      <c r="O996" s="58" t="n">
        <f aca="false">IF(L996=1,M996+N996-$B$21,M996)</f>
        <v>-10.8661391719591</v>
      </c>
      <c r="P996" s="56" t="n">
        <f aca="false">IF(L996=1,IF($B$21&lt;=N996,1,0),0)</f>
        <v>0</v>
      </c>
      <c r="Q996" s="58" t="n">
        <f aca="false">Q995+N996</f>
        <v>989.13386082804</v>
      </c>
    </row>
    <row r="997" customFormat="false" ht="15" hidden="false" customHeight="false" outlineLevel="0" collapsed="false">
      <c r="K997" s="56" t="n">
        <f aca="false">K996+1</f>
        <v>990</v>
      </c>
      <c r="L997" s="57" t="n">
        <f aca="false">IF(AND(K997&lt;=Assumptions!$C$42,L996=1,P996=0,O996&gt;Assumptions!$C$43),1,0)</f>
        <v>0</v>
      </c>
      <c r="M997" s="58" t="n">
        <f aca="false">O996</f>
        <v>-10.8661391719591</v>
      </c>
      <c r="N997" s="58" t="n">
        <f aca="false">IF(L997=1,M997*$B$20,0)</f>
        <v>0</v>
      </c>
      <c r="O997" s="58" t="n">
        <f aca="false">IF(L997=1,M997+N997-$B$21,M997)</f>
        <v>-10.8661391719591</v>
      </c>
      <c r="P997" s="56" t="n">
        <f aca="false">IF(L997=1,IF($B$21&lt;=N997,1,0),0)</f>
        <v>0</v>
      </c>
      <c r="Q997" s="58" t="n">
        <f aca="false">Q996+N997</f>
        <v>989.13386082804</v>
      </c>
    </row>
    <row r="998" customFormat="false" ht="15" hidden="false" customHeight="false" outlineLevel="0" collapsed="false">
      <c r="K998" s="56" t="n">
        <f aca="false">K997+1</f>
        <v>991</v>
      </c>
      <c r="L998" s="57" t="n">
        <f aca="false">IF(AND(K998&lt;=Assumptions!$C$42,L997=1,P997=0,O997&gt;Assumptions!$C$43),1,0)</f>
        <v>0</v>
      </c>
      <c r="M998" s="58" t="n">
        <f aca="false">O997</f>
        <v>-10.8661391719591</v>
      </c>
      <c r="N998" s="58" t="n">
        <f aca="false">IF(L998=1,M998*$B$20,0)</f>
        <v>0</v>
      </c>
      <c r="O998" s="58" t="n">
        <f aca="false">IF(L998=1,M998+N998-$B$21,M998)</f>
        <v>-10.8661391719591</v>
      </c>
      <c r="P998" s="56" t="n">
        <f aca="false">IF(L998=1,IF($B$21&lt;=N998,1,0),0)</f>
        <v>0</v>
      </c>
      <c r="Q998" s="58" t="n">
        <f aca="false">Q997+N998</f>
        <v>989.13386082804</v>
      </c>
    </row>
    <row r="999" customFormat="false" ht="15" hidden="false" customHeight="false" outlineLevel="0" collapsed="false">
      <c r="K999" s="56" t="n">
        <f aca="false">K998+1</f>
        <v>992</v>
      </c>
      <c r="L999" s="57" t="n">
        <f aca="false">IF(AND(K999&lt;=Assumptions!$C$42,L998=1,P998=0,O998&gt;Assumptions!$C$43),1,0)</f>
        <v>0</v>
      </c>
      <c r="M999" s="58" t="n">
        <f aca="false">O998</f>
        <v>-10.8661391719591</v>
      </c>
      <c r="N999" s="58" t="n">
        <f aca="false">IF(L999=1,M999*$B$20,0)</f>
        <v>0</v>
      </c>
      <c r="O999" s="58" t="n">
        <f aca="false">IF(L999=1,M999+N999-$B$21,M999)</f>
        <v>-10.8661391719591</v>
      </c>
      <c r="P999" s="56" t="n">
        <f aca="false">IF(L999=1,IF($B$21&lt;=N999,1,0),0)</f>
        <v>0</v>
      </c>
      <c r="Q999" s="58" t="n">
        <f aca="false">Q998+N999</f>
        <v>989.13386082804</v>
      </c>
    </row>
    <row r="1000" customFormat="false" ht="15" hidden="false" customHeight="false" outlineLevel="0" collapsed="false">
      <c r="K1000" s="56" t="n">
        <f aca="false">K999+1</f>
        <v>993</v>
      </c>
      <c r="L1000" s="57" t="n">
        <f aca="false">IF(AND(K1000&lt;=Assumptions!$C$42,L999=1,P999=0,O999&gt;Assumptions!$C$43),1,0)</f>
        <v>0</v>
      </c>
      <c r="M1000" s="58" t="n">
        <f aca="false">O999</f>
        <v>-10.8661391719591</v>
      </c>
      <c r="N1000" s="58" t="n">
        <f aca="false">IF(L1000=1,M1000*$B$20,0)</f>
        <v>0</v>
      </c>
      <c r="O1000" s="58" t="n">
        <f aca="false">IF(L1000=1,M1000+N1000-$B$21,M1000)</f>
        <v>-10.8661391719591</v>
      </c>
      <c r="P1000" s="56" t="n">
        <f aca="false">IF(L1000=1,IF($B$21&lt;=N1000,1,0),0)</f>
        <v>0</v>
      </c>
      <c r="Q1000" s="58" t="n">
        <f aca="false">Q999+N1000</f>
        <v>989.13386082804</v>
      </c>
    </row>
    <row r="1001" customFormat="false" ht="15" hidden="false" customHeight="false" outlineLevel="0" collapsed="false">
      <c r="K1001" s="56" t="n">
        <f aca="false">K1000+1</f>
        <v>994</v>
      </c>
      <c r="L1001" s="57" t="n">
        <f aca="false">IF(AND(K1001&lt;=Assumptions!$C$42,L1000=1,P1000=0,O1000&gt;Assumptions!$C$43),1,0)</f>
        <v>0</v>
      </c>
      <c r="M1001" s="58" t="n">
        <f aca="false">O1000</f>
        <v>-10.8661391719591</v>
      </c>
      <c r="N1001" s="58" t="n">
        <f aca="false">IF(L1001=1,M1001*$B$20,0)</f>
        <v>0</v>
      </c>
      <c r="O1001" s="58" t="n">
        <f aca="false">IF(L1001=1,M1001+N1001-$B$21,M1001)</f>
        <v>-10.8661391719591</v>
      </c>
      <c r="P1001" s="56" t="n">
        <f aca="false">IF(L1001=1,IF($B$21&lt;=N1001,1,0),0)</f>
        <v>0</v>
      </c>
      <c r="Q1001" s="58" t="n">
        <f aca="false">Q1000+N1001</f>
        <v>989.13386082804</v>
      </c>
    </row>
    <row r="1002" customFormat="false" ht="15" hidden="false" customHeight="false" outlineLevel="0" collapsed="false">
      <c r="K1002" s="56" t="n">
        <f aca="false">K1001+1</f>
        <v>995</v>
      </c>
      <c r="L1002" s="57" t="n">
        <f aca="false">IF(AND(K1002&lt;=Assumptions!$C$42,L1001=1,P1001=0,O1001&gt;Assumptions!$C$43),1,0)</f>
        <v>0</v>
      </c>
      <c r="M1002" s="58" t="n">
        <f aca="false">O1001</f>
        <v>-10.8661391719591</v>
      </c>
      <c r="N1002" s="58" t="n">
        <f aca="false">IF(L1002=1,M1002*$B$20,0)</f>
        <v>0</v>
      </c>
      <c r="O1002" s="58" t="n">
        <f aca="false">IF(L1002=1,M1002+N1002-$B$21,M1002)</f>
        <v>-10.8661391719591</v>
      </c>
      <c r="P1002" s="56" t="n">
        <f aca="false">IF(L1002=1,IF($B$21&lt;=N1002,1,0),0)</f>
        <v>0</v>
      </c>
      <c r="Q1002" s="58" t="n">
        <f aca="false">Q1001+N1002</f>
        <v>989.13386082804</v>
      </c>
    </row>
    <row r="1003" customFormat="false" ht="15" hidden="false" customHeight="false" outlineLevel="0" collapsed="false">
      <c r="K1003" s="56" t="n">
        <f aca="false">K1002+1</f>
        <v>996</v>
      </c>
      <c r="L1003" s="57" t="n">
        <f aca="false">IF(AND(K1003&lt;=Assumptions!$C$42,L1002=1,P1002=0,O1002&gt;Assumptions!$C$43),1,0)</f>
        <v>0</v>
      </c>
      <c r="M1003" s="58" t="n">
        <f aca="false">O1002</f>
        <v>-10.8661391719591</v>
      </c>
      <c r="N1003" s="58" t="n">
        <f aca="false">IF(L1003=1,M1003*$B$20,0)</f>
        <v>0</v>
      </c>
      <c r="O1003" s="58" t="n">
        <f aca="false">IF(L1003=1,M1003+N1003-$B$21,M1003)</f>
        <v>-10.8661391719591</v>
      </c>
      <c r="P1003" s="56" t="n">
        <f aca="false">IF(L1003=1,IF($B$21&lt;=N1003,1,0),0)</f>
        <v>0</v>
      </c>
      <c r="Q1003" s="58" t="n">
        <f aca="false">Q1002+N1003</f>
        <v>989.13386082804</v>
      </c>
    </row>
    <row r="1004" customFormat="false" ht="15" hidden="false" customHeight="false" outlineLevel="0" collapsed="false">
      <c r="K1004" s="56" t="n">
        <f aca="false">K1003+1</f>
        <v>997</v>
      </c>
      <c r="L1004" s="57" t="n">
        <f aca="false">IF(AND(K1004&lt;=Assumptions!$C$42,L1003=1,P1003=0,O1003&gt;Assumptions!$C$43),1,0)</f>
        <v>0</v>
      </c>
      <c r="M1004" s="58" t="n">
        <f aca="false">O1003</f>
        <v>-10.8661391719591</v>
      </c>
      <c r="N1004" s="58" t="n">
        <f aca="false">IF(L1004=1,M1004*$B$20,0)</f>
        <v>0</v>
      </c>
      <c r="O1004" s="58" t="n">
        <f aca="false">IF(L1004=1,M1004+N1004-$B$21,M1004)</f>
        <v>-10.8661391719591</v>
      </c>
      <c r="P1004" s="56" t="n">
        <f aca="false">IF(L1004=1,IF($B$21&lt;=N1004,1,0),0)</f>
        <v>0</v>
      </c>
      <c r="Q1004" s="58" t="n">
        <f aca="false">Q1003+N1004</f>
        <v>989.13386082804</v>
      </c>
    </row>
    <row r="1005" customFormat="false" ht="15" hidden="false" customHeight="false" outlineLevel="0" collapsed="false">
      <c r="K1005" s="56" t="n">
        <f aca="false">K1004+1</f>
        <v>998</v>
      </c>
      <c r="L1005" s="57" t="n">
        <f aca="false">IF(AND(K1005&lt;=Assumptions!$C$42,L1004=1,P1004=0,O1004&gt;Assumptions!$C$43),1,0)</f>
        <v>0</v>
      </c>
      <c r="M1005" s="58" t="n">
        <f aca="false">O1004</f>
        <v>-10.8661391719591</v>
      </c>
      <c r="N1005" s="58" t="n">
        <f aca="false">IF(L1005=1,M1005*$B$20,0)</f>
        <v>0</v>
      </c>
      <c r="O1005" s="58" t="n">
        <f aca="false">IF(L1005=1,M1005+N1005-$B$21,M1005)</f>
        <v>-10.8661391719591</v>
      </c>
      <c r="P1005" s="56" t="n">
        <f aca="false">IF(L1005=1,IF($B$21&lt;=N1005,1,0),0)</f>
        <v>0</v>
      </c>
      <c r="Q1005" s="58" t="n">
        <f aca="false">Q1004+N1005</f>
        <v>989.13386082804</v>
      </c>
    </row>
    <row r="1006" customFormat="false" ht="15" hidden="false" customHeight="false" outlineLevel="0" collapsed="false">
      <c r="K1006" s="56" t="n">
        <f aca="false">K1005+1</f>
        <v>999</v>
      </c>
      <c r="L1006" s="57" t="n">
        <f aca="false">IF(AND(K1006&lt;=Assumptions!$C$42,L1005=1,P1005=0,O1005&gt;Assumptions!$C$43),1,0)</f>
        <v>0</v>
      </c>
      <c r="M1006" s="58" t="n">
        <f aca="false">O1005</f>
        <v>-10.8661391719591</v>
      </c>
      <c r="N1006" s="58" t="n">
        <f aca="false">IF(L1006=1,M1006*$B$20,0)</f>
        <v>0</v>
      </c>
      <c r="O1006" s="58" t="n">
        <f aca="false">IF(L1006=1,M1006+N1006-$B$21,M1006)</f>
        <v>-10.8661391719591</v>
      </c>
      <c r="P1006" s="56" t="n">
        <f aca="false">IF(L1006=1,IF($B$21&lt;=N1006,1,0),0)</f>
        <v>0</v>
      </c>
      <c r="Q1006" s="58" t="n">
        <f aca="false">Q1005+N1006</f>
        <v>989.13386082804</v>
      </c>
    </row>
    <row r="1007" customFormat="false" ht="15" hidden="false" customHeight="false" outlineLevel="0" collapsed="false">
      <c r="K1007" s="56" t="n">
        <f aca="false">K1006+1</f>
        <v>1000</v>
      </c>
      <c r="L1007" s="57" t="n">
        <f aca="false">IF(AND(K1007&lt;=Assumptions!$C$42,L1006=1,P1006=0,O1006&gt;Assumptions!$C$43),1,0)</f>
        <v>0</v>
      </c>
      <c r="M1007" s="58" t="n">
        <f aca="false">O1006</f>
        <v>-10.8661391719591</v>
      </c>
      <c r="N1007" s="58" t="n">
        <f aca="false">IF(L1007=1,M1007*$B$20,0)</f>
        <v>0</v>
      </c>
      <c r="O1007" s="58" t="n">
        <f aca="false">IF(L1007=1,M1007+N1007-$B$21,M1007)</f>
        <v>-10.8661391719591</v>
      </c>
      <c r="P1007" s="56" t="n">
        <f aca="false">IF(L1007=1,IF($B$21&lt;=N1007,1,0),0)</f>
        <v>0</v>
      </c>
      <c r="Q1007" s="58" t="n">
        <f aca="false">Q1006+N1007</f>
        <v>989.13386082804</v>
      </c>
    </row>
    <row r="1008" customFormat="false" ht="15" hidden="false" customHeight="false" outlineLevel="0" collapsed="false">
      <c r="K1008" s="56" t="n">
        <f aca="false">K1007+1</f>
        <v>1001</v>
      </c>
      <c r="L1008" s="57" t="n">
        <f aca="false">IF(AND(K1008&lt;=Assumptions!$C$42,L1007=1,P1007=0,O1007&gt;Assumptions!$C$43),1,0)</f>
        <v>0</v>
      </c>
      <c r="M1008" s="58" t="n">
        <f aca="false">O1007</f>
        <v>-10.8661391719591</v>
      </c>
      <c r="N1008" s="58" t="n">
        <f aca="false">IF(L1008=1,M1008*$B$20,0)</f>
        <v>0</v>
      </c>
      <c r="O1008" s="58" t="n">
        <f aca="false">IF(L1008=1,M1008+N1008-$B$21,M1008)</f>
        <v>-10.8661391719591</v>
      </c>
      <c r="P1008" s="56" t="n">
        <f aca="false">IF(L1008=1,IF($B$21&lt;=N1008,1,0),0)</f>
        <v>0</v>
      </c>
      <c r="Q1008" s="58" t="n">
        <f aca="false">Q1007+N1008</f>
        <v>989.13386082804</v>
      </c>
    </row>
    <row r="1009" customFormat="false" ht="15" hidden="false" customHeight="false" outlineLevel="0" collapsed="false">
      <c r="K1009" s="56" t="n">
        <f aca="false">K1008+1</f>
        <v>1002</v>
      </c>
      <c r="L1009" s="57" t="n">
        <f aca="false">IF(AND(K1009&lt;=Assumptions!$C$42,L1008=1,P1008=0,O1008&gt;Assumptions!$C$43),1,0)</f>
        <v>0</v>
      </c>
      <c r="M1009" s="58" t="n">
        <f aca="false">O1008</f>
        <v>-10.8661391719591</v>
      </c>
      <c r="N1009" s="58" t="n">
        <f aca="false">IF(L1009=1,M1009*$B$20,0)</f>
        <v>0</v>
      </c>
      <c r="O1009" s="58" t="n">
        <f aca="false">IF(L1009=1,M1009+N1009-$B$21,M1009)</f>
        <v>-10.8661391719591</v>
      </c>
      <c r="P1009" s="56" t="n">
        <f aca="false">IF(L1009=1,IF($B$21&lt;=N1009,1,0),0)</f>
        <v>0</v>
      </c>
      <c r="Q1009" s="58" t="n">
        <f aca="false">Q1008+N1009</f>
        <v>989.13386082804</v>
      </c>
    </row>
    <row r="1010" customFormat="false" ht="15" hidden="false" customHeight="false" outlineLevel="0" collapsed="false">
      <c r="K1010" s="56" t="n">
        <f aca="false">K1009+1</f>
        <v>1003</v>
      </c>
      <c r="L1010" s="57" t="n">
        <f aca="false">IF(AND(K1010&lt;=Assumptions!$C$42,L1009=1,P1009=0,O1009&gt;Assumptions!$C$43),1,0)</f>
        <v>0</v>
      </c>
      <c r="M1010" s="58" t="n">
        <f aca="false">O1009</f>
        <v>-10.8661391719591</v>
      </c>
      <c r="N1010" s="58" t="n">
        <f aca="false">IF(L1010=1,M1010*$B$20,0)</f>
        <v>0</v>
      </c>
      <c r="O1010" s="58" t="n">
        <f aca="false">IF(L1010=1,M1010+N1010-$B$21,M1010)</f>
        <v>-10.8661391719591</v>
      </c>
      <c r="P1010" s="56" t="n">
        <f aca="false">IF(L1010=1,IF($B$21&lt;=N1010,1,0),0)</f>
        <v>0</v>
      </c>
      <c r="Q1010" s="58" t="n">
        <f aca="false">Q1009+N1010</f>
        <v>989.13386082804</v>
      </c>
    </row>
    <row r="1011" customFormat="false" ht="15" hidden="false" customHeight="false" outlineLevel="0" collapsed="false">
      <c r="K1011" s="56" t="n">
        <f aca="false">K1010+1</f>
        <v>1004</v>
      </c>
      <c r="L1011" s="57" t="n">
        <f aca="false">IF(AND(K1011&lt;=Assumptions!$C$42,L1010=1,P1010=0,O1010&gt;Assumptions!$C$43),1,0)</f>
        <v>0</v>
      </c>
      <c r="M1011" s="58" t="n">
        <f aca="false">O1010</f>
        <v>-10.8661391719591</v>
      </c>
      <c r="N1011" s="58" t="n">
        <f aca="false">IF(L1011=1,M1011*$B$20,0)</f>
        <v>0</v>
      </c>
      <c r="O1011" s="58" t="n">
        <f aca="false">IF(L1011=1,M1011+N1011-$B$21,M1011)</f>
        <v>-10.8661391719591</v>
      </c>
      <c r="P1011" s="56" t="n">
        <f aca="false">IF(L1011=1,IF($B$21&lt;=N1011,1,0),0)</f>
        <v>0</v>
      </c>
      <c r="Q1011" s="58" t="n">
        <f aca="false">Q1010+N1011</f>
        <v>989.13386082804</v>
      </c>
    </row>
    <row r="1012" customFormat="false" ht="15" hidden="false" customHeight="false" outlineLevel="0" collapsed="false">
      <c r="K1012" s="56" t="n">
        <f aca="false">K1011+1</f>
        <v>1005</v>
      </c>
      <c r="L1012" s="57" t="n">
        <f aca="false">IF(AND(K1012&lt;=Assumptions!$C$42,L1011=1,P1011=0,O1011&gt;Assumptions!$C$43),1,0)</f>
        <v>0</v>
      </c>
      <c r="M1012" s="58" t="n">
        <f aca="false">O1011</f>
        <v>-10.8661391719591</v>
      </c>
      <c r="N1012" s="58" t="n">
        <f aca="false">IF(L1012=1,M1012*$B$20,0)</f>
        <v>0</v>
      </c>
      <c r="O1012" s="58" t="n">
        <f aca="false">IF(L1012=1,M1012+N1012-$B$21,M1012)</f>
        <v>-10.8661391719591</v>
      </c>
      <c r="P1012" s="56" t="n">
        <f aca="false">IF(L1012=1,IF($B$21&lt;=N1012,1,0),0)</f>
        <v>0</v>
      </c>
      <c r="Q1012" s="58" t="n">
        <f aca="false">Q1011+N1012</f>
        <v>989.13386082804</v>
      </c>
    </row>
    <row r="1013" customFormat="false" ht="15" hidden="false" customHeight="false" outlineLevel="0" collapsed="false">
      <c r="K1013" s="56" t="n">
        <f aca="false">K1012+1</f>
        <v>1006</v>
      </c>
      <c r="L1013" s="57" t="n">
        <f aca="false">IF(AND(K1013&lt;=Assumptions!$C$42,L1012=1,P1012=0,O1012&gt;Assumptions!$C$43),1,0)</f>
        <v>0</v>
      </c>
      <c r="M1013" s="58" t="n">
        <f aca="false">O1012</f>
        <v>-10.8661391719591</v>
      </c>
      <c r="N1013" s="58" t="n">
        <f aca="false">IF(L1013=1,M1013*$B$20,0)</f>
        <v>0</v>
      </c>
      <c r="O1013" s="58" t="n">
        <f aca="false">IF(L1013=1,M1013+N1013-$B$21,M1013)</f>
        <v>-10.8661391719591</v>
      </c>
      <c r="P1013" s="56" t="n">
        <f aca="false">IF(L1013=1,IF($B$21&lt;=N1013,1,0),0)</f>
        <v>0</v>
      </c>
      <c r="Q1013" s="58" t="n">
        <f aca="false">Q1012+N1013</f>
        <v>989.13386082804</v>
      </c>
    </row>
    <row r="1014" customFormat="false" ht="15" hidden="false" customHeight="false" outlineLevel="0" collapsed="false">
      <c r="K1014" s="56" t="n">
        <f aca="false">K1013+1</f>
        <v>1007</v>
      </c>
      <c r="L1014" s="57" t="n">
        <f aca="false">IF(AND(K1014&lt;=Assumptions!$C$42,L1013=1,P1013=0,O1013&gt;Assumptions!$C$43),1,0)</f>
        <v>0</v>
      </c>
      <c r="M1014" s="58" t="n">
        <f aca="false">O1013</f>
        <v>-10.8661391719591</v>
      </c>
      <c r="N1014" s="58" t="n">
        <f aca="false">IF(L1014=1,M1014*$B$20,0)</f>
        <v>0</v>
      </c>
      <c r="O1014" s="58" t="n">
        <f aca="false">IF(L1014=1,M1014+N1014-$B$21,M1014)</f>
        <v>-10.8661391719591</v>
      </c>
      <c r="P1014" s="56" t="n">
        <f aca="false">IF(L1014=1,IF($B$21&lt;=N1014,1,0),0)</f>
        <v>0</v>
      </c>
      <c r="Q1014" s="58" t="n">
        <f aca="false">Q1013+N1014</f>
        <v>989.13386082804</v>
      </c>
    </row>
    <row r="1015" customFormat="false" ht="15" hidden="false" customHeight="false" outlineLevel="0" collapsed="false">
      <c r="K1015" s="56" t="n">
        <f aca="false">K1014+1</f>
        <v>1008</v>
      </c>
      <c r="L1015" s="57" t="n">
        <f aca="false">IF(AND(K1015&lt;=Assumptions!$C$42,L1014=1,P1014=0,O1014&gt;Assumptions!$C$43),1,0)</f>
        <v>0</v>
      </c>
      <c r="M1015" s="58" t="n">
        <f aca="false">O1014</f>
        <v>-10.8661391719591</v>
      </c>
      <c r="N1015" s="58" t="n">
        <f aca="false">IF(L1015=1,M1015*$B$20,0)</f>
        <v>0</v>
      </c>
      <c r="O1015" s="58" t="n">
        <f aca="false">IF(L1015=1,M1015+N1015-$B$21,M1015)</f>
        <v>-10.8661391719591</v>
      </c>
      <c r="P1015" s="56" t="n">
        <f aca="false">IF(L1015=1,IF($B$21&lt;=N1015,1,0),0)</f>
        <v>0</v>
      </c>
      <c r="Q1015" s="58" t="n">
        <f aca="false">Q1014+N1015</f>
        <v>989.13386082804</v>
      </c>
    </row>
    <row r="1016" customFormat="false" ht="15" hidden="false" customHeight="false" outlineLevel="0" collapsed="false">
      <c r="K1016" s="56" t="n">
        <f aca="false">K1015+1</f>
        <v>1009</v>
      </c>
      <c r="L1016" s="57" t="n">
        <f aca="false">IF(AND(K1016&lt;=Assumptions!$C$42,L1015=1,P1015=0,O1015&gt;Assumptions!$C$43),1,0)</f>
        <v>0</v>
      </c>
      <c r="M1016" s="58" t="n">
        <f aca="false">O1015</f>
        <v>-10.8661391719591</v>
      </c>
      <c r="N1016" s="58" t="n">
        <f aca="false">IF(L1016=1,M1016*$B$20,0)</f>
        <v>0</v>
      </c>
      <c r="O1016" s="58" t="n">
        <f aca="false">IF(L1016=1,M1016+N1016-$B$21,M1016)</f>
        <v>-10.8661391719591</v>
      </c>
      <c r="P1016" s="56" t="n">
        <f aca="false">IF(L1016=1,IF($B$21&lt;=N1016,1,0),0)</f>
        <v>0</v>
      </c>
      <c r="Q1016" s="58" t="n">
        <f aca="false">Q1015+N1016</f>
        <v>989.13386082804</v>
      </c>
    </row>
    <row r="1017" customFormat="false" ht="15" hidden="false" customHeight="false" outlineLevel="0" collapsed="false">
      <c r="K1017" s="56" t="n">
        <f aca="false">K1016+1</f>
        <v>1010</v>
      </c>
      <c r="L1017" s="57" t="n">
        <f aca="false">IF(AND(K1017&lt;=Assumptions!$C$42,L1016=1,P1016=0,O1016&gt;Assumptions!$C$43),1,0)</f>
        <v>0</v>
      </c>
      <c r="M1017" s="58" t="n">
        <f aca="false">O1016</f>
        <v>-10.8661391719591</v>
      </c>
      <c r="N1017" s="58" t="n">
        <f aca="false">IF(L1017=1,M1017*$B$20,0)</f>
        <v>0</v>
      </c>
      <c r="O1017" s="58" t="n">
        <f aca="false">IF(L1017=1,M1017+N1017-$B$21,M1017)</f>
        <v>-10.8661391719591</v>
      </c>
      <c r="P1017" s="56" t="n">
        <f aca="false">IF(L1017=1,IF($B$21&lt;=N1017,1,0),0)</f>
        <v>0</v>
      </c>
      <c r="Q1017" s="58" t="n">
        <f aca="false">Q1016+N1017</f>
        <v>989.13386082804</v>
      </c>
    </row>
    <row r="1018" customFormat="false" ht="15" hidden="false" customHeight="false" outlineLevel="0" collapsed="false">
      <c r="K1018" s="56" t="n">
        <f aca="false">K1017+1</f>
        <v>1011</v>
      </c>
      <c r="L1018" s="57" t="n">
        <f aca="false">IF(AND(K1018&lt;=Assumptions!$C$42,L1017=1,P1017=0,O1017&gt;Assumptions!$C$43),1,0)</f>
        <v>0</v>
      </c>
      <c r="M1018" s="58" t="n">
        <f aca="false">O1017</f>
        <v>-10.8661391719591</v>
      </c>
      <c r="N1018" s="58" t="n">
        <f aca="false">IF(L1018=1,M1018*$B$20,0)</f>
        <v>0</v>
      </c>
      <c r="O1018" s="58" t="n">
        <f aca="false">IF(L1018=1,M1018+N1018-$B$21,M1018)</f>
        <v>-10.8661391719591</v>
      </c>
      <c r="P1018" s="56" t="n">
        <f aca="false">IF(L1018=1,IF($B$21&lt;=N1018,1,0),0)</f>
        <v>0</v>
      </c>
      <c r="Q1018" s="58" t="n">
        <f aca="false">Q1017+N1018</f>
        <v>989.13386082804</v>
      </c>
    </row>
    <row r="1019" customFormat="false" ht="15" hidden="false" customHeight="false" outlineLevel="0" collapsed="false">
      <c r="K1019" s="56" t="n">
        <f aca="false">K1018+1</f>
        <v>1012</v>
      </c>
      <c r="L1019" s="57" t="n">
        <f aca="false">IF(AND(K1019&lt;=Assumptions!$C$42,L1018=1,P1018=0,O1018&gt;Assumptions!$C$43),1,0)</f>
        <v>0</v>
      </c>
      <c r="M1019" s="58" t="n">
        <f aca="false">O1018</f>
        <v>-10.8661391719591</v>
      </c>
      <c r="N1019" s="58" t="n">
        <f aca="false">IF(L1019=1,M1019*$B$20,0)</f>
        <v>0</v>
      </c>
      <c r="O1019" s="58" t="n">
        <f aca="false">IF(L1019=1,M1019+N1019-$B$21,M1019)</f>
        <v>-10.8661391719591</v>
      </c>
      <c r="P1019" s="56" t="n">
        <f aca="false">IF(L1019=1,IF($B$21&lt;=N1019,1,0),0)</f>
        <v>0</v>
      </c>
      <c r="Q1019" s="58" t="n">
        <f aca="false">Q1018+N1019</f>
        <v>989.13386082804</v>
      </c>
    </row>
    <row r="1020" customFormat="false" ht="15" hidden="false" customHeight="false" outlineLevel="0" collapsed="false">
      <c r="K1020" s="56" t="n">
        <f aca="false">K1019+1</f>
        <v>1013</v>
      </c>
      <c r="L1020" s="57" t="n">
        <f aca="false">IF(AND(K1020&lt;=Assumptions!$C$42,L1019=1,P1019=0,O1019&gt;Assumptions!$C$43),1,0)</f>
        <v>0</v>
      </c>
      <c r="M1020" s="58" t="n">
        <f aca="false">O1019</f>
        <v>-10.8661391719591</v>
      </c>
      <c r="N1020" s="58" t="n">
        <f aca="false">IF(L1020=1,M1020*$B$20,0)</f>
        <v>0</v>
      </c>
      <c r="O1020" s="58" t="n">
        <f aca="false">IF(L1020=1,M1020+N1020-$B$21,M1020)</f>
        <v>-10.8661391719591</v>
      </c>
      <c r="P1020" s="56" t="n">
        <f aca="false">IF(L1020=1,IF($B$21&lt;=N1020,1,0),0)</f>
        <v>0</v>
      </c>
      <c r="Q1020" s="58" t="n">
        <f aca="false">Q1019+N1020</f>
        <v>989.13386082804</v>
      </c>
    </row>
    <row r="1021" customFormat="false" ht="15" hidden="false" customHeight="false" outlineLevel="0" collapsed="false">
      <c r="K1021" s="56" t="n">
        <f aca="false">K1020+1</f>
        <v>1014</v>
      </c>
      <c r="L1021" s="57" t="n">
        <f aca="false">IF(AND(K1021&lt;=Assumptions!$C$42,L1020=1,P1020=0,O1020&gt;Assumptions!$C$43),1,0)</f>
        <v>0</v>
      </c>
      <c r="M1021" s="58" t="n">
        <f aca="false">O1020</f>
        <v>-10.8661391719591</v>
      </c>
      <c r="N1021" s="58" t="n">
        <f aca="false">IF(L1021=1,M1021*$B$20,0)</f>
        <v>0</v>
      </c>
      <c r="O1021" s="58" t="n">
        <f aca="false">IF(L1021=1,M1021+N1021-$B$21,M1021)</f>
        <v>-10.8661391719591</v>
      </c>
      <c r="P1021" s="56" t="n">
        <f aca="false">IF(L1021=1,IF($B$21&lt;=N1021,1,0),0)</f>
        <v>0</v>
      </c>
      <c r="Q1021" s="58" t="n">
        <f aca="false">Q1020+N1021</f>
        <v>989.13386082804</v>
      </c>
    </row>
    <row r="1022" customFormat="false" ht="15" hidden="false" customHeight="false" outlineLevel="0" collapsed="false">
      <c r="K1022" s="56" t="n">
        <f aca="false">K1021+1</f>
        <v>1015</v>
      </c>
      <c r="L1022" s="57" t="n">
        <f aca="false">IF(AND(K1022&lt;=Assumptions!$C$42,L1021=1,P1021=0,O1021&gt;Assumptions!$C$43),1,0)</f>
        <v>0</v>
      </c>
      <c r="M1022" s="58" t="n">
        <f aca="false">O1021</f>
        <v>-10.8661391719591</v>
      </c>
      <c r="N1022" s="58" t="n">
        <f aca="false">IF(L1022=1,M1022*$B$20,0)</f>
        <v>0</v>
      </c>
      <c r="O1022" s="58" t="n">
        <f aca="false">IF(L1022=1,M1022+N1022-$B$21,M1022)</f>
        <v>-10.8661391719591</v>
      </c>
      <c r="P1022" s="56" t="n">
        <f aca="false">IF(L1022=1,IF($B$21&lt;=N1022,1,0),0)</f>
        <v>0</v>
      </c>
      <c r="Q1022" s="58" t="n">
        <f aca="false">Q1021+N1022</f>
        <v>989.13386082804</v>
      </c>
    </row>
    <row r="1023" customFormat="false" ht="15" hidden="false" customHeight="false" outlineLevel="0" collapsed="false">
      <c r="K1023" s="56" t="n">
        <f aca="false">K1022+1</f>
        <v>1016</v>
      </c>
      <c r="L1023" s="57" t="n">
        <f aca="false">IF(AND(K1023&lt;=Assumptions!$C$42,L1022=1,P1022=0,O1022&gt;Assumptions!$C$43),1,0)</f>
        <v>0</v>
      </c>
      <c r="M1023" s="58" t="n">
        <f aca="false">O1022</f>
        <v>-10.8661391719591</v>
      </c>
      <c r="N1023" s="58" t="n">
        <f aca="false">IF(L1023=1,M1023*$B$20,0)</f>
        <v>0</v>
      </c>
      <c r="O1023" s="58" t="n">
        <f aca="false">IF(L1023=1,M1023+N1023-$B$21,M1023)</f>
        <v>-10.8661391719591</v>
      </c>
      <c r="P1023" s="56" t="n">
        <f aca="false">IF(L1023=1,IF($B$21&lt;=N1023,1,0),0)</f>
        <v>0</v>
      </c>
      <c r="Q1023" s="58" t="n">
        <f aca="false">Q1022+N1023</f>
        <v>989.13386082804</v>
      </c>
    </row>
    <row r="1024" customFormat="false" ht="15" hidden="false" customHeight="false" outlineLevel="0" collapsed="false">
      <c r="K1024" s="56" t="n">
        <f aca="false">K1023+1</f>
        <v>1017</v>
      </c>
      <c r="L1024" s="57" t="n">
        <f aca="false">IF(AND(K1024&lt;=Assumptions!$C$42,L1023=1,P1023=0,O1023&gt;Assumptions!$C$43),1,0)</f>
        <v>0</v>
      </c>
      <c r="M1024" s="58" t="n">
        <f aca="false">O1023</f>
        <v>-10.8661391719591</v>
      </c>
      <c r="N1024" s="58" t="n">
        <f aca="false">IF(L1024=1,M1024*$B$20,0)</f>
        <v>0</v>
      </c>
      <c r="O1024" s="58" t="n">
        <f aca="false">IF(L1024=1,M1024+N1024-$B$21,M1024)</f>
        <v>-10.8661391719591</v>
      </c>
      <c r="P1024" s="56" t="n">
        <f aca="false">IF(L1024=1,IF($B$21&lt;=N1024,1,0),0)</f>
        <v>0</v>
      </c>
      <c r="Q1024" s="58" t="n">
        <f aca="false">Q1023+N1024</f>
        <v>989.13386082804</v>
      </c>
    </row>
    <row r="1025" customFormat="false" ht="15" hidden="false" customHeight="false" outlineLevel="0" collapsed="false">
      <c r="K1025" s="56" t="n">
        <f aca="false">K1024+1</f>
        <v>1018</v>
      </c>
      <c r="L1025" s="57" t="n">
        <f aca="false">IF(AND(K1025&lt;=Assumptions!$C$42,L1024=1,P1024=0,O1024&gt;Assumptions!$C$43),1,0)</f>
        <v>0</v>
      </c>
      <c r="M1025" s="58" t="n">
        <f aca="false">O1024</f>
        <v>-10.8661391719591</v>
      </c>
      <c r="N1025" s="58" t="n">
        <f aca="false">IF(L1025=1,M1025*$B$20,0)</f>
        <v>0</v>
      </c>
      <c r="O1025" s="58" t="n">
        <f aca="false">IF(L1025=1,M1025+N1025-$B$21,M1025)</f>
        <v>-10.8661391719591</v>
      </c>
      <c r="P1025" s="56" t="n">
        <f aca="false">IF(L1025=1,IF($B$21&lt;=N1025,1,0),0)</f>
        <v>0</v>
      </c>
      <c r="Q1025" s="58" t="n">
        <f aca="false">Q1024+N1025</f>
        <v>989.13386082804</v>
      </c>
    </row>
    <row r="1026" customFormat="false" ht="15" hidden="false" customHeight="false" outlineLevel="0" collapsed="false">
      <c r="K1026" s="56" t="n">
        <f aca="false">K1025+1</f>
        <v>1019</v>
      </c>
      <c r="L1026" s="57" t="n">
        <f aca="false">IF(AND(K1026&lt;=Assumptions!$C$42,L1025=1,P1025=0,O1025&gt;Assumptions!$C$43),1,0)</f>
        <v>0</v>
      </c>
      <c r="M1026" s="58" t="n">
        <f aca="false">O1025</f>
        <v>-10.8661391719591</v>
      </c>
      <c r="N1026" s="58" t="n">
        <f aca="false">IF(L1026=1,M1026*$B$20,0)</f>
        <v>0</v>
      </c>
      <c r="O1026" s="58" t="n">
        <f aca="false">IF(L1026=1,M1026+N1026-$B$21,M1026)</f>
        <v>-10.8661391719591</v>
      </c>
      <c r="P1026" s="56" t="n">
        <f aca="false">IF(L1026=1,IF($B$21&lt;=N1026,1,0),0)</f>
        <v>0</v>
      </c>
      <c r="Q1026" s="58" t="n">
        <f aca="false">Q1025+N1026</f>
        <v>989.13386082804</v>
      </c>
    </row>
    <row r="1027" customFormat="false" ht="15" hidden="false" customHeight="false" outlineLevel="0" collapsed="false">
      <c r="K1027" s="56" t="n">
        <f aca="false">K1026+1</f>
        <v>1020</v>
      </c>
      <c r="L1027" s="57" t="n">
        <f aca="false">IF(AND(K1027&lt;=Assumptions!$C$42,L1026=1,P1026=0,O1026&gt;Assumptions!$C$43),1,0)</f>
        <v>0</v>
      </c>
      <c r="M1027" s="58" t="n">
        <f aca="false">O1026</f>
        <v>-10.8661391719591</v>
      </c>
      <c r="N1027" s="58" t="n">
        <f aca="false">IF(L1027=1,M1027*$B$20,0)</f>
        <v>0</v>
      </c>
      <c r="O1027" s="58" t="n">
        <f aca="false">IF(L1027=1,M1027+N1027-$B$21,M1027)</f>
        <v>-10.8661391719591</v>
      </c>
      <c r="P1027" s="56" t="n">
        <f aca="false">IF(L1027=1,IF($B$21&lt;=N1027,1,0),0)</f>
        <v>0</v>
      </c>
      <c r="Q1027" s="58" t="n">
        <f aca="false">Q1026+N1027</f>
        <v>989.13386082804</v>
      </c>
    </row>
    <row r="1028" customFormat="false" ht="15" hidden="false" customHeight="false" outlineLevel="0" collapsed="false">
      <c r="K1028" s="56" t="n">
        <f aca="false">K1027+1</f>
        <v>1021</v>
      </c>
      <c r="L1028" s="57" t="n">
        <f aca="false">IF(AND(K1028&lt;=Assumptions!$C$42,L1027=1,P1027=0,O1027&gt;Assumptions!$C$43),1,0)</f>
        <v>0</v>
      </c>
      <c r="M1028" s="58" t="n">
        <f aca="false">O1027</f>
        <v>-10.8661391719591</v>
      </c>
      <c r="N1028" s="58" t="n">
        <f aca="false">IF(L1028=1,M1028*$B$20,0)</f>
        <v>0</v>
      </c>
      <c r="O1028" s="58" t="n">
        <f aca="false">IF(L1028=1,M1028+N1028-$B$21,M1028)</f>
        <v>-10.8661391719591</v>
      </c>
      <c r="P1028" s="56" t="n">
        <f aca="false">IF(L1028=1,IF($B$21&lt;=N1028,1,0),0)</f>
        <v>0</v>
      </c>
      <c r="Q1028" s="58" t="n">
        <f aca="false">Q1027+N1028</f>
        <v>989.13386082804</v>
      </c>
    </row>
    <row r="1029" customFormat="false" ht="15" hidden="false" customHeight="false" outlineLevel="0" collapsed="false">
      <c r="K1029" s="56" t="n">
        <f aca="false">K1028+1</f>
        <v>1022</v>
      </c>
      <c r="L1029" s="57" t="n">
        <f aca="false">IF(AND(K1029&lt;=Assumptions!$C$42,L1028=1,P1028=0,O1028&gt;Assumptions!$C$43),1,0)</f>
        <v>0</v>
      </c>
      <c r="M1029" s="58" t="n">
        <f aca="false">O1028</f>
        <v>-10.8661391719591</v>
      </c>
      <c r="N1029" s="58" t="n">
        <f aca="false">IF(L1029=1,M1029*$B$20,0)</f>
        <v>0</v>
      </c>
      <c r="O1029" s="58" t="n">
        <f aca="false">IF(L1029=1,M1029+N1029-$B$21,M1029)</f>
        <v>-10.8661391719591</v>
      </c>
      <c r="P1029" s="56" t="n">
        <f aca="false">IF(L1029=1,IF($B$21&lt;=N1029,1,0),0)</f>
        <v>0</v>
      </c>
      <c r="Q1029" s="58" t="n">
        <f aca="false">Q1028+N1029</f>
        <v>989.13386082804</v>
      </c>
    </row>
    <row r="1030" customFormat="false" ht="15" hidden="false" customHeight="false" outlineLevel="0" collapsed="false">
      <c r="K1030" s="56" t="n">
        <f aca="false">K1029+1</f>
        <v>1023</v>
      </c>
      <c r="L1030" s="57" t="n">
        <f aca="false">IF(AND(K1030&lt;=Assumptions!$C$42,L1029=1,P1029=0,O1029&gt;Assumptions!$C$43),1,0)</f>
        <v>0</v>
      </c>
      <c r="M1030" s="58" t="n">
        <f aca="false">O1029</f>
        <v>-10.8661391719591</v>
      </c>
      <c r="N1030" s="58" t="n">
        <f aca="false">IF(L1030=1,M1030*$B$20,0)</f>
        <v>0</v>
      </c>
      <c r="O1030" s="58" t="n">
        <f aca="false">IF(L1030=1,M1030+N1030-$B$21,M1030)</f>
        <v>-10.8661391719591</v>
      </c>
      <c r="P1030" s="56" t="n">
        <f aca="false">IF(L1030=1,IF($B$21&lt;=N1030,1,0),0)</f>
        <v>0</v>
      </c>
      <c r="Q1030" s="58" t="n">
        <f aca="false">Q1029+N1030</f>
        <v>989.13386082804</v>
      </c>
    </row>
    <row r="1031" customFormat="false" ht="15" hidden="false" customHeight="false" outlineLevel="0" collapsed="false">
      <c r="K1031" s="56" t="n">
        <f aca="false">K1030+1</f>
        <v>1024</v>
      </c>
      <c r="L1031" s="57" t="n">
        <f aca="false">IF(AND(K1031&lt;=Assumptions!$C$42,L1030=1,P1030=0,O1030&gt;Assumptions!$C$43),1,0)</f>
        <v>0</v>
      </c>
      <c r="M1031" s="58" t="n">
        <f aca="false">O1030</f>
        <v>-10.8661391719591</v>
      </c>
      <c r="N1031" s="58" t="n">
        <f aca="false">IF(L1031=1,M1031*$B$20,0)</f>
        <v>0</v>
      </c>
      <c r="O1031" s="58" t="n">
        <f aca="false">IF(L1031=1,M1031+N1031-$B$21,M1031)</f>
        <v>-10.8661391719591</v>
      </c>
      <c r="P1031" s="56" t="n">
        <f aca="false">IF(L1031=1,IF($B$21&lt;=N1031,1,0),0)</f>
        <v>0</v>
      </c>
      <c r="Q1031" s="58" t="n">
        <f aca="false">Q1030+N1031</f>
        <v>989.13386082804</v>
      </c>
    </row>
    <row r="1032" customFormat="false" ht="15" hidden="false" customHeight="false" outlineLevel="0" collapsed="false">
      <c r="K1032" s="56" t="n">
        <f aca="false">K1031+1</f>
        <v>1025</v>
      </c>
      <c r="L1032" s="57" t="n">
        <f aca="false">IF(AND(K1032&lt;=Assumptions!$C$42,L1031=1,P1031=0,O1031&gt;Assumptions!$C$43),1,0)</f>
        <v>0</v>
      </c>
      <c r="M1032" s="58" t="n">
        <f aca="false">O1031</f>
        <v>-10.8661391719591</v>
      </c>
      <c r="N1032" s="58" t="n">
        <f aca="false">IF(L1032=1,M1032*$B$20,0)</f>
        <v>0</v>
      </c>
      <c r="O1032" s="58" t="n">
        <f aca="false">IF(L1032=1,M1032+N1032-$B$21,M1032)</f>
        <v>-10.8661391719591</v>
      </c>
      <c r="P1032" s="56" t="n">
        <f aca="false">IF(L1032=1,IF($B$21&lt;=N1032,1,0),0)</f>
        <v>0</v>
      </c>
      <c r="Q1032" s="58" t="n">
        <f aca="false">Q1031+N1032</f>
        <v>989.13386082804</v>
      </c>
    </row>
    <row r="1033" customFormat="false" ht="15" hidden="false" customHeight="false" outlineLevel="0" collapsed="false">
      <c r="K1033" s="56" t="n">
        <f aca="false">K1032+1</f>
        <v>1026</v>
      </c>
      <c r="L1033" s="57" t="n">
        <f aca="false">IF(AND(K1033&lt;=Assumptions!$C$42,L1032=1,P1032=0,O1032&gt;Assumptions!$C$43),1,0)</f>
        <v>0</v>
      </c>
      <c r="M1033" s="58" t="n">
        <f aca="false">O1032</f>
        <v>-10.8661391719591</v>
      </c>
      <c r="N1033" s="58" t="n">
        <f aca="false">IF(L1033=1,M1033*$B$20,0)</f>
        <v>0</v>
      </c>
      <c r="O1033" s="58" t="n">
        <f aca="false">IF(L1033=1,M1033+N1033-$B$21,M1033)</f>
        <v>-10.8661391719591</v>
      </c>
      <c r="P1033" s="56" t="n">
        <f aca="false">IF(L1033=1,IF($B$21&lt;=N1033,1,0),0)</f>
        <v>0</v>
      </c>
      <c r="Q1033" s="58" t="n">
        <f aca="false">Q1032+N1033</f>
        <v>989.13386082804</v>
      </c>
    </row>
    <row r="1034" customFormat="false" ht="15" hidden="false" customHeight="false" outlineLevel="0" collapsed="false">
      <c r="K1034" s="56" t="n">
        <f aca="false">K1033+1</f>
        <v>1027</v>
      </c>
      <c r="L1034" s="57" t="n">
        <f aca="false">IF(AND(K1034&lt;=Assumptions!$C$42,L1033=1,P1033=0,O1033&gt;Assumptions!$C$43),1,0)</f>
        <v>0</v>
      </c>
      <c r="M1034" s="58" t="n">
        <f aca="false">O1033</f>
        <v>-10.8661391719591</v>
      </c>
      <c r="N1034" s="58" t="n">
        <f aca="false">IF(L1034=1,M1034*$B$20,0)</f>
        <v>0</v>
      </c>
      <c r="O1034" s="58" t="n">
        <f aca="false">IF(L1034=1,M1034+N1034-$B$21,M1034)</f>
        <v>-10.8661391719591</v>
      </c>
      <c r="P1034" s="56" t="n">
        <f aca="false">IF(L1034=1,IF($B$21&lt;=N1034,1,0),0)</f>
        <v>0</v>
      </c>
      <c r="Q1034" s="58" t="n">
        <f aca="false">Q1033+N1034</f>
        <v>989.13386082804</v>
      </c>
    </row>
    <row r="1035" customFormat="false" ht="15" hidden="false" customHeight="false" outlineLevel="0" collapsed="false">
      <c r="K1035" s="56" t="n">
        <f aca="false">K1034+1</f>
        <v>1028</v>
      </c>
      <c r="L1035" s="57" t="n">
        <f aca="false">IF(AND(K1035&lt;=Assumptions!$C$42,L1034=1,P1034=0,O1034&gt;Assumptions!$C$43),1,0)</f>
        <v>0</v>
      </c>
      <c r="M1035" s="58" t="n">
        <f aca="false">O1034</f>
        <v>-10.8661391719591</v>
      </c>
      <c r="N1035" s="58" t="n">
        <f aca="false">IF(L1035=1,M1035*$B$20,0)</f>
        <v>0</v>
      </c>
      <c r="O1035" s="58" t="n">
        <f aca="false">IF(L1035=1,M1035+N1035-$B$21,M1035)</f>
        <v>-10.8661391719591</v>
      </c>
      <c r="P1035" s="56" t="n">
        <f aca="false">IF(L1035=1,IF($B$21&lt;=N1035,1,0),0)</f>
        <v>0</v>
      </c>
      <c r="Q1035" s="58" t="n">
        <f aca="false">Q1034+N1035</f>
        <v>989.13386082804</v>
      </c>
    </row>
    <row r="1036" customFormat="false" ht="15" hidden="false" customHeight="false" outlineLevel="0" collapsed="false">
      <c r="K1036" s="56" t="n">
        <f aca="false">K1035+1</f>
        <v>1029</v>
      </c>
      <c r="L1036" s="57" t="n">
        <f aca="false">IF(AND(K1036&lt;=Assumptions!$C$42,L1035=1,P1035=0,O1035&gt;Assumptions!$C$43),1,0)</f>
        <v>0</v>
      </c>
      <c r="M1036" s="58" t="n">
        <f aca="false">O1035</f>
        <v>-10.8661391719591</v>
      </c>
      <c r="N1036" s="58" t="n">
        <f aca="false">IF(L1036=1,M1036*$B$20,0)</f>
        <v>0</v>
      </c>
      <c r="O1036" s="58" t="n">
        <f aca="false">IF(L1036=1,M1036+N1036-$B$21,M1036)</f>
        <v>-10.8661391719591</v>
      </c>
      <c r="P1036" s="56" t="n">
        <f aca="false">IF(L1036=1,IF($B$21&lt;=N1036,1,0),0)</f>
        <v>0</v>
      </c>
      <c r="Q1036" s="58" t="n">
        <f aca="false">Q1035+N1036</f>
        <v>989.13386082804</v>
      </c>
    </row>
    <row r="1037" customFormat="false" ht="15" hidden="false" customHeight="false" outlineLevel="0" collapsed="false">
      <c r="K1037" s="56" t="n">
        <f aca="false">K1036+1</f>
        <v>1030</v>
      </c>
      <c r="L1037" s="57" t="n">
        <f aca="false">IF(AND(K1037&lt;=Assumptions!$C$42,L1036=1,P1036=0,O1036&gt;Assumptions!$C$43),1,0)</f>
        <v>0</v>
      </c>
      <c r="M1037" s="58" t="n">
        <f aca="false">O1036</f>
        <v>-10.8661391719591</v>
      </c>
      <c r="N1037" s="58" t="n">
        <f aca="false">IF(L1037=1,M1037*$B$20,0)</f>
        <v>0</v>
      </c>
      <c r="O1037" s="58" t="n">
        <f aca="false">IF(L1037=1,M1037+N1037-$B$21,M1037)</f>
        <v>-10.8661391719591</v>
      </c>
      <c r="P1037" s="56" t="n">
        <f aca="false">IF(L1037=1,IF($B$21&lt;=N1037,1,0),0)</f>
        <v>0</v>
      </c>
      <c r="Q1037" s="58" t="n">
        <f aca="false">Q1036+N1037</f>
        <v>989.13386082804</v>
      </c>
    </row>
    <row r="1038" customFormat="false" ht="15" hidden="false" customHeight="false" outlineLevel="0" collapsed="false">
      <c r="K1038" s="56" t="n">
        <f aca="false">K1037+1</f>
        <v>1031</v>
      </c>
      <c r="L1038" s="57" t="n">
        <f aca="false">IF(AND(K1038&lt;=Assumptions!$C$42,L1037=1,P1037=0,O1037&gt;Assumptions!$C$43),1,0)</f>
        <v>0</v>
      </c>
      <c r="M1038" s="58" t="n">
        <f aca="false">O1037</f>
        <v>-10.8661391719591</v>
      </c>
      <c r="N1038" s="58" t="n">
        <f aca="false">IF(L1038=1,M1038*$B$20,0)</f>
        <v>0</v>
      </c>
      <c r="O1038" s="58" t="n">
        <f aca="false">IF(L1038=1,M1038+N1038-$B$21,M1038)</f>
        <v>-10.8661391719591</v>
      </c>
      <c r="P1038" s="56" t="n">
        <f aca="false">IF(L1038=1,IF($B$21&lt;=N1038,1,0),0)</f>
        <v>0</v>
      </c>
      <c r="Q1038" s="58" t="n">
        <f aca="false">Q1037+N1038</f>
        <v>989.13386082804</v>
      </c>
    </row>
    <row r="1039" customFormat="false" ht="15" hidden="false" customHeight="false" outlineLevel="0" collapsed="false">
      <c r="K1039" s="56" t="n">
        <f aca="false">K1038+1</f>
        <v>1032</v>
      </c>
      <c r="L1039" s="57" t="n">
        <f aca="false">IF(AND(K1039&lt;=Assumptions!$C$42,L1038=1,P1038=0,O1038&gt;Assumptions!$C$43),1,0)</f>
        <v>0</v>
      </c>
      <c r="M1039" s="58" t="n">
        <f aca="false">O1038</f>
        <v>-10.8661391719591</v>
      </c>
      <c r="N1039" s="58" t="n">
        <f aca="false">IF(L1039=1,M1039*$B$20,0)</f>
        <v>0</v>
      </c>
      <c r="O1039" s="58" t="n">
        <f aca="false">IF(L1039=1,M1039+N1039-$B$21,M1039)</f>
        <v>-10.8661391719591</v>
      </c>
      <c r="P1039" s="56" t="n">
        <f aca="false">IF(L1039=1,IF($B$21&lt;=N1039,1,0),0)</f>
        <v>0</v>
      </c>
      <c r="Q1039" s="58" t="n">
        <f aca="false">Q1038+N1039</f>
        <v>989.13386082804</v>
      </c>
    </row>
    <row r="1040" customFormat="false" ht="15" hidden="false" customHeight="false" outlineLevel="0" collapsed="false">
      <c r="K1040" s="56" t="n">
        <f aca="false">K1039+1</f>
        <v>1033</v>
      </c>
      <c r="L1040" s="57" t="n">
        <f aca="false">IF(AND(K1040&lt;=Assumptions!$C$42,L1039=1,P1039=0,O1039&gt;Assumptions!$C$43),1,0)</f>
        <v>0</v>
      </c>
      <c r="M1040" s="58" t="n">
        <f aca="false">O1039</f>
        <v>-10.8661391719591</v>
      </c>
      <c r="N1040" s="58" t="n">
        <f aca="false">IF(L1040=1,M1040*$B$20,0)</f>
        <v>0</v>
      </c>
      <c r="O1040" s="58" t="n">
        <f aca="false">IF(L1040=1,M1040+N1040-$B$21,M1040)</f>
        <v>-10.8661391719591</v>
      </c>
      <c r="P1040" s="56" t="n">
        <f aca="false">IF(L1040=1,IF($B$21&lt;=N1040,1,0),0)</f>
        <v>0</v>
      </c>
      <c r="Q1040" s="58" t="n">
        <f aca="false">Q1039+N1040</f>
        <v>989.13386082804</v>
      </c>
    </row>
    <row r="1041" customFormat="false" ht="15" hidden="false" customHeight="false" outlineLevel="0" collapsed="false">
      <c r="K1041" s="56" t="n">
        <f aca="false">K1040+1</f>
        <v>1034</v>
      </c>
      <c r="L1041" s="57" t="n">
        <f aca="false">IF(AND(K1041&lt;=Assumptions!$C$42,L1040=1,P1040=0,O1040&gt;Assumptions!$C$43),1,0)</f>
        <v>0</v>
      </c>
      <c r="M1041" s="58" t="n">
        <f aca="false">O1040</f>
        <v>-10.8661391719591</v>
      </c>
      <c r="N1041" s="58" t="n">
        <f aca="false">IF(L1041=1,M1041*$B$20,0)</f>
        <v>0</v>
      </c>
      <c r="O1041" s="58" t="n">
        <f aca="false">IF(L1041=1,M1041+N1041-$B$21,M1041)</f>
        <v>-10.8661391719591</v>
      </c>
      <c r="P1041" s="56" t="n">
        <f aca="false">IF(L1041=1,IF($B$21&lt;=N1041,1,0),0)</f>
        <v>0</v>
      </c>
      <c r="Q1041" s="58" t="n">
        <f aca="false">Q1040+N1041</f>
        <v>989.13386082804</v>
      </c>
    </row>
    <row r="1042" customFormat="false" ht="15" hidden="false" customHeight="false" outlineLevel="0" collapsed="false">
      <c r="K1042" s="56" t="n">
        <f aca="false">K1041+1</f>
        <v>1035</v>
      </c>
      <c r="L1042" s="57" t="n">
        <f aca="false">IF(AND(K1042&lt;=Assumptions!$C$42,L1041=1,P1041=0,O1041&gt;Assumptions!$C$43),1,0)</f>
        <v>0</v>
      </c>
      <c r="M1042" s="58" t="n">
        <f aca="false">O1041</f>
        <v>-10.8661391719591</v>
      </c>
      <c r="N1042" s="58" t="n">
        <f aca="false">IF(L1042=1,M1042*$B$20,0)</f>
        <v>0</v>
      </c>
      <c r="O1042" s="58" t="n">
        <f aca="false">IF(L1042=1,M1042+N1042-$B$21,M1042)</f>
        <v>-10.8661391719591</v>
      </c>
      <c r="P1042" s="56" t="n">
        <f aca="false">IF(L1042=1,IF($B$21&lt;=N1042,1,0),0)</f>
        <v>0</v>
      </c>
      <c r="Q1042" s="58" t="n">
        <f aca="false">Q1041+N1042</f>
        <v>989.13386082804</v>
      </c>
    </row>
    <row r="1043" customFormat="false" ht="15" hidden="false" customHeight="false" outlineLevel="0" collapsed="false">
      <c r="K1043" s="56" t="n">
        <f aca="false">K1042+1</f>
        <v>1036</v>
      </c>
      <c r="L1043" s="57" t="n">
        <f aca="false">IF(AND(K1043&lt;=Assumptions!$C$42,L1042=1,P1042=0,O1042&gt;Assumptions!$C$43),1,0)</f>
        <v>0</v>
      </c>
      <c r="M1043" s="58" t="n">
        <f aca="false">O1042</f>
        <v>-10.8661391719591</v>
      </c>
      <c r="N1043" s="58" t="n">
        <f aca="false">IF(L1043=1,M1043*$B$20,0)</f>
        <v>0</v>
      </c>
      <c r="O1043" s="58" t="n">
        <f aca="false">IF(L1043=1,M1043+N1043-$B$21,M1043)</f>
        <v>-10.8661391719591</v>
      </c>
      <c r="P1043" s="56" t="n">
        <f aca="false">IF(L1043=1,IF($B$21&lt;=N1043,1,0),0)</f>
        <v>0</v>
      </c>
      <c r="Q1043" s="58" t="n">
        <f aca="false">Q1042+N1043</f>
        <v>989.13386082804</v>
      </c>
    </row>
    <row r="1044" customFormat="false" ht="15" hidden="false" customHeight="false" outlineLevel="0" collapsed="false">
      <c r="K1044" s="56" t="n">
        <f aca="false">K1043+1</f>
        <v>1037</v>
      </c>
      <c r="L1044" s="57" t="n">
        <f aca="false">IF(AND(K1044&lt;=Assumptions!$C$42,L1043=1,P1043=0,O1043&gt;Assumptions!$C$43),1,0)</f>
        <v>0</v>
      </c>
      <c r="M1044" s="58" t="n">
        <f aca="false">O1043</f>
        <v>-10.8661391719591</v>
      </c>
      <c r="N1044" s="58" t="n">
        <f aca="false">IF(L1044=1,M1044*$B$20,0)</f>
        <v>0</v>
      </c>
      <c r="O1044" s="58" t="n">
        <f aca="false">IF(L1044=1,M1044+N1044-$B$21,M1044)</f>
        <v>-10.8661391719591</v>
      </c>
      <c r="P1044" s="56" t="n">
        <f aca="false">IF(L1044=1,IF($B$21&lt;=N1044,1,0),0)</f>
        <v>0</v>
      </c>
      <c r="Q1044" s="58" t="n">
        <f aca="false">Q1043+N1044</f>
        <v>989.13386082804</v>
      </c>
    </row>
    <row r="1045" customFormat="false" ht="15" hidden="false" customHeight="false" outlineLevel="0" collapsed="false">
      <c r="K1045" s="56" t="n">
        <f aca="false">K1044+1</f>
        <v>1038</v>
      </c>
      <c r="L1045" s="57" t="n">
        <f aca="false">IF(AND(K1045&lt;=Assumptions!$C$42,L1044=1,P1044=0,O1044&gt;Assumptions!$C$43),1,0)</f>
        <v>0</v>
      </c>
      <c r="M1045" s="58" t="n">
        <f aca="false">O1044</f>
        <v>-10.8661391719591</v>
      </c>
      <c r="N1045" s="58" t="n">
        <f aca="false">IF(L1045=1,M1045*$B$20,0)</f>
        <v>0</v>
      </c>
      <c r="O1045" s="58" t="n">
        <f aca="false">IF(L1045=1,M1045+N1045-$B$21,M1045)</f>
        <v>-10.8661391719591</v>
      </c>
      <c r="P1045" s="56" t="n">
        <f aca="false">IF(L1045=1,IF($B$21&lt;=N1045,1,0),0)</f>
        <v>0</v>
      </c>
      <c r="Q1045" s="58" t="n">
        <f aca="false">Q1044+N1045</f>
        <v>989.13386082804</v>
      </c>
    </row>
    <row r="1046" customFormat="false" ht="15" hidden="false" customHeight="false" outlineLevel="0" collapsed="false">
      <c r="K1046" s="56" t="n">
        <f aca="false">K1045+1</f>
        <v>1039</v>
      </c>
      <c r="L1046" s="57" t="n">
        <f aca="false">IF(AND(K1046&lt;=Assumptions!$C$42,L1045=1,P1045=0,O1045&gt;Assumptions!$C$43),1,0)</f>
        <v>0</v>
      </c>
      <c r="M1046" s="58" t="n">
        <f aca="false">O1045</f>
        <v>-10.8661391719591</v>
      </c>
      <c r="N1046" s="58" t="n">
        <f aca="false">IF(L1046=1,M1046*$B$20,0)</f>
        <v>0</v>
      </c>
      <c r="O1046" s="58" t="n">
        <f aca="false">IF(L1046=1,M1046+N1046-$B$21,M1046)</f>
        <v>-10.8661391719591</v>
      </c>
      <c r="P1046" s="56" t="n">
        <f aca="false">IF(L1046=1,IF($B$21&lt;=N1046,1,0),0)</f>
        <v>0</v>
      </c>
      <c r="Q1046" s="58" t="n">
        <f aca="false">Q1045+N1046</f>
        <v>989.13386082804</v>
      </c>
    </row>
    <row r="1047" customFormat="false" ht="15" hidden="false" customHeight="false" outlineLevel="0" collapsed="false">
      <c r="K1047" s="56" t="n">
        <f aca="false">K1046+1</f>
        <v>1040</v>
      </c>
      <c r="L1047" s="57" t="n">
        <f aca="false">IF(AND(K1047&lt;=Assumptions!$C$42,L1046=1,P1046=0,O1046&gt;Assumptions!$C$43),1,0)</f>
        <v>0</v>
      </c>
      <c r="M1047" s="58" t="n">
        <f aca="false">O1046</f>
        <v>-10.8661391719591</v>
      </c>
      <c r="N1047" s="58" t="n">
        <f aca="false">IF(L1047=1,M1047*$B$20,0)</f>
        <v>0</v>
      </c>
      <c r="O1047" s="58" t="n">
        <f aca="false">IF(L1047=1,M1047+N1047-$B$21,M1047)</f>
        <v>-10.8661391719591</v>
      </c>
      <c r="P1047" s="56" t="n">
        <f aca="false">IF(L1047=1,IF($B$21&lt;=N1047,1,0),0)</f>
        <v>0</v>
      </c>
      <c r="Q1047" s="58" t="n">
        <f aca="false">Q1046+N1047</f>
        <v>989.13386082804</v>
      </c>
    </row>
    <row r="1048" customFormat="false" ht="15" hidden="false" customHeight="false" outlineLevel="0" collapsed="false">
      <c r="K1048" s="56" t="n">
        <f aca="false">K1047+1</f>
        <v>1041</v>
      </c>
      <c r="L1048" s="57" t="n">
        <f aca="false">IF(AND(K1048&lt;=Assumptions!$C$42,L1047=1,P1047=0,O1047&gt;Assumptions!$C$43),1,0)</f>
        <v>0</v>
      </c>
      <c r="M1048" s="58" t="n">
        <f aca="false">O1047</f>
        <v>-10.8661391719591</v>
      </c>
      <c r="N1048" s="58" t="n">
        <f aca="false">IF(L1048=1,M1048*$B$20,0)</f>
        <v>0</v>
      </c>
      <c r="O1048" s="58" t="n">
        <f aca="false">IF(L1048=1,M1048+N1048-$B$21,M1048)</f>
        <v>-10.8661391719591</v>
      </c>
      <c r="P1048" s="56" t="n">
        <f aca="false">IF(L1048=1,IF($B$21&lt;=N1048,1,0),0)</f>
        <v>0</v>
      </c>
      <c r="Q1048" s="58" t="n">
        <f aca="false">Q1047+N1048</f>
        <v>989.13386082804</v>
      </c>
    </row>
    <row r="1049" customFormat="false" ht="15" hidden="false" customHeight="false" outlineLevel="0" collapsed="false">
      <c r="K1049" s="56" t="n">
        <f aca="false">K1048+1</f>
        <v>1042</v>
      </c>
      <c r="L1049" s="57" t="n">
        <f aca="false">IF(AND(K1049&lt;=Assumptions!$C$42,L1048=1,P1048=0,O1048&gt;Assumptions!$C$43),1,0)</f>
        <v>0</v>
      </c>
      <c r="M1049" s="58" t="n">
        <f aca="false">O1048</f>
        <v>-10.8661391719591</v>
      </c>
      <c r="N1049" s="58" t="n">
        <f aca="false">IF(L1049=1,M1049*$B$20,0)</f>
        <v>0</v>
      </c>
      <c r="O1049" s="58" t="n">
        <f aca="false">IF(L1049=1,M1049+N1049-$B$21,M1049)</f>
        <v>-10.8661391719591</v>
      </c>
      <c r="P1049" s="56" t="n">
        <f aca="false">IF(L1049=1,IF($B$21&lt;=N1049,1,0),0)</f>
        <v>0</v>
      </c>
      <c r="Q1049" s="58" t="n">
        <f aca="false">Q1048+N1049</f>
        <v>989.13386082804</v>
      </c>
    </row>
    <row r="1050" customFormat="false" ht="15" hidden="false" customHeight="false" outlineLevel="0" collapsed="false">
      <c r="K1050" s="56" t="n">
        <f aca="false">K1049+1</f>
        <v>1043</v>
      </c>
      <c r="L1050" s="57" t="n">
        <f aca="false">IF(AND(K1050&lt;=Assumptions!$C$42,L1049=1,P1049=0,O1049&gt;Assumptions!$C$43),1,0)</f>
        <v>0</v>
      </c>
      <c r="M1050" s="58" t="n">
        <f aca="false">O1049</f>
        <v>-10.8661391719591</v>
      </c>
      <c r="N1050" s="58" t="n">
        <f aca="false">IF(L1050=1,M1050*$B$20,0)</f>
        <v>0</v>
      </c>
      <c r="O1050" s="58" t="n">
        <f aca="false">IF(L1050=1,M1050+N1050-$B$21,M1050)</f>
        <v>-10.8661391719591</v>
      </c>
      <c r="P1050" s="56" t="n">
        <f aca="false">IF(L1050=1,IF($B$21&lt;=N1050,1,0),0)</f>
        <v>0</v>
      </c>
      <c r="Q1050" s="58" t="n">
        <f aca="false">Q1049+N1050</f>
        <v>989.13386082804</v>
      </c>
    </row>
    <row r="1051" customFormat="false" ht="15" hidden="false" customHeight="false" outlineLevel="0" collapsed="false">
      <c r="K1051" s="56" t="n">
        <f aca="false">K1050+1</f>
        <v>1044</v>
      </c>
      <c r="L1051" s="57" t="n">
        <f aca="false">IF(AND(K1051&lt;=Assumptions!$C$42,L1050=1,P1050=0,O1050&gt;Assumptions!$C$43),1,0)</f>
        <v>0</v>
      </c>
      <c r="M1051" s="58" t="n">
        <f aca="false">O1050</f>
        <v>-10.8661391719591</v>
      </c>
      <c r="N1051" s="58" t="n">
        <f aca="false">IF(L1051=1,M1051*$B$20,0)</f>
        <v>0</v>
      </c>
      <c r="O1051" s="58" t="n">
        <f aca="false">IF(L1051=1,M1051+N1051-$B$21,M1051)</f>
        <v>-10.8661391719591</v>
      </c>
      <c r="P1051" s="56" t="n">
        <f aca="false">IF(L1051=1,IF($B$21&lt;=N1051,1,0),0)</f>
        <v>0</v>
      </c>
      <c r="Q1051" s="58" t="n">
        <f aca="false">Q1050+N1051</f>
        <v>989.13386082804</v>
      </c>
    </row>
    <row r="1052" customFormat="false" ht="15" hidden="false" customHeight="false" outlineLevel="0" collapsed="false">
      <c r="K1052" s="56" t="n">
        <f aca="false">K1051+1</f>
        <v>1045</v>
      </c>
      <c r="L1052" s="57" t="n">
        <f aca="false">IF(AND(K1052&lt;=Assumptions!$C$42,L1051=1,P1051=0,O1051&gt;Assumptions!$C$43),1,0)</f>
        <v>0</v>
      </c>
      <c r="M1052" s="58" t="n">
        <f aca="false">O1051</f>
        <v>-10.8661391719591</v>
      </c>
      <c r="N1052" s="58" t="n">
        <f aca="false">IF(L1052=1,M1052*$B$20,0)</f>
        <v>0</v>
      </c>
      <c r="O1052" s="58" t="n">
        <f aca="false">IF(L1052=1,M1052+N1052-$B$21,M1052)</f>
        <v>-10.8661391719591</v>
      </c>
      <c r="P1052" s="56" t="n">
        <f aca="false">IF(L1052=1,IF($B$21&lt;=N1052,1,0),0)</f>
        <v>0</v>
      </c>
      <c r="Q1052" s="58" t="n">
        <f aca="false">Q1051+N1052</f>
        <v>989.13386082804</v>
      </c>
    </row>
    <row r="1053" customFormat="false" ht="15" hidden="false" customHeight="false" outlineLevel="0" collapsed="false">
      <c r="K1053" s="56" t="n">
        <f aca="false">K1052+1</f>
        <v>1046</v>
      </c>
      <c r="L1053" s="57" t="n">
        <f aca="false">IF(AND(K1053&lt;=Assumptions!$C$42,L1052=1,P1052=0,O1052&gt;Assumptions!$C$43),1,0)</f>
        <v>0</v>
      </c>
      <c r="M1053" s="58" t="n">
        <f aca="false">O1052</f>
        <v>-10.8661391719591</v>
      </c>
      <c r="N1053" s="58" t="n">
        <f aca="false">IF(L1053=1,M1053*$B$20,0)</f>
        <v>0</v>
      </c>
      <c r="O1053" s="58" t="n">
        <f aca="false">IF(L1053=1,M1053+N1053-$B$21,M1053)</f>
        <v>-10.8661391719591</v>
      </c>
      <c r="P1053" s="56" t="n">
        <f aca="false">IF(L1053=1,IF($B$21&lt;=N1053,1,0),0)</f>
        <v>0</v>
      </c>
      <c r="Q1053" s="58" t="n">
        <f aca="false">Q1052+N1053</f>
        <v>989.13386082804</v>
      </c>
    </row>
    <row r="1054" customFormat="false" ht="15" hidden="false" customHeight="false" outlineLevel="0" collapsed="false">
      <c r="K1054" s="56" t="n">
        <f aca="false">K1053+1</f>
        <v>1047</v>
      </c>
      <c r="L1054" s="57" t="n">
        <f aca="false">IF(AND(K1054&lt;=Assumptions!$C$42,L1053=1,P1053=0,O1053&gt;Assumptions!$C$43),1,0)</f>
        <v>0</v>
      </c>
      <c r="M1054" s="58" t="n">
        <f aca="false">O1053</f>
        <v>-10.8661391719591</v>
      </c>
      <c r="N1054" s="58" t="n">
        <f aca="false">IF(L1054=1,M1054*$B$20,0)</f>
        <v>0</v>
      </c>
      <c r="O1054" s="58" t="n">
        <f aca="false">IF(L1054=1,M1054+N1054-$B$21,M1054)</f>
        <v>-10.8661391719591</v>
      </c>
      <c r="P1054" s="56" t="n">
        <f aca="false">IF(L1054=1,IF($B$21&lt;=N1054,1,0),0)</f>
        <v>0</v>
      </c>
      <c r="Q1054" s="58" t="n">
        <f aca="false">Q1053+N1054</f>
        <v>989.13386082804</v>
      </c>
    </row>
    <row r="1055" customFormat="false" ht="15" hidden="false" customHeight="false" outlineLevel="0" collapsed="false">
      <c r="K1055" s="56" t="n">
        <f aca="false">K1054+1</f>
        <v>1048</v>
      </c>
      <c r="L1055" s="57" t="n">
        <f aca="false">IF(AND(K1055&lt;=Assumptions!$C$42,L1054=1,P1054=0,O1054&gt;Assumptions!$C$43),1,0)</f>
        <v>0</v>
      </c>
      <c r="M1055" s="58" t="n">
        <f aca="false">O1054</f>
        <v>-10.8661391719591</v>
      </c>
      <c r="N1055" s="58" t="n">
        <f aca="false">IF(L1055=1,M1055*$B$20,0)</f>
        <v>0</v>
      </c>
      <c r="O1055" s="58" t="n">
        <f aca="false">IF(L1055=1,M1055+N1055-$B$21,M1055)</f>
        <v>-10.8661391719591</v>
      </c>
      <c r="P1055" s="56" t="n">
        <f aca="false">IF(L1055=1,IF($B$21&lt;=N1055,1,0),0)</f>
        <v>0</v>
      </c>
      <c r="Q1055" s="58" t="n">
        <f aca="false">Q1054+N1055</f>
        <v>989.13386082804</v>
      </c>
    </row>
    <row r="1056" customFormat="false" ht="15" hidden="false" customHeight="false" outlineLevel="0" collapsed="false">
      <c r="K1056" s="56" t="n">
        <f aca="false">K1055+1</f>
        <v>1049</v>
      </c>
      <c r="L1056" s="57" t="n">
        <f aca="false">IF(AND(K1056&lt;=Assumptions!$C$42,L1055=1,P1055=0,O1055&gt;Assumptions!$C$43),1,0)</f>
        <v>0</v>
      </c>
      <c r="M1056" s="58" t="n">
        <f aca="false">O1055</f>
        <v>-10.8661391719591</v>
      </c>
      <c r="N1056" s="58" t="n">
        <f aca="false">IF(L1056=1,M1056*$B$20,0)</f>
        <v>0</v>
      </c>
      <c r="O1056" s="58" t="n">
        <f aca="false">IF(L1056=1,M1056+N1056-$B$21,M1056)</f>
        <v>-10.8661391719591</v>
      </c>
      <c r="P1056" s="56" t="n">
        <f aca="false">IF(L1056=1,IF($B$21&lt;=N1056,1,0),0)</f>
        <v>0</v>
      </c>
      <c r="Q1056" s="58" t="n">
        <f aca="false">Q1055+N1056</f>
        <v>989.13386082804</v>
      </c>
    </row>
    <row r="1057" customFormat="false" ht="15" hidden="false" customHeight="false" outlineLevel="0" collapsed="false">
      <c r="K1057" s="56" t="n">
        <f aca="false">K1056+1</f>
        <v>1050</v>
      </c>
      <c r="L1057" s="57" t="n">
        <f aca="false">IF(AND(K1057&lt;=Assumptions!$C$42,L1056=1,P1056=0,O1056&gt;Assumptions!$C$43),1,0)</f>
        <v>0</v>
      </c>
      <c r="M1057" s="58" t="n">
        <f aca="false">O1056</f>
        <v>-10.8661391719591</v>
      </c>
      <c r="N1057" s="58" t="n">
        <f aca="false">IF(L1057=1,M1057*$B$20,0)</f>
        <v>0</v>
      </c>
      <c r="O1057" s="58" t="n">
        <f aca="false">IF(L1057=1,M1057+N1057-$B$21,M1057)</f>
        <v>-10.8661391719591</v>
      </c>
      <c r="P1057" s="56" t="n">
        <f aca="false">IF(L1057=1,IF($B$21&lt;=N1057,1,0),0)</f>
        <v>0</v>
      </c>
      <c r="Q1057" s="58" t="n">
        <f aca="false">Q1056+N1057</f>
        <v>989.13386082804</v>
      </c>
    </row>
    <row r="1058" customFormat="false" ht="15" hidden="false" customHeight="false" outlineLevel="0" collapsed="false">
      <c r="K1058" s="56" t="n">
        <f aca="false">K1057+1</f>
        <v>1051</v>
      </c>
      <c r="L1058" s="57" t="n">
        <f aca="false">IF(AND(K1058&lt;=Assumptions!$C$42,L1057=1,P1057=0,O1057&gt;Assumptions!$C$43),1,0)</f>
        <v>0</v>
      </c>
      <c r="M1058" s="58" t="n">
        <f aca="false">O1057</f>
        <v>-10.8661391719591</v>
      </c>
      <c r="N1058" s="58" t="n">
        <f aca="false">IF(L1058=1,M1058*$B$20,0)</f>
        <v>0</v>
      </c>
      <c r="O1058" s="58" t="n">
        <f aca="false">IF(L1058=1,M1058+N1058-$B$21,M1058)</f>
        <v>-10.8661391719591</v>
      </c>
      <c r="P1058" s="56" t="n">
        <f aca="false">IF(L1058=1,IF($B$21&lt;=N1058,1,0),0)</f>
        <v>0</v>
      </c>
      <c r="Q1058" s="58" t="n">
        <f aca="false">Q1057+N1058</f>
        <v>989.13386082804</v>
      </c>
    </row>
    <row r="1059" customFormat="false" ht="15" hidden="false" customHeight="false" outlineLevel="0" collapsed="false">
      <c r="K1059" s="56" t="n">
        <f aca="false">K1058+1</f>
        <v>1052</v>
      </c>
      <c r="L1059" s="57" t="n">
        <f aca="false">IF(AND(K1059&lt;=Assumptions!$C$42,L1058=1,P1058=0,O1058&gt;Assumptions!$C$43),1,0)</f>
        <v>0</v>
      </c>
      <c r="M1059" s="58" t="n">
        <f aca="false">O1058</f>
        <v>-10.8661391719591</v>
      </c>
      <c r="N1059" s="58" t="n">
        <f aca="false">IF(L1059=1,M1059*$B$20,0)</f>
        <v>0</v>
      </c>
      <c r="O1059" s="58" t="n">
        <f aca="false">IF(L1059=1,M1059+N1059-$B$21,M1059)</f>
        <v>-10.8661391719591</v>
      </c>
      <c r="P1059" s="56" t="n">
        <f aca="false">IF(L1059=1,IF($B$21&lt;=N1059,1,0),0)</f>
        <v>0</v>
      </c>
      <c r="Q1059" s="58" t="n">
        <f aca="false">Q1058+N1059</f>
        <v>989.13386082804</v>
      </c>
    </row>
    <row r="1060" customFormat="false" ht="15" hidden="false" customHeight="false" outlineLevel="0" collapsed="false">
      <c r="K1060" s="56" t="n">
        <f aca="false">K1059+1</f>
        <v>1053</v>
      </c>
      <c r="L1060" s="57" t="n">
        <f aca="false">IF(AND(K1060&lt;=Assumptions!$C$42,L1059=1,P1059=0,O1059&gt;Assumptions!$C$43),1,0)</f>
        <v>0</v>
      </c>
      <c r="M1060" s="58" t="n">
        <f aca="false">O1059</f>
        <v>-10.8661391719591</v>
      </c>
      <c r="N1060" s="58" t="n">
        <f aca="false">IF(L1060=1,M1060*$B$20,0)</f>
        <v>0</v>
      </c>
      <c r="O1060" s="58" t="n">
        <f aca="false">IF(L1060=1,M1060+N1060-$B$21,M1060)</f>
        <v>-10.8661391719591</v>
      </c>
      <c r="P1060" s="56" t="n">
        <f aca="false">IF(L1060=1,IF($B$21&lt;=N1060,1,0),0)</f>
        <v>0</v>
      </c>
      <c r="Q1060" s="58" t="n">
        <f aca="false">Q1059+N1060</f>
        <v>989.13386082804</v>
      </c>
    </row>
    <row r="1061" customFormat="false" ht="15" hidden="false" customHeight="false" outlineLevel="0" collapsed="false">
      <c r="K1061" s="56" t="n">
        <f aca="false">K1060+1</f>
        <v>1054</v>
      </c>
      <c r="L1061" s="57" t="n">
        <f aca="false">IF(AND(K1061&lt;=Assumptions!$C$42,L1060=1,P1060=0,O1060&gt;Assumptions!$C$43),1,0)</f>
        <v>0</v>
      </c>
      <c r="M1061" s="58" t="n">
        <f aca="false">O1060</f>
        <v>-10.8661391719591</v>
      </c>
      <c r="N1061" s="58" t="n">
        <f aca="false">IF(L1061=1,M1061*$B$20,0)</f>
        <v>0</v>
      </c>
      <c r="O1061" s="58" t="n">
        <f aca="false">IF(L1061=1,M1061+N1061-$B$21,M1061)</f>
        <v>-10.8661391719591</v>
      </c>
      <c r="P1061" s="56" t="n">
        <f aca="false">IF(L1061=1,IF($B$21&lt;=N1061,1,0),0)</f>
        <v>0</v>
      </c>
      <c r="Q1061" s="58" t="n">
        <f aca="false">Q1060+N1061</f>
        <v>989.13386082804</v>
      </c>
    </row>
    <row r="1062" customFormat="false" ht="15" hidden="false" customHeight="false" outlineLevel="0" collapsed="false">
      <c r="K1062" s="56" t="n">
        <f aca="false">K1061+1</f>
        <v>1055</v>
      </c>
      <c r="L1062" s="57" t="n">
        <f aca="false">IF(AND(K1062&lt;=Assumptions!$C$42,L1061=1,P1061=0,O1061&gt;Assumptions!$C$43),1,0)</f>
        <v>0</v>
      </c>
      <c r="M1062" s="58" t="n">
        <f aca="false">O1061</f>
        <v>-10.8661391719591</v>
      </c>
      <c r="N1062" s="58" t="n">
        <f aca="false">IF(L1062=1,M1062*$B$20,0)</f>
        <v>0</v>
      </c>
      <c r="O1062" s="58" t="n">
        <f aca="false">IF(L1062=1,M1062+N1062-$B$21,M1062)</f>
        <v>-10.8661391719591</v>
      </c>
      <c r="P1062" s="56" t="n">
        <f aca="false">IF(L1062=1,IF($B$21&lt;=N1062,1,0),0)</f>
        <v>0</v>
      </c>
      <c r="Q1062" s="58" t="n">
        <f aca="false">Q1061+N1062</f>
        <v>989.13386082804</v>
      </c>
    </row>
    <row r="1063" customFormat="false" ht="15" hidden="false" customHeight="false" outlineLevel="0" collapsed="false">
      <c r="K1063" s="56" t="n">
        <f aca="false">K1062+1</f>
        <v>1056</v>
      </c>
      <c r="L1063" s="57" t="n">
        <f aca="false">IF(AND(K1063&lt;=Assumptions!$C$42,L1062=1,P1062=0,O1062&gt;Assumptions!$C$43),1,0)</f>
        <v>0</v>
      </c>
      <c r="M1063" s="58" t="n">
        <f aca="false">O1062</f>
        <v>-10.8661391719591</v>
      </c>
      <c r="N1063" s="58" t="n">
        <f aca="false">IF(L1063=1,M1063*$B$20,0)</f>
        <v>0</v>
      </c>
      <c r="O1063" s="58" t="n">
        <f aca="false">IF(L1063=1,M1063+N1063-$B$21,M1063)</f>
        <v>-10.8661391719591</v>
      </c>
      <c r="P1063" s="56" t="n">
        <f aca="false">IF(L1063=1,IF($B$21&lt;=N1063,1,0),0)</f>
        <v>0</v>
      </c>
      <c r="Q1063" s="58" t="n">
        <f aca="false">Q1062+N1063</f>
        <v>989.13386082804</v>
      </c>
    </row>
    <row r="1064" customFormat="false" ht="15" hidden="false" customHeight="false" outlineLevel="0" collapsed="false">
      <c r="K1064" s="56" t="n">
        <f aca="false">K1063+1</f>
        <v>1057</v>
      </c>
      <c r="L1064" s="57" t="n">
        <f aca="false">IF(AND(K1064&lt;=Assumptions!$C$42,L1063=1,P1063=0,O1063&gt;Assumptions!$C$43),1,0)</f>
        <v>0</v>
      </c>
      <c r="M1064" s="58" t="n">
        <f aca="false">O1063</f>
        <v>-10.8661391719591</v>
      </c>
      <c r="N1064" s="58" t="n">
        <f aca="false">IF(L1064=1,M1064*$B$20,0)</f>
        <v>0</v>
      </c>
      <c r="O1064" s="58" t="n">
        <f aca="false">IF(L1064=1,M1064+N1064-$B$21,M1064)</f>
        <v>-10.8661391719591</v>
      </c>
      <c r="P1064" s="56" t="n">
        <f aca="false">IF(L1064=1,IF($B$21&lt;=N1064,1,0),0)</f>
        <v>0</v>
      </c>
      <c r="Q1064" s="58" t="n">
        <f aca="false">Q1063+N1064</f>
        <v>989.13386082804</v>
      </c>
    </row>
    <row r="1065" customFormat="false" ht="15" hidden="false" customHeight="false" outlineLevel="0" collapsed="false">
      <c r="K1065" s="56" t="n">
        <f aca="false">K1064+1</f>
        <v>1058</v>
      </c>
      <c r="L1065" s="57" t="n">
        <f aca="false">IF(AND(K1065&lt;=Assumptions!$C$42,L1064=1,P1064=0,O1064&gt;Assumptions!$C$43),1,0)</f>
        <v>0</v>
      </c>
      <c r="M1065" s="58" t="n">
        <f aca="false">O1064</f>
        <v>-10.8661391719591</v>
      </c>
      <c r="N1065" s="58" t="n">
        <f aca="false">IF(L1065=1,M1065*$B$20,0)</f>
        <v>0</v>
      </c>
      <c r="O1065" s="58" t="n">
        <f aca="false">IF(L1065=1,M1065+N1065-$B$21,M1065)</f>
        <v>-10.8661391719591</v>
      </c>
      <c r="P1065" s="56" t="n">
        <f aca="false">IF(L1065=1,IF($B$21&lt;=N1065,1,0),0)</f>
        <v>0</v>
      </c>
      <c r="Q1065" s="58" t="n">
        <f aca="false">Q1064+N1065</f>
        <v>989.13386082804</v>
      </c>
    </row>
    <row r="1066" customFormat="false" ht="15" hidden="false" customHeight="false" outlineLevel="0" collapsed="false">
      <c r="K1066" s="56" t="n">
        <f aca="false">K1065+1</f>
        <v>1059</v>
      </c>
      <c r="L1066" s="57" t="n">
        <f aca="false">IF(AND(K1066&lt;=Assumptions!$C$42,L1065=1,P1065=0,O1065&gt;Assumptions!$C$43),1,0)</f>
        <v>0</v>
      </c>
      <c r="M1066" s="58" t="n">
        <f aca="false">O1065</f>
        <v>-10.8661391719591</v>
      </c>
      <c r="N1066" s="58" t="n">
        <f aca="false">IF(L1066=1,M1066*$B$20,0)</f>
        <v>0</v>
      </c>
      <c r="O1066" s="58" t="n">
        <f aca="false">IF(L1066=1,M1066+N1066-$B$21,M1066)</f>
        <v>-10.8661391719591</v>
      </c>
      <c r="P1066" s="56" t="n">
        <f aca="false">IF(L1066=1,IF($B$21&lt;=N1066,1,0),0)</f>
        <v>0</v>
      </c>
      <c r="Q1066" s="58" t="n">
        <f aca="false">Q1065+N1066</f>
        <v>989.13386082804</v>
      </c>
    </row>
    <row r="1067" customFormat="false" ht="15" hidden="false" customHeight="false" outlineLevel="0" collapsed="false">
      <c r="K1067" s="56" t="n">
        <f aca="false">K1066+1</f>
        <v>1060</v>
      </c>
      <c r="L1067" s="57" t="n">
        <f aca="false">IF(AND(K1067&lt;=Assumptions!$C$42,L1066=1,P1066=0,O1066&gt;Assumptions!$C$43),1,0)</f>
        <v>0</v>
      </c>
      <c r="M1067" s="58" t="n">
        <f aca="false">O1066</f>
        <v>-10.8661391719591</v>
      </c>
      <c r="N1067" s="58" t="n">
        <f aca="false">IF(L1067=1,M1067*$B$20,0)</f>
        <v>0</v>
      </c>
      <c r="O1067" s="58" t="n">
        <f aca="false">IF(L1067=1,M1067+N1067-$B$21,M1067)</f>
        <v>-10.8661391719591</v>
      </c>
      <c r="P1067" s="56" t="n">
        <f aca="false">IF(L1067=1,IF($B$21&lt;=N1067,1,0),0)</f>
        <v>0</v>
      </c>
      <c r="Q1067" s="58" t="n">
        <f aca="false">Q1066+N1067</f>
        <v>989.13386082804</v>
      </c>
    </row>
    <row r="1068" customFormat="false" ht="15" hidden="false" customHeight="false" outlineLevel="0" collapsed="false">
      <c r="K1068" s="56" t="n">
        <f aca="false">K1067+1</f>
        <v>1061</v>
      </c>
      <c r="L1068" s="57" t="n">
        <f aca="false">IF(AND(K1068&lt;=Assumptions!$C$42,L1067=1,P1067=0,O1067&gt;Assumptions!$C$43),1,0)</f>
        <v>0</v>
      </c>
      <c r="M1068" s="58" t="n">
        <f aca="false">O1067</f>
        <v>-10.8661391719591</v>
      </c>
      <c r="N1068" s="58" t="n">
        <f aca="false">IF(L1068=1,M1068*$B$20,0)</f>
        <v>0</v>
      </c>
      <c r="O1068" s="58" t="n">
        <f aca="false">IF(L1068=1,M1068+N1068-$B$21,M1068)</f>
        <v>-10.8661391719591</v>
      </c>
      <c r="P1068" s="56" t="n">
        <f aca="false">IF(L1068=1,IF($B$21&lt;=N1068,1,0),0)</f>
        <v>0</v>
      </c>
      <c r="Q1068" s="58" t="n">
        <f aca="false">Q1067+N1068</f>
        <v>989.13386082804</v>
      </c>
    </row>
    <row r="1069" customFormat="false" ht="15" hidden="false" customHeight="false" outlineLevel="0" collapsed="false">
      <c r="K1069" s="56" t="n">
        <f aca="false">K1068+1</f>
        <v>1062</v>
      </c>
      <c r="L1069" s="57" t="n">
        <f aca="false">IF(AND(K1069&lt;=Assumptions!$C$42,L1068=1,P1068=0,O1068&gt;Assumptions!$C$43),1,0)</f>
        <v>0</v>
      </c>
      <c r="M1069" s="58" t="n">
        <f aca="false">O1068</f>
        <v>-10.8661391719591</v>
      </c>
      <c r="N1069" s="58" t="n">
        <f aca="false">IF(L1069=1,M1069*$B$20,0)</f>
        <v>0</v>
      </c>
      <c r="O1069" s="58" t="n">
        <f aca="false">IF(L1069=1,M1069+N1069-$B$21,M1069)</f>
        <v>-10.8661391719591</v>
      </c>
      <c r="P1069" s="56" t="n">
        <f aca="false">IF(L1069=1,IF($B$21&lt;=N1069,1,0),0)</f>
        <v>0</v>
      </c>
      <c r="Q1069" s="58" t="n">
        <f aca="false">Q1068+N1069</f>
        <v>989.13386082804</v>
      </c>
    </row>
    <row r="1070" customFormat="false" ht="15" hidden="false" customHeight="false" outlineLevel="0" collapsed="false">
      <c r="K1070" s="56" t="n">
        <f aca="false">K1069+1</f>
        <v>1063</v>
      </c>
      <c r="L1070" s="57" t="n">
        <f aca="false">IF(AND(K1070&lt;=Assumptions!$C$42,L1069=1,P1069=0,O1069&gt;Assumptions!$C$43),1,0)</f>
        <v>0</v>
      </c>
      <c r="M1070" s="58" t="n">
        <f aca="false">O1069</f>
        <v>-10.8661391719591</v>
      </c>
      <c r="N1070" s="58" t="n">
        <f aca="false">IF(L1070=1,M1070*$B$20,0)</f>
        <v>0</v>
      </c>
      <c r="O1070" s="58" t="n">
        <f aca="false">IF(L1070=1,M1070+N1070-$B$21,M1070)</f>
        <v>-10.8661391719591</v>
      </c>
      <c r="P1070" s="56" t="n">
        <f aca="false">IF(L1070=1,IF($B$21&lt;=N1070,1,0),0)</f>
        <v>0</v>
      </c>
      <c r="Q1070" s="58" t="n">
        <f aca="false">Q1069+N1070</f>
        <v>989.13386082804</v>
      </c>
    </row>
    <row r="1071" customFormat="false" ht="15" hidden="false" customHeight="false" outlineLevel="0" collapsed="false">
      <c r="K1071" s="56" t="n">
        <f aca="false">K1070+1</f>
        <v>1064</v>
      </c>
      <c r="L1071" s="57" t="n">
        <f aca="false">IF(AND(K1071&lt;=Assumptions!$C$42,L1070=1,P1070=0,O1070&gt;Assumptions!$C$43),1,0)</f>
        <v>0</v>
      </c>
      <c r="M1071" s="58" t="n">
        <f aca="false">O1070</f>
        <v>-10.8661391719591</v>
      </c>
      <c r="N1071" s="58" t="n">
        <f aca="false">IF(L1071=1,M1071*$B$20,0)</f>
        <v>0</v>
      </c>
      <c r="O1071" s="58" t="n">
        <f aca="false">IF(L1071=1,M1071+N1071-$B$21,M1071)</f>
        <v>-10.8661391719591</v>
      </c>
      <c r="P1071" s="56" t="n">
        <f aca="false">IF(L1071=1,IF($B$21&lt;=N1071,1,0),0)</f>
        <v>0</v>
      </c>
      <c r="Q1071" s="58" t="n">
        <f aca="false">Q1070+N1071</f>
        <v>989.13386082804</v>
      </c>
    </row>
    <row r="1072" customFormat="false" ht="15" hidden="false" customHeight="false" outlineLevel="0" collapsed="false">
      <c r="K1072" s="56" t="n">
        <f aca="false">K1071+1</f>
        <v>1065</v>
      </c>
      <c r="L1072" s="57" t="n">
        <f aca="false">IF(AND(K1072&lt;=Assumptions!$C$42,L1071=1,P1071=0,O1071&gt;Assumptions!$C$43),1,0)</f>
        <v>0</v>
      </c>
      <c r="M1072" s="58" t="n">
        <f aca="false">O1071</f>
        <v>-10.8661391719591</v>
      </c>
      <c r="N1072" s="58" t="n">
        <f aca="false">IF(L1072=1,M1072*$B$20,0)</f>
        <v>0</v>
      </c>
      <c r="O1072" s="58" t="n">
        <f aca="false">IF(L1072=1,M1072+N1072-$B$21,M1072)</f>
        <v>-10.8661391719591</v>
      </c>
      <c r="P1072" s="56" t="n">
        <f aca="false">IF(L1072=1,IF($B$21&lt;=N1072,1,0),0)</f>
        <v>0</v>
      </c>
      <c r="Q1072" s="58" t="n">
        <f aca="false">Q1071+N1072</f>
        <v>989.13386082804</v>
      </c>
    </row>
    <row r="1073" customFormat="false" ht="15" hidden="false" customHeight="false" outlineLevel="0" collapsed="false">
      <c r="K1073" s="56" t="n">
        <f aca="false">K1072+1</f>
        <v>1066</v>
      </c>
      <c r="L1073" s="57" t="n">
        <f aca="false">IF(AND(K1073&lt;=Assumptions!$C$42,L1072=1,P1072=0,O1072&gt;Assumptions!$C$43),1,0)</f>
        <v>0</v>
      </c>
      <c r="M1073" s="58" t="n">
        <f aca="false">O1072</f>
        <v>-10.8661391719591</v>
      </c>
      <c r="N1073" s="58" t="n">
        <f aca="false">IF(L1073=1,M1073*$B$20,0)</f>
        <v>0</v>
      </c>
      <c r="O1073" s="58" t="n">
        <f aca="false">IF(L1073=1,M1073+N1073-$B$21,M1073)</f>
        <v>-10.8661391719591</v>
      </c>
      <c r="P1073" s="56" t="n">
        <f aca="false">IF(L1073=1,IF($B$21&lt;=N1073,1,0),0)</f>
        <v>0</v>
      </c>
      <c r="Q1073" s="58" t="n">
        <f aca="false">Q1072+N1073</f>
        <v>989.13386082804</v>
      </c>
    </row>
    <row r="1074" customFormat="false" ht="15" hidden="false" customHeight="false" outlineLevel="0" collapsed="false">
      <c r="K1074" s="56" t="n">
        <f aca="false">K1073+1</f>
        <v>1067</v>
      </c>
      <c r="L1074" s="57" t="n">
        <f aca="false">IF(AND(K1074&lt;=Assumptions!$C$42,L1073=1,P1073=0,O1073&gt;Assumptions!$C$43),1,0)</f>
        <v>0</v>
      </c>
      <c r="M1074" s="58" t="n">
        <f aca="false">O1073</f>
        <v>-10.8661391719591</v>
      </c>
      <c r="N1074" s="58" t="n">
        <f aca="false">IF(L1074=1,M1074*$B$20,0)</f>
        <v>0</v>
      </c>
      <c r="O1074" s="58" t="n">
        <f aca="false">IF(L1074=1,M1074+N1074-$B$21,M1074)</f>
        <v>-10.8661391719591</v>
      </c>
      <c r="P1074" s="56" t="n">
        <f aca="false">IF(L1074=1,IF($B$21&lt;=N1074,1,0),0)</f>
        <v>0</v>
      </c>
      <c r="Q1074" s="58" t="n">
        <f aca="false">Q1073+N1074</f>
        <v>989.13386082804</v>
      </c>
    </row>
    <row r="1075" customFormat="false" ht="15" hidden="false" customHeight="false" outlineLevel="0" collapsed="false">
      <c r="K1075" s="56" t="n">
        <f aca="false">K1074+1</f>
        <v>1068</v>
      </c>
      <c r="L1075" s="57" t="n">
        <f aca="false">IF(AND(K1075&lt;=Assumptions!$C$42,L1074=1,P1074=0,O1074&gt;Assumptions!$C$43),1,0)</f>
        <v>0</v>
      </c>
      <c r="M1075" s="58" t="n">
        <f aca="false">O1074</f>
        <v>-10.8661391719591</v>
      </c>
      <c r="N1075" s="58" t="n">
        <f aca="false">IF(L1075=1,M1075*$B$20,0)</f>
        <v>0</v>
      </c>
      <c r="O1075" s="58" t="n">
        <f aca="false">IF(L1075=1,M1075+N1075-$B$21,M1075)</f>
        <v>-10.8661391719591</v>
      </c>
      <c r="P1075" s="56" t="n">
        <f aca="false">IF(L1075=1,IF($B$21&lt;=N1075,1,0),0)</f>
        <v>0</v>
      </c>
      <c r="Q1075" s="58" t="n">
        <f aca="false">Q1074+N1075</f>
        <v>989.13386082804</v>
      </c>
    </row>
    <row r="1076" customFormat="false" ht="15" hidden="false" customHeight="false" outlineLevel="0" collapsed="false">
      <c r="K1076" s="56" t="n">
        <f aca="false">K1075+1</f>
        <v>1069</v>
      </c>
      <c r="L1076" s="57" t="n">
        <f aca="false">IF(AND(K1076&lt;=Assumptions!$C$42,L1075=1,P1075=0,O1075&gt;Assumptions!$C$43),1,0)</f>
        <v>0</v>
      </c>
      <c r="M1076" s="58" t="n">
        <f aca="false">O1075</f>
        <v>-10.8661391719591</v>
      </c>
      <c r="N1076" s="58" t="n">
        <f aca="false">IF(L1076=1,M1076*$B$20,0)</f>
        <v>0</v>
      </c>
      <c r="O1076" s="58" t="n">
        <f aca="false">IF(L1076=1,M1076+N1076-$B$21,M1076)</f>
        <v>-10.8661391719591</v>
      </c>
      <c r="P1076" s="56" t="n">
        <f aca="false">IF(L1076=1,IF($B$21&lt;=N1076,1,0),0)</f>
        <v>0</v>
      </c>
      <c r="Q1076" s="58" t="n">
        <f aca="false">Q1075+N1076</f>
        <v>989.13386082804</v>
      </c>
    </row>
    <row r="1077" customFormat="false" ht="15" hidden="false" customHeight="false" outlineLevel="0" collapsed="false">
      <c r="K1077" s="56" t="n">
        <f aca="false">K1076+1</f>
        <v>1070</v>
      </c>
      <c r="L1077" s="57" t="n">
        <f aca="false">IF(AND(K1077&lt;=Assumptions!$C$42,L1076=1,P1076=0,O1076&gt;Assumptions!$C$43),1,0)</f>
        <v>0</v>
      </c>
      <c r="M1077" s="58" t="n">
        <f aca="false">O1076</f>
        <v>-10.8661391719591</v>
      </c>
      <c r="N1077" s="58" t="n">
        <f aca="false">IF(L1077=1,M1077*$B$20,0)</f>
        <v>0</v>
      </c>
      <c r="O1077" s="58" t="n">
        <f aca="false">IF(L1077=1,M1077+N1077-$B$21,M1077)</f>
        <v>-10.8661391719591</v>
      </c>
      <c r="P1077" s="56" t="n">
        <f aca="false">IF(L1077=1,IF($B$21&lt;=N1077,1,0),0)</f>
        <v>0</v>
      </c>
      <c r="Q1077" s="58" t="n">
        <f aca="false">Q1076+N1077</f>
        <v>989.13386082804</v>
      </c>
    </row>
    <row r="1078" customFormat="false" ht="15" hidden="false" customHeight="false" outlineLevel="0" collapsed="false">
      <c r="K1078" s="56" t="n">
        <f aca="false">K1077+1</f>
        <v>1071</v>
      </c>
      <c r="L1078" s="57" t="n">
        <f aca="false">IF(AND(K1078&lt;=Assumptions!$C$42,L1077=1,P1077=0,O1077&gt;Assumptions!$C$43),1,0)</f>
        <v>0</v>
      </c>
      <c r="M1078" s="58" t="n">
        <f aca="false">O1077</f>
        <v>-10.8661391719591</v>
      </c>
      <c r="N1078" s="58" t="n">
        <f aca="false">IF(L1078=1,M1078*$B$20,0)</f>
        <v>0</v>
      </c>
      <c r="O1078" s="58" t="n">
        <f aca="false">IF(L1078=1,M1078+N1078-$B$21,M1078)</f>
        <v>-10.8661391719591</v>
      </c>
      <c r="P1078" s="56" t="n">
        <f aca="false">IF(L1078=1,IF($B$21&lt;=N1078,1,0),0)</f>
        <v>0</v>
      </c>
      <c r="Q1078" s="58" t="n">
        <f aca="false">Q1077+N1078</f>
        <v>989.13386082804</v>
      </c>
    </row>
    <row r="1079" customFormat="false" ht="15" hidden="false" customHeight="false" outlineLevel="0" collapsed="false">
      <c r="K1079" s="56" t="n">
        <f aca="false">K1078+1</f>
        <v>1072</v>
      </c>
      <c r="L1079" s="57" t="n">
        <f aca="false">IF(AND(K1079&lt;=Assumptions!$C$42,L1078=1,P1078=0,O1078&gt;Assumptions!$C$43),1,0)</f>
        <v>0</v>
      </c>
      <c r="M1079" s="58" t="n">
        <f aca="false">O1078</f>
        <v>-10.8661391719591</v>
      </c>
      <c r="N1079" s="58" t="n">
        <f aca="false">IF(L1079=1,M1079*$B$20,0)</f>
        <v>0</v>
      </c>
      <c r="O1079" s="58" t="n">
        <f aca="false">IF(L1079=1,M1079+N1079-$B$21,M1079)</f>
        <v>-10.8661391719591</v>
      </c>
      <c r="P1079" s="56" t="n">
        <f aca="false">IF(L1079=1,IF($B$21&lt;=N1079,1,0),0)</f>
        <v>0</v>
      </c>
      <c r="Q1079" s="58" t="n">
        <f aca="false">Q1078+N1079</f>
        <v>989.13386082804</v>
      </c>
    </row>
    <row r="1080" customFormat="false" ht="15" hidden="false" customHeight="false" outlineLevel="0" collapsed="false">
      <c r="K1080" s="56" t="n">
        <f aca="false">K1079+1</f>
        <v>1073</v>
      </c>
      <c r="L1080" s="57" t="n">
        <f aca="false">IF(AND(K1080&lt;=Assumptions!$C$42,L1079=1,P1079=0,O1079&gt;Assumptions!$C$43),1,0)</f>
        <v>0</v>
      </c>
      <c r="M1080" s="58" t="n">
        <f aca="false">O1079</f>
        <v>-10.8661391719591</v>
      </c>
      <c r="N1080" s="58" t="n">
        <f aca="false">IF(L1080=1,M1080*$B$20,0)</f>
        <v>0</v>
      </c>
      <c r="O1080" s="58" t="n">
        <f aca="false">IF(L1080=1,M1080+N1080-$B$21,M1080)</f>
        <v>-10.8661391719591</v>
      </c>
      <c r="P1080" s="56" t="n">
        <f aca="false">IF(L1080=1,IF($B$21&lt;=N1080,1,0),0)</f>
        <v>0</v>
      </c>
      <c r="Q1080" s="58" t="n">
        <f aca="false">Q1079+N1080</f>
        <v>989.13386082804</v>
      </c>
    </row>
    <row r="1081" customFormat="false" ht="15" hidden="false" customHeight="false" outlineLevel="0" collapsed="false">
      <c r="K1081" s="56" t="n">
        <f aca="false">K1080+1</f>
        <v>1074</v>
      </c>
      <c r="L1081" s="57" t="n">
        <f aca="false">IF(AND(K1081&lt;=Assumptions!$C$42,L1080=1,P1080=0,O1080&gt;Assumptions!$C$43),1,0)</f>
        <v>0</v>
      </c>
      <c r="M1081" s="58" t="n">
        <f aca="false">O1080</f>
        <v>-10.8661391719591</v>
      </c>
      <c r="N1081" s="58" t="n">
        <f aca="false">IF(L1081=1,M1081*$B$20,0)</f>
        <v>0</v>
      </c>
      <c r="O1081" s="58" t="n">
        <f aca="false">IF(L1081=1,M1081+N1081-$B$21,M1081)</f>
        <v>-10.8661391719591</v>
      </c>
      <c r="P1081" s="56" t="n">
        <f aca="false">IF(L1081=1,IF($B$21&lt;=N1081,1,0),0)</f>
        <v>0</v>
      </c>
      <c r="Q1081" s="58" t="n">
        <f aca="false">Q1080+N1081</f>
        <v>989.13386082804</v>
      </c>
    </row>
    <row r="1082" customFormat="false" ht="15" hidden="false" customHeight="false" outlineLevel="0" collapsed="false">
      <c r="K1082" s="56" t="n">
        <f aca="false">K1081+1</f>
        <v>1075</v>
      </c>
      <c r="L1082" s="57" t="n">
        <f aca="false">IF(AND(K1082&lt;=Assumptions!$C$42,L1081=1,P1081=0,O1081&gt;Assumptions!$C$43),1,0)</f>
        <v>0</v>
      </c>
      <c r="M1082" s="58" t="n">
        <f aca="false">O1081</f>
        <v>-10.8661391719591</v>
      </c>
      <c r="N1082" s="58" t="n">
        <f aca="false">IF(L1082=1,M1082*$B$20,0)</f>
        <v>0</v>
      </c>
      <c r="O1082" s="58" t="n">
        <f aca="false">IF(L1082=1,M1082+N1082-$B$21,M1082)</f>
        <v>-10.8661391719591</v>
      </c>
      <c r="P1082" s="56" t="n">
        <f aca="false">IF(L1082=1,IF($B$21&lt;=N1082,1,0),0)</f>
        <v>0</v>
      </c>
      <c r="Q1082" s="58" t="n">
        <f aca="false">Q1081+N1082</f>
        <v>989.13386082804</v>
      </c>
    </row>
    <row r="1083" customFormat="false" ht="15" hidden="false" customHeight="false" outlineLevel="0" collapsed="false">
      <c r="K1083" s="56" t="n">
        <f aca="false">K1082+1</f>
        <v>1076</v>
      </c>
      <c r="L1083" s="57" t="n">
        <f aca="false">IF(AND(K1083&lt;=Assumptions!$C$42,L1082=1,P1082=0,O1082&gt;Assumptions!$C$43),1,0)</f>
        <v>0</v>
      </c>
      <c r="M1083" s="58" t="n">
        <f aca="false">O1082</f>
        <v>-10.8661391719591</v>
      </c>
      <c r="N1083" s="58" t="n">
        <f aca="false">IF(L1083=1,M1083*$B$20,0)</f>
        <v>0</v>
      </c>
      <c r="O1083" s="58" t="n">
        <f aca="false">IF(L1083=1,M1083+N1083-$B$21,M1083)</f>
        <v>-10.8661391719591</v>
      </c>
      <c r="P1083" s="56" t="n">
        <f aca="false">IF(L1083=1,IF($B$21&lt;=N1083,1,0),0)</f>
        <v>0</v>
      </c>
      <c r="Q1083" s="58" t="n">
        <f aca="false">Q1082+N1083</f>
        <v>989.13386082804</v>
      </c>
    </row>
    <row r="1084" customFormat="false" ht="15" hidden="false" customHeight="false" outlineLevel="0" collapsed="false">
      <c r="K1084" s="56" t="n">
        <f aca="false">K1083+1</f>
        <v>1077</v>
      </c>
      <c r="L1084" s="57" t="n">
        <f aca="false">IF(AND(K1084&lt;=Assumptions!$C$42,L1083=1,P1083=0,O1083&gt;Assumptions!$C$43),1,0)</f>
        <v>0</v>
      </c>
      <c r="M1084" s="58" t="n">
        <f aca="false">O1083</f>
        <v>-10.8661391719591</v>
      </c>
      <c r="N1084" s="58" t="n">
        <f aca="false">IF(L1084=1,M1084*$B$20,0)</f>
        <v>0</v>
      </c>
      <c r="O1084" s="58" t="n">
        <f aca="false">IF(L1084=1,M1084+N1084-$B$21,M1084)</f>
        <v>-10.8661391719591</v>
      </c>
      <c r="P1084" s="56" t="n">
        <f aca="false">IF(L1084=1,IF($B$21&lt;=N1084,1,0),0)</f>
        <v>0</v>
      </c>
      <c r="Q1084" s="58" t="n">
        <f aca="false">Q1083+N1084</f>
        <v>989.13386082804</v>
      </c>
    </row>
    <row r="1085" customFormat="false" ht="15" hidden="false" customHeight="false" outlineLevel="0" collapsed="false">
      <c r="K1085" s="56" t="n">
        <f aca="false">K1084+1</f>
        <v>1078</v>
      </c>
      <c r="L1085" s="57" t="n">
        <f aca="false">IF(AND(K1085&lt;=Assumptions!$C$42,L1084=1,P1084=0,O1084&gt;Assumptions!$C$43),1,0)</f>
        <v>0</v>
      </c>
      <c r="M1085" s="58" t="n">
        <f aca="false">O1084</f>
        <v>-10.8661391719591</v>
      </c>
      <c r="N1085" s="58" t="n">
        <f aca="false">IF(L1085=1,M1085*$B$20,0)</f>
        <v>0</v>
      </c>
      <c r="O1085" s="58" t="n">
        <f aca="false">IF(L1085=1,M1085+N1085-$B$21,M1085)</f>
        <v>-10.8661391719591</v>
      </c>
      <c r="P1085" s="56" t="n">
        <f aca="false">IF(L1085=1,IF($B$21&lt;=N1085,1,0),0)</f>
        <v>0</v>
      </c>
      <c r="Q1085" s="58" t="n">
        <f aca="false">Q1084+N1085</f>
        <v>989.13386082804</v>
      </c>
    </row>
    <row r="1086" customFormat="false" ht="15" hidden="false" customHeight="false" outlineLevel="0" collapsed="false">
      <c r="K1086" s="56" t="n">
        <f aca="false">K1085+1</f>
        <v>1079</v>
      </c>
      <c r="L1086" s="57" t="n">
        <f aca="false">IF(AND(K1086&lt;=Assumptions!$C$42,L1085=1,P1085=0,O1085&gt;Assumptions!$C$43),1,0)</f>
        <v>0</v>
      </c>
      <c r="M1086" s="58" t="n">
        <f aca="false">O1085</f>
        <v>-10.8661391719591</v>
      </c>
      <c r="N1086" s="58" t="n">
        <f aca="false">IF(L1086=1,M1086*$B$20,0)</f>
        <v>0</v>
      </c>
      <c r="O1086" s="58" t="n">
        <f aca="false">IF(L1086=1,M1086+N1086-$B$21,M1086)</f>
        <v>-10.8661391719591</v>
      </c>
      <c r="P1086" s="56" t="n">
        <f aca="false">IF(L1086=1,IF($B$21&lt;=N1086,1,0),0)</f>
        <v>0</v>
      </c>
      <c r="Q1086" s="58" t="n">
        <f aca="false">Q1085+N1086</f>
        <v>989.13386082804</v>
      </c>
    </row>
    <row r="1087" customFormat="false" ht="15" hidden="false" customHeight="false" outlineLevel="0" collapsed="false">
      <c r="K1087" s="56" t="n">
        <f aca="false">K1086+1</f>
        <v>1080</v>
      </c>
      <c r="L1087" s="57" t="n">
        <f aca="false">IF(AND(K1087&lt;=Assumptions!$C$42,L1086=1,P1086=0,O1086&gt;Assumptions!$C$43),1,0)</f>
        <v>0</v>
      </c>
      <c r="M1087" s="58" t="n">
        <f aca="false">O1086</f>
        <v>-10.8661391719591</v>
      </c>
      <c r="N1087" s="58" t="n">
        <f aca="false">IF(L1087=1,M1087*$B$20,0)</f>
        <v>0</v>
      </c>
      <c r="O1087" s="58" t="n">
        <f aca="false">IF(L1087=1,M1087+N1087-$B$21,M1087)</f>
        <v>-10.8661391719591</v>
      </c>
      <c r="P1087" s="56" t="n">
        <f aca="false">IF(L1087=1,IF($B$21&lt;=N1087,1,0),0)</f>
        <v>0</v>
      </c>
      <c r="Q1087" s="58" t="n">
        <f aca="false">Q1086+N1087</f>
        <v>989.13386082804</v>
      </c>
    </row>
    <row r="1088" customFormat="false" ht="15" hidden="false" customHeight="false" outlineLevel="0" collapsed="false">
      <c r="K1088" s="56" t="n">
        <f aca="false">K1087+1</f>
        <v>1081</v>
      </c>
      <c r="L1088" s="57" t="n">
        <f aca="false">IF(AND(K1088&lt;=Assumptions!$C$42,L1087=1,P1087=0,O1087&gt;Assumptions!$C$43),1,0)</f>
        <v>0</v>
      </c>
      <c r="M1088" s="58" t="n">
        <f aca="false">O1087</f>
        <v>-10.8661391719591</v>
      </c>
      <c r="N1088" s="58" t="n">
        <f aca="false">IF(L1088=1,M1088*$B$20,0)</f>
        <v>0</v>
      </c>
      <c r="O1088" s="58" t="n">
        <f aca="false">IF(L1088=1,M1088+N1088-$B$21,M1088)</f>
        <v>-10.8661391719591</v>
      </c>
      <c r="P1088" s="56" t="n">
        <f aca="false">IF(L1088=1,IF($B$21&lt;=N1088,1,0),0)</f>
        <v>0</v>
      </c>
      <c r="Q1088" s="58" t="n">
        <f aca="false">Q1087+N1088</f>
        <v>989.13386082804</v>
      </c>
    </row>
    <row r="1089" customFormat="false" ht="15" hidden="false" customHeight="false" outlineLevel="0" collapsed="false">
      <c r="K1089" s="56" t="n">
        <f aca="false">K1088+1</f>
        <v>1082</v>
      </c>
      <c r="L1089" s="57" t="n">
        <f aca="false">IF(AND(K1089&lt;=Assumptions!$C$42,L1088=1,P1088=0,O1088&gt;Assumptions!$C$43),1,0)</f>
        <v>0</v>
      </c>
      <c r="M1089" s="58" t="n">
        <f aca="false">O1088</f>
        <v>-10.8661391719591</v>
      </c>
      <c r="N1089" s="58" t="n">
        <f aca="false">IF(L1089=1,M1089*$B$20,0)</f>
        <v>0</v>
      </c>
      <c r="O1089" s="58" t="n">
        <f aca="false">IF(L1089=1,M1089+N1089-$B$21,M1089)</f>
        <v>-10.8661391719591</v>
      </c>
      <c r="P1089" s="56" t="n">
        <f aca="false">IF(L1089=1,IF($B$21&lt;=N1089,1,0),0)</f>
        <v>0</v>
      </c>
      <c r="Q1089" s="58" t="n">
        <f aca="false">Q1088+N1089</f>
        <v>989.13386082804</v>
      </c>
    </row>
    <row r="1090" customFormat="false" ht="15" hidden="false" customHeight="false" outlineLevel="0" collapsed="false">
      <c r="K1090" s="56" t="n">
        <f aca="false">K1089+1</f>
        <v>1083</v>
      </c>
      <c r="L1090" s="57" t="n">
        <f aca="false">IF(AND(K1090&lt;=Assumptions!$C$42,L1089=1,P1089=0,O1089&gt;Assumptions!$C$43),1,0)</f>
        <v>0</v>
      </c>
      <c r="M1090" s="58" t="n">
        <f aca="false">O1089</f>
        <v>-10.8661391719591</v>
      </c>
      <c r="N1090" s="58" t="n">
        <f aca="false">IF(L1090=1,M1090*$B$20,0)</f>
        <v>0</v>
      </c>
      <c r="O1090" s="58" t="n">
        <f aca="false">IF(L1090=1,M1090+N1090-$B$21,M1090)</f>
        <v>-10.8661391719591</v>
      </c>
      <c r="P1090" s="56" t="n">
        <f aca="false">IF(L1090=1,IF($B$21&lt;=N1090,1,0),0)</f>
        <v>0</v>
      </c>
      <c r="Q1090" s="58" t="n">
        <f aca="false">Q1089+N1090</f>
        <v>989.13386082804</v>
      </c>
    </row>
    <row r="1091" customFormat="false" ht="15" hidden="false" customHeight="false" outlineLevel="0" collapsed="false">
      <c r="K1091" s="56" t="n">
        <f aca="false">K1090+1</f>
        <v>1084</v>
      </c>
      <c r="L1091" s="57" t="n">
        <f aca="false">IF(AND(K1091&lt;=Assumptions!$C$42,L1090=1,P1090=0,O1090&gt;Assumptions!$C$43),1,0)</f>
        <v>0</v>
      </c>
      <c r="M1091" s="58" t="n">
        <f aca="false">O1090</f>
        <v>-10.8661391719591</v>
      </c>
      <c r="N1091" s="58" t="n">
        <f aca="false">IF(L1091=1,M1091*$B$20,0)</f>
        <v>0</v>
      </c>
      <c r="O1091" s="58" t="n">
        <f aca="false">IF(L1091=1,M1091+N1091-$B$21,M1091)</f>
        <v>-10.8661391719591</v>
      </c>
      <c r="P1091" s="56" t="n">
        <f aca="false">IF(L1091=1,IF($B$21&lt;=N1091,1,0),0)</f>
        <v>0</v>
      </c>
      <c r="Q1091" s="58" t="n">
        <f aca="false">Q1090+N1091</f>
        <v>989.13386082804</v>
      </c>
    </row>
    <row r="1092" customFormat="false" ht="15" hidden="false" customHeight="false" outlineLevel="0" collapsed="false">
      <c r="K1092" s="56" t="n">
        <f aca="false">K1091+1</f>
        <v>1085</v>
      </c>
      <c r="L1092" s="57" t="n">
        <f aca="false">IF(AND(K1092&lt;=Assumptions!$C$42,L1091=1,P1091=0,O1091&gt;Assumptions!$C$43),1,0)</f>
        <v>0</v>
      </c>
      <c r="M1092" s="58" t="n">
        <f aca="false">O1091</f>
        <v>-10.8661391719591</v>
      </c>
      <c r="N1092" s="58" t="n">
        <f aca="false">IF(L1092=1,M1092*$B$20,0)</f>
        <v>0</v>
      </c>
      <c r="O1092" s="58" t="n">
        <f aca="false">IF(L1092=1,M1092+N1092-$B$21,M1092)</f>
        <v>-10.8661391719591</v>
      </c>
      <c r="P1092" s="56" t="n">
        <f aca="false">IF(L1092=1,IF($B$21&lt;=N1092,1,0),0)</f>
        <v>0</v>
      </c>
      <c r="Q1092" s="58" t="n">
        <f aca="false">Q1091+N1092</f>
        <v>989.13386082804</v>
      </c>
    </row>
    <row r="1093" customFormat="false" ht="15" hidden="false" customHeight="false" outlineLevel="0" collapsed="false">
      <c r="K1093" s="56" t="n">
        <f aca="false">K1092+1</f>
        <v>1086</v>
      </c>
      <c r="L1093" s="57" t="n">
        <f aca="false">IF(AND(K1093&lt;=Assumptions!$C$42,L1092=1,P1092=0,O1092&gt;Assumptions!$C$43),1,0)</f>
        <v>0</v>
      </c>
      <c r="M1093" s="58" t="n">
        <f aca="false">O1092</f>
        <v>-10.8661391719591</v>
      </c>
      <c r="N1093" s="58" t="n">
        <f aca="false">IF(L1093=1,M1093*$B$20,0)</f>
        <v>0</v>
      </c>
      <c r="O1093" s="58" t="n">
        <f aca="false">IF(L1093=1,M1093+N1093-$B$21,M1093)</f>
        <v>-10.8661391719591</v>
      </c>
      <c r="P1093" s="56" t="n">
        <f aca="false">IF(L1093=1,IF($B$21&lt;=N1093,1,0),0)</f>
        <v>0</v>
      </c>
      <c r="Q1093" s="58" t="n">
        <f aca="false">Q1092+N1093</f>
        <v>989.13386082804</v>
      </c>
    </row>
    <row r="1094" customFormat="false" ht="15" hidden="false" customHeight="false" outlineLevel="0" collapsed="false">
      <c r="K1094" s="56" t="n">
        <f aca="false">K1093+1</f>
        <v>1087</v>
      </c>
      <c r="L1094" s="57" t="n">
        <f aca="false">IF(AND(K1094&lt;=Assumptions!$C$42,L1093=1,P1093=0,O1093&gt;Assumptions!$C$43),1,0)</f>
        <v>0</v>
      </c>
      <c r="M1094" s="58" t="n">
        <f aca="false">O1093</f>
        <v>-10.8661391719591</v>
      </c>
      <c r="N1094" s="58" t="n">
        <f aca="false">IF(L1094=1,M1094*$B$20,0)</f>
        <v>0</v>
      </c>
      <c r="O1094" s="58" t="n">
        <f aca="false">IF(L1094=1,M1094+N1094-$B$21,M1094)</f>
        <v>-10.8661391719591</v>
      </c>
      <c r="P1094" s="56" t="n">
        <f aca="false">IF(L1094=1,IF($B$21&lt;=N1094,1,0),0)</f>
        <v>0</v>
      </c>
      <c r="Q1094" s="58" t="n">
        <f aca="false">Q1093+N1094</f>
        <v>989.13386082804</v>
      </c>
    </row>
    <row r="1095" customFormat="false" ht="15" hidden="false" customHeight="false" outlineLevel="0" collapsed="false">
      <c r="K1095" s="56" t="n">
        <f aca="false">K1094+1</f>
        <v>1088</v>
      </c>
      <c r="L1095" s="57" t="n">
        <f aca="false">IF(AND(K1095&lt;=Assumptions!$C$42,L1094=1,P1094=0,O1094&gt;Assumptions!$C$43),1,0)</f>
        <v>0</v>
      </c>
      <c r="M1095" s="58" t="n">
        <f aca="false">O1094</f>
        <v>-10.8661391719591</v>
      </c>
      <c r="N1095" s="58" t="n">
        <f aca="false">IF(L1095=1,M1095*$B$20,0)</f>
        <v>0</v>
      </c>
      <c r="O1095" s="58" t="n">
        <f aca="false">IF(L1095=1,M1095+N1095-$B$21,M1095)</f>
        <v>-10.8661391719591</v>
      </c>
      <c r="P1095" s="56" t="n">
        <f aca="false">IF(L1095=1,IF($B$21&lt;=N1095,1,0),0)</f>
        <v>0</v>
      </c>
      <c r="Q1095" s="58" t="n">
        <f aca="false">Q1094+N1095</f>
        <v>989.13386082804</v>
      </c>
    </row>
    <row r="1096" customFormat="false" ht="15" hidden="false" customHeight="false" outlineLevel="0" collapsed="false">
      <c r="K1096" s="56" t="n">
        <f aca="false">K1095+1</f>
        <v>1089</v>
      </c>
      <c r="L1096" s="57" t="n">
        <f aca="false">IF(AND(K1096&lt;=Assumptions!$C$42,L1095=1,P1095=0,O1095&gt;Assumptions!$C$43),1,0)</f>
        <v>0</v>
      </c>
      <c r="M1096" s="58" t="n">
        <f aca="false">O1095</f>
        <v>-10.8661391719591</v>
      </c>
      <c r="N1096" s="58" t="n">
        <f aca="false">IF(L1096=1,M1096*$B$20,0)</f>
        <v>0</v>
      </c>
      <c r="O1096" s="58" t="n">
        <f aca="false">IF(L1096=1,M1096+N1096-$B$21,M1096)</f>
        <v>-10.8661391719591</v>
      </c>
      <c r="P1096" s="56" t="n">
        <f aca="false">IF(L1096=1,IF($B$21&lt;=N1096,1,0),0)</f>
        <v>0</v>
      </c>
      <c r="Q1096" s="58" t="n">
        <f aca="false">Q1095+N1096</f>
        <v>989.13386082804</v>
      </c>
    </row>
    <row r="1097" customFormat="false" ht="15" hidden="false" customHeight="false" outlineLevel="0" collapsed="false">
      <c r="K1097" s="56" t="n">
        <f aca="false">K1096+1</f>
        <v>1090</v>
      </c>
      <c r="L1097" s="57" t="n">
        <f aca="false">IF(AND(K1097&lt;=Assumptions!$C$42,L1096=1,P1096=0,O1096&gt;Assumptions!$C$43),1,0)</f>
        <v>0</v>
      </c>
      <c r="M1097" s="58" t="n">
        <f aca="false">O1096</f>
        <v>-10.8661391719591</v>
      </c>
      <c r="N1097" s="58" t="n">
        <f aca="false">IF(L1097=1,M1097*$B$20,0)</f>
        <v>0</v>
      </c>
      <c r="O1097" s="58" t="n">
        <f aca="false">IF(L1097=1,M1097+N1097-$B$21,M1097)</f>
        <v>-10.8661391719591</v>
      </c>
      <c r="P1097" s="56" t="n">
        <f aca="false">IF(L1097=1,IF($B$21&lt;=N1097,1,0),0)</f>
        <v>0</v>
      </c>
      <c r="Q1097" s="58" t="n">
        <f aca="false">Q1096+N1097</f>
        <v>989.13386082804</v>
      </c>
    </row>
    <row r="1098" customFormat="false" ht="15" hidden="false" customHeight="false" outlineLevel="0" collapsed="false">
      <c r="K1098" s="56" t="n">
        <f aca="false">K1097+1</f>
        <v>1091</v>
      </c>
      <c r="L1098" s="57" t="n">
        <f aca="false">IF(AND(K1098&lt;=Assumptions!$C$42,L1097=1,P1097=0,O1097&gt;Assumptions!$C$43),1,0)</f>
        <v>0</v>
      </c>
      <c r="M1098" s="58" t="n">
        <f aca="false">O1097</f>
        <v>-10.8661391719591</v>
      </c>
      <c r="N1098" s="58" t="n">
        <f aca="false">IF(L1098=1,M1098*$B$20,0)</f>
        <v>0</v>
      </c>
      <c r="O1098" s="58" t="n">
        <f aca="false">IF(L1098=1,M1098+N1098-$B$21,M1098)</f>
        <v>-10.8661391719591</v>
      </c>
      <c r="P1098" s="56" t="n">
        <f aca="false">IF(L1098=1,IF($B$21&lt;=N1098,1,0),0)</f>
        <v>0</v>
      </c>
      <c r="Q1098" s="58" t="n">
        <f aca="false">Q1097+N1098</f>
        <v>989.13386082804</v>
      </c>
    </row>
    <row r="1099" customFormat="false" ht="15" hidden="false" customHeight="false" outlineLevel="0" collapsed="false">
      <c r="K1099" s="56" t="n">
        <f aca="false">K1098+1</f>
        <v>1092</v>
      </c>
      <c r="L1099" s="57" t="n">
        <f aca="false">IF(AND(K1099&lt;=Assumptions!$C$42,L1098=1,P1098=0,O1098&gt;Assumptions!$C$43),1,0)</f>
        <v>0</v>
      </c>
      <c r="M1099" s="58" t="n">
        <f aca="false">O1098</f>
        <v>-10.8661391719591</v>
      </c>
      <c r="N1099" s="58" t="n">
        <f aca="false">IF(L1099=1,M1099*$B$20,0)</f>
        <v>0</v>
      </c>
      <c r="O1099" s="58" t="n">
        <f aca="false">IF(L1099=1,M1099+N1099-$B$21,M1099)</f>
        <v>-10.8661391719591</v>
      </c>
      <c r="P1099" s="56" t="n">
        <f aca="false">IF(L1099=1,IF($B$21&lt;=N1099,1,0),0)</f>
        <v>0</v>
      </c>
      <c r="Q1099" s="58" t="n">
        <f aca="false">Q1098+N1099</f>
        <v>989.13386082804</v>
      </c>
    </row>
    <row r="1100" customFormat="false" ht="15" hidden="false" customHeight="false" outlineLevel="0" collapsed="false">
      <c r="K1100" s="56" t="n">
        <f aca="false">K1099+1</f>
        <v>1093</v>
      </c>
      <c r="L1100" s="57" t="n">
        <f aca="false">IF(AND(K1100&lt;=Assumptions!$C$42,L1099=1,P1099=0,O1099&gt;Assumptions!$C$43),1,0)</f>
        <v>0</v>
      </c>
      <c r="M1100" s="58" t="n">
        <f aca="false">O1099</f>
        <v>-10.8661391719591</v>
      </c>
      <c r="N1100" s="58" t="n">
        <f aca="false">IF(L1100=1,M1100*$B$20,0)</f>
        <v>0</v>
      </c>
      <c r="O1100" s="58" t="n">
        <f aca="false">IF(L1100=1,M1100+N1100-$B$21,M1100)</f>
        <v>-10.8661391719591</v>
      </c>
      <c r="P1100" s="56" t="n">
        <f aca="false">IF(L1100=1,IF($B$21&lt;=N1100,1,0),0)</f>
        <v>0</v>
      </c>
      <c r="Q1100" s="58" t="n">
        <f aca="false">Q1099+N1100</f>
        <v>989.13386082804</v>
      </c>
    </row>
    <row r="1101" customFormat="false" ht="15" hidden="false" customHeight="false" outlineLevel="0" collapsed="false">
      <c r="K1101" s="56" t="n">
        <f aca="false">K1100+1</f>
        <v>1094</v>
      </c>
      <c r="L1101" s="57" t="n">
        <f aca="false">IF(AND(K1101&lt;=Assumptions!$C$42,L1100=1,P1100=0,O1100&gt;Assumptions!$C$43),1,0)</f>
        <v>0</v>
      </c>
      <c r="M1101" s="58" t="n">
        <f aca="false">O1100</f>
        <v>-10.8661391719591</v>
      </c>
      <c r="N1101" s="58" t="n">
        <f aca="false">IF(L1101=1,M1101*$B$20,0)</f>
        <v>0</v>
      </c>
      <c r="O1101" s="58" t="n">
        <f aca="false">IF(L1101=1,M1101+N1101-$B$21,M1101)</f>
        <v>-10.8661391719591</v>
      </c>
      <c r="P1101" s="56" t="n">
        <f aca="false">IF(L1101=1,IF($B$21&lt;=N1101,1,0),0)</f>
        <v>0</v>
      </c>
      <c r="Q1101" s="58" t="n">
        <f aca="false">Q1100+N1101</f>
        <v>989.13386082804</v>
      </c>
    </row>
    <row r="1102" customFormat="false" ht="15" hidden="false" customHeight="false" outlineLevel="0" collapsed="false">
      <c r="K1102" s="56" t="n">
        <f aca="false">K1101+1</f>
        <v>1095</v>
      </c>
      <c r="L1102" s="57" t="n">
        <f aca="false">IF(AND(K1102&lt;=Assumptions!$C$42,L1101=1,P1101=0,O1101&gt;Assumptions!$C$43),1,0)</f>
        <v>0</v>
      </c>
      <c r="M1102" s="58" t="n">
        <f aca="false">O1101</f>
        <v>-10.8661391719591</v>
      </c>
      <c r="N1102" s="58" t="n">
        <f aca="false">IF(L1102=1,M1102*$B$20,0)</f>
        <v>0</v>
      </c>
      <c r="O1102" s="58" t="n">
        <f aca="false">IF(L1102=1,M1102+N1102-$B$21,M1102)</f>
        <v>-10.8661391719591</v>
      </c>
      <c r="P1102" s="56" t="n">
        <f aca="false">IF(L1102=1,IF($B$21&lt;=N1102,1,0),0)</f>
        <v>0</v>
      </c>
      <c r="Q1102" s="58" t="n">
        <f aca="false">Q1101+N1102</f>
        <v>989.13386082804</v>
      </c>
    </row>
    <row r="1103" customFormat="false" ht="15" hidden="false" customHeight="false" outlineLevel="0" collapsed="false">
      <c r="K1103" s="56" t="n">
        <f aca="false">K1102+1</f>
        <v>1096</v>
      </c>
      <c r="L1103" s="57" t="n">
        <f aca="false">IF(AND(K1103&lt;=Assumptions!$C$42,L1102=1,P1102=0,O1102&gt;Assumptions!$C$43),1,0)</f>
        <v>0</v>
      </c>
      <c r="M1103" s="58" t="n">
        <f aca="false">O1102</f>
        <v>-10.8661391719591</v>
      </c>
      <c r="N1103" s="58" t="n">
        <f aca="false">IF(L1103=1,M1103*$B$20,0)</f>
        <v>0</v>
      </c>
      <c r="O1103" s="58" t="n">
        <f aca="false">IF(L1103=1,M1103+N1103-$B$21,M1103)</f>
        <v>-10.8661391719591</v>
      </c>
      <c r="P1103" s="56" t="n">
        <f aca="false">IF(L1103=1,IF($B$21&lt;=N1103,1,0),0)</f>
        <v>0</v>
      </c>
      <c r="Q1103" s="58" t="n">
        <f aca="false">Q1102+N1103</f>
        <v>989.13386082804</v>
      </c>
    </row>
    <row r="1104" customFormat="false" ht="15" hidden="false" customHeight="false" outlineLevel="0" collapsed="false">
      <c r="K1104" s="56" t="n">
        <f aca="false">K1103+1</f>
        <v>1097</v>
      </c>
      <c r="L1104" s="57" t="n">
        <f aca="false">IF(AND(K1104&lt;=Assumptions!$C$42,L1103=1,P1103=0,O1103&gt;Assumptions!$C$43),1,0)</f>
        <v>0</v>
      </c>
      <c r="M1104" s="58" t="n">
        <f aca="false">O1103</f>
        <v>-10.8661391719591</v>
      </c>
      <c r="N1104" s="58" t="n">
        <f aca="false">IF(L1104=1,M1104*$B$20,0)</f>
        <v>0</v>
      </c>
      <c r="O1104" s="58" t="n">
        <f aca="false">IF(L1104=1,M1104+N1104-$B$21,M1104)</f>
        <v>-10.8661391719591</v>
      </c>
      <c r="P1104" s="56" t="n">
        <f aca="false">IF(L1104=1,IF($B$21&lt;=N1104,1,0),0)</f>
        <v>0</v>
      </c>
      <c r="Q1104" s="58" t="n">
        <f aca="false">Q1103+N1104</f>
        <v>989.13386082804</v>
      </c>
    </row>
    <row r="1105" customFormat="false" ht="15" hidden="false" customHeight="false" outlineLevel="0" collapsed="false">
      <c r="K1105" s="56" t="n">
        <f aca="false">K1104+1</f>
        <v>1098</v>
      </c>
      <c r="L1105" s="57" t="n">
        <f aca="false">IF(AND(K1105&lt;=Assumptions!$C$42,L1104=1,P1104=0,O1104&gt;Assumptions!$C$43),1,0)</f>
        <v>0</v>
      </c>
      <c r="M1105" s="58" t="n">
        <f aca="false">O1104</f>
        <v>-10.8661391719591</v>
      </c>
      <c r="N1105" s="58" t="n">
        <f aca="false">IF(L1105=1,M1105*$B$20,0)</f>
        <v>0</v>
      </c>
      <c r="O1105" s="58" t="n">
        <f aca="false">IF(L1105=1,M1105+N1105-$B$21,M1105)</f>
        <v>-10.8661391719591</v>
      </c>
      <c r="P1105" s="56" t="n">
        <f aca="false">IF(L1105=1,IF($B$21&lt;=N1105,1,0),0)</f>
        <v>0</v>
      </c>
      <c r="Q1105" s="58" t="n">
        <f aca="false">Q1104+N1105</f>
        <v>989.13386082804</v>
      </c>
    </row>
    <row r="1106" customFormat="false" ht="15" hidden="false" customHeight="false" outlineLevel="0" collapsed="false">
      <c r="K1106" s="56" t="n">
        <f aca="false">K1105+1</f>
        <v>1099</v>
      </c>
      <c r="L1106" s="57" t="n">
        <f aca="false">IF(AND(K1106&lt;=Assumptions!$C$42,L1105=1,P1105=0,O1105&gt;Assumptions!$C$43),1,0)</f>
        <v>0</v>
      </c>
      <c r="M1106" s="58" t="n">
        <f aca="false">O1105</f>
        <v>-10.8661391719591</v>
      </c>
      <c r="N1106" s="58" t="n">
        <f aca="false">IF(L1106=1,M1106*$B$20,0)</f>
        <v>0</v>
      </c>
      <c r="O1106" s="58" t="n">
        <f aca="false">IF(L1106=1,M1106+N1106-$B$21,M1106)</f>
        <v>-10.8661391719591</v>
      </c>
      <c r="P1106" s="56" t="n">
        <f aca="false">IF(L1106=1,IF($B$21&lt;=N1106,1,0),0)</f>
        <v>0</v>
      </c>
      <c r="Q1106" s="58" t="n">
        <f aca="false">Q1105+N1106</f>
        <v>989.13386082804</v>
      </c>
    </row>
    <row r="1107" customFormat="false" ht="15" hidden="false" customHeight="false" outlineLevel="0" collapsed="false">
      <c r="K1107" s="56" t="n">
        <f aca="false">K1106+1</f>
        <v>1100</v>
      </c>
      <c r="L1107" s="57" t="n">
        <f aca="false">IF(AND(K1107&lt;=Assumptions!$C$42,L1106=1,P1106=0,O1106&gt;Assumptions!$C$43),1,0)</f>
        <v>0</v>
      </c>
      <c r="M1107" s="58" t="n">
        <f aca="false">O1106</f>
        <v>-10.8661391719591</v>
      </c>
      <c r="N1107" s="58" t="n">
        <f aca="false">IF(L1107=1,M1107*$B$20,0)</f>
        <v>0</v>
      </c>
      <c r="O1107" s="58" t="n">
        <f aca="false">IF(L1107=1,M1107+N1107-$B$21,M1107)</f>
        <v>-10.8661391719591</v>
      </c>
      <c r="P1107" s="56" t="n">
        <f aca="false">IF(L1107=1,IF($B$21&lt;=N1107,1,0),0)</f>
        <v>0</v>
      </c>
      <c r="Q1107" s="58" t="n">
        <f aca="false">Q1106+N1107</f>
        <v>989.13386082804</v>
      </c>
    </row>
    <row r="1108" customFormat="false" ht="15" hidden="false" customHeight="false" outlineLevel="0" collapsed="false">
      <c r="K1108" s="56" t="n">
        <f aca="false">K1107+1</f>
        <v>1101</v>
      </c>
      <c r="L1108" s="57" t="n">
        <f aca="false">IF(AND(K1108&lt;=Assumptions!$C$42,L1107=1,P1107=0,O1107&gt;Assumptions!$C$43),1,0)</f>
        <v>0</v>
      </c>
      <c r="M1108" s="58" t="n">
        <f aca="false">O1107</f>
        <v>-10.8661391719591</v>
      </c>
      <c r="N1108" s="58" t="n">
        <f aca="false">IF(L1108=1,M1108*$B$20,0)</f>
        <v>0</v>
      </c>
      <c r="O1108" s="58" t="n">
        <f aca="false">IF(L1108=1,M1108+N1108-$B$21,M1108)</f>
        <v>-10.8661391719591</v>
      </c>
      <c r="P1108" s="56" t="n">
        <f aca="false">IF(L1108=1,IF($B$21&lt;=N1108,1,0),0)</f>
        <v>0</v>
      </c>
      <c r="Q1108" s="58" t="n">
        <f aca="false">Q1107+N1108</f>
        <v>989.13386082804</v>
      </c>
    </row>
    <row r="1109" customFormat="false" ht="15" hidden="false" customHeight="false" outlineLevel="0" collapsed="false">
      <c r="K1109" s="56" t="n">
        <f aca="false">K1108+1</f>
        <v>1102</v>
      </c>
      <c r="L1109" s="57" t="n">
        <f aca="false">IF(AND(K1109&lt;=Assumptions!$C$42,L1108=1,P1108=0,O1108&gt;Assumptions!$C$43),1,0)</f>
        <v>0</v>
      </c>
      <c r="M1109" s="58" t="n">
        <f aca="false">O1108</f>
        <v>-10.8661391719591</v>
      </c>
      <c r="N1109" s="58" t="n">
        <f aca="false">IF(L1109=1,M1109*$B$20,0)</f>
        <v>0</v>
      </c>
      <c r="O1109" s="58" t="n">
        <f aca="false">IF(L1109=1,M1109+N1109-$B$21,M1109)</f>
        <v>-10.8661391719591</v>
      </c>
      <c r="P1109" s="56" t="n">
        <f aca="false">IF(L1109=1,IF($B$21&lt;=N1109,1,0),0)</f>
        <v>0</v>
      </c>
      <c r="Q1109" s="58" t="n">
        <f aca="false">Q1108+N1109</f>
        <v>989.13386082804</v>
      </c>
    </row>
    <row r="1110" customFormat="false" ht="15" hidden="false" customHeight="false" outlineLevel="0" collapsed="false">
      <c r="K1110" s="56" t="n">
        <f aca="false">K1109+1</f>
        <v>1103</v>
      </c>
      <c r="L1110" s="57" t="n">
        <f aca="false">IF(AND(K1110&lt;=Assumptions!$C$42,L1109=1,P1109=0,O1109&gt;Assumptions!$C$43),1,0)</f>
        <v>0</v>
      </c>
      <c r="M1110" s="58" t="n">
        <f aca="false">O1109</f>
        <v>-10.8661391719591</v>
      </c>
      <c r="N1110" s="58" t="n">
        <f aca="false">IF(L1110=1,M1110*$B$20,0)</f>
        <v>0</v>
      </c>
      <c r="O1110" s="58" t="n">
        <f aca="false">IF(L1110=1,M1110+N1110-$B$21,M1110)</f>
        <v>-10.8661391719591</v>
      </c>
      <c r="P1110" s="56" t="n">
        <f aca="false">IF(L1110=1,IF($B$21&lt;=N1110,1,0),0)</f>
        <v>0</v>
      </c>
      <c r="Q1110" s="58" t="n">
        <f aca="false">Q1109+N1110</f>
        <v>989.13386082804</v>
      </c>
    </row>
    <row r="1111" customFormat="false" ht="15" hidden="false" customHeight="false" outlineLevel="0" collapsed="false">
      <c r="K1111" s="56" t="n">
        <f aca="false">K1110+1</f>
        <v>1104</v>
      </c>
      <c r="L1111" s="57" t="n">
        <f aca="false">IF(AND(K1111&lt;=Assumptions!$C$42,L1110=1,P1110=0,O1110&gt;Assumptions!$C$43),1,0)</f>
        <v>0</v>
      </c>
      <c r="M1111" s="58" t="n">
        <f aca="false">O1110</f>
        <v>-10.8661391719591</v>
      </c>
      <c r="N1111" s="58" t="n">
        <f aca="false">IF(L1111=1,M1111*$B$20,0)</f>
        <v>0</v>
      </c>
      <c r="O1111" s="58" t="n">
        <f aca="false">IF(L1111=1,M1111+N1111-$B$21,M1111)</f>
        <v>-10.8661391719591</v>
      </c>
      <c r="P1111" s="56" t="n">
        <f aca="false">IF(L1111=1,IF($B$21&lt;=N1111,1,0),0)</f>
        <v>0</v>
      </c>
      <c r="Q1111" s="58" t="n">
        <f aca="false">Q1110+N1111</f>
        <v>989.13386082804</v>
      </c>
    </row>
    <row r="1112" customFormat="false" ht="15" hidden="false" customHeight="false" outlineLevel="0" collapsed="false">
      <c r="K1112" s="56" t="n">
        <f aca="false">K1111+1</f>
        <v>1105</v>
      </c>
      <c r="L1112" s="57" t="n">
        <f aca="false">IF(AND(K1112&lt;=Assumptions!$C$42,L1111=1,P1111=0,O1111&gt;Assumptions!$C$43),1,0)</f>
        <v>0</v>
      </c>
      <c r="M1112" s="58" t="n">
        <f aca="false">O1111</f>
        <v>-10.8661391719591</v>
      </c>
      <c r="N1112" s="58" t="n">
        <f aca="false">IF(L1112=1,M1112*$B$20,0)</f>
        <v>0</v>
      </c>
      <c r="O1112" s="58" t="n">
        <f aca="false">IF(L1112=1,M1112+N1112-$B$21,M1112)</f>
        <v>-10.8661391719591</v>
      </c>
      <c r="P1112" s="56" t="n">
        <f aca="false">IF(L1112=1,IF($B$21&lt;=N1112,1,0),0)</f>
        <v>0</v>
      </c>
      <c r="Q1112" s="58" t="n">
        <f aca="false">Q1111+N1112</f>
        <v>989.13386082804</v>
      </c>
    </row>
    <row r="1113" customFormat="false" ht="15" hidden="false" customHeight="false" outlineLevel="0" collapsed="false">
      <c r="K1113" s="56" t="n">
        <f aca="false">K1112+1</f>
        <v>1106</v>
      </c>
      <c r="L1113" s="57" t="n">
        <f aca="false">IF(AND(K1113&lt;=Assumptions!$C$42,L1112=1,P1112=0,O1112&gt;Assumptions!$C$43),1,0)</f>
        <v>0</v>
      </c>
      <c r="M1113" s="58" t="n">
        <f aca="false">O1112</f>
        <v>-10.8661391719591</v>
      </c>
      <c r="N1113" s="58" t="n">
        <f aca="false">IF(L1113=1,M1113*$B$20,0)</f>
        <v>0</v>
      </c>
      <c r="O1113" s="58" t="n">
        <f aca="false">IF(L1113=1,M1113+N1113-$B$21,M1113)</f>
        <v>-10.8661391719591</v>
      </c>
      <c r="P1113" s="56" t="n">
        <f aca="false">IF(L1113=1,IF($B$21&lt;=N1113,1,0),0)</f>
        <v>0</v>
      </c>
      <c r="Q1113" s="58" t="n">
        <f aca="false">Q1112+N1113</f>
        <v>989.13386082804</v>
      </c>
    </row>
    <row r="1114" customFormat="false" ht="15" hidden="false" customHeight="false" outlineLevel="0" collapsed="false">
      <c r="K1114" s="56" t="n">
        <f aca="false">K1113+1</f>
        <v>1107</v>
      </c>
      <c r="L1114" s="57" t="n">
        <f aca="false">IF(AND(K1114&lt;=Assumptions!$C$42,L1113=1,P1113=0,O1113&gt;Assumptions!$C$43),1,0)</f>
        <v>0</v>
      </c>
      <c r="M1114" s="58" t="n">
        <f aca="false">O1113</f>
        <v>-10.8661391719591</v>
      </c>
      <c r="N1114" s="58" t="n">
        <f aca="false">IF(L1114=1,M1114*$B$20,0)</f>
        <v>0</v>
      </c>
      <c r="O1114" s="58" t="n">
        <f aca="false">IF(L1114=1,M1114+N1114-$B$21,M1114)</f>
        <v>-10.8661391719591</v>
      </c>
      <c r="P1114" s="56" t="n">
        <f aca="false">IF(L1114=1,IF($B$21&lt;=N1114,1,0),0)</f>
        <v>0</v>
      </c>
      <c r="Q1114" s="58" t="n">
        <f aca="false">Q1113+N1114</f>
        <v>989.13386082804</v>
      </c>
    </row>
    <row r="1115" customFormat="false" ht="15" hidden="false" customHeight="false" outlineLevel="0" collapsed="false">
      <c r="K1115" s="56" t="n">
        <f aca="false">K1114+1</f>
        <v>1108</v>
      </c>
      <c r="L1115" s="57" t="n">
        <f aca="false">IF(AND(K1115&lt;=Assumptions!$C$42,L1114=1,P1114=0,O1114&gt;Assumptions!$C$43),1,0)</f>
        <v>0</v>
      </c>
      <c r="M1115" s="58" t="n">
        <f aca="false">O1114</f>
        <v>-10.8661391719591</v>
      </c>
      <c r="N1115" s="58" t="n">
        <f aca="false">IF(L1115=1,M1115*$B$20,0)</f>
        <v>0</v>
      </c>
      <c r="O1115" s="58" t="n">
        <f aca="false">IF(L1115=1,M1115+N1115-$B$21,M1115)</f>
        <v>-10.8661391719591</v>
      </c>
      <c r="P1115" s="56" t="n">
        <f aca="false">IF(L1115=1,IF($B$21&lt;=N1115,1,0),0)</f>
        <v>0</v>
      </c>
      <c r="Q1115" s="58" t="n">
        <f aca="false">Q1114+N1115</f>
        <v>989.13386082804</v>
      </c>
    </row>
    <row r="1116" customFormat="false" ht="15" hidden="false" customHeight="false" outlineLevel="0" collapsed="false">
      <c r="K1116" s="56" t="n">
        <f aca="false">K1115+1</f>
        <v>1109</v>
      </c>
      <c r="L1116" s="57" t="n">
        <f aca="false">IF(AND(K1116&lt;=Assumptions!$C$42,L1115=1,P1115=0,O1115&gt;Assumptions!$C$43),1,0)</f>
        <v>0</v>
      </c>
      <c r="M1116" s="58" t="n">
        <f aca="false">O1115</f>
        <v>-10.8661391719591</v>
      </c>
      <c r="N1116" s="58" t="n">
        <f aca="false">IF(L1116=1,M1116*$B$20,0)</f>
        <v>0</v>
      </c>
      <c r="O1116" s="58" t="n">
        <f aca="false">IF(L1116=1,M1116+N1116-$B$21,M1116)</f>
        <v>-10.8661391719591</v>
      </c>
      <c r="P1116" s="56" t="n">
        <f aca="false">IF(L1116=1,IF($B$21&lt;=N1116,1,0),0)</f>
        <v>0</v>
      </c>
      <c r="Q1116" s="58" t="n">
        <f aca="false">Q1115+N1116</f>
        <v>989.13386082804</v>
      </c>
    </row>
    <row r="1117" customFormat="false" ht="15" hidden="false" customHeight="false" outlineLevel="0" collapsed="false">
      <c r="K1117" s="56" t="n">
        <f aca="false">K1116+1</f>
        <v>1110</v>
      </c>
      <c r="L1117" s="57" t="n">
        <f aca="false">IF(AND(K1117&lt;=Assumptions!$C$42,L1116=1,P1116=0,O1116&gt;Assumptions!$C$43),1,0)</f>
        <v>0</v>
      </c>
      <c r="M1117" s="58" t="n">
        <f aca="false">O1116</f>
        <v>-10.8661391719591</v>
      </c>
      <c r="N1117" s="58" t="n">
        <f aca="false">IF(L1117=1,M1117*$B$20,0)</f>
        <v>0</v>
      </c>
      <c r="O1117" s="58" t="n">
        <f aca="false">IF(L1117=1,M1117+N1117-$B$21,M1117)</f>
        <v>-10.8661391719591</v>
      </c>
      <c r="P1117" s="56" t="n">
        <f aca="false">IF(L1117=1,IF($B$21&lt;=N1117,1,0),0)</f>
        <v>0</v>
      </c>
      <c r="Q1117" s="58" t="n">
        <f aca="false">Q1116+N1117</f>
        <v>989.13386082804</v>
      </c>
    </row>
    <row r="1118" customFormat="false" ht="15" hidden="false" customHeight="false" outlineLevel="0" collapsed="false">
      <c r="K1118" s="56" t="n">
        <f aca="false">K1117+1</f>
        <v>1111</v>
      </c>
      <c r="L1118" s="57" t="n">
        <f aca="false">IF(AND(K1118&lt;=Assumptions!$C$42,L1117=1,P1117=0,O1117&gt;Assumptions!$C$43),1,0)</f>
        <v>0</v>
      </c>
      <c r="M1118" s="58" t="n">
        <f aca="false">O1117</f>
        <v>-10.8661391719591</v>
      </c>
      <c r="N1118" s="58" t="n">
        <f aca="false">IF(L1118=1,M1118*$B$20,0)</f>
        <v>0</v>
      </c>
      <c r="O1118" s="58" t="n">
        <f aca="false">IF(L1118=1,M1118+N1118-$B$21,M1118)</f>
        <v>-10.8661391719591</v>
      </c>
      <c r="P1118" s="56" t="n">
        <f aca="false">IF(L1118=1,IF($B$21&lt;=N1118,1,0),0)</f>
        <v>0</v>
      </c>
      <c r="Q1118" s="58" t="n">
        <f aca="false">Q1117+N1118</f>
        <v>989.13386082804</v>
      </c>
    </row>
    <row r="1119" customFormat="false" ht="15" hidden="false" customHeight="false" outlineLevel="0" collapsed="false">
      <c r="K1119" s="56" t="n">
        <f aca="false">K1118+1</f>
        <v>1112</v>
      </c>
      <c r="L1119" s="57" t="n">
        <f aca="false">IF(AND(K1119&lt;=Assumptions!$C$42,L1118=1,P1118=0,O1118&gt;Assumptions!$C$43),1,0)</f>
        <v>0</v>
      </c>
      <c r="M1119" s="58" t="n">
        <f aca="false">O1118</f>
        <v>-10.8661391719591</v>
      </c>
      <c r="N1119" s="58" t="n">
        <f aca="false">IF(L1119=1,M1119*$B$20,0)</f>
        <v>0</v>
      </c>
      <c r="O1119" s="58" t="n">
        <f aca="false">IF(L1119=1,M1119+N1119-$B$21,M1119)</f>
        <v>-10.8661391719591</v>
      </c>
      <c r="P1119" s="56" t="n">
        <f aca="false">IF(L1119=1,IF($B$21&lt;=N1119,1,0),0)</f>
        <v>0</v>
      </c>
      <c r="Q1119" s="58" t="n">
        <f aca="false">Q1118+N1119</f>
        <v>989.13386082804</v>
      </c>
    </row>
    <row r="1120" customFormat="false" ht="15" hidden="false" customHeight="false" outlineLevel="0" collapsed="false">
      <c r="K1120" s="56" t="n">
        <f aca="false">K1119+1</f>
        <v>1113</v>
      </c>
      <c r="L1120" s="57" t="n">
        <f aca="false">IF(AND(K1120&lt;=Assumptions!$C$42,L1119=1,P1119=0,O1119&gt;Assumptions!$C$43),1,0)</f>
        <v>0</v>
      </c>
      <c r="M1120" s="58" t="n">
        <f aca="false">O1119</f>
        <v>-10.8661391719591</v>
      </c>
      <c r="N1120" s="58" t="n">
        <f aca="false">IF(L1120=1,M1120*$B$20,0)</f>
        <v>0</v>
      </c>
      <c r="O1120" s="58" t="n">
        <f aca="false">IF(L1120=1,M1120+N1120-$B$21,M1120)</f>
        <v>-10.8661391719591</v>
      </c>
      <c r="P1120" s="56" t="n">
        <f aca="false">IF(L1120=1,IF($B$21&lt;=N1120,1,0),0)</f>
        <v>0</v>
      </c>
      <c r="Q1120" s="58" t="n">
        <f aca="false">Q1119+N1120</f>
        <v>989.13386082804</v>
      </c>
    </row>
    <row r="1121" customFormat="false" ht="15" hidden="false" customHeight="false" outlineLevel="0" collapsed="false">
      <c r="K1121" s="56" t="n">
        <f aca="false">K1120+1</f>
        <v>1114</v>
      </c>
      <c r="L1121" s="57" t="n">
        <f aca="false">IF(AND(K1121&lt;=Assumptions!$C$42,L1120=1,P1120=0,O1120&gt;Assumptions!$C$43),1,0)</f>
        <v>0</v>
      </c>
      <c r="M1121" s="58" t="n">
        <f aca="false">O1120</f>
        <v>-10.8661391719591</v>
      </c>
      <c r="N1121" s="58" t="n">
        <f aca="false">IF(L1121=1,M1121*$B$20,0)</f>
        <v>0</v>
      </c>
      <c r="O1121" s="58" t="n">
        <f aca="false">IF(L1121=1,M1121+N1121-$B$21,M1121)</f>
        <v>-10.8661391719591</v>
      </c>
      <c r="P1121" s="56" t="n">
        <f aca="false">IF(L1121=1,IF($B$21&lt;=N1121,1,0),0)</f>
        <v>0</v>
      </c>
      <c r="Q1121" s="58" t="n">
        <f aca="false">Q1120+N1121</f>
        <v>989.13386082804</v>
      </c>
    </row>
    <row r="1122" customFormat="false" ht="15" hidden="false" customHeight="false" outlineLevel="0" collapsed="false">
      <c r="K1122" s="56" t="n">
        <f aca="false">K1121+1</f>
        <v>1115</v>
      </c>
      <c r="L1122" s="57" t="n">
        <f aca="false">IF(AND(K1122&lt;=Assumptions!$C$42,L1121=1,P1121=0,O1121&gt;Assumptions!$C$43),1,0)</f>
        <v>0</v>
      </c>
      <c r="M1122" s="58" t="n">
        <f aca="false">O1121</f>
        <v>-10.8661391719591</v>
      </c>
      <c r="N1122" s="58" t="n">
        <f aca="false">IF(L1122=1,M1122*$B$20,0)</f>
        <v>0</v>
      </c>
      <c r="O1122" s="58" t="n">
        <f aca="false">IF(L1122=1,M1122+N1122-$B$21,M1122)</f>
        <v>-10.8661391719591</v>
      </c>
      <c r="P1122" s="56" t="n">
        <f aca="false">IF(L1122=1,IF($B$21&lt;=N1122,1,0),0)</f>
        <v>0</v>
      </c>
      <c r="Q1122" s="58" t="n">
        <f aca="false">Q1121+N1122</f>
        <v>989.13386082804</v>
      </c>
    </row>
    <row r="1123" customFormat="false" ht="15" hidden="false" customHeight="false" outlineLevel="0" collapsed="false">
      <c r="K1123" s="56" t="n">
        <f aca="false">K1122+1</f>
        <v>1116</v>
      </c>
      <c r="L1123" s="57" t="n">
        <f aca="false">IF(AND(K1123&lt;=Assumptions!$C$42,L1122=1,P1122=0,O1122&gt;Assumptions!$C$43),1,0)</f>
        <v>0</v>
      </c>
      <c r="M1123" s="58" t="n">
        <f aca="false">O1122</f>
        <v>-10.8661391719591</v>
      </c>
      <c r="N1123" s="58" t="n">
        <f aca="false">IF(L1123=1,M1123*$B$20,0)</f>
        <v>0</v>
      </c>
      <c r="O1123" s="58" t="n">
        <f aca="false">IF(L1123=1,M1123+N1123-$B$21,M1123)</f>
        <v>-10.8661391719591</v>
      </c>
      <c r="P1123" s="56" t="n">
        <f aca="false">IF(L1123=1,IF($B$21&lt;=N1123,1,0),0)</f>
        <v>0</v>
      </c>
      <c r="Q1123" s="58" t="n">
        <f aca="false">Q1122+N1123</f>
        <v>989.13386082804</v>
      </c>
    </row>
    <row r="1124" customFormat="false" ht="15" hidden="false" customHeight="false" outlineLevel="0" collapsed="false">
      <c r="K1124" s="56" t="n">
        <f aca="false">K1123+1</f>
        <v>1117</v>
      </c>
      <c r="L1124" s="57" t="n">
        <f aca="false">IF(AND(K1124&lt;=Assumptions!$C$42,L1123=1,P1123=0,O1123&gt;Assumptions!$C$43),1,0)</f>
        <v>0</v>
      </c>
      <c r="M1124" s="58" t="n">
        <f aca="false">O1123</f>
        <v>-10.8661391719591</v>
      </c>
      <c r="N1124" s="58" t="n">
        <f aca="false">IF(L1124=1,M1124*$B$20,0)</f>
        <v>0</v>
      </c>
      <c r="O1124" s="58" t="n">
        <f aca="false">IF(L1124=1,M1124+N1124-$B$21,M1124)</f>
        <v>-10.8661391719591</v>
      </c>
      <c r="P1124" s="56" t="n">
        <f aca="false">IF(L1124=1,IF($B$21&lt;=N1124,1,0),0)</f>
        <v>0</v>
      </c>
      <c r="Q1124" s="58" t="n">
        <f aca="false">Q1123+N1124</f>
        <v>989.13386082804</v>
      </c>
    </row>
    <row r="1125" customFormat="false" ht="15" hidden="false" customHeight="false" outlineLevel="0" collapsed="false">
      <c r="K1125" s="56" t="n">
        <f aca="false">K1124+1</f>
        <v>1118</v>
      </c>
      <c r="L1125" s="57" t="n">
        <f aca="false">IF(AND(K1125&lt;=Assumptions!$C$42,L1124=1,P1124=0,O1124&gt;Assumptions!$C$43),1,0)</f>
        <v>0</v>
      </c>
      <c r="M1125" s="58" t="n">
        <f aca="false">O1124</f>
        <v>-10.8661391719591</v>
      </c>
      <c r="N1125" s="58" t="n">
        <f aca="false">IF(L1125=1,M1125*$B$20,0)</f>
        <v>0</v>
      </c>
      <c r="O1125" s="58" t="n">
        <f aca="false">IF(L1125=1,M1125+N1125-$B$21,M1125)</f>
        <v>-10.8661391719591</v>
      </c>
      <c r="P1125" s="56" t="n">
        <f aca="false">IF(L1125=1,IF($B$21&lt;=N1125,1,0),0)</f>
        <v>0</v>
      </c>
      <c r="Q1125" s="58" t="n">
        <f aca="false">Q1124+N1125</f>
        <v>989.13386082804</v>
      </c>
    </row>
    <row r="1126" customFormat="false" ht="15" hidden="false" customHeight="false" outlineLevel="0" collapsed="false">
      <c r="K1126" s="56" t="n">
        <f aca="false">K1125+1</f>
        <v>1119</v>
      </c>
      <c r="L1126" s="57" t="n">
        <f aca="false">IF(AND(K1126&lt;=Assumptions!$C$42,L1125=1,P1125=0,O1125&gt;Assumptions!$C$43),1,0)</f>
        <v>0</v>
      </c>
      <c r="M1126" s="58" t="n">
        <f aca="false">O1125</f>
        <v>-10.8661391719591</v>
      </c>
      <c r="N1126" s="58" t="n">
        <f aca="false">IF(L1126=1,M1126*$B$20,0)</f>
        <v>0</v>
      </c>
      <c r="O1126" s="58" t="n">
        <f aca="false">IF(L1126=1,M1126+N1126-$B$21,M1126)</f>
        <v>-10.8661391719591</v>
      </c>
      <c r="P1126" s="56" t="n">
        <f aca="false">IF(L1126=1,IF($B$21&lt;=N1126,1,0),0)</f>
        <v>0</v>
      </c>
      <c r="Q1126" s="58" t="n">
        <f aca="false">Q1125+N1126</f>
        <v>989.13386082804</v>
      </c>
    </row>
    <row r="1127" customFormat="false" ht="15" hidden="false" customHeight="false" outlineLevel="0" collapsed="false">
      <c r="K1127" s="56" t="n">
        <f aca="false">K1126+1</f>
        <v>1120</v>
      </c>
      <c r="L1127" s="57" t="n">
        <f aca="false">IF(AND(K1127&lt;=Assumptions!$C$42,L1126=1,P1126=0,O1126&gt;Assumptions!$C$43),1,0)</f>
        <v>0</v>
      </c>
      <c r="M1127" s="58" t="n">
        <f aca="false">O1126</f>
        <v>-10.8661391719591</v>
      </c>
      <c r="N1127" s="58" t="n">
        <f aca="false">IF(L1127=1,M1127*$B$20,0)</f>
        <v>0</v>
      </c>
      <c r="O1127" s="58" t="n">
        <f aca="false">IF(L1127=1,M1127+N1127-$B$21,M1127)</f>
        <v>-10.8661391719591</v>
      </c>
      <c r="P1127" s="56" t="n">
        <f aca="false">IF(L1127=1,IF($B$21&lt;=N1127,1,0),0)</f>
        <v>0</v>
      </c>
      <c r="Q1127" s="58" t="n">
        <f aca="false">Q1126+N1127</f>
        <v>989.13386082804</v>
      </c>
    </row>
    <row r="1128" customFormat="false" ht="15" hidden="false" customHeight="false" outlineLevel="0" collapsed="false">
      <c r="K1128" s="56" t="n">
        <f aca="false">K1127+1</f>
        <v>1121</v>
      </c>
      <c r="L1128" s="57" t="n">
        <f aca="false">IF(AND(K1128&lt;=Assumptions!$C$42,L1127=1,P1127=0,O1127&gt;Assumptions!$C$43),1,0)</f>
        <v>0</v>
      </c>
      <c r="M1128" s="58" t="n">
        <f aca="false">O1127</f>
        <v>-10.8661391719591</v>
      </c>
      <c r="N1128" s="58" t="n">
        <f aca="false">IF(L1128=1,M1128*$B$20,0)</f>
        <v>0</v>
      </c>
      <c r="O1128" s="58" t="n">
        <f aca="false">IF(L1128=1,M1128+N1128-$B$21,M1128)</f>
        <v>-10.8661391719591</v>
      </c>
      <c r="P1128" s="56" t="n">
        <f aca="false">IF(L1128=1,IF($B$21&lt;=N1128,1,0),0)</f>
        <v>0</v>
      </c>
      <c r="Q1128" s="58" t="n">
        <f aca="false">Q1127+N1128</f>
        <v>989.13386082804</v>
      </c>
    </row>
    <row r="1129" customFormat="false" ht="15" hidden="false" customHeight="false" outlineLevel="0" collapsed="false">
      <c r="K1129" s="56" t="n">
        <f aca="false">K1128+1</f>
        <v>1122</v>
      </c>
      <c r="L1129" s="57" t="n">
        <f aca="false">IF(AND(K1129&lt;=Assumptions!$C$42,L1128=1,P1128=0,O1128&gt;Assumptions!$C$43),1,0)</f>
        <v>0</v>
      </c>
      <c r="M1129" s="58" t="n">
        <f aca="false">O1128</f>
        <v>-10.8661391719591</v>
      </c>
      <c r="N1129" s="58" t="n">
        <f aca="false">IF(L1129=1,M1129*$B$20,0)</f>
        <v>0</v>
      </c>
      <c r="O1129" s="58" t="n">
        <f aca="false">IF(L1129=1,M1129+N1129-$B$21,M1129)</f>
        <v>-10.8661391719591</v>
      </c>
      <c r="P1129" s="56" t="n">
        <f aca="false">IF(L1129=1,IF($B$21&lt;=N1129,1,0),0)</f>
        <v>0</v>
      </c>
      <c r="Q1129" s="58" t="n">
        <f aca="false">Q1128+N1129</f>
        <v>989.13386082804</v>
      </c>
    </row>
    <row r="1130" customFormat="false" ht="15" hidden="false" customHeight="false" outlineLevel="0" collapsed="false">
      <c r="K1130" s="56" t="n">
        <f aca="false">K1129+1</f>
        <v>1123</v>
      </c>
      <c r="L1130" s="57" t="n">
        <f aca="false">IF(AND(K1130&lt;=Assumptions!$C$42,L1129=1,P1129=0,O1129&gt;Assumptions!$C$43),1,0)</f>
        <v>0</v>
      </c>
      <c r="M1130" s="58" t="n">
        <f aca="false">O1129</f>
        <v>-10.8661391719591</v>
      </c>
      <c r="N1130" s="58" t="n">
        <f aca="false">IF(L1130=1,M1130*$B$20,0)</f>
        <v>0</v>
      </c>
      <c r="O1130" s="58" t="n">
        <f aca="false">IF(L1130=1,M1130+N1130-$B$21,M1130)</f>
        <v>-10.8661391719591</v>
      </c>
      <c r="P1130" s="56" t="n">
        <f aca="false">IF(L1130=1,IF($B$21&lt;=N1130,1,0),0)</f>
        <v>0</v>
      </c>
      <c r="Q1130" s="58" t="n">
        <f aca="false">Q1129+N1130</f>
        <v>989.13386082804</v>
      </c>
    </row>
    <row r="1131" customFormat="false" ht="15" hidden="false" customHeight="false" outlineLevel="0" collapsed="false">
      <c r="K1131" s="56" t="n">
        <f aca="false">K1130+1</f>
        <v>1124</v>
      </c>
      <c r="L1131" s="57" t="n">
        <f aca="false">IF(AND(K1131&lt;=Assumptions!$C$42,L1130=1,P1130=0,O1130&gt;Assumptions!$C$43),1,0)</f>
        <v>0</v>
      </c>
      <c r="M1131" s="58" t="n">
        <f aca="false">O1130</f>
        <v>-10.8661391719591</v>
      </c>
      <c r="N1131" s="58" t="n">
        <f aca="false">IF(L1131=1,M1131*$B$20,0)</f>
        <v>0</v>
      </c>
      <c r="O1131" s="58" t="n">
        <f aca="false">IF(L1131=1,M1131+N1131-$B$21,M1131)</f>
        <v>-10.8661391719591</v>
      </c>
      <c r="P1131" s="56" t="n">
        <f aca="false">IF(L1131=1,IF($B$21&lt;=N1131,1,0),0)</f>
        <v>0</v>
      </c>
      <c r="Q1131" s="58" t="n">
        <f aca="false">Q1130+N1131</f>
        <v>989.13386082804</v>
      </c>
    </row>
    <row r="1132" customFormat="false" ht="15" hidden="false" customHeight="false" outlineLevel="0" collapsed="false">
      <c r="K1132" s="56" t="n">
        <f aca="false">K1131+1</f>
        <v>1125</v>
      </c>
      <c r="L1132" s="57" t="n">
        <f aca="false">IF(AND(K1132&lt;=Assumptions!$C$42,L1131=1,P1131=0,O1131&gt;Assumptions!$C$43),1,0)</f>
        <v>0</v>
      </c>
      <c r="M1132" s="58" t="n">
        <f aca="false">O1131</f>
        <v>-10.8661391719591</v>
      </c>
      <c r="N1132" s="58" t="n">
        <f aca="false">IF(L1132=1,M1132*$B$20,0)</f>
        <v>0</v>
      </c>
      <c r="O1132" s="58" t="n">
        <f aca="false">IF(L1132=1,M1132+N1132-$B$21,M1132)</f>
        <v>-10.8661391719591</v>
      </c>
      <c r="P1132" s="56" t="n">
        <f aca="false">IF(L1132=1,IF($B$21&lt;=N1132,1,0),0)</f>
        <v>0</v>
      </c>
      <c r="Q1132" s="58" t="n">
        <f aca="false">Q1131+N1132</f>
        <v>989.13386082804</v>
      </c>
    </row>
    <row r="1133" customFormat="false" ht="15" hidden="false" customHeight="false" outlineLevel="0" collapsed="false">
      <c r="K1133" s="56" t="n">
        <f aca="false">K1132+1</f>
        <v>1126</v>
      </c>
      <c r="L1133" s="57" t="n">
        <f aca="false">IF(AND(K1133&lt;=Assumptions!$C$42,L1132=1,P1132=0,O1132&gt;Assumptions!$C$43),1,0)</f>
        <v>0</v>
      </c>
      <c r="M1133" s="58" t="n">
        <f aca="false">O1132</f>
        <v>-10.8661391719591</v>
      </c>
      <c r="N1133" s="58" t="n">
        <f aca="false">IF(L1133=1,M1133*$B$20,0)</f>
        <v>0</v>
      </c>
      <c r="O1133" s="58" t="n">
        <f aca="false">IF(L1133=1,M1133+N1133-$B$21,M1133)</f>
        <v>-10.8661391719591</v>
      </c>
      <c r="P1133" s="56" t="n">
        <f aca="false">IF(L1133=1,IF($B$21&lt;=N1133,1,0),0)</f>
        <v>0</v>
      </c>
      <c r="Q1133" s="58" t="n">
        <f aca="false">Q1132+N1133</f>
        <v>989.13386082804</v>
      </c>
    </row>
    <row r="1134" customFormat="false" ht="15" hidden="false" customHeight="false" outlineLevel="0" collapsed="false">
      <c r="K1134" s="56" t="n">
        <f aca="false">K1133+1</f>
        <v>1127</v>
      </c>
      <c r="L1134" s="57" t="n">
        <f aca="false">IF(AND(K1134&lt;=Assumptions!$C$42,L1133=1,P1133=0,O1133&gt;Assumptions!$C$43),1,0)</f>
        <v>0</v>
      </c>
      <c r="M1134" s="58" t="n">
        <f aca="false">O1133</f>
        <v>-10.8661391719591</v>
      </c>
      <c r="N1134" s="58" t="n">
        <f aca="false">IF(L1134=1,M1134*$B$20,0)</f>
        <v>0</v>
      </c>
      <c r="O1134" s="58" t="n">
        <f aca="false">IF(L1134=1,M1134+N1134-$B$21,M1134)</f>
        <v>-10.8661391719591</v>
      </c>
      <c r="P1134" s="56" t="n">
        <f aca="false">IF(L1134=1,IF($B$21&lt;=N1134,1,0),0)</f>
        <v>0</v>
      </c>
      <c r="Q1134" s="58" t="n">
        <f aca="false">Q1133+N1134</f>
        <v>989.13386082804</v>
      </c>
    </row>
    <row r="1135" customFormat="false" ht="15" hidden="false" customHeight="false" outlineLevel="0" collapsed="false">
      <c r="K1135" s="56" t="n">
        <f aca="false">K1134+1</f>
        <v>1128</v>
      </c>
      <c r="L1135" s="57" t="n">
        <f aca="false">IF(AND(K1135&lt;=Assumptions!$C$42,L1134=1,P1134=0,O1134&gt;Assumptions!$C$43),1,0)</f>
        <v>0</v>
      </c>
      <c r="M1135" s="58" t="n">
        <f aca="false">O1134</f>
        <v>-10.8661391719591</v>
      </c>
      <c r="N1135" s="58" t="n">
        <f aca="false">IF(L1135=1,M1135*$B$20,0)</f>
        <v>0</v>
      </c>
      <c r="O1135" s="58" t="n">
        <f aca="false">IF(L1135=1,M1135+N1135-$B$21,M1135)</f>
        <v>-10.8661391719591</v>
      </c>
      <c r="P1135" s="56" t="n">
        <f aca="false">IF(L1135=1,IF($B$21&lt;=N1135,1,0),0)</f>
        <v>0</v>
      </c>
      <c r="Q1135" s="58" t="n">
        <f aca="false">Q1134+N1135</f>
        <v>989.13386082804</v>
      </c>
    </row>
    <row r="1136" customFormat="false" ht="15" hidden="false" customHeight="false" outlineLevel="0" collapsed="false">
      <c r="K1136" s="56" t="n">
        <f aca="false">K1135+1</f>
        <v>1129</v>
      </c>
      <c r="L1136" s="57" t="n">
        <f aca="false">IF(AND(K1136&lt;=Assumptions!$C$42,L1135=1,P1135=0,O1135&gt;Assumptions!$C$43),1,0)</f>
        <v>0</v>
      </c>
      <c r="M1136" s="58" t="n">
        <f aca="false">O1135</f>
        <v>-10.8661391719591</v>
      </c>
      <c r="N1136" s="58" t="n">
        <f aca="false">IF(L1136=1,M1136*$B$20,0)</f>
        <v>0</v>
      </c>
      <c r="O1136" s="58" t="n">
        <f aca="false">IF(L1136=1,M1136+N1136-$B$21,M1136)</f>
        <v>-10.8661391719591</v>
      </c>
      <c r="P1136" s="56" t="n">
        <f aca="false">IF(L1136=1,IF($B$21&lt;=N1136,1,0),0)</f>
        <v>0</v>
      </c>
      <c r="Q1136" s="58" t="n">
        <f aca="false">Q1135+N1136</f>
        <v>989.13386082804</v>
      </c>
    </row>
    <row r="1137" customFormat="false" ht="15" hidden="false" customHeight="false" outlineLevel="0" collapsed="false">
      <c r="K1137" s="56" t="n">
        <f aca="false">K1136+1</f>
        <v>1130</v>
      </c>
      <c r="L1137" s="57" t="n">
        <f aca="false">IF(AND(K1137&lt;=Assumptions!$C$42,L1136=1,P1136=0,O1136&gt;Assumptions!$C$43),1,0)</f>
        <v>0</v>
      </c>
      <c r="M1137" s="58" t="n">
        <f aca="false">O1136</f>
        <v>-10.8661391719591</v>
      </c>
      <c r="N1137" s="58" t="n">
        <f aca="false">IF(L1137=1,M1137*$B$20,0)</f>
        <v>0</v>
      </c>
      <c r="O1137" s="58" t="n">
        <f aca="false">IF(L1137=1,M1137+N1137-$B$21,M1137)</f>
        <v>-10.8661391719591</v>
      </c>
      <c r="P1137" s="56" t="n">
        <f aca="false">IF(L1137=1,IF($B$21&lt;=N1137,1,0),0)</f>
        <v>0</v>
      </c>
      <c r="Q1137" s="58" t="n">
        <f aca="false">Q1136+N1137</f>
        <v>989.13386082804</v>
      </c>
    </row>
    <row r="1138" customFormat="false" ht="15" hidden="false" customHeight="false" outlineLevel="0" collapsed="false">
      <c r="K1138" s="56" t="n">
        <f aca="false">K1137+1</f>
        <v>1131</v>
      </c>
      <c r="L1138" s="57" t="n">
        <f aca="false">IF(AND(K1138&lt;=Assumptions!$C$42,L1137=1,P1137=0,O1137&gt;Assumptions!$C$43),1,0)</f>
        <v>0</v>
      </c>
      <c r="M1138" s="58" t="n">
        <f aca="false">O1137</f>
        <v>-10.8661391719591</v>
      </c>
      <c r="N1138" s="58" t="n">
        <f aca="false">IF(L1138=1,M1138*$B$20,0)</f>
        <v>0</v>
      </c>
      <c r="O1138" s="58" t="n">
        <f aca="false">IF(L1138=1,M1138+N1138-$B$21,M1138)</f>
        <v>-10.8661391719591</v>
      </c>
      <c r="P1138" s="56" t="n">
        <f aca="false">IF(L1138=1,IF($B$21&lt;=N1138,1,0),0)</f>
        <v>0</v>
      </c>
      <c r="Q1138" s="58" t="n">
        <f aca="false">Q1137+N1138</f>
        <v>989.13386082804</v>
      </c>
    </row>
    <row r="1139" customFormat="false" ht="15" hidden="false" customHeight="false" outlineLevel="0" collapsed="false">
      <c r="K1139" s="56" t="n">
        <f aca="false">K1138+1</f>
        <v>1132</v>
      </c>
      <c r="L1139" s="57" t="n">
        <f aca="false">IF(AND(K1139&lt;=Assumptions!$C$42,L1138=1,P1138=0,O1138&gt;Assumptions!$C$43),1,0)</f>
        <v>0</v>
      </c>
      <c r="M1139" s="58" t="n">
        <f aca="false">O1138</f>
        <v>-10.8661391719591</v>
      </c>
      <c r="N1139" s="58" t="n">
        <f aca="false">IF(L1139=1,M1139*$B$20,0)</f>
        <v>0</v>
      </c>
      <c r="O1139" s="58" t="n">
        <f aca="false">IF(L1139=1,M1139+N1139-$B$21,M1139)</f>
        <v>-10.8661391719591</v>
      </c>
      <c r="P1139" s="56" t="n">
        <f aca="false">IF(L1139=1,IF($B$21&lt;=N1139,1,0),0)</f>
        <v>0</v>
      </c>
      <c r="Q1139" s="58" t="n">
        <f aca="false">Q1138+N1139</f>
        <v>989.13386082804</v>
      </c>
    </row>
    <row r="1140" customFormat="false" ht="15" hidden="false" customHeight="false" outlineLevel="0" collapsed="false">
      <c r="K1140" s="56" t="n">
        <f aca="false">K1139+1</f>
        <v>1133</v>
      </c>
      <c r="L1140" s="57" t="n">
        <f aca="false">IF(AND(K1140&lt;=Assumptions!$C$42,L1139=1,P1139=0,O1139&gt;Assumptions!$C$43),1,0)</f>
        <v>0</v>
      </c>
      <c r="M1140" s="58" t="n">
        <f aca="false">O1139</f>
        <v>-10.8661391719591</v>
      </c>
      <c r="N1140" s="58" t="n">
        <f aca="false">IF(L1140=1,M1140*$B$20,0)</f>
        <v>0</v>
      </c>
      <c r="O1140" s="58" t="n">
        <f aca="false">IF(L1140=1,M1140+N1140-$B$21,M1140)</f>
        <v>-10.8661391719591</v>
      </c>
      <c r="P1140" s="56" t="n">
        <f aca="false">IF(L1140=1,IF($B$21&lt;=N1140,1,0),0)</f>
        <v>0</v>
      </c>
      <c r="Q1140" s="58" t="n">
        <f aca="false">Q1139+N1140</f>
        <v>989.13386082804</v>
      </c>
    </row>
    <row r="1141" customFormat="false" ht="15" hidden="false" customHeight="false" outlineLevel="0" collapsed="false">
      <c r="K1141" s="56" t="n">
        <f aca="false">K1140+1</f>
        <v>1134</v>
      </c>
      <c r="L1141" s="57" t="n">
        <f aca="false">IF(AND(K1141&lt;=Assumptions!$C$42,L1140=1,P1140=0,O1140&gt;Assumptions!$C$43),1,0)</f>
        <v>0</v>
      </c>
      <c r="M1141" s="58" t="n">
        <f aca="false">O1140</f>
        <v>-10.8661391719591</v>
      </c>
      <c r="N1141" s="58" t="n">
        <f aca="false">IF(L1141=1,M1141*$B$20,0)</f>
        <v>0</v>
      </c>
      <c r="O1141" s="58" t="n">
        <f aca="false">IF(L1141=1,M1141+N1141-$B$21,M1141)</f>
        <v>-10.8661391719591</v>
      </c>
      <c r="P1141" s="56" t="n">
        <f aca="false">IF(L1141=1,IF($B$21&lt;=N1141,1,0),0)</f>
        <v>0</v>
      </c>
      <c r="Q1141" s="58" t="n">
        <f aca="false">Q1140+N1141</f>
        <v>989.13386082804</v>
      </c>
    </row>
    <row r="1142" customFormat="false" ht="15" hidden="false" customHeight="false" outlineLevel="0" collapsed="false">
      <c r="K1142" s="56" t="n">
        <f aca="false">K1141+1</f>
        <v>1135</v>
      </c>
      <c r="L1142" s="57" t="n">
        <f aca="false">IF(AND(K1142&lt;=Assumptions!$C$42,L1141=1,P1141=0,O1141&gt;Assumptions!$C$43),1,0)</f>
        <v>0</v>
      </c>
      <c r="M1142" s="58" t="n">
        <f aca="false">O1141</f>
        <v>-10.8661391719591</v>
      </c>
      <c r="N1142" s="58" t="n">
        <f aca="false">IF(L1142=1,M1142*$B$20,0)</f>
        <v>0</v>
      </c>
      <c r="O1142" s="58" t="n">
        <f aca="false">IF(L1142=1,M1142+N1142-$B$21,M1142)</f>
        <v>-10.8661391719591</v>
      </c>
      <c r="P1142" s="56" t="n">
        <f aca="false">IF(L1142=1,IF($B$21&lt;=N1142,1,0),0)</f>
        <v>0</v>
      </c>
      <c r="Q1142" s="58" t="n">
        <f aca="false">Q1141+N1142</f>
        <v>989.13386082804</v>
      </c>
    </row>
    <row r="1143" customFormat="false" ht="15" hidden="false" customHeight="false" outlineLevel="0" collapsed="false">
      <c r="K1143" s="56" t="n">
        <f aca="false">K1142+1</f>
        <v>1136</v>
      </c>
      <c r="L1143" s="57" t="n">
        <f aca="false">IF(AND(K1143&lt;=Assumptions!$C$42,L1142=1,P1142=0,O1142&gt;Assumptions!$C$43),1,0)</f>
        <v>0</v>
      </c>
      <c r="M1143" s="58" t="n">
        <f aca="false">O1142</f>
        <v>-10.8661391719591</v>
      </c>
      <c r="N1143" s="58" t="n">
        <f aca="false">IF(L1143=1,M1143*$B$20,0)</f>
        <v>0</v>
      </c>
      <c r="O1143" s="58" t="n">
        <f aca="false">IF(L1143=1,M1143+N1143-$B$21,M1143)</f>
        <v>-10.8661391719591</v>
      </c>
      <c r="P1143" s="56" t="n">
        <f aca="false">IF(L1143=1,IF($B$21&lt;=N1143,1,0),0)</f>
        <v>0</v>
      </c>
      <c r="Q1143" s="58" t="n">
        <f aca="false">Q1142+N1143</f>
        <v>989.13386082804</v>
      </c>
    </row>
    <row r="1144" customFormat="false" ht="15" hidden="false" customHeight="false" outlineLevel="0" collapsed="false">
      <c r="K1144" s="56" t="n">
        <f aca="false">K1143+1</f>
        <v>1137</v>
      </c>
      <c r="L1144" s="57" t="n">
        <f aca="false">IF(AND(K1144&lt;=Assumptions!$C$42,L1143=1,P1143=0,O1143&gt;Assumptions!$C$43),1,0)</f>
        <v>0</v>
      </c>
      <c r="M1144" s="58" t="n">
        <f aca="false">O1143</f>
        <v>-10.8661391719591</v>
      </c>
      <c r="N1144" s="58" t="n">
        <f aca="false">IF(L1144=1,M1144*$B$20,0)</f>
        <v>0</v>
      </c>
      <c r="O1144" s="58" t="n">
        <f aca="false">IF(L1144=1,M1144+N1144-$B$21,M1144)</f>
        <v>-10.8661391719591</v>
      </c>
      <c r="P1144" s="56" t="n">
        <f aca="false">IF(L1144=1,IF($B$21&lt;=N1144,1,0),0)</f>
        <v>0</v>
      </c>
      <c r="Q1144" s="58" t="n">
        <f aca="false">Q1143+N1144</f>
        <v>989.13386082804</v>
      </c>
    </row>
    <row r="1145" customFormat="false" ht="15" hidden="false" customHeight="false" outlineLevel="0" collapsed="false">
      <c r="K1145" s="56" t="n">
        <f aca="false">K1144+1</f>
        <v>1138</v>
      </c>
      <c r="L1145" s="57" t="n">
        <f aca="false">IF(AND(K1145&lt;=Assumptions!$C$42,L1144=1,P1144=0,O1144&gt;Assumptions!$C$43),1,0)</f>
        <v>0</v>
      </c>
      <c r="M1145" s="58" t="n">
        <f aca="false">O1144</f>
        <v>-10.8661391719591</v>
      </c>
      <c r="N1145" s="58" t="n">
        <f aca="false">IF(L1145=1,M1145*$B$20,0)</f>
        <v>0</v>
      </c>
      <c r="O1145" s="58" t="n">
        <f aca="false">IF(L1145=1,M1145+N1145-$B$21,M1145)</f>
        <v>-10.8661391719591</v>
      </c>
      <c r="P1145" s="56" t="n">
        <f aca="false">IF(L1145=1,IF($B$21&lt;=N1145,1,0),0)</f>
        <v>0</v>
      </c>
      <c r="Q1145" s="58" t="n">
        <f aca="false">Q1144+N1145</f>
        <v>989.13386082804</v>
      </c>
    </row>
    <row r="1146" customFormat="false" ht="15" hidden="false" customHeight="false" outlineLevel="0" collapsed="false">
      <c r="K1146" s="56" t="n">
        <f aca="false">K1145+1</f>
        <v>1139</v>
      </c>
      <c r="L1146" s="57" t="n">
        <f aca="false">IF(AND(K1146&lt;=Assumptions!$C$42,L1145=1,P1145=0,O1145&gt;Assumptions!$C$43),1,0)</f>
        <v>0</v>
      </c>
      <c r="M1146" s="58" t="n">
        <f aca="false">O1145</f>
        <v>-10.8661391719591</v>
      </c>
      <c r="N1146" s="58" t="n">
        <f aca="false">IF(L1146=1,M1146*$B$20,0)</f>
        <v>0</v>
      </c>
      <c r="O1146" s="58" t="n">
        <f aca="false">IF(L1146=1,M1146+N1146-$B$21,M1146)</f>
        <v>-10.8661391719591</v>
      </c>
      <c r="P1146" s="56" t="n">
        <f aca="false">IF(L1146=1,IF($B$21&lt;=N1146,1,0),0)</f>
        <v>0</v>
      </c>
      <c r="Q1146" s="58" t="n">
        <f aca="false">Q1145+N1146</f>
        <v>989.13386082804</v>
      </c>
    </row>
    <row r="1147" customFormat="false" ht="15" hidden="false" customHeight="false" outlineLevel="0" collapsed="false">
      <c r="K1147" s="56" t="n">
        <f aca="false">K1146+1</f>
        <v>1140</v>
      </c>
      <c r="L1147" s="57" t="n">
        <f aca="false">IF(AND(K1147&lt;=Assumptions!$C$42,L1146=1,P1146=0,O1146&gt;Assumptions!$C$43),1,0)</f>
        <v>0</v>
      </c>
      <c r="M1147" s="58" t="n">
        <f aca="false">O1146</f>
        <v>-10.8661391719591</v>
      </c>
      <c r="N1147" s="58" t="n">
        <f aca="false">IF(L1147=1,M1147*$B$20,0)</f>
        <v>0</v>
      </c>
      <c r="O1147" s="58" t="n">
        <f aca="false">IF(L1147=1,M1147+N1147-$B$21,M1147)</f>
        <v>-10.8661391719591</v>
      </c>
      <c r="P1147" s="56" t="n">
        <f aca="false">IF(L1147=1,IF($B$21&lt;=N1147,1,0),0)</f>
        <v>0</v>
      </c>
      <c r="Q1147" s="58" t="n">
        <f aca="false">Q1146+N1147</f>
        <v>989.13386082804</v>
      </c>
    </row>
    <row r="1148" customFormat="false" ht="15" hidden="false" customHeight="false" outlineLevel="0" collapsed="false">
      <c r="K1148" s="56" t="n">
        <f aca="false">K1147+1</f>
        <v>1141</v>
      </c>
      <c r="L1148" s="57" t="n">
        <f aca="false">IF(AND(K1148&lt;=Assumptions!$C$42,L1147=1,P1147=0,O1147&gt;Assumptions!$C$43),1,0)</f>
        <v>0</v>
      </c>
      <c r="M1148" s="58" t="n">
        <f aca="false">O1147</f>
        <v>-10.8661391719591</v>
      </c>
      <c r="N1148" s="58" t="n">
        <f aca="false">IF(L1148=1,M1148*$B$20,0)</f>
        <v>0</v>
      </c>
      <c r="O1148" s="58" t="n">
        <f aca="false">IF(L1148=1,M1148+N1148-$B$21,M1148)</f>
        <v>-10.8661391719591</v>
      </c>
      <c r="P1148" s="56" t="n">
        <f aca="false">IF(L1148=1,IF($B$21&lt;=N1148,1,0),0)</f>
        <v>0</v>
      </c>
      <c r="Q1148" s="58" t="n">
        <f aca="false">Q1147+N1148</f>
        <v>989.13386082804</v>
      </c>
    </row>
    <row r="1149" customFormat="false" ht="15" hidden="false" customHeight="false" outlineLevel="0" collapsed="false">
      <c r="K1149" s="56" t="n">
        <f aca="false">K1148+1</f>
        <v>1142</v>
      </c>
      <c r="L1149" s="57" t="n">
        <f aca="false">IF(AND(K1149&lt;=Assumptions!$C$42,L1148=1,P1148=0,O1148&gt;Assumptions!$C$43),1,0)</f>
        <v>0</v>
      </c>
      <c r="M1149" s="58" t="n">
        <f aca="false">O1148</f>
        <v>-10.8661391719591</v>
      </c>
      <c r="N1149" s="58" t="n">
        <f aca="false">IF(L1149=1,M1149*$B$20,0)</f>
        <v>0</v>
      </c>
      <c r="O1149" s="58" t="n">
        <f aca="false">IF(L1149=1,M1149+N1149-$B$21,M1149)</f>
        <v>-10.8661391719591</v>
      </c>
      <c r="P1149" s="56" t="n">
        <f aca="false">IF(L1149=1,IF($B$21&lt;=N1149,1,0),0)</f>
        <v>0</v>
      </c>
      <c r="Q1149" s="58" t="n">
        <f aca="false">Q1148+N1149</f>
        <v>989.13386082804</v>
      </c>
    </row>
    <row r="1150" customFormat="false" ht="15" hidden="false" customHeight="false" outlineLevel="0" collapsed="false">
      <c r="K1150" s="56" t="n">
        <f aca="false">K1149+1</f>
        <v>1143</v>
      </c>
      <c r="L1150" s="57" t="n">
        <f aca="false">IF(AND(K1150&lt;=Assumptions!$C$42,L1149=1,P1149=0,O1149&gt;Assumptions!$C$43),1,0)</f>
        <v>0</v>
      </c>
      <c r="M1150" s="58" t="n">
        <f aca="false">O1149</f>
        <v>-10.8661391719591</v>
      </c>
      <c r="N1150" s="58" t="n">
        <f aca="false">IF(L1150=1,M1150*$B$20,0)</f>
        <v>0</v>
      </c>
      <c r="O1150" s="58" t="n">
        <f aca="false">IF(L1150=1,M1150+N1150-$B$21,M1150)</f>
        <v>-10.8661391719591</v>
      </c>
      <c r="P1150" s="56" t="n">
        <f aca="false">IF(L1150=1,IF($B$21&lt;=N1150,1,0),0)</f>
        <v>0</v>
      </c>
      <c r="Q1150" s="58" t="n">
        <f aca="false">Q1149+N1150</f>
        <v>989.13386082804</v>
      </c>
    </row>
    <row r="1151" customFormat="false" ht="15" hidden="false" customHeight="false" outlineLevel="0" collapsed="false">
      <c r="K1151" s="56" t="n">
        <f aca="false">K1150+1</f>
        <v>1144</v>
      </c>
      <c r="L1151" s="57" t="n">
        <f aca="false">IF(AND(K1151&lt;=Assumptions!$C$42,L1150=1,P1150=0,O1150&gt;Assumptions!$C$43),1,0)</f>
        <v>0</v>
      </c>
      <c r="M1151" s="58" t="n">
        <f aca="false">O1150</f>
        <v>-10.8661391719591</v>
      </c>
      <c r="N1151" s="58" t="n">
        <f aca="false">IF(L1151=1,M1151*$B$20,0)</f>
        <v>0</v>
      </c>
      <c r="O1151" s="58" t="n">
        <f aca="false">IF(L1151=1,M1151+N1151-$B$21,M1151)</f>
        <v>-10.8661391719591</v>
      </c>
      <c r="P1151" s="56" t="n">
        <f aca="false">IF(L1151=1,IF($B$21&lt;=N1151,1,0),0)</f>
        <v>0</v>
      </c>
      <c r="Q1151" s="58" t="n">
        <f aca="false">Q1150+N1151</f>
        <v>989.13386082804</v>
      </c>
    </row>
    <row r="1152" customFormat="false" ht="15" hidden="false" customHeight="false" outlineLevel="0" collapsed="false">
      <c r="K1152" s="56" t="n">
        <f aca="false">K1151+1</f>
        <v>1145</v>
      </c>
      <c r="L1152" s="57" t="n">
        <f aca="false">IF(AND(K1152&lt;=Assumptions!$C$42,L1151=1,P1151=0,O1151&gt;Assumptions!$C$43),1,0)</f>
        <v>0</v>
      </c>
      <c r="M1152" s="58" t="n">
        <f aca="false">O1151</f>
        <v>-10.8661391719591</v>
      </c>
      <c r="N1152" s="58" t="n">
        <f aca="false">IF(L1152=1,M1152*$B$20,0)</f>
        <v>0</v>
      </c>
      <c r="O1152" s="58" t="n">
        <f aca="false">IF(L1152=1,M1152+N1152-$B$21,M1152)</f>
        <v>-10.8661391719591</v>
      </c>
      <c r="P1152" s="56" t="n">
        <f aca="false">IF(L1152=1,IF($B$21&lt;=N1152,1,0),0)</f>
        <v>0</v>
      </c>
      <c r="Q1152" s="58" t="n">
        <f aca="false">Q1151+N1152</f>
        <v>989.13386082804</v>
      </c>
    </row>
    <row r="1153" customFormat="false" ht="15" hidden="false" customHeight="false" outlineLevel="0" collapsed="false">
      <c r="K1153" s="56" t="n">
        <f aca="false">K1152+1</f>
        <v>1146</v>
      </c>
      <c r="L1153" s="57" t="n">
        <f aca="false">IF(AND(K1153&lt;=Assumptions!$C$42,L1152=1,P1152=0,O1152&gt;Assumptions!$C$43),1,0)</f>
        <v>0</v>
      </c>
      <c r="M1153" s="58" t="n">
        <f aca="false">O1152</f>
        <v>-10.8661391719591</v>
      </c>
      <c r="N1153" s="58" t="n">
        <f aca="false">IF(L1153=1,M1153*$B$20,0)</f>
        <v>0</v>
      </c>
      <c r="O1153" s="58" t="n">
        <f aca="false">IF(L1153=1,M1153+N1153-$B$21,M1153)</f>
        <v>-10.8661391719591</v>
      </c>
      <c r="P1153" s="56" t="n">
        <f aca="false">IF(L1153=1,IF($B$21&lt;=N1153,1,0),0)</f>
        <v>0</v>
      </c>
      <c r="Q1153" s="58" t="n">
        <f aca="false">Q1152+N1153</f>
        <v>989.13386082804</v>
      </c>
    </row>
    <row r="1154" customFormat="false" ht="15" hidden="false" customHeight="false" outlineLevel="0" collapsed="false">
      <c r="K1154" s="56" t="n">
        <f aca="false">K1153+1</f>
        <v>1147</v>
      </c>
      <c r="L1154" s="57" t="n">
        <f aca="false">IF(AND(K1154&lt;=Assumptions!$C$42,L1153=1,P1153=0,O1153&gt;Assumptions!$C$43),1,0)</f>
        <v>0</v>
      </c>
      <c r="M1154" s="58" t="n">
        <f aca="false">O1153</f>
        <v>-10.8661391719591</v>
      </c>
      <c r="N1154" s="58" t="n">
        <f aca="false">IF(L1154=1,M1154*$B$20,0)</f>
        <v>0</v>
      </c>
      <c r="O1154" s="58" t="n">
        <f aca="false">IF(L1154=1,M1154+N1154-$B$21,M1154)</f>
        <v>-10.8661391719591</v>
      </c>
      <c r="P1154" s="56" t="n">
        <f aca="false">IF(L1154=1,IF($B$21&lt;=N1154,1,0),0)</f>
        <v>0</v>
      </c>
      <c r="Q1154" s="58" t="n">
        <f aca="false">Q1153+N1154</f>
        <v>989.13386082804</v>
      </c>
    </row>
    <row r="1155" customFormat="false" ht="15" hidden="false" customHeight="false" outlineLevel="0" collapsed="false">
      <c r="K1155" s="56" t="n">
        <f aca="false">K1154+1</f>
        <v>1148</v>
      </c>
      <c r="L1155" s="57" t="n">
        <f aca="false">IF(AND(K1155&lt;=Assumptions!$C$42,L1154=1,P1154=0,O1154&gt;Assumptions!$C$43),1,0)</f>
        <v>0</v>
      </c>
      <c r="M1155" s="58" t="n">
        <f aca="false">O1154</f>
        <v>-10.8661391719591</v>
      </c>
      <c r="N1155" s="58" t="n">
        <f aca="false">IF(L1155=1,M1155*$B$20,0)</f>
        <v>0</v>
      </c>
      <c r="O1155" s="58" t="n">
        <f aca="false">IF(L1155=1,M1155+N1155-$B$21,M1155)</f>
        <v>-10.8661391719591</v>
      </c>
      <c r="P1155" s="56" t="n">
        <f aca="false">IF(L1155=1,IF($B$21&lt;=N1155,1,0),0)</f>
        <v>0</v>
      </c>
      <c r="Q1155" s="58" t="n">
        <f aca="false">Q1154+N1155</f>
        <v>989.13386082804</v>
      </c>
    </row>
    <row r="1156" customFormat="false" ht="15" hidden="false" customHeight="false" outlineLevel="0" collapsed="false">
      <c r="K1156" s="56" t="n">
        <f aca="false">K1155+1</f>
        <v>1149</v>
      </c>
      <c r="L1156" s="57" t="n">
        <f aca="false">IF(AND(K1156&lt;=Assumptions!$C$42,L1155=1,P1155=0,O1155&gt;Assumptions!$C$43),1,0)</f>
        <v>0</v>
      </c>
      <c r="M1156" s="58" t="n">
        <f aca="false">O1155</f>
        <v>-10.8661391719591</v>
      </c>
      <c r="N1156" s="58" t="n">
        <f aca="false">IF(L1156=1,M1156*$B$20,0)</f>
        <v>0</v>
      </c>
      <c r="O1156" s="58" t="n">
        <f aca="false">IF(L1156=1,M1156+N1156-$B$21,M1156)</f>
        <v>-10.8661391719591</v>
      </c>
      <c r="P1156" s="56" t="n">
        <f aca="false">IF(L1156=1,IF($B$21&lt;=N1156,1,0),0)</f>
        <v>0</v>
      </c>
      <c r="Q1156" s="58" t="n">
        <f aca="false">Q1155+N1156</f>
        <v>989.13386082804</v>
      </c>
    </row>
    <row r="1157" customFormat="false" ht="15" hidden="false" customHeight="false" outlineLevel="0" collapsed="false">
      <c r="K1157" s="56" t="n">
        <f aca="false">K1156+1</f>
        <v>1150</v>
      </c>
      <c r="L1157" s="57" t="n">
        <f aca="false">IF(AND(K1157&lt;=Assumptions!$C$42,L1156=1,P1156=0,O1156&gt;Assumptions!$C$43),1,0)</f>
        <v>0</v>
      </c>
      <c r="M1157" s="58" t="n">
        <f aca="false">O1156</f>
        <v>-10.8661391719591</v>
      </c>
      <c r="N1157" s="58" t="n">
        <f aca="false">IF(L1157=1,M1157*$B$20,0)</f>
        <v>0</v>
      </c>
      <c r="O1157" s="58" t="n">
        <f aca="false">IF(L1157=1,M1157+N1157-$B$21,M1157)</f>
        <v>-10.8661391719591</v>
      </c>
      <c r="P1157" s="56" t="n">
        <f aca="false">IF(L1157=1,IF($B$21&lt;=N1157,1,0),0)</f>
        <v>0</v>
      </c>
      <c r="Q1157" s="58" t="n">
        <f aca="false">Q1156+N1157</f>
        <v>989.13386082804</v>
      </c>
    </row>
    <row r="1158" customFormat="false" ht="15" hidden="false" customHeight="false" outlineLevel="0" collapsed="false">
      <c r="K1158" s="56" t="n">
        <f aca="false">K1157+1</f>
        <v>1151</v>
      </c>
      <c r="L1158" s="57" t="n">
        <f aca="false">IF(AND(K1158&lt;=Assumptions!$C$42,L1157=1,P1157=0,O1157&gt;Assumptions!$C$43),1,0)</f>
        <v>0</v>
      </c>
      <c r="M1158" s="58" t="n">
        <f aca="false">O1157</f>
        <v>-10.8661391719591</v>
      </c>
      <c r="N1158" s="58" t="n">
        <f aca="false">IF(L1158=1,M1158*$B$20,0)</f>
        <v>0</v>
      </c>
      <c r="O1158" s="58" t="n">
        <f aca="false">IF(L1158=1,M1158+N1158-$B$21,M1158)</f>
        <v>-10.8661391719591</v>
      </c>
      <c r="P1158" s="56" t="n">
        <f aca="false">IF(L1158=1,IF($B$21&lt;=N1158,1,0),0)</f>
        <v>0</v>
      </c>
      <c r="Q1158" s="58" t="n">
        <f aca="false">Q1157+N1158</f>
        <v>989.13386082804</v>
      </c>
    </row>
    <row r="1159" customFormat="false" ht="15" hidden="false" customHeight="false" outlineLevel="0" collapsed="false">
      <c r="K1159" s="56" t="n">
        <f aca="false">K1158+1</f>
        <v>1152</v>
      </c>
      <c r="L1159" s="57" t="n">
        <f aca="false">IF(AND(K1159&lt;=Assumptions!$C$42,L1158=1,P1158=0,O1158&gt;Assumptions!$C$43),1,0)</f>
        <v>0</v>
      </c>
      <c r="M1159" s="58" t="n">
        <f aca="false">O1158</f>
        <v>-10.8661391719591</v>
      </c>
      <c r="N1159" s="58" t="n">
        <f aca="false">IF(L1159=1,M1159*$B$20,0)</f>
        <v>0</v>
      </c>
      <c r="O1159" s="58" t="n">
        <f aca="false">IF(L1159=1,M1159+N1159-$B$21,M1159)</f>
        <v>-10.8661391719591</v>
      </c>
      <c r="P1159" s="56" t="n">
        <f aca="false">IF(L1159=1,IF($B$21&lt;=N1159,1,0),0)</f>
        <v>0</v>
      </c>
      <c r="Q1159" s="58" t="n">
        <f aca="false">Q1158+N1159</f>
        <v>989.13386082804</v>
      </c>
    </row>
    <row r="1160" customFormat="false" ht="15" hidden="false" customHeight="false" outlineLevel="0" collapsed="false">
      <c r="K1160" s="56" t="n">
        <f aca="false">K1159+1</f>
        <v>1153</v>
      </c>
      <c r="L1160" s="57" t="n">
        <f aca="false">IF(AND(K1160&lt;=Assumptions!$C$42,L1159=1,P1159=0,O1159&gt;Assumptions!$C$43),1,0)</f>
        <v>0</v>
      </c>
      <c r="M1160" s="58" t="n">
        <f aca="false">O1159</f>
        <v>-10.8661391719591</v>
      </c>
      <c r="N1160" s="58" t="n">
        <f aca="false">IF(L1160=1,M1160*$B$20,0)</f>
        <v>0</v>
      </c>
      <c r="O1160" s="58" t="n">
        <f aca="false">IF(L1160=1,M1160+N1160-$B$21,M1160)</f>
        <v>-10.8661391719591</v>
      </c>
      <c r="P1160" s="56" t="n">
        <f aca="false">IF(L1160=1,IF($B$21&lt;=N1160,1,0),0)</f>
        <v>0</v>
      </c>
      <c r="Q1160" s="58" t="n">
        <f aca="false">Q1159+N1160</f>
        <v>989.13386082804</v>
      </c>
    </row>
    <row r="1161" customFormat="false" ht="15" hidden="false" customHeight="false" outlineLevel="0" collapsed="false">
      <c r="K1161" s="56" t="n">
        <f aca="false">K1160+1</f>
        <v>1154</v>
      </c>
      <c r="L1161" s="57" t="n">
        <f aca="false">IF(AND(K1161&lt;=Assumptions!$C$42,L1160=1,P1160=0,O1160&gt;Assumptions!$C$43),1,0)</f>
        <v>0</v>
      </c>
      <c r="M1161" s="58" t="n">
        <f aca="false">O1160</f>
        <v>-10.8661391719591</v>
      </c>
      <c r="N1161" s="58" t="n">
        <f aca="false">IF(L1161=1,M1161*$B$20,0)</f>
        <v>0</v>
      </c>
      <c r="O1161" s="58" t="n">
        <f aca="false">IF(L1161=1,M1161+N1161-$B$21,M1161)</f>
        <v>-10.8661391719591</v>
      </c>
      <c r="P1161" s="56" t="n">
        <f aca="false">IF(L1161=1,IF($B$21&lt;=N1161,1,0),0)</f>
        <v>0</v>
      </c>
      <c r="Q1161" s="58" t="n">
        <f aca="false">Q1160+N1161</f>
        <v>989.13386082804</v>
      </c>
    </row>
    <row r="1162" customFormat="false" ht="15" hidden="false" customHeight="false" outlineLevel="0" collapsed="false">
      <c r="K1162" s="56" t="n">
        <f aca="false">K1161+1</f>
        <v>1155</v>
      </c>
      <c r="L1162" s="57" t="n">
        <f aca="false">IF(AND(K1162&lt;=Assumptions!$C$42,L1161=1,P1161=0,O1161&gt;Assumptions!$C$43),1,0)</f>
        <v>0</v>
      </c>
      <c r="M1162" s="58" t="n">
        <f aca="false">O1161</f>
        <v>-10.8661391719591</v>
      </c>
      <c r="N1162" s="58" t="n">
        <f aca="false">IF(L1162=1,M1162*$B$20,0)</f>
        <v>0</v>
      </c>
      <c r="O1162" s="58" t="n">
        <f aca="false">IF(L1162=1,M1162+N1162-$B$21,M1162)</f>
        <v>-10.8661391719591</v>
      </c>
      <c r="P1162" s="56" t="n">
        <f aca="false">IF(L1162=1,IF($B$21&lt;=N1162,1,0),0)</f>
        <v>0</v>
      </c>
      <c r="Q1162" s="58" t="n">
        <f aca="false">Q1161+N1162</f>
        <v>989.13386082804</v>
      </c>
    </row>
    <row r="1163" customFormat="false" ht="15" hidden="false" customHeight="false" outlineLevel="0" collapsed="false">
      <c r="K1163" s="56" t="n">
        <f aca="false">K1162+1</f>
        <v>1156</v>
      </c>
      <c r="L1163" s="57" t="n">
        <f aca="false">IF(AND(K1163&lt;=Assumptions!$C$42,L1162=1,P1162=0,O1162&gt;Assumptions!$C$43),1,0)</f>
        <v>0</v>
      </c>
      <c r="M1163" s="58" t="n">
        <f aca="false">O1162</f>
        <v>-10.8661391719591</v>
      </c>
      <c r="N1163" s="58" t="n">
        <f aca="false">IF(L1163=1,M1163*$B$20,0)</f>
        <v>0</v>
      </c>
      <c r="O1163" s="58" t="n">
        <f aca="false">IF(L1163=1,M1163+N1163-$B$21,M1163)</f>
        <v>-10.8661391719591</v>
      </c>
      <c r="P1163" s="56" t="n">
        <f aca="false">IF(L1163=1,IF($B$21&lt;=N1163,1,0),0)</f>
        <v>0</v>
      </c>
      <c r="Q1163" s="58" t="n">
        <f aca="false">Q1162+N1163</f>
        <v>989.13386082804</v>
      </c>
    </row>
    <row r="1164" customFormat="false" ht="15" hidden="false" customHeight="false" outlineLevel="0" collapsed="false">
      <c r="K1164" s="56" t="n">
        <f aca="false">K1163+1</f>
        <v>1157</v>
      </c>
      <c r="L1164" s="57" t="n">
        <f aca="false">IF(AND(K1164&lt;=Assumptions!$C$42,L1163=1,P1163=0,O1163&gt;Assumptions!$C$43),1,0)</f>
        <v>0</v>
      </c>
      <c r="M1164" s="58" t="n">
        <f aca="false">O1163</f>
        <v>-10.8661391719591</v>
      </c>
      <c r="N1164" s="58" t="n">
        <f aca="false">IF(L1164=1,M1164*$B$20,0)</f>
        <v>0</v>
      </c>
      <c r="O1164" s="58" t="n">
        <f aca="false">IF(L1164=1,M1164+N1164-$B$21,M1164)</f>
        <v>-10.8661391719591</v>
      </c>
      <c r="P1164" s="56" t="n">
        <f aca="false">IF(L1164=1,IF($B$21&lt;=N1164,1,0),0)</f>
        <v>0</v>
      </c>
      <c r="Q1164" s="58" t="n">
        <f aca="false">Q1163+N1164</f>
        <v>989.13386082804</v>
      </c>
    </row>
    <row r="1165" customFormat="false" ht="15" hidden="false" customHeight="false" outlineLevel="0" collapsed="false">
      <c r="K1165" s="56" t="n">
        <f aca="false">K1164+1</f>
        <v>1158</v>
      </c>
      <c r="L1165" s="57" t="n">
        <f aca="false">IF(AND(K1165&lt;=Assumptions!$C$42,L1164=1,P1164=0,O1164&gt;Assumptions!$C$43),1,0)</f>
        <v>0</v>
      </c>
      <c r="M1165" s="58" t="n">
        <f aca="false">O1164</f>
        <v>-10.8661391719591</v>
      </c>
      <c r="N1165" s="58" t="n">
        <f aca="false">IF(L1165=1,M1165*$B$20,0)</f>
        <v>0</v>
      </c>
      <c r="O1165" s="58" t="n">
        <f aca="false">IF(L1165=1,M1165+N1165-$B$21,M1165)</f>
        <v>-10.8661391719591</v>
      </c>
      <c r="P1165" s="56" t="n">
        <f aca="false">IF(L1165=1,IF($B$21&lt;=N1165,1,0),0)</f>
        <v>0</v>
      </c>
      <c r="Q1165" s="58" t="n">
        <f aca="false">Q1164+N1165</f>
        <v>989.13386082804</v>
      </c>
    </row>
    <row r="1166" customFormat="false" ht="15" hidden="false" customHeight="false" outlineLevel="0" collapsed="false">
      <c r="K1166" s="56" t="n">
        <f aca="false">K1165+1</f>
        <v>1159</v>
      </c>
      <c r="L1166" s="57" t="n">
        <f aca="false">IF(AND(K1166&lt;=Assumptions!$C$42,L1165=1,P1165=0,O1165&gt;Assumptions!$C$43),1,0)</f>
        <v>0</v>
      </c>
      <c r="M1166" s="58" t="n">
        <f aca="false">O1165</f>
        <v>-10.8661391719591</v>
      </c>
      <c r="N1166" s="58" t="n">
        <f aca="false">IF(L1166=1,M1166*$B$20,0)</f>
        <v>0</v>
      </c>
      <c r="O1166" s="58" t="n">
        <f aca="false">IF(L1166=1,M1166+N1166-$B$21,M1166)</f>
        <v>-10.8661391719591</v>
      </c>
      <c r="P1166" s="56" t="n">
        <f aca="false">IF(L1166=1,IF($B$21&lt;=N1166,1,0),0)</f>
        <v>0</v>
      </c>
      <c r="Q1166" s="58" t="n">
        <f aca="false">Q1165+N1166</f>
        <v>989.13386082804</v>
      </c>
    </row>
    <row r="1167" customFormat="false" ht="15" hidden="false" customHeight="false" outlineLevel="0" collapsed="false">
      <c r="K1167" s="56" t="n">
        <f aca="false">K1166+1</f>
        <v>1160</v>
      </c>
      <c r="L1167" s="57" t="n">
        <f aca="false">IF(AND(K1167&lt;=Assumptions!$C$42,L1166=1,P1166=0,O1166&gt;Assumptions!$C$43),1,0)</f>
        <v>0</v>
      </c>
      <c r="M1167" s="58" t="n">
        <f aca="false">O1166</f>
        <v>-10.8661391719591</v>
      </c>
      <c r="N1167" s="58" t="n">
        <f aca="false">IF(L1167=1,M1167*$B$20,0)</f>
        <v>0</v>
      </c>
      <c r="O1167" s="58" t="n">
        <f aca="false">IF(L1167=1,M1167+N1167-$B$21,M1167)</f>
        <v>-10.8661391719591</v>
      </c>
      <c r="P1167" s="56" t="n">
        <f aca="false">IF(L1167=1,IF($B$21&lt;=N1167,1,0),0)</f>
        <v>0</v>
      </c>
      <c r="Q1167" s="58" t="n">
        <f aca="false">Q1166+N1167</f>
        <v>989.13386082804</v>
      </c>
    </row>
    <row r="1168" customFormat="false" ht="15" hidden="false" customHeight="false" outlineLevel="0" collapsed="false">
      <c r="K1168" s="56" t="n">
        <f aca="false">K1167+1</f>
        <v>1161</v>
      </c>
      <c r="L1168" s="57" t="n">
        <f aca="false">IF(AND(K1168&lt;=Assumptions!$C$42,L1167=1,P1167=0,O1167&gt;Assumptions!$C$43),1,0)</f>
        <v>0</v>
      </c>
      <c r="M1168" s="58" t="n">
        <f aca="false">O1167</f>
        <v>-10.8661391719591</v>
      </c>
      <c r="N1168" s="58" t="n">
        <f aca="false">IF(L1168=1,M1168*$B$20,0)</f>
        <v>0</v>
      </c>
      <c r="O1168" s="58" t="n">
        <f aca="false">IF(L1168=1,M1168+N1168-$B$21,M1168)</f>
        <v>-10.8661391719591</v>
      </c>
      <c r="P1168" s="56" t="n">
        <f aca="false">IF(L1168=1,IF($B$21&lt;=N1168,1,0),0)</f>
        <v>0</v>
      </c>
      <c r="Q1168" s="58" t="n">
        <f aca="false">Q1167+N1168</f>
        <v>989.13386082804</v>
      </c>
    </row>
    <row r="1169" customFormat="false" ht="15" hidden="false" customHeight="false" outlineLevel="0" collapsed="false">
      <c r="K1169" s="56" t="n">
        <f aca="false">K1168+1</f>
        <v>1162</v>
      </c>
      <c r="L1169" s="57" t="n">
        <f aca="false">IF(AND(K1169&lt;=Assumptions!$C$42,L1168=1,P1168=0,O1168&gt;Assumptions!$C$43),1,0)</f>
        <v>0</v>
      </c>
      <c r="M1169" s="58" t="n">
        <f aca="false">O1168</f>
        <v>-10.8661391719591</v>
      </c>
      <c r="N1169" s="58" t="n">
        <f aca="false">IF(L1169=1,M1169*$B$20,0)</f>
        <v>0</v>
      </c>
      <c r="O1169" s="58" t="n">
        <f aca="false">IF(L1169=1,M1169+N1169-$B$21,M1169)</f>
        <v>-10.8661391719591</v>
      </c>
      <c r="P1169" s="56" t="n">
        <f aca="false">IF(L1169=1,IF($B$21&lt;=N1169,1,0),0)</f>
        <v>0</v>
      </c>
      <c r="Q1169" s="58" t="n">
        <f aca="false">Q1168+N1169</f>
        <v>989.13386082804</v>
      </c>
    </row>
    <row r="1170" customFormat="false" ht="15" hidden="false" customHeight="false" outlineLevel="0" collapsed="false">
      <c r="K1170" s="56" t="n">
        <f aca="false">K1169+1</f>
        <v>1163</v>
      </c>
      <c r="L1170" s="57" t="n">
        <f aca="false">IF(AND(K1170&lt;=Assumptions!$C$42,L1169=1,P1169=0,O1169&gt;Assumptions!$C$43),1,0)</f>
        <v>0</v>
      </c>
      <c r="M1170" s="58" t="n">
        <f aca="false">O1169</f>
        <v>-10.8661391719591</v>
      </c>
      <c r="N1170" s="58" t="n">
        <f aca="false">IF(L1170=1,M1170*$B$20,0)</f>
        <v>0</v>
      </c>
      <c r="O1170" s="58" t="n">
        <f aca="false">IF(L1170=1,M1170+N1170-$B$21,M1170)</f>
        <v>-10.8661391719591</v>
      </c>
      <c r="P1170" s="56" t="n">
        <f aca="false">IF(L1170=1,IF($B$21&lt;=N1170,1,0),0)</f>
        <v>0</v>
      </c>
      <c r="Q1170" s="58" t="n">
        <f aca="false">Q1169+N1170</f>
        <v>989.13386082804</v>
      </c>
    </row>
    <row r="1171" customFormat="false" ht="15" hidden="false" customHeight="false" outlineLevel="0" collapsed="false">
      <c r="K1171" s="56" t="n">
        <f aca="false">K1170+1</f>
        <v>1164</v>
      </c>
      <c r="L1171" s="57" t="n">
        <f aca="false">IF(AND(K1171&lt;=Assumptions!$C$42,L1170=1,P1170=0,O1170&gt;Assumptions!$C$43),1,0)</f>
        <v>0</v>
      </c>
      <c r="M1171" s="58" t="n">
        <f aca="false">O1170</f>
        <v>-10.8661391719591</v>
      </c>
      <c r="N1171" s="58" t="n">
        <f aca="false">IF(L1171=1,M1171*$B$20,0)</f>
        <v>0</v>
      </c>
      <c r="O1171" s="58" t="n">
        <f aca="false">IF(L1171=1,M1171+N1171-$B$21,M1171)</f>
        <v>-10.8661391719591</v>
      </c>
      <c r="P1171" s="56" t="n">
        <f aca="false">IF(L1171=1,IF($B$21&lt;=N1171,1,0),0)</f>
        <v>0</v>
      </c>
      <c r="Q1171" s="58" t="n">
        <f aca="false">Q1170+N1171</f>
        <v>989.13386082804</v>
      </c>
    </row>
    <row r="1172" customFormat="false" ht="15" hidden="false" customHeight="false" outlineLevel="0" collapsed="false">
      <c r="K1172" s="56" t="n">
        <f aca="false">K1171+1</f>
        <v>1165</v>
      </c>
      <c r="L1172" s="57" t="n">
        <f aca="false">IF(AND(K1172&lt;=Assumptions!$C$42,L1171=1,P1171=0,O1171&gt;Assumptions!$C$43),1,0)</f>
        <v>0</v>
      </c>
      <c r="M1172" s="58" t="n">
        <f aca="false">O1171</f>
        <v>-10.8661391719591</v>
      </c>
      <c r="N1172" s="58" t="n">
        <f aca="false">IF(L1172=1,M1172*$B$20,0)</f>
        <v>0</v>
      </c>
      <c r="O1172" s="58" t="n">
        <f aca="false">IF(L1172=1,M1172+N1172-$B$21,M1172)</f>
        <v>-10.8661391719591</v>
      </c>
      <c r="P1172" s="56" t="n">
        <f aca="false">IF(L1172=1,IF($B$21&lt;=N1172,1,0),0)</f>
        <v>0</v>
      </c>
      <c r="Q1172" s="58" t="n">
        <f aca="false">Q1171+N1172</f>
        <v>989.13386082804</v>
      </c>
    </row>
    <row r="1173" customFormat="false" ht="15" hidden="false" customHeight="false" outlineLevel="0" collapsed="false">
      <c r="K1173" s="56" t="n">
        <f aca="false">K1172+1</f>
        <v>1166</v>
      </c>
      <c r="L1173" s="57" t="n">
        <f aca="false">IF(AND(K1173&lt;=Assumptions!$C$42,L1172=1,P1172=0,O1172&gt;Assumptions!$C$43),1,0)</f>
        <v>0</v>
      </c>
      <c r="M1173" s="58" t="n">
        <f aca="false">O1172</f>
        <v>-10.8661391719591</v>
      </c>
      <c r="N1173" s="58" t="n">
        <f aca="false">IF(L1173=1,M1173*$B$20,0)</f>
        <v>0</v>
      </c>
      <c r="O1173" s="58" t="n">
        <f aca="false">IF(L1173=1,M1173+N1173-$B$21,M1173)</f>
        <v>-10.8661391719591</v>
      </c>
      <c r="P1173" s="56" t="n">
        <f aca="false">IF(L1173=1,IF($B$21&lt;=N1173,1,0),0)</f>
        <v>0</v>
      </c>
      <c r="Q1173" s="58" t="n">
        <f aca="false">Q1172+N1173</f>
        <v>989.13386082804</v>
      </c>
    </row>
    <row r="1174" customFormat="false" ht="15" hidden="false" customHeight="false" outlineLevel="0" collapsed="false">
      <c r="K1174" s="56" t="n">
        <f aca="false">K1173+1</f>
        <v>1167</v>
      </c>
      <c r="L1174" s="57" t="n">
        <f aca="false">IF(AND(K1174&lt;=Assumptions!$C$42,L1173=1,P1173=0,O1173&gt;Assumptions!$C$43),1,0)</f>
        <v>0</v>
      </c>
      <c r="M1174" s="58" t="n">
        <f aca="false">O1173</f>
        <v>-10.8661391719591</v>
      </c>
      <c r="N1174" s="58" t="n">
        <f aca="false">IF(L1174=1,M1174*$B$20,0)</f>
        <v>0</v>
      </c>
      <c r="O1174" s="58" t="n">
        <f aca="false">IF(L1174=1,M1174+N1174-$B$21,M1174)</f>
        <v>-10.8661391719591</v>
      </c>
      <c r="P1174" s="56" t="n">
        <f aca="false">IF(L1174=1,IF($B$21&lt;=N1174,1,0),0)</f>
        <v>0</v>
      </c>
      <c r="Q1174" s="58" t="n">
        <f aca="false">Q1173+N1174</f>
        <v>989.13386082804</v>
      </c>
    </row>
    <row r="1175" customFormat="false" ht="15" hidden="false" customHeight="false" outlineLevel="0" collapsed="false">
      <c r="K1175" s="56" t="n">
        <f aca="false">K1174+1</f>
        <v>1168</v>
      </c>
      <c r="L1175" s="57" t="n">
        <f aca="false">IF(AND(K1175&lt;=Assumptions!$C$42,L1174=1,P1174=0,O1174&gt;Assumptions!$C$43),1,0)</f>
        <v>0</v>
      </c>
      <c r="M1175" s="58" t="n">
        <f aca="false">O1174</f>
        <v>-10.8661391719591</v>
      </c>
      <c r="N1175" s="58" t="n">
        <f aca="false">IF(L1175=1,M1175*$B$20,0)</f>
        <v>0</v>
      </c>
      <c r="O1175" s="58" t="n">
        <f aca="false">IF(L1175=1,M1175+N1175-$B$21,M1175)</f>
        <v>-10.8661391719591</v>
      </c>
      <c r="P1175" s="56" t="n">
        <f aca="false">IF(L1175=1,IF($B$21&lt;=N1175,1,0),0)</f>
        <v>0</v>
      </c>
      <c r="Q1175" s="58" t="n">
        <f aca="false">Q1174+N1175</f>
        <v>989.13386082804</v>
      </c>
    </row>
    <row r="1176" customFormat="false" ht="15" hidden="false" customHeight="false" outlineLevel="0" collapsed="false">
      <c r="K1176" s="56" t="n">
        <f aca="false">K1175+1</f>
        <v>1169</v>
      </c>
      <c r="L1176" s="57" t="n">
        <f aca="false">IF(AND(K1176&lt;=Assumptions!$C$42,L1175=1,P1175=0,O1175&gt;Assumptions!$C$43),1,0)</f>
        <v>0</v>
      </c>
      <c r="M1176" s="58" t="n">
        <f aca="false">O1175</f>
        <v>-10.8661391719591</v>
      </c>
      <c r="N1176" s="58" t="n">
        <f aca="false">IF(L1176=1,M1176*$B$20,0)</f>
        <v>0</v>
      </c>
      <c r="O1176" s="58" t="n">
        <f aca="false">IF(L1176=1,M1176+N1176-$B$21,M1176)</f>
        <v>-10.8661391719591</v>
      </c>
      <c r="P1176" s="56" t="n">
        <f aca="false">IF(L1176=1,IF($B$21&lt;=N1176,1,0),0)</f>
        <v>0</v>
      </c>
      <c r="Q1176" s="58" t="n">
        <f aca="false">Q1175+N1176</f>
        <v>989.13386082804</v>
      </c>
    </row>
    <row r="1177" customFormat="false" ht="15" hidden="false" customHeight="false" outlineLevel="0" collapsed="false">
      <c r="K1177" s="56" t="n">
        <f aca="false">K1176+1</f>
        <v>1170</v>
      </c>
      <c r="L1177" s="57" t="n">
        <f aca="false">IF(AND(K1177&lt;=Assumptions!$C$42,L1176=1,P1176=0,O1176&gt;Assumptions!$C$43),1,0)</f>
        <v>0</v>
      </c>
      <c r="M1177" s="58" t="n">
        <f aca="false">O1176</f>
        <v>-10.8661391719591</v>
      </c>
      <c r="N1177" s="58" t="n">
        <f aca="false">IF(L1177=1,M1177*$B$20,0)</f>
        <v>0</v>
      </c>
      <c r="O1177" s="58" t="n">
        <f aca="false">IF(L1177=1,M1177+N1177-$B$21,M1177)</f>
        <v>-10.8661391719591</v>
      </c>
      <c r="P1177" s="56" t="n">
        <f aca="false">IF(L1177=1,IF($B$21&lt;=N1177,1,0),0)</f>
        <v>0</v>
      </c>
      <c r="Q1177" s="58" t="n">
        <f aca="false">Q1176+N1177</f>
        <v>989.13386082804</v>
      </c>
    </row>
    <row r="1178" customFormat="false" ht="15" hidden="false" customHeight="false" outlineLevel="0" collapsed="false">
      <c r="K1178" s="56" t="n">
        <f aca="false">K1177+1</f>
        <v>1171</v>
      </c>
      <c r="L1178" s="57" t="n">
        <f aca="false">IF(AND(K1178&lt;=Assumptions!$C$42,L1177=1,P1177=0,O1177&gt;Assumptions!$C$43),1,0)</f>
        <v>0</v>
      </c>
      <c r="M1178" s="58" t="n">
        <f aca="false">O1177</f>
        <v>-10.8661391719591</v>
      </c>
      <c r="N1178" s="58" t="n">
        <f aca="false">IF(L1178=1,M1178*$B$20,0)</f>
        <v>0</v>
      </c>
      <c r="O1178" s="58" t="n">
        <f aca="false">IF(L1178=1,M1178+N1178-$B$21,M1178)</f>
        <v>-10.8661391719591</v>
      </c>
      <c r="P1178" s="56" t="n">
        <f aca="false">IF(L1178=1,IF($B$21&lt;=N1178,1,0),0)</f>
        <v>0</v>
      </c>
      <c r="Q1178" s="58" t="n">
        <f aca="false">Q1177+N1178</f>
        <v>989.13386082804</v>
      </c>
    </row>
    <row r="1179" customFormat="false" ht="15" hidden="false" customHeight="false" outlineLevel="0" collapsed="false">
      <c r="K1179" s="56" t="n">
        <f aca="false">K1178+1</f>
        <v>1172</v>
      </c>
      <c r="L1179" s="57" t="n">
        <f aca="false">IF(AND(K1179&lt;=Assumptions!$C$42,L1178=1,P1178=0,O1178&gt;Assumptions!$C$43),1,0)</f>
        <v>0</v>
      </c>
      <c r="M1179" s="58" t="n">
        <f aca="false">O1178</f>
        <v>-10.8661391719591</v>
      </c>
      <c r="N1179" s="58" t="n">
        <f aca="false">IF(L1179=1,M1179*$B$20,0)</f>
        <v>0</v>
      </c>
      <c r="O1179" s="58" t="n">
        <f aca="false">IF(L1179=1,M1179+N1179-$B$21,M1179)</f>
        <v>-10.8661391719591</v>
      </c>
      <c r="P1179" s="56" t="n">
        <f aca="false">IF(L1179=1,IF($B$21&lt;=N1179,1,0),0)</f>
        <v>0</v>
      </c>
      <c r="Q1179" s="58" t="n">
        <f aca="false">Q1178+N1179</f>
        <v>989.13386082804</v>
      </c>
    </row>
    <row r="1180" customFormat="false" ht="15" hidden="false" customHeight="false" outlineLevel="0" collapsed="false">
      <c r="K1180" s="56" t="n">
        <f aca="false">K1179+1</f>
        <v>1173</v>
      </c>
      <c r="L1180" s="57" t="n">
        <f aca="false">IF(AND(K1180&lt;=Assumptions!$C$42,L1179=1,P1179=0,O1179&gt;Assumptions!$C$43),1,0)</f>
        <v>0</v>
      </c>
      <c r="M1180" s="58" t="n">
        <f aca="false">O1179</f>
        <v>-10.8661391719591</v>
      </c>
      <c r="N1180" s="58" t="n">
        <f aca="false">IF(L1180=1,M1180*$B$20,0)</f>
        <v>0</v>
      </c>
      <c r="O1180" s="58" t="n">
        <f aca="false">IF(L1180=1,M1180+N1180-$B$21,M1180)</f>
        <v>-10.8661391719591</v>
      </c>
      <c r="P1180" s="56" t="n">
        <f aca="false">IF(L1180=1,IF($B$21&lt;=N1180,1,0),0)</f>
        <v>0</v>
      </c>
      <c r="Q1180" s="58" t="n">
        <f aca="false">Q1179+N1180</f>
        <v>989.13386082804</v>
      </c>
    </row>
    <row r="1181" customFormat="false" ht="15" hidden="false" customHeight="false" outlineLevel="0" collapsed="false">
      <c r="K1181" s="56" t="n">
        <f aca="false">K1180+1</f>
        <v>1174</v>
      </c>
      <c r="L1181" s="57" t="n">
        <f aca="false">IF(AND(K1181&lt;=Assumptions!$C$42,L1180=1,P1180=0,O1180&gt;Assumptions!$C$43),1,0)</f>
        <v>0</v>
      </c>
      <c r="M1181" s="58" t="n">
        <f aca="false">O1180</f>
        <v>-10.8661391719591</v>
      </c>
      <c r="N1181" s="58" t="n">
        <f aca="false">IF(L1181=1,M1181*$B$20,0)</f>
        <v>0</v>
      </c>
      <c r="O1181" s="58" t="n">
        <f aca="false">IF(L1181=1,M1181+N1181-$B$21,M1181)</f>
        <v>-10.8661391719591</v>
      </c>
      <c r="P1181" s="56" t="n">
        <f aca="false">IF(L1181=1,IF($B$21&lt;=N1181,1,0),0)</f>
        <v>0</v>
      </c>
      <c r="Q1181" s="58" t="n">
        <f aca="false">Q1180+N1181</f>
        <v>989.13386082804</v>
      </c>
    </row>
    <row r="1182" customFormat="false" ht="15" hidden="false" customHeight="false" outlineLevel="0" collapsed="false">
      <c r="K1182" s="56" t="n">
        <f aca="false">K1181+1</f>
        <v>1175</v>
      </c>
      <c r="L1182" s="57" t="n">
        <f aca="false">IF(AND(K1182&lt;=Assumptions!$C$42,L1181=1,P1181=0,O1181&gt;Assumptions!$C$43),1,0)</f>
        <v>0</v>
      </c>
      <c r="M1182" s="58" t="n">
        <f aca="false">O1181</f>
        <v>-10.8661391719591</v>
      </c>
      <c r="N1182" s="58" t="n">
        <f aca="false">IF(L1182=1,M1182*$B$20,0)</f>
        <v>0</v>
      </c>
      <c r="O1182" s="58" t="n">
        <f aca="false">IF(L1182=1,M1182+N1182-$B$21,M1182)</f>
        <v>-10.8661391719591</v>
      </c>
      <c r="P1182" s="56" t="n">
        <f aca="false">IF(L1182=1,IF($B$21&lt;=N1182,1,0),0)</f>
        <v>0</v>
      </c>
      <c r="Q1182" s="58" t="n">
        <f aca="false">Q1181+N1182</f>
        <v>989.13386082804</v>
      </c>
    </row>
    <row r="1183" customFormat="false" ht="15" hidden="false" customHeight="false" outlineLevel="0" collapsed="false">
      <c r="K1183" s="56" t="n">
        <f aca="false">K1182+1</f>
        <v>1176</v>
      </c>
      <c r="L1183" s="57" t="n">
        <f aca="false">IF(AND(K1183&lt;=Assumptions!$C$42,L1182=1,P1182=0,O1182&gt;Assumptions!$C$43),1,0)</f>
        <v>0</v>
      </c>
      <c r="M1183" s="58" t="n">
        <f aca="false">O1182</f>
        <v>-10.8661391719591</v>
      </c>
      <c r="N1183" s="58" t="n">
        <f aca="false">IF(L1183=1,M1183*$B$20,0)</f>
        <v>0</v>
      </c>
      <c r="O1183" s="58" t="n">
        <f aca="false">IF(L1183=1,M1183+N1183-$B$21,M1183)</f>
        <v>-10.8661391719591</v>
      </c>
      <c r="P1183" s="56" t="n">
        <f aca="false">IF(L1183=1,IF($B$21&lt;=N1183,1,0),0)</f>
        <v>0</v>
      </c>
      <c r="Q1183" s="58" t="n">
        <f aca="false">Q1182+N1183</f>
        <v>989.13386082804</v>
      </c>
    </row>
    <row r="1184" customFormat="false" ht="15" hidden="false" customHeight="false" outlineLevel="0" collapsed="false">
      <c r="K1184" s="56" t="n">
        <f aca="false">K1183+1</f>
        <v>1177</v>
      </c>
      <c r="L1184" s="57" t="n">
        <f aca="false">IF(AND(K1184&lt;=Assumptions!$C$42,L1183=1,P1183=0,O1183&gt;Assumptions!$C$43),1,0)</f>
        <v>0</v>
      </c>
      <c r="M1184" s="58" t="n">
        <f aca="false">O1183</f>
        <v>-10.8661391719591</v>
      </c>
      <c r="N1184" s="58" t="n">
        <f aca="false">IF(L1184=1,M1184*$B$20,0)</f>
        <v>0</v>
      </c>
      <c r="O1184" s="58" t="n">
        <f aca="false">IF(L1184=1,M1184+N1184-$B$21,M1184)</f>
        <v>-10.8661391719591</v>
      </c>
      <c r="P1184" s="56" t="n">
        <f aca="false">IF(L1184=1,IF($B$21&lt;=N1184,1,0),0)</f>
        <v>0</v>
      </c>
      <c r="Q1184" s="58" t="n">
        <f aca="false">Q1183+N1184</f>
        <v>989.13386082804</v>
      </c>
    </row>
    <row r="1185" customFormat="false" ht="15" hidden="false" customHeight="false" outlineLevel="0" collapsed="false">
      <c r="K1185" s="56" t="n">
        <f aca="false">K1184+1</f>
        <v>1178</v>
      </c>
      <c r="L1185" s="57" t="n">
        <f aca="false">IF(AND(K1185&lt;=Assumptions!$C$42,L1184=1,P1184=0,O1184&gt;Assumptions!$C$43),1,0)</f>
        <v>0</v>
      </c>
      <c r="M1185" s="58" t="n">
        <f aca="false">O1184</f>
        <v>-10.8661391719591</v>
      </c>
      <c r="N1185" s="58" t="n">
        <f aca="false">IF(L1185=1,M1185*$B$20,0)</f>
        <v>0</v>
      </c>
      <c r="O1185" s="58" t="n">
        <f aca="false">IF(L1185=1,M1185+N1185-$B$21,M1185)</f>
        <v>-10.8661391719591</v>
      </c>
      <c r="P1185" s="56" t="n">
        <f aca="false">IF(L1185=1,IF($B$21&lt;=N1185,1,0),0)</f>
        <v>0</v>
      </c>
      <c r="Q1185" s="58" t="n">
        <f aca="false">Q1184+N1185</f>
        <v>989.13386082804</v>
      </c>
    </row>
    <row r="1186" customFormat="false" ht="15" hidden="false" customHeight="false" outlineLevel="0" collapsed="false">
      <c r="K1186" s="56" t="n">
        <f aca="false">K1185+1</f>
        <v>1179</v>
      </c>
      <c r="L1186" s="57" t="n">
        <f aca="false">IF(AND(K1186&lt;=Assumptions!$C$42,L1185=1,P1185=0,O1185&gt;Assumptions!$C$43),1,0)</f>
        <v>0</v>
      </c>
      <c r="M1186" s="58" t="n">
        <f aca="false">O1185</f>
        <v>-10.8661391719591</v>
      </c>
      <c r="N1186" s="58" t="n">
        <f aca="false">IF(L1186=1,M1186*$B$20,0)</f>
        <v>0</v>
      </c>
      <c r="O1186" s="58" t="n">
        <f aca="false">IF(L1186=1,M1186+N1186-$B$21,M1186)</f>
        <v>-10.8661391719591</v>
      </c>
      <c r="P1186" s="56" t="n">
        <f aca="false">IF(L1186=1,IF($B$21&lt;=N1186,1,0),0)</f>
        <v>0</v>
      </c>
      <c r="Q1186" s="58" t="n">
        <f aca="false">Q1185+N1186</f>
        <v>989.13386082804</v>
      </c>
    </row>
    <row r="1187" customFormat="false" ht="15" hidden="false" customHeight="false" outlineLevel="0" collapsed="false">
      <c r="K1187" s="56" t="n">
        <f aca="false">K1186+1</f>
        <v>1180</v>
      </c>
      <c r="L1187" s="57" t="n">
        <f aca="false">IF(AND(K1187&lt;=Assumptions!$C$42,L1186=1,P1186=0,O1186&gt;Assumptions!$C$43),1,0)</f>
        <v>0</v>
      </c>
      <c r="M1187" s="58" t="n">
        <f aca="false">O1186</f>
        <v>-10.8661391719591</v>
      </c>
      <c r="N1187" s="58" t="n">
        <f aca="false">IF(L1187=1,M1187*$B$20,0)</f>
        <v>0</v>
      </c>
      <c r="O1187" s="58" t="n">
        <f aca="false">IF(L1187=1,M1187+N1187-$B$21,M1187)</f>
        <v>-10.8661391719591</v>
      </c>
      <c r="P1187" s="56" t="n">
        <f aca="false">IF(L1187=1,IF($B$21&lt;=N1187,1,0),0)</f>
        <v>0</v>
      </c>
      <c r="Q1187" s="58" t="n">
        <f aca="false">Q1186+N1187</f>
        <v>989.13386082804</v>
      </c>
    </row>
    <row r="1188" customFormat="false" ht="15" hidden="false" customHeight="false" outlineLevel="0" collapsed="false">
      <c r="K1188" s="56" t="n">
        <f aca="false">K1187+1</f>
        <v>1181</v>
      </c>
      <c r="L1188" s="57" t="n">
        <f aca="false">IF(AND(K1188&lt;=Assumptions!$C$42,L1187=1,P1187=0,O1187&gt;Assumptions!$C$43),1,0)</f>
        <v>0</v>
      </c>
      <c r="M1188" s="58" t="n">
        <f aca="false">O1187</f>
        <v>-10.8661391719591</v>
      </c>
      <c r="N1188" s="58" t="n">
        <f aca="false">IF(L1188=1,M1188*$B$20,0)</f>
        <v>0</v>
      </c>
      <c r="O1188" s="58" t="n">
        <f aca="false">IF(L1188=1,M1188+N1188-$B$21,M1188)</f>
        <v>-10.8661391719591</v>
      </c>
      <c r="P1188" s="56" t="n">
        <f aca="false">IF(L1188=1,IF($B$21&lt;=N1188,1,0),0)</f>
        <v>0</v>
      </c>
      <c r="Q1188" s="58" t="n">
        <f aca="false">Q1187+N1188</f>
        <v>989.13386082804</v>
      </c>
    </row>
    <row r="1189" customFormat="false" ht="15" hidden="false" customHeight="false" outlineLevel="0" collapsed="false">
      <c r="K1189" s="56" t="n">
        <f aca="false">K1188+1</f>
        <v>1182</v>
      </c>
      <c r="L1189" s="57" t="n">
        <f aca="false">IF(AND(K1189&lt;=Assumptions!$C$42,L1188=1,P1188=0,O1188&gt;Assumptions!$C$43),1,0)</f>
        <v>0</v>
      </c>
      <c r="M1189" s="58" t="n">
        <f aca="false">O1188</f>
        <v>-10.8661391719591</v>
      </c>
      <c r="N1189" s="58" t="n">
        <f aca="false">IF(L1189=1,M1189*$B$20,0)</f>
        <v>0</v>
      </c>
      <c r="O1189" s="58" t="n">
        <f aca="false">IF(L1189=1,M1189+N1189-$B$21,M1189)</f>
        <v>-10.8661391719591</v>
      </c>
      <c r="P1189" s="56" t="n">
        <f aca="false">IF(L1189=1,IF($B$21&lt;=N1189,1,0),0)</f>
        <v>0</v>
      </c>
      <c r="Q1189" s="58" t="n">
        <f aca="false">Q1188+N1189</f>
        <v>989.13386082804</v>
      </c>
    </row>
    <row r="1190" customFormat="false" ht="15" hidden="false" customHeight="false" outlineLevel="0" collapsed="false">
      <c r="K1190" s="56" t="n">
        <f aca="false">K1189+1</f>
        <v>1183</v>
      </c>
      <c r="L1190" s="57" t="n">
        <f aca="false">IF(AND(K1190&lt;=Assumptions!$C$42,L1189=1,P1189=0,O1189&gt;Assumptions!$C$43),1,0)</f>
        <v>0</v>
      </c>
      <c r="M1190" s="58" t="n">
        <f aca="false">O1189</f>
        <v>-10.8661391719591</v>
      </c>
      <c r="N1190" s="58" t="n">
        <f aca="false">IF(L1190=1,M1190*$B$20,0)</f>
        <v>0</v>
      </c>
      <c r="O1190" s="58" t="n">
        <f aca="false">IF(L1190=1,M1190+N1190-$B$21,M1190)</f>
        <v>-10.8661391719591</v>
      </c>
      <c r="P1190" s="56" t="n">
        <f aca="false">IF(L1190=1,IF($B$21&lt;=N1190,1,0),0)</f>
        <v>0</v>
      </c>
      <c r="Q1190" s="58" t="n">
        <f aca="false">Q1189+N1190</f>
        <v>989.13386082804</v>
      </c>
    </row>
    <row r="1191" customFormat="false" ht="15" hidden="false" customHeight="false" outlineLevel="0" collapsed="false">
      <c r="K1191" s="56" t="n">
        <f aca="false">K1190+1</f>
        <v>1184</v>
      </c>
      <c r="L1191" s="57" t="n">
        <f aca="false">IF(AND(K1191&lt;=Assumptions!$C$42,L1190=1,P1190=0,O1190&gt;Assumptions!$C$43),1,0)</f>
        <v>0</v>
      </c>
      <c r="M1191" s="58" t="n">
        <f aca="false">O1190</f>
        <v>-10.8661391719591</v>
      </c>
      <c r="N1191" s="58" t="n">
        <f aca="false">IF(L1191=1,M1191*$B$20,0)</f>
        <v>0</v>
      </c>
      <c r="O1191" s="58" t="n">
        <f aca="false">IF(L1191=1,M1191+N1191-$B$21,M1191)</f>
        <v>-10.8661391719591</v>
      </c>
      <c r="P1191" s="56" t="n">
        <f aca="false">IF(L1191=1,IF($B$21&lt;=N1191,1,0),0)</f>
        <v>0</v>
      </c>
      <c r="Q1191" s="58" t="n">
        <f aca="false">Q1190+N1191</f>
        <v>989.13386082804</v>
      </c>
    </row>
    <row r="1192" customFormat="false" ht="15" hidden="false" customHeight="false" outlineLevel="0" collapsed="false">
      <c r="K1192" s="56" t="n">
        <f aca="false">K1191+1</f>
        <v>1185</v>
      </c>
      <c r="L1192" s="57" t="n">
        <f aca="false">IF(AND(K1192&lt;=Assumptions!$C$42,L1191=1,P1191=0,O1191&gt;Assumptions!$C$43),1,0)</f>
        <v>0</v>
      </c>
      <c r="M1192" s="58" t="n">
        <f aca="false">O1191</f>
        <v>-10.8661391719591</v>
      </c>
      <c r="N1192" s="58" t="n">
        <f aca="false">IF(L1192=1,M1192*$B$20,0)</f>
        <v>0</v>
      </c>
      <c r="O1192" s="58" t="n">
        <f aca="false">IF(L1192=1,M1192+N1192-$B$21,M1192)</f>
        <v>-10.8661391719591</v>
      </c>
      <c r="P1192" s="56" t="n">
        <f aca="false">IF(L1192=1,IF($B$21&lt;=N1192,1,0),0)</f>
        <v>0</v>
      </c>
      <c r="Q1192" s="58" t="n">
        <f aca="false">Q1191+N1192</f>
        <v>989.13386082804</v>
      </c>
    </row>
    <row r="1193" customFormat="false" ht="15" hidden="false" customHeight="false" outlineLevel="0" collapsed="false">
      <c r="K1193" s="56" t="n">
        <f aca="false">K1192+1</f>
        <v>1186</v>
      </c>
      <c r="L1193" s="57" t="n">
        <f aca="false">IF(AND(K1193&lt;=Assumptions!$C$42,L1192=1,P1192=0,O1192&gt;Assumptions!$C$43),1,0)</f>
        <v>0</v>
      </c>
      <c r="M1193" s="58" t="n">
        <f aca="false">O1192</f>
        <v>-10.8661391719591</v>
      </c>
      <c r="N1193" s="58" t="n">
        <f aca="false">IF(L1193=1,M1193*$B$20,0)</f>
        <v>0</v>
      </c>
      <c r="O1193" s="58" t="n">
        <f aca="false">IF(L1193=1,M1193+N1193-$B$21,M1193)</f>
        <v>-10.8661391719591</v>
      </c>
      <c r="P1193" s="56" t="n">
        <f aca="false">IF(L1193=1,IF($B$21&lt;=N1193,1,0),0)</f>
        <v>0</v>
      </c>
      <c r="Q1193" s="58" t="n">
        <f aca="false">Q1192+N1193</f>
        <v>989.13386082804</v>
      </c>
    </row>
    <row r="1194" customFormat="false" ht="15" hidden="false" customHeight="false" outlineLevel="0" collapsed="false">
      <c r="K1194" s="56" t="n">
        <f aca="false">K1193+1</f>
        <v>1187</v>
      </c>
      <c r="L1194" s="57" t="n">
        <f aca="false">IF(AND(K1194&lt;=Assumptions!$C$42,L1193=1,P1193=0,O1193&gt;Assumptions!$C$43),1,0)</f>
        <v>0</v>
      </c>
      <c r="M1194" s="58" t="n">
        <f aca="false">O1193</f>
        <v>-10.8661391719591</v>
      </c>
      <c r="N1194" s="58" t="n">
        <f aca="false">IF(L1194=1,M1194*$B$20,0)</f>
        <v>0</v>
      </c>
      <c r="O1194" s="58" t="n">
        <f aca="false">IF(L1194=1,M1194+N1194-$B$21,M1194)</f>
        <v>-10.8661391719591</v>
      </c>
      <c r="P1194" s="56" t="n">
        <f aca="false">IF(L1194=1,IF($B$21&lt;=N1194,1,0),0)</f>
        <v>0</v>
      </c>
      <c r="Q1194" s="58" t="n">
        <f aca="false">Q1193+N1194</f>
        <v>989.13386082804</v>
      </c>
    </row>
    <row r="1195" customFormat="false" ht="15" hidden="false" customHeight="false" outlineLevel="0" collapsed="false">
      <c r="K1195" s="56" t="n">
        <f aca="false">K1194+1</f>
        <v>1188</v>
      </c>
      <c r="L1195" s="57" t="n">
        <f aca="false">IF(AND(K1195&lt;=Assumptions!$C$42,L1194=1,P1194=0,O1194&gt;Assumptions!$C$43),1,0)</f>
        <v>0</v>
      </c>
      <c r="M1195" s="58" t="n">
        <f aca="false">O1194</f>
        <v>-10.8661391719591</v>
      </c>
      <c r="N1195" s="58" t="n">
        <f aca="false">IF(L1195=1,M1195*$B$20,0)</f>
        <v>0</v>
      </c>
      <c r="O1195" s="58" t="n">
        <f aca="false">IF(L1195=1,M1195+N1195-$B$21,M1195)</f>
        <v>-10.8661391719591</v>
      </c>
      <c r="P1195" s="56" t="n">
        <f aca="false">IF(L1195=1,IF($B$21&lt;=N1195,1,0),0)</f>
        <v>0</v>
      </c>
      <c r="Q1195" s="58" t="n">
        <f aca="false">Q1194+N1195</f>
        <v>989.13386082804</v>
      </c>
    </row>
    <row r="1196" customFormat="false" ht="15" hidden="false" customHeight="false" outlineLevel="0" collapsed="false">
      <c r="K1196" s="56" t="n">
        <f aca="false">K1195+1</f>
        <v>1189</v>
      </c>
      <c r="L1196" s="57" t="n">
        <f aca="false">IF(AND(K1196&lt;=Assumptions!$C$42,L1195=1,P1195=0,O1195&gt;Assumptions!$C$43),1,0)</f>
        <v>0</v>
      </c>
      <c r="M1196" s="58" t="n">
        <f aca="false">O1195</f>
        <v>-10.8661391719591</v>
      </c>
      <c r="N1196" s="58" t="n">
        <f aca="false">IF(L1196=1,M1196*$B$20,0)</f>
        <v>0</v>
      </c>
      <c r="O1196" s="58" t="n">
        <f aca="false">IF(L1196=1,M1196+N1196-$B$21,M1196)</f>
        <v>-10.8661391719591</v>
      </c>
      <c r="P1196" s="56" t="n">
        <f aca="false">IF(L1196=1,IF($B$21&lt;=N1196,1,0),0)</f>
        <v>0</v>
      </c>
      <c r="Q1196" s="58" t="n">
        <f aca="false">Q1195+N1196</f>
        <v>989.13386082804</v>
      </c>
    </row>
    <row r="1197" customFormat="false" ht="15" hidden="false" customHeight="false" outlineLevel="0" collapsed="false">
      <c r="K1197" s="56" t="n">
        <f aca="false">K1196+1</f>
        <v>1190</v>
      </c>
      <c r="L1197" s="57" t="n">
        <f aca="false">IF(AND(K1197&lt;=Assumptions!$C$42,L1196=1,P1196=0,O1196&gt;Assumptions!$C$43),1,0)</f>
        <v>0</v>
      </c>
      <c r="M1197" s="58" t="n">
        <f aca="false">O1196</f>
        <v>-10.8661391719591</v>
      </c>
      <c r="N1197" s="58" t="n">
        <f aca="false">IF(L1197=1,M1197*$B$20,0)</f>
        <v>0</v>
      </c>
      <c r="O1197" s="58" t="n">
        <f aca="false">IF(L1197=1,M1197+N1197-$B$21,M1197)</f>
        <v>-10.8661391719591</v>
      </c>
      <c r="P1197" s="56" t="n">
        <f aca="false">IF(L1197=1,IF($B$21&lt;=N1197,1,0),0)</f>
        <v>0</v>
      </c>
      <c r="Q1197" s="58" t="n">
        <f aca="false">Q1196+N1197</f>
        <v>989.13386082804</v>
      </c>
    </row>
    <row r="1198" customFormat="false" ht="15" hidden="false" customHeight="false" outlineLevel="0" collapsed="false">
      <c r="K1198" s="56" t="n">
        <f aca="false">K1197+1</f>
        <v>1191</v>
      </c>
      <c r="L1198" s="57" t="n">
        <f aca="false">IF(AND(K1198&lt;=Assumptions!$C$42,L1197=1,P1197=0,O1197&gt;Assumptions!$C$43),1,0)</f>
        <v>0</v>
      </c>
      <c r="M1198" s="58" t="n">
        <f aca="false">O1197</f>
        <v>-10.8661391719591</v>
      </c>
      <c r="N1198" s="58" t="n">
        <f aca="false">IF(L1198=1,M1198*$B$20,0)</f>
        <v>0</v>
      </c>
      <c r="O1198" s="58" t="n">
        <f aca="false">IF(L1198=1,M1198+N1198-$B$21,M1198)</f>
        <v>-10.8661391719591</v>
      </c>
      <c r="P1198" s="56" t="n">
        <f aca="false">IF(L1198=1,IF($B$21&lt;=N1198,1,0),0)</f>
        <v>0</v>
      </c>
      <c r="Q1198" s="58" t="n">
        <f aca="false">Q1197+N1198</f>
        <v>989.13386082804</v>
      </c>
    </row>
    <row r="1199" customFormat="false" ht="15" hidden="false" customHeight="false" outlineLevel="0" collapsed="false">
      <c r="K1199" s="56" t="n">
        <f aca="false">K1198+1</f>
        <v>1192</v>
      </c>
      <c r="L1199" s="57" t="n">
        <f aca="false">IF(AND(K1199&lt;=Assumptions!$C$42,L1198=1,P1198=0,O1198&gt;Assumptions!$C$43),1,0)</f>
        <v>0</v>
      </c>
      <c r="M1199" s="58" t="n">
        <f aca="false">O1198</f>
        <v>-10.8661391719591</v>
      </c>
      <c r="N1199" s="58" t="n">
        <f aca="false">IF(L1199=1,M1199*$B$20,0)</f>
        <v>0</v>
      </c>
      <c r="O1199" s="58" t="n">
        <f aca="false">IF(L1199=1,M1199+N1199-$B$21,M1199)</f>
        <v>-10.8661391719591</v>
      </c>
      <c r="P1199" s="56" t="n">
        <f aca="false">IF(L1199=1,IF($B$21&lt;=N1199,1,0),0)</f>
        <v>0</v>
      </c>
      <c r="Q1199" s="58" t="n">
        <f aca="false">Q1198+N1199</f>
        <v>989.13386082804</v>
      </c>
    </row>
    <row r="1200" customFormat="false" ht="15" hidden="false" customHeight="false" outlineLevel="0" collapsed="false">
      <c r="K1200" s="56" t="n">
        <f aca="false">K1199+1</f>
        <v>1193</v>
      </c>
      <c r="L1200" s="57" t="n">
        <f aca="false">IF(AND(K1200&lt;=Assumptions!$C$42,L1199=1,P1199=0,O1199&gt;Assumptions!$C$43),1,0)</f>
        <v>0</v>
      </c>
      <c r="M1200" s="58" t="n">
        <f aca="false">O1199</f>
        <v>-10.8661391719591</v>
      </c>
      <c r="N1200" s="58" t="n">
        <f aca="false">IF(L1200=1,M1200*$B$20,0)</f>
        <v>0</v>
      </c>
      <c r="O1200" s="58" t="n">
        <f aca="false">IF(L1200=1,M1200+N1200-$B$21,M1200)</f>
        <v>-10.8661391719591</v>
      </c>
      <c r="P1200" s="56" t="n">
        <f aca="false">IF(L1200=1,IF($B$21&lt;=N1200,1,0),0)</f>
        <v>0</v>
      </c>
      <c r="Q1200" s="58" t="n">
        <f aca="false">Q1199+N1200</f>
        <v>989.13386082804</v>
      </c>
    </row>
    <row r="1201" customFormat="false" ht="15" hidden="false" customHeight="false" outlineLevel="0" collapsed="false">
      <c r="K1201" s="56" t="n">
        <f aca="false">K1200+1</f>
        <v>1194</v>
      </c>
      <c r="L1201" s="57" t="n">
        <f aca="false">IF(AND(K1201&lt;=Assumptions!$C$42,L1200=1,P1200=0,O1200&gt;Assumptions!$C$43),1,0)</f>
        <v>0</v>
      </c>
      <c r="M1201" s="58" t="n">
        <f aca="false">O1200</f>
        <v>-10.8661391719591</v>
      </c>
      <c r="N1201" s="58" t="n">
        <f aca="false">IF(L1201=1,M1201*$B$20,0)</f>
        <v>0</v>
      </c>
      <c r="O1201" s="58" t="n">
        <f aca="false">IF(L1201=1,M1201+N1201-$B$21,M1201)</f>
        <v>-10.8661391719591</v>
      </c>
      <c r="P1201" s="56" t="n">
        <f aca="false">IF(L1201=1,IF($B$21&lt;=N1201,1,0),0)</f>
        <v>0</v>
      </c>
      <c r="Q1201" s="58" t="n">
        <f aca="false">Q1200+N1201</f>
        <v>989.13386082804</v>
      </c>
    </row>
    <row r="1202" customFormat="false" ht="15" hidden="false" customHeight="false" outlineLevel="0" collapsed="false">
      <c r="K1202" s="56" t="n">
        <f aca="false">K1201+1</f>
        <v>1195</v>
      </c>
      <c r="L1202" s="57" t="n">
        <f aca="false">IF(AND(K1202&lt;=Assumptions!$C$42,L1201=1,P1201=0,O1201&gt;Assumptions!$C$43),1,0)</f>
        <v>0</v>
      </c>
      <c r="M1202" s="58" t="n">
        <f aca="false">O1201</f>
        <v>-10.8661391719591</v>
      </c>
      <c r="N1202" s="58" t="n">
        <f aca="false">IF(L1202=1,M1202*$B$20,0)</f>
        <v>0</v>
      </c>
      <c r="O1202" s="58" t="n">
        <f aca="false">IF(L1202=1,M1202+N1202-$B$21,M1202)</f>
        <v>-10.8661391719591</v>
      </c>
      <c r="P1202" s="56" t="n">
        <f aca="false">IF(L1202=1,IF($B$21&lt;=N1202,1,0),0)</f>
        <v>0</v>
      </c>
      <c r="Q1202" s="58" t="n">
        <f aca="false">Q1201+N1202</f>
        <v>989.13386082804</v>
      </c>
    </row>
    <row r="1203" customFormat="false" ht="15" hidden="false" customHeight="false" outlineLevel="0" collapsed="false">
      <c r="K1203" s="56" t="n">
        <f aca="false">K1202+1</f>
        <v>1196</v>
      </c>
      <c r="L1203" s="57" t="n">
        <f aca="false">IF(AND(K1203&lt;=Assumptions!$C$42,L1202=1,P1202=0,O1202&gt;Assumptions!$C$43),1,0)</f>
        <v>0</v>
      </c>
      <c r="M1203" s="58" t="n">
        <f aca="false">O1202</f>
        <v>-10.8661391719591</v>
      </c>
      <c r="N1203" s="58" t="n">
        <f aca="false">IF(L1203=1,M1203*$B$20,0)</f>
        <v>0</v>
      </c>
      <c r="O1203" s="58" t="n">
        <f aca="false">IF(L1203=1,M1203+N1203-$B$21,M1203)</f>
        <v>-10.8661391719591</v>
      </c>
      <c r="P1203" s="56" t="n">
        <f aca="false">IF(L1203=1,IF($B$21&lt;=N1203,1,0),0)</f>
        <v>0</v>
      </c>
      <c r="Q1203" s="58" t="n">
        <f aca="false">Q1202+N1203</f>
        <v>989.13386082804</v>
      </c>
    </row>
    <row r="1204" customFormat="false" ht="15" hidden="false" customHeight="false" outlineLevel="0" collapsed="false">
      <c r="K1204" s="56" t="n">
        <f aca="false">K1203+1</f>
        <v>1197</v>
      </c>
      <c r="L1204" s="57" t="n">
        <f aca="false">IF(AND(K1204&lt;=Assumptions!$C$42,L1203=1,P1203=0,O1203&gt;Assumptions!$C$43),1,0)</f>
        <v>0</v>
      </c>
      <c r="M1204" s="58" t="n">
        <f aca="false">O1203</f>
        <v>-10.8661391719591</v>
      </c>
      <c r="N1204" s="58" t="n">
        <f aca="false">IF(L1204=1,M1204*$B$20,0)</f>
        <v>0</v>
      </c>
      <c r="O1204" s="58" t="n">
        <f aca="false">IF(L1204=1,M1204+N1204-$B$21,M1204)</f>
        <v>-10.8661391719591</v>
      </c>
      <c r="P1204" s="56" t="n">
        <f aca="false">IF(L1204=1,IF($B$21&lt;=N1204,1,0),0)</f>
        <v>0</v>
      </c>
      <c r="Q1204" s="58" t="n">
        <f aca="false">Q1203+N1204</f>
        <v>989.13386082804</v>
      </c>
    </row>
    <row r="1205" customFormat="false" ht="15" hidden="false" customHeight="false" outlineLevel="0" collapsed="false">
      <c r="K1205" s="56" t="n">
        <f aca="false">K1204+1</f>
        <v>1198</v>
      </c>
      <c r="L1205" s="57" t="n">
        <f aca="false">IF(AND(K1205&lt;=Assumptions!$C$42,L1204=1,P1204=0,O1204&gt;Assumptions!$C$43),1,0)</f>
        <v>0</v>
      </c>
      <c r="M1205" s="58" t="n">
        <f aca="false">O1204</f>
        <v>-10.8661391719591</v>
      </c>
      <c r="N1205" s="58" t="n">
        <f aca="false">IF(L1205=1,M1205*$B$20,0)</f>
        <v>0</v>
      </c>
      <c r="O1205" s="58" t="n">
        <f aca="false">IF(L1205=1,M1205+N1205-$B$21,M1205)</f>
        <v>-10.8661391719591</v>
      </c>
      <c r="P1205" s="56" t="n">
        <f aca="false">IF(L1205=1,IF($B$21&lt;=N1205,1,0),0)</f>
        <v>0</v>
      </c>
      <c r="Q1205" s="58" t="n">
        <f aca="false">Q1204+N1205</f>
        <v>989.13386082804</v>
      </c>
    </row>
    <row r="1206" customFormat="false" ht="15" hidden="false" customHeight="false" outlineLevel="0" collapsed="false">
      <c r="K1206" s="56" t="n">
        <f aca="false">K1205+1</f>
        <v>1199</v>
      </c>
      <c r="L1206" s="57" t="n">
        <f aca="false">IF(AND(K1206&lt;=Assumptions!$C$42,L1205=1,P1205=0,O1205&gt;Assumptions!$C$43),1,0)</f>
        <v>0</v>
      </c>
      <c r="M1206" s="58" t="n">
        <f aca="false">O1205</f>
        <v>-10.8661391719591</v>
      </c>
      <c r="N1206" s="58" t="n">
        <f aca="false">IF(L1206=1,M1206*$B$20,0)</f>
        <v>0</v>
      </c>
      <c r="O1206" s="58" t="n">
        <f aca="false">IF(L1206=1,M1206+N1206-$B$21,M1206)</f>
        <v>-10.8661391719591</v>
      </c>
      <c r="P1206" s="56" t="n">
        <f aca="false">IF(L1206=1,IF($B$21&lt;=N1206,1,0),0)</f>
        <v>0</v>
      </c>
      <c r="Q1206" s="58" t="n">
        <f aca="false">Q1205+N1206</f>
        <v>989.13386082804</v>
      </c>
    </row>
    <row r="1207" customFormat="false" ht="15" hidden="false" customHeight="false" outlineLevel="0" collapsed="false">
      <c r="K1207" s="56" t="n">
        <f aca="false">K1206+1</f>
        <v>1200</v>
      </c>
      <c r="L1207" s="57" t="n">
        <f aca="false">IF(AND(K1207&lt;=Assumptions!$C$42,L1206=1,P1206=0,O1206&gt;Assumptions!$C$43),1,0)</f>
        <v>0</v>
      </c>
      <c r="M1207" s="58" t="n">
        <f aca="false">O1206</f>
        <v>-10.8661391719591</v>
      </c>
      <c r="N1207" s="58" t="n">
        <f aca="false">IF(L1207=1,M1207*$B$20,0)</f>
        <v>0</v>
      </c>
      <c r="O1207" s="58" t="n">
        <f aca="false">IF(L1207=1,M1207+N1207-$B$21,M1207)</f>
        <v>-10.8661391719591</v>
      </c>
      <c r="P1207" s="56" t="n">
        <f aca="false">IF(L1207=1,IF($B$21&lt;=N1207,1,0),0)</f>
        <v>0</v>
      </c>
      <c r="Q1207" s="58" t="n">
        <f aca="false">Q1206+N1207</f>
        <v>989.13386082804</v>
      </c>
    </row>
  </sheetData>
  <mergeCells count="14">
    <mergeCell ref="A3:I3"/>
    <mergeCell ref="A4:I4"/>
    <mergeCell ref="A5:I5"/>
    <mergeCell ref="D20:I20"/>
    <mergeCell ref="D21:I21"/>
    <mergeCell ref="D22:I22"/>
    <mergeCell ref="D23:I23"/>
    <mergeCell ref="D24:I24"/>
    <mergeCell ref="D28:I28"/>
    <mergeCell ref="D29:I29"/>
    <mergeCell ref="D30:I30"/>
    <mergeCell ref="D31:I31"/>
    <mergeCell ref="D32:I32"/>
    <mergeCell ref="D33:I33"/>
  </mergeCells>
  <dataValidations count="4">
    <dataValidation allowBlank="false" error="The prototype accepts 100 to 1000000 here." errorStyle="stop" errorTitle="Outside the prototype range" operator="between" showDropDown="false" showErrorMessage="true" showInputMessage="false" sqref="B10" type="decimal">
      <formula1>100</formula1>
      <formula2>1000000</formula2>
    </dataValidation>
    <dataValidation allowBlank="false" error="The prototype accepts 0.0 to 0.35 here." errorStyle="stop" errorTitle="Outside the prototype range" operator="between" showDropDown="false" showErrorMessage="true" showInputMessage="false" sqref="B11" type="decimal">
      <formula1>0</formula1>
      <formula2>0.35</formula2>
    </dataValidation>
    <dataValidation allowBlank="false" error="The prototype accepts 10 to 50000 here." errorStyle="stop" errorTitle="Outside the prototype range" operator="between" showDropDown="false" showErrorMessage="true" showInputMessage="false" sqref="B12" type="decimal">
      <formula1>10</formula1>
      <formula2>50000</formula2>
    </dataValidation>
    <dataValidation allowBlank="false" error="The prototype accepts 0 to 10000 here." errorStyle="stop" errorTitle="Outside the prototype range" operator="between" showDropDown="false" showErrorMessage="true" showInputMessage="false" sqref="B16" type="decimal">
      <formula1>0</formula1>
      <formula2>10000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30"/>
    <col collapsed="false" customWidth="true" hidden="false" outlineLevel="0" max="7" min="4" style="0" width="12"/>
    <col collapsed="false" customWidth="true" hidden="false" outlineLevel="0" max="8" min="8" style="0" width="10"/>
    <col collapsed="false" customWidth="true" hidden="false" outlineLevel="0" max="9" min="9" style="0" width="52"/>
  </cols>
  <sheetData>
    <row r="1" customFormat="false" ht="17.35" hidden="false" customHeight="false" outlineLevel="0" collapsed="false">
      <c r="A1" s="1" t="s">
        <v>1091</v>
      </c>
    </row>
    <row r="2" customFormat="false" ht="15" hidden="false" customHeight="false" outlineLevel="0" collapsed="false">
      <c r="A2" s="30" t="s">
        <v>1092</v>
      </c>
    </row>
    <row r="3" customFormat="false" ht="37.5" hidden="false" customHeight="true" outlineLevel="0" collapsed="false">
      <c r="A3" s="31" t="s">
        <v>1093</v>
      </c>
      <c r="B3" s="31"/>
      <c r="C3" s="31"/>
      <c r="D3" s="31"/>
      <c r="E3" s="31"/>
      <c r="F3" s="31"/>
      <c r="G3" s="31"/>
      <c r="H3" s="31"/>
      <c r="I3" s="31"/>
    </row>
    <row r="4" customFormat="false" ht="63.75" hidden="false" customHeight="true" outlineLevel="0" collapsed="false">
      <c r="A4" s="31" t="s">
        <v>1094</v>
      </c>
      <c r="B4" s="31"/>
      <c r="C4" s="31"/>
      <c r="D4" s="31"/>
      <c r="E4" s="31"/>
      <c r="F4" s="31"/>
      <c r="G4" s="31"/>
      <c r="H4" s="31"/>
      <c r="I4" s="31"/>
    </row>
    <row r="5" customFormat="false" ht="13.5" hidden="false" customHeight="true" outlineLevel="0" collapsed="false">
      <c r="A5" s="32" t="s">
        <v>369</v>
      </c>
      <c r="B5" s="32"/>
      <c r="C5" s="32"/>
      <c r="D5" s="32"/>
      <c r="E5" s="32"/>
      <c r="F5" s="32"/>
      <c r="G5" s="32"/>
      <c r="H5" s="32"/>
      <c r="I5" s="32"/>
    </row>
    <row r="8" customFormat="false" ht="15" hidden="false" customHeight="false" outlineLevel="0" collapsed="false">
      <c r="A8" s="15" t="s">
        <v>370</v>
      </c>
      <c r="B8" s="16"/>
      <c r="C8" s="16"/>
      <c r="D8" s="16"/>
      <c r="E8" s="16"/>
      <c r="F8" s="16"/>
      <c r="G8" s="16"/>
      <c r="H8" s="16"/>
      <c r="I8" s="16"/>
    </row>
    <row r="9" customFormat="false" ht="15" hidden="false" customHeight="false" outlineLevel="0" collapsed="false">
      <c r="A9" s="17" t="s">
        <v>30</v>
      </c>
      <c r="B9" s="17" t="s">
        <v>192</v>
      </c>
      <c r="C9" s="17" t="s">
        <v>193</v>
      </c>
      <c r="D9" s="17" t="s">
        <v>371</v>
      </c>
      <c r="E9" s="17" t="s">
        <v>372</v>
      </c>
      <c r="F9" s="17" t="s">
        <v>373</v>
      </c>
      <c r="G9" s="17" t="s">
        <v>374</v>
      </c>
      <c r="H9" s="17" t="s">
        <v>375</v>
      </c>
      <c r="I9" s="17" t="s">
        <v>376</v>
      </c>
    </row>
    <row r="10" customFormat="false" ht="15" hidden="false" customHeight="false" outlineLevel="0" collapsed="false">
      <c r="A10" s="7" t="s">
        <v>1095</v>
      </c>
      <c r="B10" s="33" t="n">
        <v>15000</v>
      </c>
      <c r="C10" s="7" t="s">
        <v>257</v>
      </c>
      <c r="D10" s="34" t="n">
        <v>15000</v>
      </c>
      <c r="E10" s="34" t="n">
        <v>500</v>
      </c>
      <c r="F10" s="34" t="n">
        <v>100000</v>
      </c>
      <c r="G10" s="34" t="n">
        <v>1000000</v>
      </c>
      <c r="H10" s="34" t="n">
        <v>500</v>
      </c>
      <c r="I10" s="35"/>
    </row>
    <row r="11" customFormat="false" ht="15" hidden="false" customHeight="false" outlineLevel="0" collapsed="false">
      <c r="A11" s="7" t="s">
        <v>1074</v>
      </c>
      <c r="B11" s="38" t="n">
        <v>0.08</v>
      </c>
      <c r="C11" s="7" t="s">
        <v>386</v>
      </c>
      <c r="D11" s="39" t="n">
        <v>0.08</v>
      </c>
      <c r="E11" s="39" t="n">
        <v>0</v>
      </c>
      <c r="F11" s="39" t="n">
        <v>0.25</v>
      </c>
      <c r="G11" s="39" t="n">
        <v>0.25</v>
      </c>
      <c r="H11" s="39" t="n">
        <v>0.005</v>
      </c>
      <c r="I11" s="35"/>
    </row>
    <row r="12" customFormat="false" ht="15" hidden="false" customHeight="false" outlineLevel="0" collapsed="false">
      <c r="A12" s="7" t="s">
        <v>603</v>
      </c>
      <c r="B12" s="36" t="n">
        <v>5</v>
      </c>
      <c r="C12" s="7" t="s">
        <v>388</v>
      </c>
      <c r="D12" s="37" t="n">
        <v>5</v>
      </c>
      <c r="E12" s="37" t="n">
        <v>1</v>
      </c>
      <c r="F12" s="37" t="n">
        <v>10</v>
      </c>
      <c r="G12" s="37" t="n">
        <v>10</v>
      </c>
      <c r="H12" s="37" t="n">
        <v>1</v>
      </c>
      <c r="I12" s="35"/>
    </row>
    <row r="14" customFormat="false" ht="15" hidden="false" customHeight="false" outlineLevel="0" collapsed="false">
      <c r="A14" s="15" t="s">
        <v>391</v>
      </c>
      <c r="B14" s="16"/>
      <c r="C14" s="16"/>
      <c r="D14" s="16"/>
      <c r="E14" s="16"/>
      <c r="F14" s="16"/>
      <c r="G14" s="16"/>
      <c r="H14" s="16"/>
      <c r="I14" s="16"/>
    </row>
    <row r="15" customFormat="false" ht="15" hidden="false" customHeight="false" outlineLevel="0" collapsed="false">
      <c r="A15" s="17" t="s">
        <v>392</v>
      </c>
      <c r="B15" s="17" t="s">
        <v>192</v>
      </c>
      <c r="C15" s="17" t="s">
        <v>193</v>
      </c>
      <c r="D15" s="17" t="s">
        <v>393</v>
      </c>
    </row>
    <row r="16" customFormat="false" ht="15" hidden="false" customHeight="false" outlineLevel="0" collapsed="false">
      <c r="A16" s="7" t="s">
        <v>406</v>
      </c>
      <c r="B16" s="45" t="n">
        <f aca="false">$B$11/12</f>
        <v>0.00666666666666667</v>
      </c>
      <c r="C16" s="41" t="s">
        <v>407</v>
      </c>
      <c r="D16" s="42" t="s">
        <v>408</v>
      </c>
      <c r="E16" s="42"/>
      <c r="F16" s="42"/>
      <c r="G16" s="42"/>
      <c r="H16" s="42"/>
      <c r="I16" s="42"/>
    </row>
    <row r="17" customFormat="false" ht="15" hidden="false" customHeight="false" outlineLevel="0" collapsed="false">
      <c r="A17" s="7" t="s">
        <v>409</v>
      </c>
      <c r="B17" s="46" t="n">
        <f aca="false">$B$12*12</f>
        <v>60</v>
      </c>
      <c r="C17" s="41" t="s">
        <v>240</v>
      </c>
      <c r="D17" s="42" t="s">
        <v>410</v>
      </c>
      <c r="E17" s="42"/>
      <c r="F17" s="42"/>
      <c r="G17" s="42"/>
      <c r="H17" s="42"/>
      <c r="I17" s="42"/>
    </row>
    <row r="18" customFormat="false" ht="15" hidden="false" customHeight="false" outlineLevel="0" collapsed="false">
      <c r="A18" s="7" t="s">
        <v>611</v>
      </c>
      <c r="B18" s="43" t="n">
        <f aca="false">IF(($B$17)=0,0,IF($B$16&lt;&gt;0,$B$10*$B$16/(1-POWER(1+$B$16,-($B$17))),$B$10/($B$17)))</f>
        <v>304.145914326208</v>
      </c>
      <c r="C18" s="41" t="s">
        <v>257</v>
      </c>
      <c r="D18" s="42" t="s">
        <v>1096</v>
      </c>
      <c r="E18" s="42"/>
      <c r="F18" s="42"/>
      <c r="G18" s="42"/>
      <c r="H18" s="42"/>
      <c r="I18" s="42"/>
    </row>
    <row r="19" customFormat="false" ht="15" hidden="false" customHeight="false" outlineLevel="0" collapsed="false">
      <c r="A19" s="7" t="s">
        <v>490</v>
      </c>
      <c r="B19" s="43" t="n">
        <f aca="false">$B$18*$B$12*12</f>
        <v>18248.7548595725</v>
      </c>
      <c r="C19" s="41" t="s">
        <v>257</v>
      </c>
      <c r="D19" s="42" t="s">
        <v>1097</v>
      </c>
      <c r="E19" s="42"/>
      <c r="F19" s="42"/>
      <c r="G19" s="42"/>
      <c r="H19" s="42"/>
      <c r="I19" s="42"/>
    </row>
    <row r="21" customFormat="false" ht="15" hidden="false" customHeight="false" outlineLevel="0" collapsed="false">
      <c r="A21" s="15" t="s">
        <v>415</v>
      </c>
      <c r="B21" s="16"/>
      <c r="C21" s="16"/>
      <c r="D21" s="16"/>
      <c r="E21" s="16"/>
      <c r="F21" s="16"/>
      <c r="G21" s="16"/>
      <c r="H21" s="16"/>
      <c r="I21" s="16"/>
    </row>
    <row r="22" customFormat="false" ht="15" hidden="false" customHeight="false" outlineLevel="0" collapsed="false">
      <c r="A22" s="17" t="s">
        <v>416</v>
      </c>
      <c r="B22" s="17" t="s">
        <v>192</v>
      </c>
      <c r="C22" s="17" t="s">
        <v>417</v>
      </c>
      <c r="D22" s="17" t="s">
        <v>418</v>
      </c>
    </row>
    <row r="23" customFormat="false" ht="15" hidden="false" customHeight="false" outlineLevel="0" collapsed="false">
      <c r="A23" s="4" t="s">
        <v>419</v>
      </c>
      <c r="B23" s="48"/>
      <c r="C23" s="49" t="str">
        <f aca="false">"Monthly repayment"</f>
        <v>Monthly repayment</v>
      </c>
      <c r="D23" s="42" t="s">
        <v>420</v>
      </c>
      <c r="E23" s="42"/>
      <c r="F23" s="42"/>
      <c r="G23" s="42"/>
      <c r="H23" s="42"/>
      <c r="I23" s="42"/>
    </row>
    <row r="24" customFormat="false" ht="15" hidden="false" customHeight="false" outlineLevel="0" collapsed="false">
      <c r="A24" s="4" t="s">
        <v>611</v>
      </c>
      <c r="B24" s="50" t="n">
        <f aca="false">$B$18</f>
        <v>304.145914326208</v>
      </c>
      <c r="C24" s="49" t="str">
        <f aca="false">IF(($B$18)&lt;0,"−€","€")&amp;FIXED(ROUND(ABS($B$18),0),0)</f>
        <v>€304</v>
      </c>
      <c r="D24" s="42" t="s">
        <v>512</v>
      </c>
      <c r="E24" s="42"/>
      <c r="F24" s="42"/>
      <c r="G24" s="42"/>
      <c r="H24" s="42"/>
      <c r="I24" s="42"/>
    </row>
    <row r="25" customFormat="false" ht="15" hidden="false" customHeight="false" outlineLevel="0" collapsed="false">
      <c r="A25" s="4" t="s">
        <v>1098</v>
      </c>
      <c r="B25" s="50" t="n">
        <f aca="false">$B$18*$B$12*12-$B$10</f>
        <v>3248.75485957247</v>
      </c>
      <c r="C25" s="49" t="str">
        <f aca="false">IF(($B$18*$B$12*12-$B$10)&lt;0,"−€","€")&amp;FIXED(ROUND(ABS($B$18*$B$12*12-$B$10),0),0)</f>
        <v>€3,249</v>
      </c>
      <c r="D25" s="42" t="s">
        <v>424</v>
      </c>
      <c r="E25" s="42"/>
      <c r="F25" s="42"/>
      <c r="G25" s="42"/>
      <c r="H25" s="42"/>
      <c r="I25" s="42"/>
    </row>
    <row r="26" customFormat="false" ht="15" hidden="false" customHeight="false" outlineLevel="0" collapsed="false">
      <c r="A26" s="4" t="s">
        <v>490</v>
      </c>
      <c r="B26" s="50" t="n">
        <f aca="false">$B$19</f>
        <v>18248.7548595725</v>
      </c>
      <c r="C26" s="49" t="str">
        <f aca="false">IF(($B$19)&lt;0,"−€","€")&amp;FIXED(ROUND(ABS($B$19),0),0)</f>
        <v>€18,249</v>
      </c>
      <c r="D26" s="42" t="s">
        <v>427</v>
      </c>
      <c r="E26" s="42"/>
      <c r="F26" s="42"/>
      <c r="G26" s="42"/>
      <c r="H26" s="42"/>
      <c r="I26" s="42"/>
    </row>
  </sheetData>
  <mergeCells count="11">
    <mergeCell ref="A3:I3"/>
    <mergeCell ref="A4:I4"/>
    <mergeCell ref="A5:I5"/>
    <mergeCell ref="D16:I16"/>
    <mergeCell ref="D17:I17"/>
    <mergeCell ref="D18:I18"/>
    <mergeCell ref="D19:I19"/>
    <mergeCell ref="D23:I23"/>
    <mergeCell ref="D24:I24"/>
    <mergeCell ref="D25:I25"/>
    <mergeCell ref="D26:I26"/>
  </mergeCells>
  <dataValidations count="3">
    <dataValidation allowBlank="false" error="The prototype accepts 500 to 1000000 here." errorStyle="stop" errorTitle="Outside the prototype range" operator="between" showDropDown="false" showErrorMessage="true" showInputMessage="false" sqref="B10" type="decimal">
      <formula1>500</formula1>
      <formula2>1000000</formula2>
    </dataValidation>
    <dataValidation allowBlank="false" error="The prototype accepts 0.0 to 0.25 here." errorStyle="stop" errorTitle="Outside the prototype range" operator="between" showDropDown="false" showErrorMessage="true" showInputMessage="false" sqref="B11" type="decimal">
      <formula1>0</formula1>
      <formula2>0.25</formula2>
    </dataValidation>
    <dataValidation allowBlank="false" error="The prototype accepts 1 to 10 here." errorStyle="stop" errorTitle="Outside the prototype range" operator="between" showDropDown="false" showErrorMessage="true" showInputMessage="false" sqref="B12" type="decimal">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26"/>
    <col collapsed="false" customWidth="true" hidden="false" outlineLevel="0" max="4" min="4" style="0" width="22"/>
    <col collapsed="false" customWidth="true" hidden="false" outlineLevel="0" max="5" min="5" style="0" width="26"/>
    <col collapsed="false" customWidth="true" hidden="false" outlineLevel="0" max="6" min="6" style="0" width="60"/>
    <col collapsed="false" customWidth="true" hidden="false" outlineLevel="0" max="7" min="7" style="0" width="40"/>
    <col collapsed="false" customWidth="true" hidden="false" outlineLevel="0" max="8" min="8" style="0" width="18"/>
    <col collapsed="false" customWidth="true" hidden="false" outlineLevel="0" max="9" min="9" style="0" width="26"/>
    <col collapsed="false" customWidth="true" hidden="false" outlineLevel="0" max="10" min="10" style="0" width="18"/>
    <col collapsed="false" customWidth="true" hidden="false" outlineLevel="0" max="11" min="11" style="0" width="26"/>
    <col collapsed="false" customWidth="true" hidden="false" outlineLevel="0" max="12" min="12" style="0" width="9"/>
  </cols>
  <sheetData>
    <row r="1" customFormat="false" ht="23.85" hidden="false" customHeight="false" outlineLevel="0" collapsed="false">
      <c r="A1" s="75" t="s">
        <v>1099</v>
      </c>
      <c r="B1" s="75" t="s">
        <v>34</v>
      </c>
      <c r="C1" s="75" t="s">
        <v>37</v>
      </c>
      <c r="D1" s="75" t="s">
        <v>1100</v>
      </c>
      <c r="E1" s="75" t="s">
        <v>1101</v>
      </c>
      <c r="F1" s="75" t="s">
        <v>1102</v>
      </c>
      <c r="G1" s="75" t="s">
        <v>416</v>
      </c>
      <c r="H1" s="75" t="s">
        <v>1103</v>
      </c>
      <c r="I1" s="75" t="s">
        <v>1104</v>
      </c>
      <c r="J1" s="75" t="s">
        <v>1105</v>
      </c>
      <c r="K1" s="75" t="s">
        <v>1106</v>
      </c>
      <c r="L1" s="75" t="s">
        <v>1107</v>
      </c>
    </row>
    <row r="2" customFormat="false" ht="15" hidden="false" customHeight="false" outlineLevel="0" collapsed="false">
      <c r="A2" s="54" t="s">
        <v>1108</v>
      </c>
    </row>
    <row r="3" customFormat="false" ht="15" hidden="false" customHeight="false" outlineLevel="0" collapsed="false">
      <c r="A3" s="76" t="s">
        <v>1109</v>
      </c>
      <c r="B3" s="76" t="s">
        <v>41</v>
      </c>
      <c r="C3" s="76" t="s">
        <v>1110</v>
      </c>
      <c r="D3" s="76" t="s">
        <v>1111</v>
      </c>
      <c r="E3" s="76" t="s">
        <v>1112</v>
      </c>
      <c r="F3" s="35" t="s">
        <v>1113</v>
      </c>
      <c r="G3" s="76" t="s">
        <v>419</v>
      </c>
      <c r="H3" s="76"/>
      <c r="I3" s="76" t="s">
        <v>421</v>
      </c>
      <c r="J3" s="76"/>
      <c r="K3" s="76" t="s">
        <v>421</v>
      </c>
      <c r="L3" s="77" t="s">
        <v>1114</v>
      </c>
    </row>
    <row r="4" customFormat="false" ht="15" hidden="false" customHeight="false" outlineLevel="0" collapsed="false">
      <c r="A4" s="76" t="s">
        <v>1109</v>
      </c>
      <c r="B4" s="76" t="s">
        <v>41</v>
      </c>
      <c r="C4" s="76" t="s">
        <v>1110</v>
      </c>
      <c r="D4" s="76" t="s">
        <v>1111</v>
      </c>
      <c r="E4" s="76" t="s">
        <v>1112</v>
      </c>
      <c r="F4" s="35" t="s">
        <v>1113</v>
      </c>
      <c r="G4" s="76" t="s">
        <v>421</v>
      </c>
      <c r="H4" s="76" t="n">
        <v>250000</v>
      </c>
      <c r="I4" s="76" t="s">
        <v>1115</v>
      </c>
      <c r="J4" s="76" t="n">
        <v>250000</v>
      </c>
      <c r="K4" s="76" t="s">
        <v>1115</v>
      </c>
      <c r="L4" s="77" t="s">
        <v>1114</v>
      </c>
    </row>
    <row r="5" customFormat="false" ht="15" hidden="false" customHeight="false" outlineLevel="0" collapsed="false">
      <c r="A5" s="76" t="s">
        <v>1109</v>
      </c>
      <c r="B5" s="76" t="s">
        <v>41</v>
      </c>
      <c r="C5" s="76" t="s">
        <v>1110</v>
      </c>
      <c r="D5" s="76" t="s">
        <v>1111</v>
      </c>
      <c r="E5" s="76" t="s">
        <v>1112</v>
      </c>
      <c r="F5" s="35" t="s">
        <v>1113</v>
      </c>
      <c r="G5" s="76" t="s">
        <v>423</v>
      </c>
      <c r="H5" s="78" t="n">
        <v>4</v>
      </c>
      <c r="I5" s="76" t="s">
        <v>871</v>
      </c>
      <c r="J5" s="76" t="n">
        <v>4</v>
      </c>
      <c r="K5" s="76" t="s">
        <v>871</v>
      </c>
      <c r="L5" s="77" t="s">
        <v>1114</v>
      </c>
    </row>
    <row r="6" customFormat="false" ht="15" hidden="false" customHeight="false" outlineLevel="0" collapsed="false">
      <c r="A6" s="76" t="s">
        <v>1109</v>
      </c>
      <c r="B6" s="76" t="s">
        <v>41</v>
      </c>
      <c r="C6" s="76" t="s">
        <v>1110</v>
      </c>
      <c r="D6" s="76" t="s">
        <v>1111</v>
      </c>
      <c r="E6" s="76" t="s">
        <v>1112</v>
      </c>
      <c r="F6" s="35" t="s">
        <v>1113</v>
      </c>
      <c r="G6" s="76" t="s">
        <v>425</v>
      </c>
      <c r="H6" s="76"/>
      <c r="I6" s="76" t="s">
        <v>1116</v>
      </c>
      <c r="J6" s="76"/>
      <c r="K6" s="76" t="s">
        <v>1116</v>
      </c>
      <c r="L6" s="77" t="s">
        <v>1114</v>
      </c>
    </row>
    <row r="7" customFormat="false" ht="15" hidden="false" customHeight="false" outlineLevel="0" collapsed="false">
      <c r="A7" s="76" t="s">
        <v>1109</v>
      </c>
      <c r="B7" s="76" t="s">
        <v>41</v>
      </c>
      <c r="C7" s="76" t="s">
        <v>1110</v>
      </c>
      <c r="D7" s="76" t="s">
        <v>1111</v>
      </c>
      <c r="E7" s="76" t="s">
        <v>1112</v>
      </c>
      <c r="F7" s="35" t="s">
        <v>1113</v>
      </c>
      <c r="G7" s="76" t="s">
        <v>426</v>
      </c>
      <c r="H7" s="76" t="n">
        <v>240000</v>
      </c>
      <c r="I7" s="76" t="s">
        <v>1117</v>
      </c>
      <c r="J7" s="76" t="n">
        <v>240000</v>
      </c>
      <c r="K7" s="76" t="s">
        <v>1117</v>
      </c>
      <c r="L7" s="77" t="s">
        <v>1114</v>
      </c>
    </row>
    <row r="8" customFormat="false" ht="15" hidden="false" customHeight="false" outlineLevel="0" collapsed="false">
      <c r="A8" s="76" t="s">
        <v>1109</v>
      </c>
      <c r="B8" s="76" t="s">
        <v>41</v>
      </c>
      <c r="C8" s="76" t="s">
        <v>1110</v>
      </c>
      <c r="D8" s="76" t="s">
        <v>1111</v>
      </c>
      <c r="E8" s="76" t="s">
        <v>1112</v>
      </c>
      <c r="F8" s="35" t="s">
        <v>1113</v>
      </c>
      <c r="G8" s="76" t="s">
        <v>400</v>
      </c>
      <c r="H8" s="76" t="n">
        <v>225000</v>
      </c>
      <c r="I8" s="76" t="s">
        <v>1118</v>
      </c>
      <c r="J8" s="76" t="n">
        <v>225000</v>
      </c>
      <c r="K8" s="76" t="s">
        <v>1118</v>
      </c>
      <c r="L8" s="77" t="s">
        <v>1114</v>
      </c>
    </row>
    <row r="9" customFormat="false" ht="15" hidden="false" customHeight="false" outlineLevel="0" collapsed="false">
      <c r="A9" s="76" t="s">
        <v>1109</v>
      </c>
      <c r="B9" s="76" t="s">
        <v>41</v>
      </c>
      <c r="C9" s="76" t="s">
        <v>1110</v>
      </c>
      <c r="D9" s="76" t="s">
        <v>1111</v>
      </c>
      <c r="E9" s="76" t="s">
        <v>1112</v>
      </c>
      <c r="F9" s="35" t="s">
        <v>1113</v>
      </c>
      <c r="G9" s="76" t="s">
        <v>429</v>
      </c>
      <c r="H9" s="76" t="n">
        <v>25000</v>
      </c>
      <c r="I9" s="76" t="s">
        <v>1119</v>
      </c>
      <c r="J9" s="76" t="n">
        <v>25000</v>
      </c>
      <c r="K9" s="76" t="s">
        <v>1119</v>
      </c>
      <c r="L9" s="77" t="s">
        <v>1114</v>
      </c>
    </row>
    <row r="10" customFormat="false" ht="15" hidden="false" customHeight="false" outlineLevel="0" collapsed="false">
      <c r="A10" s="76" t="s">
        <v>1109</v>
      </c>
      <c r="B10" s="76" t="s">
        <v>41</v>
      </c>
      <c r="C10" s="76" t="s">
        <v>1110</v>
      </c>
      <c r="D10" s="76" t="s">
        <v>1111</v>
      </c>
      <c r="E10" s="76" t="s">
        <v>1112</v>
      </c>
      <c r="F10" s="35" t="s">
        <v>1113</v>
      </c>
      <c r="G10" s="76" t="s">
        <v>411</v>
      </c>
      <c r="H10" s="78" t="n">
        <v>1074.18441479727</v>
      </c>
      <c r="I10" s="76" t="s">
        <v>1120</v>
      </c>
      <c r="J10" s="78" t="n">
        <v>1074.18441479727</v>
      </c>
      <c r="K10" s="76" t="s">
        <v>1120</v>
      </c>
      <c r="L10" s="77" t="s">
        <v>1114</v>
      </c>
    </row>
    <row r="11" customFormat="false" ht="15" hidden="false" customHeight="false" outlineLevel="0" collapsed="false">
      <c r="A11" s="76" t="s">
        <v>1109</v>
      </c>
      <c r="B11" s="76" t="s">
        <v>41</v>
      </c>
      <c r="C11" s="76" t="s">
        <v>1110</v>
      </c>
      <c r="D11" s="76" t="s">
        <v>1111</v>
      </c>
      <c r="E11" s="76" t="s">
        <v>1112</v>
      </c>
      <c r="F11" s="35" t="s">
        <v>1113</v>
      </c>
      <c r="G11" s="76" t="s">
        <v>432</v>
      </c>
      <c r="H11" s="78" t="n">
        <v>25000</v>
      </c>
      <c r="I11" s="76" t="s">
        <v>1121</v>
      </c>
      <c r="J11" s="76" t="n">
        <v>25000</v>
      </c>
      <c r="K11" s="76" t="s">
        <v>1121</v>
      </c>
      <c r="L11" s="77" t="s">
        <v>1114</v>
      </c>
    </row>
    <row r="12" customFormat="false" ht="15" hidden="false" customHeight="false" outlineLevel="0" collapsed="false">
      <c r="A12" s="76" t="s">
        <v>1109</v>
      </c>
      <c r="B12" s="76" t="s">
        <v>41</v>
      </c>
      <c r="C12" s="76" t="s">
        <v>1110</v>
      </c>
      <c r="D12" s="76" t="s">
        <v>1111</v>
      </c>
      <c r="E12" s="76" t="s">
        <v>1112</v>
      </c>
      <c r="F12" s="35" t="s">
        <v>1113</v>
      </c>
      <c r="G12" s="76" t="s">
        <v>434</v>
      </c>
      <c r="H12" s="78" t="n">
        <v>3</v>
      </c>
      <c r="I12" s="76" t="s">
        <v>1122</v>
      </c>
      <c r="J12" s="76" t="n">
        <v>3</v>
      </c>
      <c r="K12" s="76" t="s">
        <v>1122</v>
      </c>
      <c r="L12" s="77" t="s">
        <v>1114</v>
      </c>
    </row>
    <row r="13" customFormat="false" ht="15" hidden="false" customHeight="false" outlineLevel="0" collapsed="false">
      <c r="A13" s="76" t="s">
        <v>1123</v>
      </c>
      <c r="B13" s="76" t="s">
        <v>41</v>
      </c>
      <c r="C13" s="76" t="s">
        <v>1110</v>
      </c>
      <c r="D13" s="76" t="s">
        <v>1124</v>
      </c>
      <c r="E13" s="76" t="s">
        <v>1125</v>
      </c>
      <c r="F13" s="35" t="s">
        <v>1126</v>
      </c>
      <c r="G13" s="76" t="s">
        <v>419</v>
      </c>
      <c r="H13" s="76"/>
      <c r="I13" s="76" t="s">
        <v>421</v>
      </c>
      <c r="J13" s="76"/>
      <c r="K13" s="76" t="s">
        <v>421</v>
      </c>
      <c r="L13" s="77" t="s">
        <v>1114</v>
      </c>
    </row>
    <row r="14" customFormat="false" ht="15" hidden="false" customHeight="false" outlineLevel="0" collapsed="false">
      <c r="A14" s="76" t="s">
        <v>1123</v>
      </c>
      <c r="B14" s="76" t="s">
        <v>41</v>
      </c>
      <c r="C14" s="76" t="s">
        <v>1110</v>
      </c>
      <c r="D14" s="76" t="s">
        <v>1124</v>
      </c>
      <c r="E14" s="76" t="s">
        <v>1125</v>
      </c>
      <c r="F14" s="35" t="s">
        <v>1126</v>
      </c>
      <c r="G14" s="76" t="s">
        <v>421</v>
      </c>
      <c r="H14" s="76" t="n">
        <v>0</v>
      </c>
      <c r="I14" s="76" t="s">
        <v>1127</v>
      </c>
      <c r="J14" s="76" t="n">
        <v>0</v>
      </c>
      <c r="K14" s="76" t="s">
        <v>1127</v>
      </c>
      <c r="L14" s="77" t="s">
        <v>1114</v>
      </c>
    </row>
    <row r="15" customFormat="false" ht="15" hidden="false" customHeight="false" outlineLevel="0" collapsed="false">
      <c r="A15" s="76" t="s">
        <v>1123</v>
      </c>
      <c r="B15" s="76" t="s">
        <v>41</v>
      </c>
      <c r="C15" s="76" t="s">
        <v>1110</v>
      </c>
      <c r="D15" s="76" t="s">
        <v>1124</v>
      </c>
      <c r="E15" s="76" t="s">
        <v>1125</v>
      </c>
      <c r="F15" s="35" t="s">
        <v>1126</v>
      </c>
      <c r="G15" s="76" t="s">
        <v>423</v>
      </c>
      <c r="H15" s="78" t="n">
        <v>3.5</v>
      </c>
      <c r="I15" s="76" t="s">
        <v>1128</v>
      </c>
      <c r="J15" s="78" t="n">
        <v>3.5</v>
      </c>
      <c r="K15" s="76" t="s">
        <v>1128</v>
      </c>
      <c r="L15" s="77" t="s">
        <v>1114</v>
      </c>
    </row>
    <row r="16" customFormat="false" ht="15" hidden="false" customHeight="false" outlineLevel="0" collapsed="false">
      <c r="A16" s="76" t="s">
        <v>1123</v>
      </c>
      <c r="B16" s="76" t="s">
        <v>41</v>
      </c>
      <c r="C16" s="76" t="s">
        <v>1110</v>
      </c>
      <c r="D16" s="76" t="s">
        <v>1124</v>
      </c>
      <c r="E16" s="76" t="s">
        <v>1125</v>
      </c>
      <c r="F16" s="35" t="s">
        <v>1126</v>
      </c>
      <c r="G16" s="76" t="s">
        <v>425</v>
      </c>
      <c r="H16" s="76"/>
      <c r="I16" s="76" t="s">
        <v>1116</v>
      </c>
      <c r="J16" s="76"/>
      <c r="K16" s="76" t="s">
        <v>1116</v>
      </c>
      <c r="L16" s="77" t="s">
        <v>1114</v>
      </c>
    </row>
    <row r="17" customFormat="false" ht="15" hidden="false" customHeight="false" outlineLevel="0" collapsed="false">
      <c r="A17" s="76" t="s">
        <v>1123</v>
      </c>
      <c r="B17" s="76" t="s">
        <v>41</v>
      </c>
      <c r="C17" s="76" t="s">
        <v>1110</v>
      </c>
      <c r="D17" s="76" t="s">
        <v>1124</v>
      </c>
      <c r="E17" s="76" t="s">
        <v>1125</v>
      </c>
      <c r="F17" s="35" t="s">
        <v>1126</v>
      </c>
      <c r="G17" s="76" t="s">
        <v>426</v>
      </c>
      <c r="H17" s="76" t="n">
        <v>52500</v>
      </c>
      <c r="I17" s="76" t="s">
        <v>1129</v>
      </c>
      <c r="J17" s="76" t="n">
        <v>52500</v>
      </c>
      <c r="K17" s="76" t="s">
        <v>1129</v>
      </c>
      <c r="L17" s="77" t="s">
        <v>1114</v>
      </c>
    </row>
    <row r="18" customFormat="false" ht="15" hidden="false" customHeight="false" outlineLevel="0" collapsed="false">
      <c r="A18" s="76" t="s">
        <v>1123</v>
      </c>
      <c r="B18" s="76" t="s">
        <v>41</v>
      </c>
      <c r="C18" s="76" t="s">
        <v>1110</v>
      </c>
      <c r="D18" s="76" t="s">
        <v>1124</v>
      </c>
      <c r="E18" s="76" t="s">
        <v>1125</v>
      </c>
      <c r="F18" s="35" t="s">
        <v>1126</v>
      </c>
      <c r="G18" s="76" t="s">
        <v>400</v>
      </c>
      <c r="H18" s="76" t="n">
        <v>0</v>
      </c>
      <c r="I18" s="76" t="s">
        <v>1127</v>
      </c>
      <c r="J18" s="76" t="n">
        <v>0</v>
      </c>
      <c r="K18" s="76" t="s">
        <v>1127</v>
      </c>
      <c r="L18" s="77" t="s">
        <v>1114</v>
      </c>
    </row>
    <row r="19" customFormat="false" ht="15" hidden="false" customHeight="false" outlineLevel="0" collapsed="false">
      <c r="A19" s="76" t="s">
        <v>1123</v>
      </c>
      <c r="B19" s="76" t="s">
        <v>41</v>
      </c>
      <c r="C19" s="76" t="s">
        <v>1110</v>
      </c>
      <c r="D19" s="76" t="s">
        <v>1124</v>
      </c>
      <c r="E19" s="76" t="s">
        <v>1125</v>
      </c>
      <c r="F19" s="35" t="s">
        <v>1126</v>
      </c>
      <c r="G19" s="76" t="s">
        <v>429</v>
      </c>
      <c r="H19" s="76" t="n">
        <v>0</v>
      </c>
      <c r="I19" s="76" t="s">
        <v>1127</v>
      </c>
      <c r="J19" s="76" t="n">
        <v>0</v>
      </c>
      <c r="K19" s="76" t="s">
        <v>1127</v>
      </c>
      <c r="L19" s="77" t="s">
        <v>1114</v>
      </c>
    </row>
    <row r="20" customFormat="false" ht="15" hidden="false" customHeight="false" outlineLevel="0" collapsed="false">
      <c r="A20" s="76" t="s">
        <v>1123</v>
      </c>
      <c r="B20" s="76" t="s">
        <v>41</v>
      </c>
      <c r="C20" s="76" t="s">
        <v>1110</v>
      </c>
      <c r="D20" s="76" t="s">
        <v>1124</v>
      </c>
      <c r="E20" s="76" t="s">
        <v>1125</v>
      </c>
      <c r="F20" s="35" t="s">
        <v>1126</v>
      </c>
      <c r="G20" s="76" t="s">
        <v>411</v>
      </c>
      <c r="H20" s="76" t="n">
        <v>0</v>
      </c>
      <c r="I20" s="76" t="s">
        <v>1127</v>
      </c>
      <c r="J20" s="76" t="n">
        <v>0</v>
      </c>
      <c r="K20" s="76" t="s">
        <v>1127</v>
      </c>
      <c r="L20" s="77" t="s">
        <v>1114</v>
      </c>
    </row>
    <row r="21" customFormat="false" ht="15" hidden="false" customHeight="false" outlineLevel="0" collapsed="false">
      <c r="A21" s="76" t="s">
        <v>1123</v>
      </c>
      <c r="B21" s="76" t="s">
        <v>41</v>
      </c>
      <c r="C21" s="76" t="s">
        <v>1110</v>
      </c>
      <c r="D21" s="76" t="s">
        <v>1124</v>
      </c>
      <c r="E21" s="76" t="s">
        <v>1125</v>
      </c>
      <c r="F21" s="35" t="s">
        <v>1126</v>
      </c>
      <c r="G21" s="76" t="s">
        <v>432</v>
      </c>
      <c r="H21" s="78" t="n">
        <v>0</v>
      </c>
      <c r="I21" s="76" t="s">
        <v>1130</v>
      </c>
      <c r="J21" s="76" t="n">
        <v>0</v>
      </c>
      <c r="K21" s="76" t="s">
        <v>1130</v>
      </c>
      <c r="L21" s="77" t="s">
        <v>1114</v>
      </c>
    </row>
    <row r="22" customFormat="false" ht="15" hidden="false" customHeight="false" outlineLevel="0" collapsed="false">
      <c r="A22" s="76" t="s">
        <v>1123</v>
      </c>
      <c r="B22" s="76" t="s">
        <v>41</v>
      </c>
      <c r="C22" s="76" t="s">
        <v>1110</v>
      </c>
      <c r="D22" s="76" t="s">
        <v>1124</v>
      </c>
      <c r="E22" s="76" t="s">
        <v>1125</v>
      </c>
      <c r="F22" s="35" t="s">
        <v>1126</v>
      </c>
      <c r="G22" s="76" t="s">
        <v>434</v>
      </c>
      <c r="H22" s="78" t="n">
        <v>3</v>
      </c>
      <c r="I22" s="76" t="s">
        <v>1122</v>
      </c>
      <c r="J22" s="76" t="n">
        <v>3</v>
      </c>
      <c r="K22" s="76" t="s">
        <v>1122</v>
      </c>
      <c r="L22" s="77" t="s">
        <v>1114</v>
      </c>
    </row>
    <row r="23" customFormat="false" ht="15" hidden="false" customHeight="false" outlineLevel="0" collapsed="false">
      <c r="A23" s="76" t="s">
        <v>1131</v>
      </c>
      <c r="B23" s="76" t="s">
        <v>41</v>
      </c>
      <c r="C23" s="76" t="s">
        <v>1110</v>
      </c>
      <c r="D23" s="76" t="s">
        <v>1132</v>
      </c>
      <c r="E23" s="76" t="s">
        <v>1133</v>
      </c>
      <c r="F23" s="35" t="s">
        <v>1134</v>
      </c>
      <c r="G23" s="76" t="s">
        <v>419</v>
      </c>
      <c r="H23" s="76"/>
      <c r="I23" s="76" t="s">
        <v>421</v>
      </c>
      <c r="J23" s="76"/>
      <c r="K23" s="76" t="s">
        <v>421</v>
      </c>
      <c r="L23" s="77" t="s">
        <v>1114</v>
      </c>
    </row>
    <row r="24" customFormat="false" ht="15" hidden="false" customHeight="false" outlineLevel="0" collapsed="false">
      <c r="A24" s="76" t="s">
        <v>1131</v>
      </c>
      <c r="B24" s="76" t="s">
        <v>41</v>
      </c>
      <c r="C24" s="76" t="s">
        <v>1110</v>
      </c>
      <c r="D24" s="76" t="s">
        <v>1132</v>
      </c>
      <c r="E24" s="76" t="s">
        <v>1133</v>
      </c>
      <c r="F24" s="35" t="s">
        <v>1134</v>
      </c>
      <c r="G24" s="76" t="s">
        <v>421</v>
      </c>
      <c r="H24" s="76" t="n">
        <v>2250000</v>
      </c>
      <c r="I24" s="76" t="s">
        <v>1135</v>
      </c>
      <c r="J24" s="76" t="n">
        <v>2250000</v>
      </c>
      <c r="K24" s="76" t="s">
        <v>1135</v>
      </c>
      <c r="L24" s="77" t="s">
        <v>1114</v>
      </c>
    </row>
    <row r="25" customFormat="false" ht="15" hidden="false" customHeight="false" outlineLevel="0" collapsed="false">
      <c r="A25" s="76" t="s">
        <v>1131</v>
      </c>
      <c r="B25" s="76" t="s">
        <v>41</v>
      </c>
      <c r="C25" s="76" t="s">
        <v>1110</v>
      </c>
      <c r="D25" s="76" t="s">
        <v>1132</v>
      </c>
      <c r="E25" s="76" t="s">
        <v>1133</v>
      </c>
      <c r="F25" s="35" t="s">
        <v>1134</v>
      </c>
      <c r="G25" s="76" t="s">
        <v>423</v>
      </c>
      <c r="H25" s="78" t="n">
        <v>4</v>
      </c>
      <c r="I25" s="76" t="s">
        <v>871</v>
      </c>
      <c r="J25" s="76" t="n">
        <v>4</v>
      </c>
      <c r="K25" s="76" t="s">
        <v>871</v>
      </c>
      <c r="L25" s="77" t="s">
        <v>1114</v>
      </c>
    </row>
    <row r="26" customFormat="false" ht="15" hidden="false" customHeight="false" outlineLevel="0" collapsed="false">
      <c r="A26" s="76" t="s">
        <v>1131</v>
      </c>
      <c r="B26" s="76" t="s">
        <v>41</v>
      </c>
      <c r="C26" s="76" t="s">
        <v>1110</v>
      </c>
      <c r="D26" s="76" t="s">
        <v>1132</v>
      </c>
      <c r="E26" s="76" t="s">
        <v>1133</v>
      </c>
      <c r="F26" s="35" t="s">
        <v>1134</v>
      </c>
      <c r="G26" s="76" t="s">
        <v>425</v>
      </c>
      <c r="H26" s="76"/>
      <c r="I26" s="76" t="s">
        <v>1136</v>
      </c>
      <c r="J26" s="76"/>
      <c r="K26" s="76" t="s">
        <v>1136</v>
      </c>
      <c r="L26" s="77" t="s">
        <v>1114</v>
      </c>
    </row>
    <row r="27" customFormat="false" ht="15" hidden="false" customHeight="false" outlineLevel="0" collapsed="false">
      <c r="A27" s="76" t="s">
        <v>1131</v>
      </c>
      <c r="B27" s="76" t="s">
        <v>41</v>
      </c>
      <c r="C27" s="76" t="s">
        <v>1110</v>
      </c>
      <c r="D27" s="76" t="s">
        <v>1132</v>
      </c>
      <c r="E27" s="76" t="s">
        <v>1133</v>
      </c>
      <c r="F27" s="35" t="s">
        <v>1134</v>
      </c>
      <c r="G27" s="76" t="s">
        <v>426</v>
      </c>
      <c r="H27" s="76" t="n">
        <v>2000000</v>
      </c>
      <c r="I27" s="76" t="s">
        <v>1137</v>
      </c>
      <c r="J27" s="76" t="n">
        <v>2000000</v>
      </c>
      <c r="K27" s="76" t="s">
        <v>1137</v>
      </c>
      <c r="L27" s="77" t="s">
        <v>1114</v>
      </c>
    </row>
    <row r="28" customFormat="false" ht="15" hidden="false" customHeight="false" outlineLevel="0" collapsed="false">
      <c r="A28" s="76" t="s">
        <v>1131</v>
      </c>
      <c r="B28" s="76" t="s">
        <v>41</v>
      </c>
      <c r="C28" s="76" t="s">
        <v>1110</v>
      </c>
      <c r="D28" s="76" t="s">
        <v>1132</v>
      </c>
      <c r="E28" s="76" t="s">
        <v>1133</v>
      </c>
      <c r="F28" s="35" t="s">
        <v>1134</v>
      </c>
      <c r="G28" s="76" t="s">
        <v>400</v>
      </c>
      <c r="H28" s="76" t="n">
        <v>2250000</v>
      </c>
      <c r="I28" s="76" t="s">
        <v>1135</v>
      </c>
      <c r="J28" s="76" t="n">
        <v>2250000</v>
      </c>
      <c r="K28" s="76" t="s">
        <v>1135</v>
      </c>
      <c r="L28" s="77" t="s">
        <v>1114</v>
      </c>
    </row>
    <row r="29" customFormat="false" ht="15" hidden="false" customHeight="false" outlineLevel="0" collapsed="false">
      <c r="A29" s="76" t="s">
        <v>1131</v>
      </c>
      <c r="B29" s="76" t="s">
        <v>41</v>
      </c>
      <c r="C29" s="76" t="s">
        <v>1110</v>
      </c>
      <c r="D29" s="76" t="s">
        <v>1132</v>
      </c>
      <c r="E29" s="76" t="s">
        <v>1133</v>
      </c>
      <c r="F29" s="35" t="s">
        <v>1134</v>
      </c>
      <c r="G29" s="76" t="s">
        <v>429</v>
      </c>
      <c r="H29" s="76" t="n">
        <v>250000</v>
      </c>
      <c r="I29" s="76" t="s">
        <v>1115</v>
      </c>
      <c r="J29" s="76" t="n">
        <v>250000</v>
      </c>
      <c r="K29" s="76" t="s">
        <v>1115</v>
      </c>
      <c r="L29" s="77" t="s">
        <v>1114</v>
      </c>
    </row>
    <row r="30" customFormat="false" ht="15" hidden="false" customHeight="false" outlineLevel="0" collapsed="false">
      <c r="A30" s="76" t="s">
        <v>1131</v>
      </c>
      <c r="B30" s="76" t="s">
        <v>41</v>
      </c>
      <c r="C30" s="76" t="s">
        <v>1110</v>
      </c>
      <c r="D30" s="76" t="s">
        <v>1132</v>
      </c>
      <c r="E30" s="76" t="s">
        <v>1133</v>
      </c>
      <c r="F30" s="35" t="s">
        <v>1134</v>
      </c>
      <c r="G30" s="76" t="s">
        <v>411</v>
      </c>
      <c r="H30" s="78" t="n">
        <v>14205.2175790922</v>
      </c>
      <c r="I30" s="76" t="s">
        <v>1138</v>
      </c>
      <c r="J30" s="78" t="n">
        <v>14205.2175790922</v>
      </c>
      <c r="K30" s="76" t="s">
        <v>1138</v>
      </c>
      <c r="L30" s="77" t="s">
        <v>1114</v>
      </c>
    </row>
    <row r="31" customFormat="false" ht="15" hidden="false" customHeight="false" outlineLevel="0" collapsed="false">
      <c r="A31" s="76" t="s">
        <v>1131</v>
      </c>
      <c r="B31" s="76" t="s">
        <v>41</v>
      </c>
      <c r="C31" s="76" t="s">
        <v>1110</v>
      </c>
      <c r="D31" s="76" t="s">
        <v>1132</v>
      </c>
      <c r="E31" s="76" t="s">
        <v>1133</v>
      </c>
      <c r="F31" s="35" t="s">
        <v>1134</v>
      </c>
      <c r="G31" s="76" t="s">
        <v>432</v>
      </c>
      <c r="H31" s="78" t="n">
        <v>225000</v>
      </c>
      <c r="I31" s="76" t="s">
        <v>1139</v>
      </c>
      <c r="J31" s="76" t="n">
        <v>225000</v>
      </c>
      <c r="K31" s="76" t="s">
        <v>1139</v>
      </c>
      <c r="L31" s="77" t="s">
        <v>1114</v>
      </c>
    </row>
    <row r="32" customFormat="false" ht="15" hidden="false" customHeight="false" outlineLevel="0" collapsed="false">
      <c r="A32" s="76" t="s">
        <v>1131</v>
      </c>
      <c r="B32" s="76" t="s">
        <v>41</v>
      </c>
      <c r="C32" s="76" t="s">
        <v>1110</v>
      </c>
      <c r="D32" s="76" t="s">
        <v>1132</v>
      </c>
      <c r="E32" s="76" t="s">
        <v>1133</v>
      </c>
      <c r="F32" s="35" t="s">
        <v>1134</v>
      </c>
      <c r="G32" s="76" t="s">
        <v>434</v>
      </c>
      <c r="H32" s="78" t="n">
        <v>3</v>
      </c>
      <c r="I32" s="76" t="s">
        <v>1122</v>
      </c>
      <c r="J32" s="76" t="n">
        <v>3</v>
      </c>
      <c r="K32" s="76" t="s">
        <v>1122</v>
      </c>
      <c r="L32" s="77" t="s">
        <v>1114</v>
      </c>
    </row>
    <row r="33" customFormat="false" ht="15" hidden="false" customHeight="false" outlineLevel="0" collapsed="false">
      <c r="A33" s="76" t="s">
        <v>1140</v>
      </c>
      <c r="B33" s="76" t="s">
        <v>41</v>
      </c>
      <c r="C33" s="76" t="s">
        <v>1110</v>
      </c>
      <c r="D33" s="76" t="s">
        <v>1141</v>
      </c>
      <c r="E33" s="76" t="s">
        <v>1142</v>
      </c>
      <c r="F33" s="35" t="s">
        <v>1143</v>
      </c>
      <c r="G33" s="76" t="s">
        <v>419</v>
      </c>
      <c r="H33" s="76"/>
      <c r="I33" s="76" t="s">
        <v>421</v>
      </c>
      <c r="J33" s="76"/>
      <c r="K33" s="76" t="s">
        <v>421</v>
      </c>
      <c r="L33" s="77" t="s">
        <v>1114</v>
      </c>
    </row>
    <row r="34" customFormat="false" ht="15" hidden="false" customHeight="false" outlineLevel="0" collapsed="false">
      <c r="A34" s="76" t="s">
        <v>1140</v>
      </c>
      <c r="B34" s="76" t="s">
        <v>41</v>
      </c>
      <c r="C34" s="76" t="s">
        <v>1110</v>
      </c>
      <c r="D34" s="76" t="s">
        <v>1141</v>
      </c>
      <c r="E34" s="76" t="s">
        <v>1142</v>
      </c>
      <c r="F34" s="35" t="s">
        <v>1143</v>
      </c>
      <c r="G34" s="76" t="s">
        <v>421</v>
      </c>
      <c r="H34" s="76" t="n">
        <v>434000</v>
      </c>
      <c r="I34" s="76" t="s">
        <v>1144</v>
      </c>
      <c r="J34" s="76" t="n">
        <v>434000</v>
      </c>
      <c r="K34" s="76" t="s">
        <v>1144</v>
      </c>
      <c r="L34" s="77" t="s">
        <v>1114</v>
      </c>
    </row>
    <row r="35" customFormat="false" ht="15" hidden="false" customHeight="false" outlineLevel="0" collapsed="false">
      <c r="A35" s="76" t="s">
        <v>1140</v>
      </c>
      <c r="B35" s="76" t="s">
        <v>41</v>
      </c>
      <c r="C35" s="76" t="s">
        <v>1110</v>
      </c>
      <c r="D35" s="76" t="s">
        <v>1141</v>
      </c>
      <c r="E35" s="76" t="s">
        <v>1142</v>
      </c>
      <c r="F35" s="35" t="s">
        <v>1143</v>
      </c>
      <c r="G35" s="76" t="s">
        <v>423</v>
      </c>
      <c r="H35" s="78" t="n">
        <v>3.5</v>
      </c>
      <c r="I35" s="76" t="s">
        <v>1128</v>
      </c>
      <c r="J35" s="78" t="n">
        <v>3.5</v>
      </c>
      <c r="K35" s="76" t="s">
        <v>1128</v>
      </c>
      <c r="L35" s="77" t="s">
        <v>1114</v>
      </c>
    </row>
    <row r="36" customFormat="false" ht="15" hidden="false" customHeight="false" outlineLevel="0" collapsed="false">
      <c r="A36" s="76" t="s">
        <v>1140</v>
      </c>
      <c r="B36" s="76" t="s">
        <v>41</v>
      </c>
      <c r="C36" s="76" t="s">
        <v>1110</v>
      </c>
      <c r="D36" s="76" t="s">
        <v>1141</v>
      </c>
      <c r="E36" s="76" t="s">
        <v>1142</v>
      </c>
      <c r="F36" s="35" t="s">
        <v>1143</v>
      </c>
      <c r="G36" s="76" t="s">
        <v>425</v>
      </c>
      <c r="H36" s="76"/>
      <c r="I36" s="76" t="s">
        <v>1136</v>
      </c>
      <c r="J36" s="76"/>
      <c r="K36" s="76" t="s">
        <v>1136</v>
      </c>
      <c r="L36" s="77" t="s">
        <v>1114</v>
      </c>
    </row>
    <row r="37" customFormat="false" ht="15" hidden="false" customHeight="false" outlineLevel="0" collapsed="false">
      <c r="A37" s="76" t="s">
        <v>1140</v>
      </c>
      <c r="B37" s="76" t="s">
        <v>41</v>
      </c>
      <c r="C37" s="76" t="s">
        <v>1110</v>
      </c>
      <c r="D37" s="76" t="s">
        <v>1141</v>
      </c>
      <c r="E37" s="76" t="s">
        <v>1142</v>
      </c>
      <c r="F37" s="35" t="s">
        <v>1143</v>
      </c>
      <c r="G37" s="76" t="s">
        <v>426</v>
      </c>
      <c r="H37" s="76" t="n">
        <v>245000</v>
      </c>
      <c r="I37" s="76" t="s">
        <v>1145</v>
      </c>
      <c r="J37" s="76" t="n">
        <v>245000</v>
      </c>
      <c r="K37" s="76" t="s">
        <v>1145</v>
      </c>
      <c r="L37" s="77" t="s">
        <v>1114</v>
      </c>
    </row>
    <row r="38" customFormat="false" ht="15" hidden="false" customHeight="false" outlineLevel="0" collapsed="false">
      <c r="A38" s="76" t="s">
        <v>1140</v>
      </c>
      <c r="B38" s="76" t="s">
        <v>41</v>
      </c>
      <c r="C38" s="76" t="s">
        <v>1110</v>
      </c>
      <c r="D38" s="76" t="s">
        <v>1141</v>
      </c>
      <c r="E38" s="76" t="s">
        <v>1142</v>
      </c>
      <c r="F38" s="35" t="s">
        <v>1143</v>
      </c>
      <c r="G38" s="76" t="s">
        <v>400</v>
      </c>
      <c r="H38" s="76" t="n">
        <v>1701000</v>
      </c>
      <c r="I38" s="76" t="s">
        <v>1146</v>
      </c>
      <c r="J38" s="76" t="n">
        <v>1701000</v>
      </c>
      <c r="K38" s="76" t="s">
        <v>1146</v>
      </c>
      <c r="L38" s="77" t="s">
        <v>1114</v>
      </c>
    </row>
    <row r="39" customFormat="false" ht="15" hidden="false" customHeight="false" outlineLevel="0" collapsed="false">
      <c r="A39" s="76" t="s">
        <v>1140</v>
      </c>
      <c r="B39" s="76" t="s">
        <v>41</v>
      </c>
      <c r="C39" s="76" t="s">
        <v>1110</v>
      </c>
      <c r="D39" s="76" t="s">
        <v>1141</v>
      </c>
      <c r="E39" s="76" t="s">
        <v>1142</v>
      </c>
      <c r="F39" s="35" t="s">
        <v>1143</v>
      </c>
      <c r="G39" s="76" t="s">
        <v>429</v>
      </c>
      <c r="H39" s="76" t="n">
        <v>189000</v>
      </c>
      <c r="I39" s="76" t="s">
        <v>1147</v>
      </c>
      <c r="J39" s="76" t="n">
        <v>189000</v>
      </c>
      <c r="K39" s="76" t="s">
        <v>1147</v>
      </c>
      <c r="L39" s="77" t="s">
        <v>1114</v>
      </c>
    </row>
    <row r="40" customFormat="false" ht="15" hidden="false" customHeight="false" outlineLevel="0" collapsed="false">
      <c r="A40" s="76" t="s">
        <v>1140</v>
      </c>
      <c r="B40" s="76" t="s">
        <v>41</v>
      </c>
      <c r="C40" s="76" t="s">
        <v>1110</v>
      </c>
      <c r="D40" s="76" t="s">
        <v>1141</v>
      </c>
      <c r="E40" s="76" t="s">
        <v>1142</v>
      </c>
      <c r="F40" s="35" t="s">
        <v>1143</v>
      </c>
      <c r="G40" s="76" t="s">
        <v>411</v>
      </c>
      <c r="H40" s="78" t="n">
        <v>1016.30044600241</v>
      </c>
      <c r="I40" s="76" t="s">
        <v>1148</v>
      </c>
      <c r="J40" s="78" t="n">
        <v>1016.30044600241</v>
      </c>
      <c r="K40" s="76" t="s">
        <v>1148</v>
      </c>
      <c r="L40" s="77" t="s">
        <v>1114</v>
      </c>
    </row>
    <row r="41" customFormat="false" ht="15" hidden="false" customHeight="false" outlineLevel="0" collapsed="false">
      <c r="A41" s="76" t="s">
        <v>1140</v>
      </c>
      <c r="B41" s="76" t="s">
        <v>41</v>
      </c>
      <c r="C41" s="76" t="s">
        <v>1110</v>
      </c>
      <c r="D41" s="76" t="s">
        <v>1141</v>
      </c>
      <c r="E41" s="76" t="s">
        <v>1142</v>
      </c>
      <c r="F41" s="35" t="s">
        <v>1143</v>
      </c>
      <c r="G41" s="76" t="s">
        <v>432</v>
      </c>
      <c r="H41" s="78" t="n">
        <v>43400</v>
      </c>
      <c r="I41" s="76" t="s">
        <v>1149</v>
      </c>
      <c r="J41" s="76" t="n">
        <v>43400</v>
      </c>
      <c r="K41" s="76" t="s">
        <v>1149</v>
      </c>
      <c r="L41" s="77" t="s">
        <v>1114</v>
      </c>
    </row>
    <row r="42" customFormat="false" ht="15" hidden="false" customHeight="false" outlineLevel="0" collapsed="false">
      <c r="A42" s="76" t="s">
        <v>1140</v>
      </c>
      <c r="B42" s="76" t="s">
        <v>41</v>
      </c>
      <c r="C42" s="76" t="s">
        <v>1110</v>
      </c>
      <c r="D42" s="76" t="s">
        <v>1141</v>
      </c>
      <c r="E42" s="76" t="s">
        <v>1142</v>
      </c>
      <c r="F42" s="35" t="s">
        <v>1143</v>
      </c>
      <c r="G42" s="76" t="s">
        <v>434</v>
      </c>
      <c r="H42" s="78" t="n">
        <v>3</v>
      </c>
      <c r="I42" s="76" t="s">
        <v>1122</v>
      </c>
      <c r="J42" s="76" t="n">
        <v>3</v>
      </c>
      <c r="K42" s="76" t="s">
        <v>1122</v>
      </c>
      <c r="L42" s="77" t="s">
        <v>1114</v>
      </c>
    </row>
    <row r="43" customFormat="false" ht="15" hidden="false" customHeight="false" outlineLevel="0" collapsed="false">
      <c r="A43" s="76" t="s">
        <v>1150</v>
      </c>
      <c r="B43" s="76" t="s">
        <v>41</v>
      </c>
      <c r="C43" s="76" t="s">
        <v>1110</v>
      </c>
      <c r="D43" s="76" t="s">
        <v>1151</v>
      </c>
      <c r="E43" s="76" t="s">
        <v>1152</v>
      </c>
      <c r="F43" s="35" t="s">
        <v>1153</v>
      </c>
      <c r="G43" s="76" t="s">
        <v>419</v>
      </c>
      <c r="H43" s="76"/>
      <c r="I43" s="76" t="s">
        <v>421</v>
      </c>
      <c r="J43" s="76"/>
      <c r="K43" s="76" t="s">
        <v>421</v>
      </c>
      <c r="L43" s="77" t="s">
        <v>1114</v>
      </c>
    </row>
    <row r="44" customFormat="false" ht="15" hidden="false" customHeight="false" outlineLevel="0" collapsed="false">
      <c r="A44" s="76" t="s">
        <v>1150</v>
      </c>
      <c r="B44" s="76" t="s">
        <v>41</v>
      </c>
      <c r="C44" s="76" t="s">
        <v>1110</v>
      </c>
      <c r="D44" s="76" t="s">
        <v>1151</v>
      </c>
      <c r="E44" s="76" t="s">
        <v>1152</v>
      </c>
      <c r="F44" s="35" t="s">
        <v>1153</v>
      </c>
      <c r="G44" s="76" t="s">
        <v>421</v>
      </c>
      <c r="H44" s="76" t="n">
        <v>350000</v>
      </c>
      <c r="I44" s="76" t="s">
        <v>1154</v>
      </c>
      <c r="J44" s="76" t="n">
        <v>350000</v>
      </c>
      <c r="K44" s="76" t="s">
        <v>1154</v>
      </c>
      <c r="L44" s="77" t="s">
        <v>1114</v>
      </c>
    </row>
    <row r="45" customFormat="false" ht="15" hidden="false" customHeight="false" outlineLevel="0" collapsed="false">
      <c r="A45" s="76" t="s">
        <v>1150</v>
      </c>
      <c r="B45" s="76" t="s">
        <v>41</v>
      </c>
      <c r="C45" s="76" t="s">
        <v>1110</v>
      </c>
      <c r="D45" s="76" t="s">
        <v>1151</v>
      </c>
      <c r="E45" s="76" t="s">
        <v>1152</v>
      </c>
      <c r="F45" s="35" t="s">
        <v>1153</v>
      </c>
      <c r="G45" s="76" t="s">
        <v>423</v>
      </c>
      <c r="H45" s="78" t="n">
        <v>3.5</v>
      </c>
      <c r="I45" s="76" t="s">
        <v>1128</v>
      </c>
      <c r="J45" s="78" t="n">
        <v>3.5</v>
      </c>
      <c r="K45" s="76" t="s">
        <v>1128</v>
      </c>
      <c r="L45" s="77" t="s">
        <v>1114</v>
      </c>
    </row>
    <row r="46" customFormat="false" ht="15" hidden="false" customHeight="false" outlineLevel="0" collapsed="false">
      <c r="A46" s="76" t="s">
        <v>1150</v>
      </c>
      <c r="B46" s="76" t="s">
        <v>41</v>
      </c>
      <c r="C46" s="76" t="s">
        <v>1110</v>
      </c>
      <c r="D46" s="76" t="s">
        <v>1151</v>
      </c>
      <c r="E46" s="76" t="s">
        <v>1152</v>
      </c>
      <c r="F46" s="35" t="s">
        <v>1153</v>
      </c>
      <c r="G46" s="76" t="s">
        <v>425</v>
      </c>
      <c r="H46" s="76"/>
      <c r="I46" s="76" t="s">
        <v>1116</v>
      </c>
      <c r="J46" s="76"/>
      <c r="K46" s="76" t="s">
        <v>1116</v>
      </c>
      <c r="L46" s="77" t="s">
        <v>1114</v>
      </c>
    </row>
    <row r="47" customFormat="false" ht="15" hidden="false" customHeight="false" outlineLevel="0" collapsed="false">
      <c r="A47" s="76" t="s">
        <v>1150</v>
      </c>
      <c r="B47" s="76" t="s">
        <v>41</v>
      </c>
      <c r="C47" s="76" t="s">
        <v>1110</v>
      </c>
      <c r="D47" s="76" t="s">
        <v>1151</v>
      </c>
      <c r="E47" s="76" t="s">
        <v>1152</v>
      </c>
      <c r="F47" s="35" t="s">
        <v>1153</v>
      </c>
      <c r="G47" s="76" t="s">
        <v>426</v>
      </c>
      <c r="H47" s="76" t="n">
        <v>420000</v>
      </c>
      <c r="I47" s="76" t="s">
        <v>1155</v>
      </c>
      <c r="J47" s="76" t="n">
        <v>420000</v>
      </c>
      <c r="K47" s="76" t="s">
        <v>1155</v>
      </c>
      <c r="L47" s="77" t="s">
        <v>1114</v>
      </c>
    </row>
    <row r="48" customFormat="false" ht="15" hidden="false" customHeight="false" outlineLevel="0" collapsed="false">
      <c r="A48" s="76" t="s">
        <v>1150</v>
      </c>
      <c r="B48" s="76" t="s">
        <v>41</v>
      </c>
      <c r="C48" s="76" t="s">
        <v>1110</v>
      </c>
      <c r="D48" s="76" t="s">
        <v>1151</v>
      </c>
      <c r="E48" s="76" t="s">
        <v>1152</v>
      </c>
      <c r="F48" s="35" t="s">
        <v>1153</v>
      </c>
      <c r="G48" s="76" t="s">
        <v>400</v>
      </c>
      <c r="H48" s="76" t="n">
        <v>315000</v>
      </c>
      <c r="I48" s="76" t="s">
        <v>1156</v>
      </c>
      <c r="J48" s="76" t="n">
        <v>315000</v>
      </c>
      <c r="K48" s="76" t="s">
        <v>1156</v>
      </c>
      <c r="L48" s="77" t="s">
        <v>1114</v>
      </c>
    </row>
    <row r="49" customFormat="false" ht="15" hidden="false" customHeight="false" outlineLevel="0" collapsed="false">
      <c r="A49" s="76" t="s">
        <v>1150</v>
      </c>
      <c r="B49" s="76" t="s">
        <v>41</v>
      </c>
      <c r="C49" s="76" t="s">
        <v>1110</v>
      </c>
      <c r="D49" s="76" t="s">
        <v>1151</v>
      </c>
      <c r="E49" s="76" t="s">
        <v>1152</v>
      </c>
      <c r="F49" s="35" t="s">
        <v>1153</v>
      </c>
      <c r="G49" s="76" t="s">
        <v>429</v>
      </c>
      <c r="H49" s="76" t="n">
        <v>35000</v>
      </c>
      <c r="I49" s="76" t="s">
        <v>1157</v>
      </c>
      <c r="J49" s="76" t="n">
        <v>35000</v>
      </c>
      <c r="K49" s="76" t="s">
        <v>1157</v>
      </c>
      <c r="L49" s="77" t="s">
        <v>1114</v>
      </c>
    </row>
    <row r="50" customFormat="false" ht="15" hidden="false" customHeight="false" outlineLevel="0" collapsed="false">
      <c r="A50" s="76" t="s">
        <v>1150</v>
      </c>
      <c r="B50" s="76" t="s">
        <v>41</v>
      </c>
      <c r="C50" s="76" t="s">
        <v>1110</v>
      </c>
      <c r="D50" s="76" t="s">
        <v>1151</v>
      </c>
      <c r="E50" s="76" t="s">
        <v>1152</v>
      </c>
      <c r="F50" s="35" t="s">
        <v>1153</v>
      </c>
      <c r="G50" s="76" t="s">
        <v>411</v>
      </c>
      <c r="H50" s="78" t="n">
        <v>1503.85818071618</v>
      </c>
      <c r="I50" s="76" t="s">
        <v>1158</v>
      </c>
      <c r="J50" s="78" t="n">
        <v>1503.85818071618</v>
      </c>
      <c r="K50" s="76" t="s">
        <v>1158</v>
      </c>
      <c r="L50" s="77" t="s">
        <v>1114</v>
      </c>
    </row>
    <row r="51" customFormat="false" ht="15" hidden="false" customHeight="false" outlineLevel="0" collapsed="false">
      <c r="A51" s="76" t="s">
        <v>1150</v>
      </c>
      <c r="B51" s="76" t="s">
        <v>41</v>
      </c>
      <c r="C51" s="76" t="s">
        <v>1110</v>
      </c>
      <c r="D51" s="76" t="s">
        <v>1151</v>
      </c>
      <c r="E51" s="76" t="s">
        <v>1152</v>
      </c>
      <c r="F51" s="35" t="s">
        <v>1153</v>
      </c>
      <c r="G51" s="76" t="s">
        <v>432</v>
      </c>
      <c r="H51" s="78" t="n">
        <v>35000</v>
      </c>
      <c r="I51" s="76" t="s">
        <v>1159</v>
      </c>
      <c r="J51" s="76" t="n">
        <v>35000</v>
      </c>
      <c r="K51" s="76" t="s">
        <v>1159</v>
      </c>
      <c r="L51" s="77" t="s">
        <v>1114</v>
      </c>
    </row>
    <row r="52" customFormat="false" ht="15" hidden="false" customHeight="false" outlineLevel="0" collapsed="false">
      <c r="A52" s="76" t="s">
        <v>1150</v>
      </c>
      <c r="B52" s="76" t="s">
        <v>41</v>
      </c>
      <c r="C52" s="76" t="s">
        <v>1110</v>
      </c>
      <c r="D52" s="76" t="s">
        <v>1151</v>
      </c>
      <c r="E52" s="76" t="s">
        <v>1152</v>
      </c>
      <c r="F52" s="35" t="s">
        <v>1153</v>
      </c>
      <c r="G52" s="76" t="s">
        <v>434</v>
      </c>
      <c r="H52" s="78" t="n">
        <v>3</v>
      </c>
      <c r="I52" s="76" t="s">
        <v>1122</v>
      </c>
      <c r="J52" s="76" t="n">
        <v>3</v>
      </c>
      <c r="K52" s="76" t="s">
        <v>1122</v>
      </c>
      <c r="L52" s="77" t="s">
        <v>1114</v>
      </c>
    </row>
    <row r="53" customFormat="false" ht="15" hidden="false" customHeight="false" outlineLevel="0" collapsed="false">
      <c r="A53" s="76" t="s">
        <v>1160</v>
      </c>
      <c r="B53" s="76" t="s">
        <v>41</v>
      </c>
      <c r="C53" s="76" t="s">
        <v>1110</v>
      </c>
      <c r="D53" s="76" t="s">
        <v>1161</v>
      </c>
      <c r="E53" s="76" t="s">
        <v>1162</v>
      </c>
      <c r="F53" s="35" t="s">
        <v>1163</v>
      </c>
      <c r="G53" s="76" t="s">
        <v>419</v>
      </c>
      <c r="H53" s="76"/>
      <c r="I53" s="76" t="s">
        <v>421</v>
      </c>
      <c r="J53" s="76"/>
      <c r="K53" s="76" t="s">
        <v>421</v>
      </c>
      <c r="L53" s="77" t="s">
        <v>1114</v>
      </c>
    </row>
    <row r="54" customFormat="false" ht="15" hidden="false" customHeight="false" outlineLevel="0" collapsed="false">
      <c r="A54" s="76" t="s">
        <v>1160</v>
      </c>
      <c r="B54" s="76" t="s">
        <v>41</v>
      </c>
      <c r="C54" s="76" t="s">
        <v>1110</v>
      </c>
      <c r="D54" s="76" t="s">
        <v>1161</v>
      </c>
      <c r="E54" s="76" t="s">
        <v>1162</v>
      </c>
      <c r="F54" s="35" t="s">
        <v>1163</v>
      </c>
      <c r="G54" s="76" t="s">
        <v>421</v>
      </c>
      <c r="H54" s="76" t="n">
        <v>200000</v>
      </c>
      <c r="I54" s="76" t="s">
        <v>1164</v>
      </c>
      <c r="J54" s="76" t="n">
        <v>200000</v>
      </c>
      <c r="K54" s="76" t="s">
        <v>1164</v>
      </c>
      <c r="L54" s="77" t="s">
        <v>1114</v>
      </c>
    </row>
    <row r="55" customFormat="false" ht="15" hidden="false" customHeight="false" outlineLevel="0" collapsed="false">
      <c r="A55" s="76" t="s">
        <v>1160</v>
      </c>
      <c r="B55" s="76" t="s">
        <v>41</v>
      </c>
      <c r="C55" s="76" t="s">
        <v>1110</v>
      </c>
      <c r="D55" s="76" t="s">
        <v>1161</v>
      </c>
      <c r="E55" s="76" t="s">
        <v>1162</v>
      </c>
      <c r="F55" s="35" t="s">
        <v>1163</v>
      </c>
      <c r="G55" s="76" t="s">
        <v>423</v>
      </c>
      <c r="H55" s="78" t="n">
        <v>4</v>
      </c>
      <c r="I55" s="76" t="s">
        <v>871</v>
      </c>
      <c r="J55" s="76" t="n">
        <v>4</v>
      </c>
      <c r="K55" s="76" t="s">
        <v>871</v>
      </c>
      <c r="L55" s="77" t="s">
        <v>1114</v>
      </c>
    </row>
    <row r="56" customFormat="false" ht="15" hidden="false" customHeight="false" outlineLevel="0" collapsed="false">
      <c r="A56" s="76" t="s">
        <v>1160</v>
      </c>
      <c r="B56" s="76" t="s">
        <v>41</v>
      </c>
      <c r="C56" s="76" t="s">
        <v>1110</v>
      </c>
      <c r="D56" s="76" t="s">
        <v>1161</v>
      </c>
      <c r="E56" s="76" t="s">
        <v>1162</v>
      </c>
      <c r="F56" s="35" t="s">
        <v>1163</v>
      </c>
      <c r="G56" s="76" t="s">
        <v>425</v>
      </c>
      <c r="H56" s="76"/>
      <c r="I56" s="76" t="s">
        <v>1136</v>
      </c>
      <c r="J56" s="76"/>
      <c r="K56" s="76" t="s">
        <v>1136</v>
      </c>
      <c r="L56" s="77" t="s">
        <v>1114</v>
      </c>
    </row>
    <row r="57" customFormat="false" ht="15" hidden="false" customHeight="false" outlineLevel="0" collapsed="false">
      <c r="A57" s="76" t="s">
        <v>1160</v>
      </c>
      <c r="B57" s="76" t="s">
        <v>41</v>
      </c>
      <c r="C57" s="76" t="s">
        <v>1110</v>
      </c>
      <c r="D57" s="76" t="s">
        <v>1161</v>
      </c>
      <c r="E57" s="76" t="s">
        <v>1162</v>
      </c>
      <c r="F57" s="35" t="s">
        <v>1163</v>
      </c>
      <c r="G57" s="76" t="s">
        <v>426</v>
      </c>
      <c r="H57" s="76" t="n">
        <v>180000</v>
      </c>
      <c r="I57" s="76" t="s">
        <v>1165</v>
      </c>
      <c r="J57" s="76" t="n">
        <v>180000</v>
      </c>
      <c r="K57" s="76" t="s">
        <v>1165</v>
      </c>
      <c r="L57" s="77" t="s">
        <v>1114</v>
      </c>
    </row>
    <row r="58" customFormat="false" ht="15" hidden="false" customHeight="false" outlineLevel="0" collapsed="false">
      <c r="A58" s="76" t="s">
        <v>1160</v>
      </c>
      <c r="B58" s="76" t="s">
        <v>41</v>
      </c>
      <c r="C58" s="76" t="s">
        <v>1110</v>
      </c>
      <c r="D58" s="76" t="s">
        <v>1161</v>
      </c>
      <c r="E58" s="76" t="s">
        <v>1162</v>
      </c>
      <c r="F58" s="35" t="s">
        <v>1163</v>
      </c>
      <c r="G58" s="76" t="s">
        <v>400</v>
      </c>
      <c r="H58" s="76" t="n">
        <v>180000</v>
      </c>
      <c r="I58" s="76" t="s">
        <v>1165</v>
      </c>
      <c r="J58" s="76" t="n">
        <v>180000</v>
      </c>
      <c r="K58" s="76" t="s">
        <v>1165</v>
      </c>
      <c r="L58" s="77" t="s">
        <v>1114</v>
      </c>
    </row>
    <row r="59" customFormat="false" ht="15" hidden="false" customHeight="false" outlineLevel="0" collapsed="false">
      <c r="A59" s="76" t="s">
        <v>1160</v>
      </c>
      <c r="B59" s="76" t="s">
        <v>41</v>
      </c>
      <c r="C59" s="76" t="s">
        <v>1110</v>
      </c>
      <c r="D59" s="76" t="s">
        <v>1161</v>
      </c>
      <c r="E59" s="76" t="s">
        <v>1162</v>
      </c>
      <c r="F59" s="35" t="s">
        <v>1163</v>
      </c>
      <c r="G59" s="76" t="s">
        <v>429</v>
      </c>
      <c r="H59" s="76" t="n">
        <v>20000</v>
      </c>
      <c r="I59" s="76" t="s">
        <v>1166</v>
      </c>
      <c r="J59" s="76" t="n">
        <v>20000</v>
      </c>
      <c r="K59" s="76" t="s">
        <v>1166</v>
      </c>
      <c r="L59" s="77" t="s">
        <v>1114</v>
      </c>
    </row>
    <row r="60" customFormat="false" ht="15" hidden="false" customHeight="false" outlineLevel="0" collapsed="false">
      <c r="A60" s="76" t="s">
        <v>1160</v>
      </c>
      <c r="B60" s="76" t="s">
        <v>41</v>
      </c>
      <c r="C60" s="76" t="s">
        <v>1110</v>
      </c>
      <c r="D60" s="76" t="s">
        <v>1161</v>
      </c>
      <c r="E60" s="76" t="s">
        <v>1162</v>
      </c>
      <c r="F60" s="35" t="s">
        <v>1163</v>
      </c>
      <c r="G60" s="76" t="s">
        <v>411</v>
      </c>
      <c r="H60" s="78" t="n">
        <v>859.347531837817</v>
      </c>
      <c r="I60" s="76" t="s">
        <v>1167</v>
      </c>
      <c r="J60" s="78" t="n">
        <v>859.347531837817</v>
      </c>
      <c r="K60" s="76" t="s">
        <v>1167</v>
      </c>
      <c r="L60" s="77" t="s">
        <v>1114</v>
      </c>
    </row>
    <row r="61" customFormat="false" ht="15" hidden="false" customHeight="false" outlineLevel="0" collapsed="false">
      <c r="A61" s="76" t="s">
        <v>1160</v>
      </c>
      <c r="B61" s="76" t="s">
        <v>41</v>
      </c>
      <c r="C61" s="76" t="s">
        <v>1110</v>
      </c>
      <c r="D61" s="76" t="s">
        <v>1161</v>
      </c>
      <c r="E61" s="76" t="s">
        <v>1162</v>
      </c>
      <c r="F61" s="35" t="s">
        <v>1163</v>
      </c>
      <c r="G61" s="76" t="s">
        <v>432</v>
      </c>
      <c r="H61" s="78" t="n">
        <v>20000</v>
      </c>
      <c r="I61" s="76" t="s">
        <v>1168</v>
      </c>
      <c r="J61" s="76" t="n">
        <v>20000</v>
      </c>
      <c r="K61" s="76" t="s">
        <v>1168</v>
      </c>
      <c r="L61" s="77" t="s">
        <v>1114</v>
      </c>
    </row>
    <row r="62" customFormat="false" ht="15" hidden="false" customHeight="false" outlineLevel="0" collapsed="false">
      <c r="A62" s="76" t="s">
        <v>1160</v>
      </c>
      <c r="B62" s="76" t="s">
        <v>41</v>
      </c>
      <c r="C62" s="76" t="s">
        <v>1110</v>
      </c>
      <c r="D62" s="76" t="s">
        <v>1161</v>
      </c>
      <c r="E62" s="76" t="s">
        <v>1162</v>
      </c>
      <c r="F62" s="35" t="s">
        <v>1163</v>
      </c>
      <c r="G62" s="76" t="s">
        <v>434</v>
      </c>
      <c r="H62" s="78" t="n">
        <v>3</v>
      </c>
      <c r="I62" s="76" t="s">
        <v>1122</v>
      </c>
      <c r="J62" s="76" t="n">
        <v>3</v>
      </c>
      <c r="K62" s="76" t="s">
        <v>1122</v>
      </c>
      <c r="L62" s="77" t="s">
        <v>1114</v>
      </c>
    </row>
    <row r="63" customFormat="false" ht="15" hidden="false" customHeight="false" outlineLevel="0" collapsed="false">
      <c r="A63" s="76" t="s">
        <v>1169</v>
      </c>
      <c r="B63" s="76" t="s">
        <v>41</v>
      </c>
      <c r="C63" s="76" t="s">
        <v>1110</v>
      </c>
      <c r="D63" s="76" t="s">
        <v>1170</v>
      </c>
      <c r="E63" s="76" t="s">
        <v>1171</v>
      </c>
      <c r="F63" s="35" t="s">
        <v>1172</v>
      </c>
      <c r="G63" s="76" t="s">
        <v>419</v>
      </c>
      <c r="H63" s="76"/>
      <c r="I63" s="76" t="s">
        <v>421</v>
      </c>
      <c r="J63" s="76"/>
      <c r="K63" s="76" t="s">
        <v>421</v>
      </c>
      <c r="L63" s="77" t="s">
        <v>1114</v>
      </c>
    </row>
    <row r="64" customFormat="false" ht="15" hidden="false" customHeight="false" outlineLevel="0" collapsed="false">
      <c r="A64" s="76" t="s">
        <v>1169</v>
      </c>
      <c r="B64" s="76" t="s">
        <v>41</v>
      </c>
      <c r="C64" s="76" t="s">
        <v>1110</v>
      </c>
      <c r="D64" s="76" t="s">
        <v>1170</v>
      </c>
      <c r="E64" s="76" t="s">
        <v>1171</v>
      </c>
      <c r="F64" s="35" t="s">
        <v>1172</v>
      </c>
      <c r="G64" s="76" t="s">
        <v>421</v>
      </c>
      <c r="H64" s="76" t="n">
        <v>9500000</v>
      </c>
      <c r="I64" s="76" t="s">
        <v>1173</v>
      </c>
      <c r="J64" s="76" t="n">
        <v>9500000</v>
      </c>
      <c r="K64" s="76" t="s">
        <v>1173</v>
      </c>
      <c r="L64" s="77" t="s">
        <v>1114</v>
      </c>
    </row>
    <row r="65" customFormat="false" ht="15" hidden="false" customHeight="false" outlineLevel="0" collapsed="false">
      <c r="A65" s="76" t="s">
        <v>1169</v>
      </c>
      <c r="B65" s="76" t="s">
        <v>41</v>
      </c>
      <c r="C65" s="76" t="s">
        <v>1110</v>
      </c>
      <c r="D65" s="76" t="s">
        <v>1170</v>
      </c>
      <c r="E65" s="76" t="s">
        <v>1171</v>
      </c>
      <c r="F65" s="35" t="s">
        <v>1172</v>
      </c>
      <c r="G65" s="76" t="s">
        <v>423</v>
      </c>
      <c r="H65" s="78" t="n">
        <v>4</v>
      </c>
      <c r="I65" s="76" t="s">
        <v>871</v>
      </c>
      <c r="J65" s="76" t="n">
        <v>4</v>
      </c>
      <c r="K65" s="76" t="s">
        <v>871</v>
      </c>
      <c r="L65" s="77" t="s">
        <v>1114</v>
      </c>
    </row>
    <row r="66" customFormat="false" ht="15" hidden="false" customHeight="false" outlineLevel="0" collapsed="false">
      <c r="A66" s="76" t="s">
        <v>1169</v>
      </c>
      <c r="B66" s="76" t="s">
        <v>41</v>
      </c>
      <c r="C66" s="76" t="s">
        <v>1110</v>
      </c>
      <c r="D66" s="76" t="s">
        <v>1170</v>
      </c>
      <c r="E66" s="76" t="s">
        <v>1171</v>
      </c>
      <c r="F66" s="35" t="s">
        <v>1172</v>
      </c>
      <c r="G66" s="76" t="s">
        <v>425</v>
      </c>
      <c r="H66" s="76"/>
      <c r="I66" s="76" t="s">
        <v>1136</v>
      </c>
      <c r="J66" s="76"/>
      <c r="K66" s="76" t="s">
        <v>1136</v>
      </c>
      <c r="L66" s="77" t="s">
        <v>1114</v>
      </c>
    </row>
    <row r="67" customFormat="false" ht="15" hidden="false" customHeight="false" outlineLevel="0" collapsed="false">
      <c r="A67" s="76" t="s">
        <v>1169</v>
      </c>
      <c r="B67" s="76" t="s">
        <v>41</v>
      </c>
      <c r="C67" s="76" t="s">
        <v>1110</v>
      </c>
      <c r="D67" s="76" t="s">
        <v>1170</v>
      </c>
      <c r="E67" s="76" t="s">
        <v>1171</v>
      </c>
      <c r="F67" s="35" t="s">
        <v>1172</v>
      </c>
      <c r="G67" s="76" t="s">
        <v>426</v>
      </c>
      <c r="H67" s="76" t="n">
        <v>8000000</v>
      </c>
      <c r="I67" s="76" t="s">
        <v>1174</v>
      </c>
      <c r="J67" s="76" t="n">
        <v>8000000</v>
      </c>
      <c r="K67" s="76" t="s">
        <v>1174</v>
      </c>
      <c r="L67" s="77" t="s">
        <v>1114</v>
      </c>
    </row>
    <row r="68" customFormat="false" ht="15" hidden="false" customHeight="false" outlineLevel="0" collapsed="false">
      <c r="A68" s="76" t="s">
        <v>1169</v>
      </c>
      <c r="B68" s="76" t="s">
        <v>41</v>
      </c>
      <c r="C68" s="76" t="s">
        <v>1110</v>
      </c>
      <c r="D68" s="76" t="s">
        <v>1170</v>
      </c>
      <c r="E68" s="76" t="s">
        <v>1171</v>
      </c>
      <c r="F68" s="35" t="s">
        <v>1172</v>
      </c>
      <c r="G68" s="76" t="s">
        <v>400</v>
      </c>
      <c r="H68" s="76" t="n">
        <v>13500000</v>
      </c>
      <c r="I68" s="76" t="s">
        <v>1175</v>
      </c>
      <c r="J68" s="76" t="n">
        <v>13500000</v>
      </c>
      <c r="K68" s="76" t="s">
        <v>1175</v>
      </c>
      <c r="L68" s="77" t="s">
        <v>1114</v>
      </c>
    </row>
    <row r="69" customFormat="false" ht="15" hidden="false" customHeight="false" outlineLevel="0" collapsed="false">
      <c r="A69" s="76" t="s">
        <v>1169</v>
      </c>
      <c r="B69" s="76" t="s">
        <v>41</v>
      </c>
      <c r="C69" s="76" t="s">
        <v>1110</v>
      </c>
      <c r="D69" s="76" t="s">
        <v>1170</v>
      </c>
      <c r="E69" s="76" t="s">
        <v>1171</v>
      </c>
      <c r="F69" s="35" t="s">
        <v>1172</v>
      </c>
      <c r="G69" s="76" t="s">
        <v>429</v>
      </c>
      <c r="H69" s="76" t="n">
        <v>1500000</v>
      </c>
      <c r="I69" s="76" t="s">
        <v>1176</v>
      </c>
      <c r="J69" s="76" t="n">
        <v>1500000</v>
      </c>
      <c r="K69" s="76" t="s">
        <v>1176</v>
      </c>
      <c r="L69" s="77" t="s">
        <v>1114</v>
      </c>
    </row>
    <row r="70" customFormat="false" ht="15" hidden="false" customHeight="false" outlineLevel="0" collapsed="false">
      <c r="A70" s="76" t="s">
        <v>1169</v>
      </c>
      <c r="B70" s="76" t="s">
        <v>41</v>
      </c>
      <c r="C70" s="76" t="s">
        <v>1110</v>
      </c>
      <c r="D70" s="76" t="s">
        <v>1170</v>
      </c>
      <c r="E70" s="76" t="s">
        <v>1171</v>
      </c>
      <c r="F70" s="35" t="s">
        <v>1172</v>
      </c>
      <c r="G70" s="76" t="s">
        <v>411</v>
      </c>
      <c r="H70" s="78" t="n">
        <v>38193.2236372363</v>
      </c>
      <c r="I70" s="76" t="s">
        <v>1177</v>
      </c>
      <c r="J70" s="78" t="n">
        <v>38193.2236372363</v>
      </c>
      <c r="K70" s="76" t="s">
        <v>1177</v>
      </c>
      <c r="L70" s="77" t="s">
        <v>1114</v>
      </c>
    </row>
    <row r="71" customFormat="false" ht="15" hidden="false" customHeight="false" outlineLevel="0" collapsed="false">
      <c r="A71" s="76" t="s">
        <v>1169</v>
      </c>
      <c r="B71" s="76" t="s">
        <v>41</v>
      </c>
      <c r="C71" s="76" t="s">
        <v>1110</v>
      </c>
      <c r="D71" s="76" t="s">
        <v>1170</v>
      </c>
      <c r="E71" s="76" t="s">
        <v>1171</v>
      </c>
      <c r="F71" s="35" t="s">
        <v>1172</v>
      </c>
      <c r="G71" s="76" t="s">
        <v>432</v>
      </c>
      <c r="H71" s="78" t="n">
        <v>950000</v>
      </c>
      <c r="I71" s="76" t="s">
        <v>1178</v>
      </c>
      <c r="J71" s="76" t="n">
        <v>950000</v>
      </c>
      <c r="K71" s="76" t="s">
        <v>1178</v>
      </c>
      <c r="L71" s="77" t="s">
        <v>1114</v>
      </c>
    </row>
    <row r="72" customFormat="false" ht="15" hidden="false" customHeight="false" outlineLevel="0" collapsed="false">
      <c r="A72" s="76" t="s">
        <v>1169</v>
      </c>
      <c r="B72" s="76" t="s">
        <v>41</v>
      </c>
      <c r="C72" s="76" t="s">
        <v>1110</v>
      </c>
      <c r="D72" s="76" t="s">
        <v>1170</v>
      </c>
      <c r="E72" s="76" t="s">
        <v>1171</v>
      </c>
      <c r="F72" s="35" t="s">
        <v>1172</v>
      </c>
      <c r="G72" s="76" t="s">
        <v>434</v>
      </c>
      <c r="H72" s="78" t="n">
        <v>3</v>
      </c>
      <c r="I72" s="76" t="s">
        <v>1122</v>
      </c>
      <c r="J72" s="76" t="n">
        <v>3</v>
      </c>
      <c r="K72" s="76" t="s">
        <v>1122</v>
      </c>
      <c r="L72" s="77" t="s">
        <v>1114</v>
      </c>
    </row>
    <row r="73" customFormat="false" ht="15" hidden="false" customHeight="false" outlineLevel="0" collapsed="false">
      <c r="A73" s="76" t="s">
        <v>1179</v>
      </c>
      <c r="B73" s="76" t="s">
        <v>41</v>
      </c>
      <c r="C73" s="76" t="s">
        <v>1110</v>
      </c>
      <c r="D73" s="76" t="s">
        <v>1180</v>
      </c>
      <c r="E73" s="76" t="s">
        <v>1152</v>
      </c>
      <c r="F73" s="35" t="s">
        <v>1181</v>
      </c>
      <c r="G73" s="76" t="s">
        <v>419</v>
      </c>
      <c r="H73" s="76"/>
      <c r="I73" s="76" t="s">
        <v>421</v>
      </c>
      <c r="J73" s="76"/>
      <c r="K73" s="76" t="s">
        <v>421</v>
      </c>
      <c r="L73" s="77" t="s">
        <v>1114</v>
      </c>
    </row>
    <row r="74" customFormat="false" ht="15" hidden="false" customHeight="false" outlineLevel="0" collapsed="false">
      <c r="A74" s="76" t="s">
        <v>1179</v>
      </c>
      <c r="B74" s="76" t="s">
        <v>41</v>
      </c>
      <c r="C74" s="76" t="s">
        <v>1110</v>
      </c>
      <c r="D74" s="76" t="s">
        <v>1180</v>
      </c>
      <c r="E74" s="76" t="s">
        <v>1152</v>
      </c>
      <c r="F74" s="35" t="s">
        <v>1181</v>
      </c>
      <c r="G74" s="76" t="s">
        <v>421</v>
      </c>
      <c r="H74" s="76" t="n">
        <v>60000</v>
      </c>
      <c r="I74" s="76" t="s">
        <v>1182</v>
      </c>
      <c r="J74" s="76" t="n">
        <v>60000</v>
      </c>
      <c r="K74" s="76" t="s">
        <v>1182</v>
      </c>
      <c r="L74" s="77" t="s">
        <v>1114</v>
      </c>
    </row>
    <row r="75" customFormat="false" ht="15" hidden="false" customHeight="false" outlineLevel="0" collapsed="false">
      <c r="A75" s="76" t="s">
        <v>1179</v>
      </c>
      <c r="B75" s="76" t="s">
        <v>41</v>
      </c>
      <c r="C75" s="76" t="s">
        <v>1110</v>
      </c>
      <c r="D75" s="76" t="s">
        <v>1180</v>
      </c>
      <c r="E75" s="76" t="s">
        <v>1152</v>
      </c>
      <c r="F75" s="35" t="s">
        <v>1181</v>
      </c>
      <c r="G75" s="76" t="s">
        <v>423</v>
      </c>
      <c r="H75" s="78" t="n">
        <v>3.5</v>
      </c>
      <c r="I75" s="76" t="s">
        <v>1128</v>
      </c>
      <c r="J75" s="78" t="n">
        <v>3.5</v>
      </c>
      <c r="K75" s="76" t="s">
        <v>1128</v>
      </c>
      <c r="L75" s="77" t="s">
        <v>1114</v>
      </c>
    </row>
    <row r="76" customFormat="false" ht="15" hidden="false" customHeight="false" outlineLevel="0" collapsed="false">
      <c r="A76" s="76" t="s">
        <v>1179</v>
      </c>
      <c r="B76" s="76" t="s">
        <v>41</v>
      </c>
      <c r="C76" s="76" t="s">
        <v>1110</v>
      </c>
      <c r="D76" s="76" t="s">
        <v>1180</v>
      </c>
      <c r="E76" s="76" t="s">
        <v>1152</v>
      </c>
      <c r="F76" s="35" t="s">
        <v>1181</v>
      </c>
      <c r="G76" s="76" t="s">
        <v>425</v>
      </c>
      <c r="H76" s="76"/>
      <c r="I76" s="76" t="s">
        <v>1116</v>
      </c>
      <c r="J76" s="76"/>
      <c r="K76" s="76" t="s">
        <v>1116</v>
      </c>
      <c r="L76" s="77" t="s">
        <v>1114</v>
      </c>
    </row>
    <row r="77" customFormat="false" ht="15" hidden="false" customHeight="false" outlineLevel="0" collapsed="false">
      <c r="A77" s="76" t="s">
        <v>1179</v>
      </c>
      <c r="B77" s="76" t="s">
        <v>41</v>
      </c>
      <c r="C77" s="76" t="s">
        <v>1110</v>
      </c>
      <c r="D77" s="76" t="s">
        <v>1180</v>
      </c>
      <c r="E77" s="76" t="s">
        <v>1152</v>
      </c>
      <c r="F77" s="35" t="s">
        <v>1181</v>
      </c>
      <c r="G77" s="76" t="s">
        <v>426</v>
      </c>
      <c r="H77" s="76" t="n">
        <v>140000</v>
      </c>
      <c r="I77" s="76" t="s">
        <v>1183</v>
      </c>
      <c r="J77" s="76" t="n">
        <v>140000</v>
      </c>
      <c r="K77" s="76" t="s">
        <v>1183</v>
      </c>
      <c r="L77" s="77" t="s">
        <v>1114</v>
      </c>
    </row>
    <row r="78" customFormat="false" ht="15" hidden="false" customHeight="false" outlineLevel="0" collapsed="false">
      <c r="A78" s="76" t="s">
        <v>1179</v>
      </c>
      <c r="B78" s="76" t="s">
        <v>41</v>
      </c>
      <c r="C78" s="76" t="s">
        <v>1110</v>
      </c>
      <c r="D78" s="76" t="s">
        <v>1180</v>
      </c>
      <c r="E78" s="76" t="s">
        <v>1152</v>
      </c>
      <c r="F78" s="35" t="s">
        <v>1181</v>
      </c>
      <c r="G78" s="76" t="s">
        <v>400</v>
      </c>
      <c r="H78" s="76" t="n">
        <v>54000</v>
      </c>
      <c r="I78" s="76" t="s">
        <v>1184</v>
      </c>
      <c r="J78" s="76" t="n">
        <v>54000</v>
      </c>
      <c r="K78" s="76" t="s">
        <v>1184</v>
      </c>
      <c r="L78" s="77" t="s">
        <v>1114</v>
      </c>
    </row>
    <row r="79" customFormat="false" ht="15" hidden="false" customHeight="false" outlineLevel="0" collapsed="false">
      <c r="A79" s="76" t="s">
        <v>1179</v>
      </c>
      <c r="B79" s="76" t="s">
        <v>41</v>
      </c>
      <c r="C79" s="76" t="s">
        <v>1110</v>
      </c>
      <c r="D79" s="76" t="s">
        <v>1180</v>
      </c>
      <c r="E79" s="76" t="s">
        <v>1152</v>
      </c>
      <c r="F79" s="35" t="s">
        <v>1181</v>
      </c>
      <c r="G79" s="76" t="s">
        <v>429</v>
      </c>
      <c r="H79" s="76" t="n">
        <v>6000</v>
      </c>
      <c r="I79" s="76" t="s">
        <v>1185</v>
      </c>
      <c r="J79" s="76" t="n">
        <v>6000</v>
      </c>
      <c r="K79" s="76" t="s">
        <v>1185</v>
      </c>
      <c r="L79" s="77" t="s">
        <v>1114</v>
      </c>
    </row>
    <row r="80" customFormat="false" ht="15" hidden="false" customHeight="false" outlineLevel="0" collapsed="false">
      <c r="A80" s="76" t="s">
        <v>1179</v>
      </c>
      <c r="B80" s="76" t="s">
        <v>41</v>
      </c>
      <c r="C80" s="76" t="s">
        <v>1110</v>
      </c>
      <c r="D80" s="76" t="s">
        <v>1180</v>
      </c>
      <c r="E80" s="76" t="s">
        <v>1152</v>
      </c>
      <c r="F80" s="35" t="s">
        <v>1181</v>
      </c>
      <c r="G80" s="76" t="s">
        <v>411</v>
      </c>
      <c r="H80" s="78" t="n">
        <v>472.272838117259</v>
      </c>
      <c r="I80" s="76" t="s">
        <v>1186</v>
      </c>
      <c r="J80" s="78" t="n">
        <v>472.272838117259</v>
      </c>
      <c r="K80" s="76" t="s">
        <v>1186</v>
      </c>
      <c r="L80" s="77" t="s">
        <v>1114</v>
      </c>
    </row>
    <row r="81" customFormat="false" ht="15" hidden="false" customHeight="false" outlineLevel="0" collapsed="false">
      <c r="A81" s="76" t="s">
        <v>1179</v>
      </c>
      <c r="B81" s="76" t="s">
        <v>41</v>
      </c>
      <c r="C81" s="76" t="s">
        <v>1110</v>
      </c>
      <c r="D81" s="76" t="s">
        <v>1180</v>
      </c>
      <c r="E81" s="76" t="s">
        <v>1152</v>
      </c>
      <c r="F81" s="35" t="s">
        <v>1181</v>
      </c>
      <c r="G81" s="76" t="s">
        <v>432</v>
      </c>
      <c r="H81" s="78" t="n">
        <v>6000</v>
      </c>
      <c r="I81" s="76" t="s">
        <v>1187</v>
      </c>
      <c r="J81" s="76" t="n">
        <v>6000</v>
      </c>
      <c r="K81" s="76" t="s">
        <v>1187</v>
      </c>
      <c r="L81" s="77" t="s">
        <v>1114</v>
      </c>
    </row>
    <row r="82" customFormat="false" ht="15" hidden="false" customHeight="false" outlineLevel="0" collapsed="false">
      <c r="A82" s="76" t="s">
        <v>1179</v>
      </c>
      <c r="B82" s="76" t="s">
        <v>41</v>
      </c>
      <c r="C82" s="76" t="s">
        <v>1110</v>
      </c>
      <c r="D82" s="76" t="s">
        <v>1180</v>
      </c>
      <c r="E82" s="76" t="s">
        <v>1152</v>
      </c>
      <c r="F82" s="35" t="s">
        <v>1181</v>
      </c>
      <c r="G82" s="76" t="s">
        <v>434</v>
      </c>
      <c r="H82" s="78" t="n">
        <v>3</v>
      </c>
      <c r="I82" s="76" t="s">
        <v>1122</v>
      </c>
      <c r="J82" s="76" t="n">
        <v>3</v>
      </c>
      <c r="K82" s="76" t="s">
        <v>1122</v>
      </c>
      <c r="L82" s="77" t="s">
        <v>1114</v>
      </c>
    </row>
    <row r="83" customFormat="false" ht="15" hidden="false" customHeight="false" outlineLevel="0" collapsed="false">
      <c r="A83" s="76" t="s">
        <v>1188</v>
      </c>
      <c r="B83" s="76" t="s">
        <v>41</v>
      </c>
      <c r="C83" s="76" t="s">
        <v>1110</v>
      </c>
      <c r="D83" s="76" t="s">
        <v>1189</v>
      </c>
      <c r="E83" s="76" t="s">
        <v>1125</v>
      </c>
      <c r="F83" s="35" t="s">
        <v>1190</v>
      </c>
      <c r="G83" s="76" t="s">
        <v>419</v>
      </c>
      <c r="H83" s="76"/>
      <c r="I83" s="76" t="s">
        <v>421</v>
      </c>
      <c r="J83" s="76"/>
      <c r="K83" s="76" t="s">
        <v>421</v>
      </c>
      <c r="L83" s="77" t="s">
        <v>1114</v>
      </c>
    </row>
    <row r="84" customFormat="false" ht="15" hidden="false" customHeight="false" outlineLevel="0" collapsed="false">
      <c r="A84" s="76" t="s">
        <v>1188</v>
      </c>
      <c r="B84" s="76" t="s">
        <v>41</v>
      </c>
      <c r="C84" s="76" t="s">
        <v>1110</v>
      </c>
      <c r="D84" s="76" t="s">
        <v>1189</v>
      </c>
      <c r="E84" s="76" t="s">
        <v>1125</v>
      </c>
      <c r="F84" s="35" t="s">
        <v>1190</v>
      </c>
      <c r="G84" s="76" t="s">
        <v>421</v>
      </c>
      <c r="H84" s="76" t="n">
        <v>1372000</v>
      </c>
      <c r="I84" s="76" t="s">
        <v>1191</v>
      </c>
      <c r="J84" s="76" t="n">
        <v>1372000</v>
      </c>
      <c r="K84" s="76" t="s">
        <v>1191</v>
      </c>
      <c r="L84" s="77" t="s">
        <v>1114</v>
      </c>
    </row>
    <row r="85" customFormat="false" ht="15" hidden="false" customHeight="false" outlineLevel="0" collapsed="false">
      <c r="A85" s="76" t="s">
        <v>1188</v>
      </c>
      <c r="B85" s="76" t="s">
        <v>41</v>
      </c>
      <c r="C85" s="76" t="s">
        <v>1110</v>
      </c>
      <c r="D85" s="76" t="s">
        <v>1189</v>
      </c>
      <c r="E85" s="76" t="s">
        <v>1125</v>
      </c>
      <c r="F85" s="35" t="s">
        <v>1190</v>
      </c>
      <c r="G85" s="76" t="s">
        <v>423</v>
      </c>
      <c r="H85" s="78" t="n">
        <v>4</v>
      </c>
      <c r="I85" s="76" t="s">
        <v>871</v>
      </c>
      <c r="J85" s="76" t="n">
        <v>4</v>
      </c>
      <c r="K85" s="76" t="s">
        <v>871</v>
      </c>
      <c r="L85" s="77" t="s">
        <v>1114</v>
      </c>
    </row>
    <row r="86" customFormat="false" ht="15" hidden="false" customHeight="false" outlineLevel="0" collapsed="false">
      <c r="A86" s="76" t="s">
        <v>1188</v>
      </c>
      <c r="B86" s="76" t="s">
        <v>41</v>
      </c>
      <c r="C86" s="76" t="s">
        <v>1110</v>
      </c>
      <c r="D86" s="76" t="s">
        <v>1189</v>
      </c>
      <c r="E86" s="76" t="s">
        <v>1125</v>
      </c>
      <c r="F86" s="35" t="s">
        <v>1190</v>
      </c>
      <c r="G86" s="76" t="s">
        <v>425</v>
      </c>
      <c r="H86" s="76"/>
      <c r="I86" s="76" t="s">
        <v>1136</v>
      </c>
      <c r="J86" s="76"/>
      <c r="K86" s="76" t="s">
        <v>1136</v>
      </c>
      <c r="L86" s="77" t="s">
        <v>1114</v>
      </c>
    </row>
    <row r="87" customFormat="false" ht="15" hidden="false" customHeight="false" outlineLevel="0" collapsed="false">
      <c r="A87" s="76" t="s">
        <v>1188</v>
      </c>
      <c r="B87" s="76" t="s">
        <v>41</v>
      </c>
      <c r="C87" s="76" t="s">
        <v>1110</v>
      </c>
      <c r="D87" s="76" t="s">
        <v>1189</v>
      </c>
      <c r="E87" s="76" t="s">
        <v>1125</v>
      </c>
      <c r="F87" s="35" t="s">
        <v>1190</v>
      </c>
      <c r="G87" s="76" t="s">
        <v>426</v>
      </c>
      <c r="H87" s="76" t="n">
        <v>1228000</v>
      </c>
      <c r="I87" s="76" t="s">
        <v>1192</v>
      </c>
      <c r="J87" s="76" t="n">
        <v>1228000</v>
      </c>
      <c r="K87" s="76" t="s">
        <v>1192</v>
      </c>
      <c r="L87" s="77" t="s">
        <v>1114</v>
      </c>
    </row>
    <row r="88" customFormat="false" ht="15" hidden="false" customHeight="false" outlineLevel="0" collapsed="false">
      <c r="A88" s="76" t="s">
        <v>1188</v>
      </c>
      <c r="B88" s="76" t="s">
        <v>41</v>
      </c>
      <c r="C88" s="76" t="s">
        <v>1110</v>
      </c>
      <c r="D88" s="76" t="s">
        <v>1189</v>
      </c>
      <c r="E88" s="76" t="s">
        <v>1125</v>
      </c>
      <c r="F88" s="35" t="s">
        <v>1190</v>
      </c>
      <c r="G88" s="76" t="s">
        <v>400</v>
      </c>
      <c r="H88" s="76" t="n">
        <v>1296000</v>
      </c>
      <c r="I88" s="76" t="s">
        <v>1193</v>
      </c>
      <c r="J88" s="76" t="n">
        <v>1296000</v>
      </c>
      <c r="K88" s="76" t="s">
        <v>1193</v>
      </c>
      <c r="L88" s="77" t="s">
        <v>1114</v>
      </c>
    </row>
    <row r="89" customFormat="false" ht="15" hidden="false" customHeight="false" outlineLevel="0" collapsed="false">
      <c r="A89" s="76" t="s">
        <v>1188</v>
      </c>
      <c r="B89" s="76" t="s">
        <v>41</v>
      </c>
      <c r="C89" s="76" t="s">
        <v>1110</v>
      </c>
      <c r="D89" s="76" t="s">
        <v>1189</v>
      </c>
      <c r="E89" s="76" t="s">
        <v>1125</v>
      </c>
      <c r="F89" s="35" t="s">
        <v>1190</v>
      </c>
      <c r="G89" s="76" t="s">
        <v>429</v>
      </c>
      <c r="H89" s="76" t="n">
        <v>144000</v>
      </c>
      <c r="I89" s="76" t="s">
        <v>1194</v>
      </c>
      <c r="J89" s="76" t="n">
        <v>144000</v>
      </c>
      <c r="K89" s="76" t="s">
        <v>1194</v>
      </c>
      <c r="L89" s="77" t="s">
        <v>1114</v>
      </c>
    </row>
    <row r="90" customFormat="false" ht="15" hidden="false" customHeight="false" outlineLevel="0" collapsed="false">
      <c r="A90" s="76" t="s">
        <v>1188</v>
      </c>
      <c r="B90" s="76" t="s">
        <v>41</v>
      </c>
      <c r="C90" s="76" t="s">
        <v>1110</v>
      </c>
      <c r="D90" s="76" t="s">
        <v>1189</v>
      </c>
      <c r="E90" s="76" t="s">
        <v>1125</v>
      </c>
      <c r="F90" s="35" t="s">
        <v>1190</v>
      </c>
      <c r="G90" s="76" t="s">
        <v>411</v>
      </c>
      <c r="H90" s="78" t="n">
        <v>10052.6203051358</v>
      </c>
      <c r="I90" s="76" t="s">
        <v>1195</v>
      </c>
      <c r="J90" s="78" t="n">
        <v>10052.6203051358</v>
      </c>
      <c r="K90" s="76" t="s">
        <v>1195</v>
      </c>
      <c r="L90" s="77" t="s">
        <v>1114</v>
      </c>
    </row>
    <row r="91" customFormat="false" ht="15" hidden="false" customHeight="false" outlineLevel="0" collapsed="false">
      <c r="A91" s="76" t="s">
        <v>1188</v>
      </c>
      <c r="B91" s="76" t="s">
        <v>41</v>
      </c>
      <c r="C91" s="76" t="s">
        <v>1110</v>
      </c>
      <c r="D91" s="76" t="s">
        <v>1189</v>
      </c>
      <c r="E91" s="76" t="s">
        <v>1125</v>
      </c>
      <c r="F91" s="35" t="s">
        <v>1190</v>
      </c>
      <c r="G91" s="76" t="s">
        <v>432</v>
      </c>
      <c r="H91" s="78" t="n">
        <v>137200</v>
      </c>
      <c r="I91" s="76" t="s">
        <v>1196</v>
      </c>
      <c r="J91" s="76" t="n">
        <v>137200</v>
      </c>
      <c r="K91" s="76" t="s">
        <v>1196</v>
      </c>
      <c r="L91" s="77" t="s">
        <v>1114</v>
      </c>
    </row>
    <row r="92" customFormat="false" ht="15" hidden="false" customHeight="false" outlineLevel="0" collapsed="false">
      <c r="A92" s="76" t="s">
        <v>1188</v>
      </c>
      <c r="B92" s="76" t="s">
        <v>41</v>
      </c>
      <c r="C92" s="76" t="s">
        <v>1110</v>
      </c>
      <c r="D92" s="76" t="s">
        <v>1189</v>
      </c>
      <c r="E92" s="76" t="s">
        <v>1125</v>
      </c>
      <c r="F92" s="35" t="s">
        <v>1190</v>
      </c>
      <c r="G92" s="76" t="s">
        <v>434</v>
      </c>
      <c r="H92" s="78" t="n">
        <v>3</v>
      </c>
      <c r="I92" s="76" t="s">
        <v>1122</v>
      </c>
      <c r="J92" s="76" t="n">
        <v>3</v>
      </c>
      <c r="K92" s="76" t="s">
        <v>1122</v>
      </c>
      <c r="L92" s="77" t="s">
        <v>1114</v>
      </c>
    </row>
    <row r="93" customFormat="false" ht="15" hidden="false" customHeight="false" outlineLevel="0" collapsed="false">
      <c r="A93" s="76" t="s">
        <v>1197</v>
      </c>
      <c r="B93" s="76" t="s">
        <v>41</v>
      </c>
      <c r="C93" s="76" t="s">
        <v>1110</v>
      </c>
      <c r="D93" s="76" t="s">
        <v>1198</v>
      </c>
      <c r="E93" s="76" t="s">
        <v>1162</v>
      </c>
      <c r="F93" s="35" t="s">
        <v>1199</v>
      </c>
      <c r="G93" s="76" t="s">
        <v>419</v>
      </c>
      <c r="H93" s="76"/>
      <c r="I93" s="76" t="s">
        <v>421</v>
      </c>
      <c r="J93" s="76"/>
      <c r="K93" s="76" t="s">
        <v>421</v>
      </c>
      <c r="L93" s="77" t="s">
        <v>1114</v>
      </c>
    </row>
    <row r="94" customFormat="false" ht="15" hidden="false" customHeight="false" outlineLevel="0" collapsed="false">
      <c r="A94" s="76" t="s">
        <v>1197</v>
      </c>
      <c r="B94" s="76" t="s">
        <v>41</v>
      </c>
      <c r="C94" s="76" t="s">
        <v>1110</v>
      </c>
      <c r="D94" s="76" t="s">
        <v>1198</v>
      </c>
      <c r="E94" s="76" t="s">
        <v>1162</v>
      </c>
      <c r="F94" s="35" t="s">
        <v>1199</v>
      </c>
      <c r="G94" s="76" t="s">
        <v>421</v>
      </c>
      <c r="H94" s="76" t="n">
        <v>696000</v>
      </c>
      <c r="I94" s="76" t="s">
        <v>1200</v>
      </c>
      <c r="J94" s="76" t="n">
        <v>696000</v>
      </c>
      <c r="K94" s="76" t="s">
        <v>1200</v>
      </c>
      <c r="L94" s="77" t="s">
        <v>1114</v>
      </c>
    </row>
    <row r="95" customFormat="false" ht="15" hidden="false" customHeight="false" outlineLevel="0" collapsed="false">
      <c r="A95" s="76" t="s">
        <v>1197</v>
      </c>
      <c r="B95" s="76" t="s">
        <v>41</v>
      </c>
      <c r="C95" s="76" t="s">
        <v>1110</v>
      </c>
      <c r="D95" s="76" t="s">
        <v>1198</v>
      </c>
      <c r="E95" s="76" t="s">
        <v>1162</v>
      </c>
      <c r="F95" s="35" t="s">
        <v>1199</v>
      </c>
      <c r="G95" s="76" t="s">
        <v>423</v>
      </c>
      <c r="H95" s="78" t="n">
        <v>3.5</v>
      </c>
      <c r="I95" s="76" t="s">
        <v>1128</v>
      </c>
      <c r="J95" s="78" t="n">
        <v>3.5</v>
      </c>
      <c r="K95" s="76" t="s">
        <v>1128</v>
      </c>
      <c r="L95" s="77" t="s">
        <v>1114</v>
      </c>
    </row>
    <row r="96" customFormat="false" ht="15" hidden="false" customHeight="false" outlineLevel="0" collapsed="false">
      <c r="A96" s="76" t="s">
        <v>1197</v>
      </c>
      <c r="B96" s="76" t="s">
        <v>41</v>
      </c>
      <c r="C96" s="76" t="s">
        <v>1110</v>
      </c>
      <c r="D96" s="76" t="s">
        <v>1198</v>
      </c>
      <c r="E96" s="76" t="s">
        <v>1162</v>
      </c>
      <c r="F96" s="35" t="s">
        <v>1199</v>
      </c>
      <c r="G96" s="76" t="s">
        <v>425</v>
      </c>
      <c r="H96" s="76"/>
      <c r="I96" s="76" t="s">
        <v>1136</v>
      </c>
      <c r="J96" s="76"/>
      <c r="K96" s="76" t="s">
        <v>1136</v>
      </c>
      <c r="L96" s="77" t="s">
        <v>1114</v>
      </c>
    </row>
    <row r="97" customFormat="false" ht="15" hidden="false" customHeight="false" outlineLevel="0" collapsed="false">
      <c r="A97" s="76" t="s">
        <v>1197</v>
      </c>
      <c r="B97" s="76" t="s">
        <v>41</v>
      </c>
      <c r="C97" s="76" t="s">
        <v>1110</v>
      </c>
      <c r="D97" s="76" t="s">
        <v>1198</v>
      </c>
      <c r="E97" s="76" t="s">
        <v>1162</v>
      </c>
      <c r="F97" s="35" t="s">
        <v>1199</v>
      </c>
      <c r="G97" s="76" t="s">
        <v>426</v>
      </c>
      <c r="H97" s="76" t="n">
        <v>588000</v>
      </c>
      <c r="I97" s="76" t="s">
        <v>1201</v>
      </c>
      <c r="J97" s="76" t="n">
        <v>588000</v>
      </c>
      <c r="K97" s="76" t="s">
        <v>1201</v>
      </c>
      <c r="L97" s="77" t="s">
        <v>1114</v>
      </c>
    </row>
    <row r="98" customFormat="false" ht="15" hidden="false" customHeight="false" outlineLevel="0" collapsed="false">
      <c r="A98" s="76" t="s">
        <v>1197</v>
      </c>
      <c r="B98" s="76" t="s">
        <v>41</v>
      </c>
      <c r="C98" s="76" t="s">
        <v>1110</v>
      </c>
      <c r="D98" s="76" t="s">
        <v>1198</v>
      </c>
      <c r="E98" s="76" t="s">
        <v>1162</v>
      </c>
      <c r="F98" s="35" t="s">
        <v>1199</v>
      </c>
      <c r="G98" s="76" t="s">
        <v>400</v>
      </c>
      <c r="H98" s="76" t="n">
        <v>972000</v>
      </c>
      <c r="I98" s="76" t="s">
        <v>1202</v>
      </c>
      <c r="J98" s="76" t="n">
        <v>972000</v>
      </c>
      <c r="K98" s="76" t="s">
        <v>1202</v>
      </c>
      <c r="L98" s="77" t="s">
        <v>1114</v>
      </c>
    </row>
    <row r="99" customFormat="false" ht="15" hidden="false" customHeight="false" outlineLevel="0" collapsed="false">
      <c r="A99" s="76" t="s">
        <v>1197</v>
      </c>
      <c r="B99" s="76" t="s">
        <v>41</v>
      </c>
      <c r="C99" s="76" t="s">
        <v>1110</v>
      </c>
      <c r="D99" s="76" t="s">
        <v>1198</v>
      </c>
      <c r="E99" s="76" t="s">
        <v>1162</v>
      </c>
      <c r="F99" s="35" t="s">
        <v>1199</v>
      </c>
      <c r="G99" s="76" t="s">
        <v>429</v>
      </c>
      <c r="H99" s="76" t="n">
        <v>108000</v>
      </c>
      <c r="I99" s="76" t="s">
        <v>1203</v>
      </c>
      <c r="J99" s="76" t="n">
        <v>108000</v>
      </c>
      <c r="K99" s="76" t="s">
        <v>1203</v>
      </c>
      <c r="L99" s="77" t="s">
        <v>1114</v>
      </c>
    </row>
    <row r="100" customFormat="false" ht="15" hidden="false" customHeight="false" outlineLevel="0" collapsed="false">
      <c r="A100" s="76" t="s">
        <v>1197</v>
      </c>
      <c r="B100" s="76" t="s">
        <v>41</v>
      </c>
      <c r="C100" s="76" t="s">
        <v>1110</v>
      </c>
      <c r="D100" s="76" t="s">
        <v>1198</v>
      </c>
      <c r="E100" s="76" t="s">
        <v>1162</v>
      </c>
      <c r="F100" s="35" t="s">
        <v>1199</v>
      </c>
      <c r="G100" s="76" t="s">
        <v>411</v>
      </c>
      <c r="H100" s="78" t="n">
        <v>2222.03447351319</v>
      </c>
      <c r="I100" s="76" t="s">
        <v>1204</v>
      </c>
      <c r="J100" s="78" t="n">
        <v>2222.03447351319</v>
      </c>
      <c r="K100" s="76" t="s">
        <v>1204</v>
      </c>
      <c r="L100" s="77" t="s">
        <v>1114</v>
      </c>
    </row>
    <row r="101" customFormat="false" ht="15" hidden="false" customHeight="false" outlineLevel="0" collapsed="false">
      <c r="A101" s="76" t="s">
        <v>1197</v>
      </c>
      <c r="B101" s="76" t="s">
        <v>41</v>
      </c>
      <c r="C101" s="76" t="s">
        <v>1110</v>
      </c>
      <c r="D101" s="76" t="s">
        <v>1198</v>
      </c>
      <c r="E101" s="76" t="s">
        <v>1162</v>
      </c>
      <c r="F101" s="35" t="s">
        <v>1199</v>
      </c>
      <c r="G101" s="76" t="s">
        <v>432</v>
      </c>
      <c r="H101" s="78" t="n">
        <v>69600</v>
      </c>
      <c r="I101" s="76" t="s">
        <v>1205</v>
      </c>
      <c r="J101" s="76" t="n">
        <v>69600</v>
      </c>
      <c r="K101" s="76" t="s">
        <v>1205</v>
      </c>
      <c r="L101" s="77" t="s">
        <v>1114</v>
      </c>
    </row>
    <row r="102" customFormat="false" ht="15" hidden="false" customHeight="false" outlineLevel="0" collapsed="false">
      <c r="A102" s="76" t="s">
        <v>1197</v>
      </c>
      <c r="B102" s="76" t="s">
        <v>41</v>
      </c>
      <c r="C102" s="76" t="s">
        <v>1110</v>
      </c>
      <c r="D102" s="76" t="s">
        <v>1198</v>
      </c>
      <c r="E102" s="76" t="s">
        <v>1162</v>
      </c>
      <c r="F102" s="35" t="s">
        <v>1199</v>
      </c>
      <c r="G102" s="76" t="s">
        <v>434</v>
      </c>
      <c r="H102" s="78" t="n">
        <v>3</v>
      </c>
      <c r="I102" s="76" t="s">
        <v>1122</v>
      </c>
      <c r="J102" s="76" t="n">
        <v>3</v>
      </c>
      <c r="K102" s="76" t="s">
        <v>1122</v>
      </c>
      <c r="L102" s="77" t="s">
        <v>1114</v>
      </c>
    </row>
    <row r="103" customFormat="false" ht="15" hidden="false" customHeight="false" outlineLevel="0" collapsed="false">
      <c r="A103" s="76" t="s">
        <v>1206</v>
      </c>
      <c r="B103" s="76" t="s">
        <v>47</v>
      </c>
      <c r="C103" s="76" t="s">
        <v>1207</v>
      </c>
      <c r="D103" s="76" t="s">
        <v>1111</v>
      </c>
      <c r="E103" s="76" t="s">
        <v>1112</v>
      </c>
      <c r="F103" s="35" t="s">
        <v>1208</v>
      </c>
      <c r="G103" s="76" t="s">
        <v>419</v>
      </c>
      <c r="H103" s="76"/>
      <c r="I103" s="76" t="s">
        <v>611</v>
      </c>
      <c r="J103" s="76"/>
      <c r="K103" s="76" t="s">
        <v>611</v>
      </c>
      <c r="L103" s="77" t="s">
        <v>1114</v>
      </c>
    </row>
    <row r="104" customFormat="false" ht="15" hidden="false" customHeight="false" outlineLevel="0" collapsed="false">
      <c r="A104" s="76" t="s">
        <v>1206</v>
      </c>
      <c r="B104" s="76" t="s">
        <v>47</v>
      </c>
      <c r="C104" s="76" t="s">
        <v>1207</v>
      </c>
      <c r="D104" s="76" t="s">
        <v>1111</v>
      </c>
      <c r="E104" s="76" t="s">
        <v>1112</v>
      </c>
      <c r="F104" s="35" t="s">
        <v>1208</v>
      </c>
      <c r="G104" s="76" t="s">
        <v>481</v>
      </c>
      <c r="H104" s="78" t="n">
        <v>1432.24588639636</v>
      </c>
      <c r="I104" s="76" t="s">
        <v>1209</v>
      </c>
      <c r="J104" s="78" t="n">
        <v>1432.24588639636</v>
      </c>
      <c r="K104" s="76" t="s">
        <v>1209</v>
      </c>
      <c r="L104" s="77" t="s">
        <v>1114</v>
      </c>
    </row>
    <row r="105" customFormat="false" ht="15" hidden="false" customHeight="false" outlineLevel="0" collapsed="false">
      <c r="A105" s="76" t="s">
        <v>1206</v>
      </c>
      <c r="B105" s="76" t="s">
        <v>47</v>
      </c>
      <c r="C105" s="76" t="s">
        <v>1207</v>
      </c>
      <c r="D105" s="76" t="s">
        <v>1111</v>
      </c>
      <c r="E105" s="76" t="s">
        <v>1112</v>
      </c>
      <c r="F105" s="35" t="s">
        <v>1208</v>
      </c>
      <c r="G105" s="76" t="s">
        <v>482</v>
      </c>
      <c r="H105" s="76"/>
      <c r="I105" s="76"/>
      <c r="J105" s="76"/>
      <c r="K105" s="76"/>
      <c r="L105" s="77" t="s">
        <v>1114</v>
      </c>
    </row>
    <row r="106" customFormat="false" ht="15" hidden="false" customHeight="false" outlineLevel="0" collapsed="false">
      <c r="A106" s="76" t="s">
        <v>1206</v>
      </c>
      <c r="B106" s="76" t="s">
        <v>47</v>
      </c>
      <c r="C106" s="76" t="s">
        <v>1207</v>
      </c>
      <c r="D106" s="76" t="s">
        <v>1111</v>
      </c>
      <c r="E106" s="76" t="s">
        <v>1112</v>
      </c>
      <c r="F106" s="35" t="s">
        <v>1208</v>
      </c>
      <c r="G106" s="76" t="s">
        <v>484</v>
      </c>
      <c r="H106" s="76"/>
      <c r="I106" s="76"/>
      <c r="J106" s="76"/>
      <c r="K106" s="76"/>
      <c r="L106" s="77" t="s">
        <v>1114</v>
      </c>
    </row>
    <row r="107" customFormat="false" ht="15" hidden="false" customHeight="false" outlineLevel="0" collapsed="false">
      <c r="A107" s="76" t="s">
        <v>1206</v>
      </c>
      <c r="B107" s="76" t="s">
        <v>47</v>
      </c>
      <c r="C107" s="76" t="s">
        <v>1207</v>
      </c>
      <c r="D107" s="76" t="s">
        <v>1111</v>
      </c>
      <c r="E107" s="76" t="s">
        <v>1112</v>
      </c>
      <c r="F107" s="35" t="s">
        <v>1208</v>
      </c>
      <c r="G107" s="76" t="s">
        <v>463</v>
      </c>
      <c r="H107" s="76"/>
      <c r="I107" s="76"/>
      <c r="J107" s="76"/>
      <c r="K107" s="76"/>
      <c r="L107" s="77" t="s">
        <v>1114</v>
      </c>
    </row>
    <row r="108" customFormat="false" ht="15" hidden="false" customHeight="false" outlineLevel="0" collapsed="false">
      <c r="A108" s="76" t="s">
        <v>1206</v>
      </c>
      <c r="B108" s="76" t="s">
        <v>47</v>
      </c>
      <c r="C108" s="76" t="s">
        <v>1207</v>
      </c>
      <c r="D108" s="76" t="s">
        <v>1111</v>
      </c>
      <c r="E108" s="76" t="s">
        <v>1112</v>
      </c>
      <c r="F108" s="35" t="s">
        <v>1208</v>
      </c>
      <c r="G108" s="76" t="s">
        <v>487</v>
      </c>
      <c r="H108" s="76"/>
      <c r="I108" s="76"/>
      <c r="J108" s="76"/>
      <c r="K108" s="76"/>
      <c r="L108" s="77" t="s">
        <v>1114</v>
      </c>
    </row>
    <row r="109" customFormat="false" ht="15" hidden="false" customHeight="false" outlineLevel="0" collapsed="false">
      <c r="A109" s="76" t="s">
        <v>1206</v>
      </c>
      <c r="B109" s="76" t="s">
        <v>47</v>
      </c>
      <c r="C109" s="76" t="s">
        <v>1207</v>
      </c>
      <c r="D109" s="76" t="s">
        <v>1111</v>
      </c>
      <c r="E109" s="76" t="s">
        <v>1112</v>
      </c>
      <c r="F109" s="35" t="s">
        <v>1208</v>
      </c>
      <c r="G109" s="76" t="s">
        <v>488</v>
      </c>
      <c r="H109" s="76" t="n">
        <v>360</v>
      </c>
      <c r="I109" s="76" t="s">
        <v>1210</v>
      </c>
      <c r="J109" s="76" t="n">
        <v>360</v>
      </c>
      <c r="K109" s="76" t="s">
        <v>1210</v>
      </c>
      <c r="L109" s="77" t="s">
        <v>1114</v>
      </c>
    </row>
    <row r="110" customFormat="false" ht="15" hidden="false" customHeight="false" outlineLevel="0" collapsed="false">
      <c r="A110" s="76" t="s">
        <v>1206</v>
      </c>
      <c r="B110" s="76" t="s">
        <v>47</v>
      </c>
      <c r="C110" s="76" t="s">
        <v>1207</v>
      </c>
      <c r="D110" s="76" t="s">
        <v>1111</v>
      </c>
      <c r="E110" s="76" t="s">
        <v>1112</v>
      </c>
      <c r="F110" s="35" t="s">
        <v>1208</v>
      </c>
      <c r="G110" s="76" t="s">
        <v>477</v>
      </c>
      <c r="H110" s="78" t="n">
        <v>215608.5191027</v>
      </c>
      <c r="I110" s="76" t="s">
        <v>1211</v>
      </c>
      <c r="J110" s="78" t="n">
        <v>215608.5191027</v>
      </c>
      <c r="K110" s="76" t="s">
        <v>1211</v>
      </c>
      <c r="L110" s="77" t="s">
        <v>1114</v>
      </c>
    </row>
    <row r="111" customFormat="false" ht="15" hidden="false" customHeight="false" outlineLevel="0" collapsed="false">
      <c r="A111" s="76" t="s">
        <v>1206</v>
      </c>
      <c r="B111" s="76" t="s">
        <v>47</v>
      </c>
      <c r="C111" s="76" t="s">
        <v>1207</v>
      </c>
      <c r="D111" s="76" t="s">
        <v>1111</v>
      </c>
      <c r="E111" s="76" t="s">
        <v>1112</v>
      </c>
      <c r="F111" s="35" t="s">
        <v>1208</v>
      </c>
      <c r="G111" s="76" t="s">
        <v>490</v>
      </c>
      <c r="H111" s="78" t="n">
        <v>515608.5191027</v>
      </c>
      <c r="I111" s="76" t="s">
        <v>1212</v>
      </c>
      <c r="J111" s="78" t="n">
        <v>515608.5191027</v>
      </c>
      <c r="K111" s="76" t="s">
        <v>1212</v>
      </c>
      <c r="L111" s="77" t="s">
        <v>1114</v>
      </c>
    </row>
    <row r="112" customFormat="false" ht="15" hidden="false" customHeight="false" outlineLevel="0" collapsed="false">
      <c r="A112" s="76" t="s">
        <v>1206</v>
      </c>
      <c r="B112" s="76" t="s">
        <v>47</v>
      </c>
      <c r="C112" s="76" t="s">
        <v>1207</v>
      </c>
      <c r="D112" s="76" t="s">
        <v>1111</v>
      </c>
      <c r="E112" s="76" t="s">
        <v>1112</v>
      </c>
      <c r="F112" s="35" t="s">
        <v>1208</v>
      </c>
      <c r="G112" s="76" t="s">
        <v>491</v>
      </c>
      <c r="H112" s="78" t="n">
        <v>300000</v>
      </c>
      <c r="I112" s="76" t="s">
        <v>1213</v>
      </c>
      <c r="J112" s="76" t="n">
        <v>300000</v>
      </c>
      <c r="K112" s="76" t="s">
        <v>1213</v>
      </c>
      <c r="L112" s="77" t="s">
        <v>1114</v>
      </c>
    </row>
    <row r="113" customFormat="false" ht="15" hidden="false" customHeight="false" outlineLevel="0" collapsed="false">
      <c r="A113" s="76" t="s">
        <v>1206</v>
      </c>
      <c r="B113" s="76" t="s">
        <v>47</v>
      </c>
      <c r="C113" s="76" t="s">
        <v>1207</v>
      </c>
      <c r="D113" s="76" t="s">
        <v>1111</v>
      </c>
      <c r="E113" s="76" t="s">
        <v>1112</v>
      </c>
      <c r="F113" s="35" t="s">
        <v>1208</v>
      </c>
      <c r="G113" s="76" t="s">
        <v>434</v>
      </c>
      <c r="H113" s="78" t="n">
        <v>3</v>
      </c>
      <c r="I113" s="76" t="s">
        <v>1122</v>
      </c>
      <c r="J113" s="76" t="n">
        <v>3</v>
      </c>
      <c r="K113" s="76" t="s">
        <v>1122</v>
      </c>
      <c r="L113" s="77" t="s">
        <v>1114</v>
      </c>
    </row>
    <row r="114" customFormat="false" ht="15" hidden="false" customHeight="false" outlineLevel="0" collapsed="false">
      <c r="A114" s="76" t="s">
        <v>1214</v>
      </c>
      <c r="B114" s="76" t="s">
        <v>47</v>
      </c>
      <c r="C114" s="76" t="s">
        <v>1207</v>
      </c>
      <c r="D114" s="76" t="s">
        <v>1124</v>
      </c>
      <c r="E114" s="76" t="s">
        <v>1125</v>
      </c>
      <c r="F114" s="35" t="s">
        <v>1215</v>
      </c>
      <c r="G114" s="76" t="s">
        <v>419</v>
      </c>
      <c r="H114" s="76"/>
      <c r="I114" s="76" t="s">
        <v>1216</v>
      </c>
      <c r="J114" s="76"/>
      <c r="K114" s="76" t="s">
        <v>1216</v>
      </c>
      <c r="L114" s="77" t="s">
        <v>1114</v>
      </c>
    </row>
    <row r="115" customFormat="false" ht="15" hidden="false" customHeight="false" outlineLevel="0" collapsed="false">
      <c r="A115" s="76" t="s">
        <v>1214</v>
      </c>
      <c r="B115" s="76" t="s">
        <v>47</v>
      </c>
      <c r="C115" s="76" t="s">
        <v>1207</v>
      </c>
      <c r="D115" s="76" t="s">
        <v>1124</v>
      </c>
      <c r="E115" s="76" t="s">
        <v>1125</v>
      </c>
      <c r="F115" s="35" t="s">
        <v>1215</v>
      </c>
      <c r="G115" s="76" t="s">
        <v>481</v>
      </c>
      <c r="H115" s="78" t="n">
        <v>812.326405779217</v>
      </c>
      <c r="I115" s="76" t="s">
        <v>1217</v>
      </c>
      <c r="J115" s="78" t="n">
        <v>812.326405779217</v>
      </c>
      <c r="K115" s="76" t="s">
        <v>1217</v>
      </c>
      <c r="L115" s="77" t="s">
        <v>1114</v>
      </c>
    </row>
    <row r="116" customFormat="false" ht="15" hidden="false" customHeight="false" outlineLevel="0" collapsed="false">
      <c r="A116" s="76" t="s">
        <v>1214</v>
      </c>
      <c r="B116" s="76" t="s">
        <v>47</v>
      </c>
      <c r="C116" s="76" t="s">
        <v>1207</v>
      </c>
      <c r="D116" s="76" t="s">
        <v>1124</v>
      </c>
      <c r="E116" s="76" t="s">
        <v>1125</v>
      </c>
      <c r="F116" s="35" t="s">
        <v>1215</v>
      </c>
      <c r="G116" s="76" t="s">
        <v>482</v>
      </c>
      <c r="H116" s="78" t="n">
        <v>42.3609664935152</v>
      </c>
      <c r="I116" s="76" t="s">
        <v>1218</v>
      </c>
      <c r="J116" s="78" t="n">
        <v>42.3609664935152</v>
      </c>
      <c r="K116" s="76" t="s">
        <v>1218</v>
      </c>
      <c r="L116" s="77" t="s">
        <v>1114</v>
      </c>
    </row>
    <row r="117" customFormat="false" ht="15" hidden="false" customHeight="false" outlineLevel="0" collapsed="false">
      <c r="A117" s="76" t="s">
        <v>1214</v>
      </c>
      <c r="B117" s="76" t="s">
        <v>47</v>
      </c>
      <c r="C117" s="76" t="s">
        <v>1207</v>
      </c>
      <c r="D117" s="76" t="s">
        <v>1124</v>
      </c>
      <c r="E117" s="76" t="s">
        <v>1125</v>
      </c>
      <c r="F117" s="35" t="s">
        <v>1215</v>
      </c>
      <c r="G117" s="76" t="s">
        <v>484</v>
      </c>
      <c r="H117" s="76"/>
      <c r="I117" s="76"/>
      <c r="J117" s="76"/>
      <c r="K117" s="76"/>
      <c r="L117" s="77" t="s">
        <v>1114</v>
      </c>
    </row>
    <row r="118" customFormat="false" ht="15" hidden="false" customHeight="false" outlineLevel="0" collapsed="false">
      <c r="A118" s="76" t="s">
        <v>1214</v>
      </c>
      <c r="B118" s="76" t="s">
        <v>47</v>
      </c>
      <c r="C118" s="76" t="s">
        <v>1207</v>
      </c>
      <c r="D118" s="76" t="s">
        <v>1124</v>
      </c>
      <c r="E118" s="76" t="s">
        <v>1125</v>
      </c>
      <c r="F118" s="35" t="s">
        <v>1215</v>
      </c>
      <c r="G118" s="76" t="s">
        <v>463</v>
      </c>
      <c r="H118" s="78" t="n">
        <v>854.687372272732</v>
      </c>
      <c r="I118" s="76" t="s">
        <v>1219</v>
      </c>
      <c r="J118" s="78" t="n">
        <v>854.687372272732</v>
      </c>
      <c r="K118" s="76" t="s">
        <v>1219</v>
      </c>
      <c r="L118" s="77" t="s">
        <v>1114</v>
      </c>
    </row>
    <row r="119" customFormat="false" ht="15" hidden="false" customHeight="false" outlineLevel="0" collapsed="false">
      <c r="A119" s="76" t="s">
        <v>1214</v>
      </c>
      <c r="B119" s="76" t="s">
        <v>47</v>
      </c>
      <c r="C119" s="76" t="s">
        <v>1207</v>
      </c>
      <c r="D119" s="76" t="s">
        <v>1124</v>
      </c>
      <c r="E119" s="76" t="s">
        <v>1125</v>
      </c>
      <c r="F119" s="35" t="s">
        <v>1215</v>
      </c>
      <c r="G119" s="76" t="s">
        <v>487</v>
      </c>
      <c r="H119" s="78" t="n">
        <v>-508.331597922183</v>
      </c>
      <c r="I119" s="76" t="s">
        <v>1220</v>
      </c>
      <c r="J119" s="78" t="n">
        <v>-508.331597922183</v>
      </c>
      <c r="K119" s="76" t="s">
        <v>1220</v>
      </c>
      <c r="L119" s="77" t="s">
        <v>1114</v>
      </c>
    </row>
    <row r="120" customFormat="false" ht="15" hidden="false" customHeight="false" outlineLevel="0" collapsed="false">
      <c r="A120" s="76" t="s">
        <v>1214</v>
      </c>
      <c r="B120" s="76" t="s">
        <v>47</v>
      </c>
      <c r="C120" s="76" t="s">
        <v>1207</v>
      </c>
      <c r="D120" s="76" t="s">
        <v>1124</v>
      </c>
      <c r="E120" s="76" t="s">
        <v>1125</v>
      </c>
      <c r="F120" s="35" t="s">
        <v>1215</v>
      </c>
      <c r="G120" s="76" t="s">
        <v>488</v>
      </c>
      <c r="H120" s="76"/>
      <c r="I120" s="76"/>
      <c r="J120" s="76"/>
      <c r="K120" s="76"/>
      <c r="L120" s="77" t="s">
        <v>1114</v>
      </c>
    </row>
    <row r="121" customFormat="false" ht="15" hidden="false" customHeight="false" outlineLevel="0" collapsed="false">
      <c r="A121" s="76" t="s">
        <v>1214</v>
      </c>
      <c r="B121" s="76" t="s">
        <v>47</v>
      </c>
      <c r="C121" s="76" t="s">
        <v>1207</v>
      </c>
      <c r="D121" s="76" t="s">
        <v>1124</v>
      </c>
      <c r="E121" s="76" t="s">
        <v>1125</v>
      </c>
      <c r="F121" s="35" t="s">
        <v>1215</v>
      </c>
      <c r="G121" s="76" t="s">
        <v>477</v>
      </c>
      <c r="H121" s="76"/>
      <c r="I121" s="76"/>
      <c r="J121" s="76"/>
      <c r="K121" s="76"/>
      <c r="L121" s="77" t="s">
        <v>1114</v>
      </c>
    </row>
    <row r="122" customFormat="false" ht="15" hidden="false" customHeight="false" outlineLevel="0" collapsed="false">
      <c r="A122" s="76" t="s">
        <v>1214</v>
      </c>
      <c r="B122" s="76" t="s">
        <v>47</v>
      </c>
      <c r="C122" s="76" t="s">
        <v>1207</v>
      </c>
      <c r="D122" s="76" t="s">
        <v>1124</v>
      </c>
      <c r="E122" s="76" t="s">
        <v>1125</v>
      </c>
      <c r="F122" s="35" t="s">
        <v>1215</v>
      </c>
      <c r="G122" s="76" t="s">
        <v>490</v>
      </c>
      <c r="H122" s="76"/>
      <c r="I122" s="76"/>
      <c r="J122" s="76"/>
      <c r="K122" s="76"/>
      <c r="L122" s="77" t="s">
        <v>1114</v>
      </c>
    </row>
    <row r="123" customFormat="false" ht="15" hidden="false" customHeight="false" outlineLevel="0" collapsed="false">
      <c r="A123" s="76" t="s">
        <v>1214</v>
      </c>
      <c r="B123" s="76" t="s">
        <v>47</v>
      </c>
      <c r="C123" s="76" t="s">
        <v>1207</v>
      </c>
      <c r="D123" s="76" t="s">
        <v>1124</v>
      </c>
      <c r="E123" s="76" t="s">
        <v>1125</v>
      </c>
      <c r="F123" s="35" t="s">
        <v>1215</v>
      </c>
      <c r="G123" s="76" t="s">
        <v>491</v>
      </c>
      <c r="H123" s="78" t="n">
        <v>50000</v>
      </c>
      <c r="I123" s="76" t="s">
        <v>1221</v>
      </c>
      <c r="J123" s="76" t="n">
        <v>50000</v>
      </c>
      <c r="K123" s="76" t="s">
        <v>1221</v>
      </c>
      <c r="L123" s="77" t="s">
        <v>1114</v>
      </c>
    </row>
    <row r="124" customFormat="false" ht="15" hidden="false" customHeight="false" outlineLevel="0" collapsed="false">
      <c r="A124" s="76" t="s">
        <v>1214</v>
      </c>
      <c r="B124" s="76" t="s">
        <v>47</v>
      </c>
      <c r="C124" s="76" t="s">
        <v>1207</v>
      </c>
      <c r="D124" s="76" t="s">
        <v>1124</v>
      </c>
      <c r="E124" s="76" t="s">
        <v>1125</v>
      </c>
      <c r="F124" s="35" t="s">
        <v>1215</v>
      </c>
      <c r="G124" s="76" t="s">
        <v>434</v>
      </c>
      <c r="H124" s="78" t="n">
        <v>3</v>
      </c>
      <c r="I124" s="76" t="s">
        <v>1122</v>
      </c>
      <c r="J124" s="76" t="n">
        <v>3</v>
      </c>
      <c r="K124" s="76" t="s">
        <v>1122</v>
      </c>
      <c r="L124" s="77" t="s">
        <v>1114</v>
      </c>
    </row>
    <row r="125" customFormat="false" ht="15" hidden="false" customHeight="false" outlineLevel="0" collapsed="false">
      <c r="A125" s="76" t="s">
        <v>1222</v>
      </c>
      <c r="B125" s="76" t="s">
        <v>47</v>
      </c>
      <c r="C125" s="76" t="s">
        <v>1207</v>
      </c>
      <c r="D125" s="76" t="s">
        <v>1132</v>
      </c>
      <c r="E125" s="76" t="s">
        <v>1133</v>
      </c>
      <c r="F125" s="35" t="s">
        <v>1223</v>
      </c>
      <c r="G125" s="76" t="s">
        <v>419</v>
      </c>
      <c r="H125" s="76"/>
      <c r="I125" s="76" t="s">
        <v>1224</v>
      </c>
      <c r="J125" s="76"/>
      <c r="K125" s="76" t="s">
        <v>1224</v>
      </c>
      <c r="L125" s="77" t="s">
        <v>1114</v>
      </c>
    </row>
    <row r="126" customFormat="false" ht="15" hidden="false" customHeight="false" outlineLevel="0" collapsed="false">
      <c r="A126" s="76" t="s">
        <v>1222</v>
      </c>
      <c r="B126" s="76" t="s">
        <v>47</v>
      </c>
      <c r="C126" s="76" t="s">
        <v>1207</v>
      </c>
      <c r="D126" s="76" t="s">
        <v>1132</v>
      </c>
      <c r="E126" s="76" t="s">
        <v>1133</v>
      </c>
      <c r="F126" s="35" t="s">
        <v>1223</v>
      </c>
      <c r="G126" s="76" t="s">
        <v>481</v>
      </c>
      <c r="H126" s="78" t="n">
        <v>9369.57654165349</v>
      </c>
      <c r="I126" s="76" t="s">
        <v>1225</v>
      </c>
      <c r="J126" s="78" t="n">
        <v>9369.57654165349</v>
      </c>
      <c r="K126" s="76" t="s">
        <v>1225</v>
      </c>
      <c r="L126" s="77" t="s">
        <v>1114</v>
      </c>
    </row>
    <row r="127" customFormat="false" ht="15" hidden="false" customHeight="false" outlineLevel="0" collapsed="false">
      <c r="A127" s="76" t="s">
        <v>1222</v>
      </c>
      <c r="B127" s="76" t="s">
        <v>47</v>
      </c>
      <c r="C127" s="76" t="s">
        <v>1207</v>
      </c>
      <c r="D127" s="76" t="s">
        <v>1132</v>
      </c>
      <c r="E127" s="76" t="s">
        <v>1133</v>
      </c>
      <c r="F127" s="35" t="s">
        <v>1223</v>
      </c>
      <c r="G127" s="76" t="s">
        <v>482</v>
      </c>
      <c r="H127" s="78" t="n">
        <v>2266.96775210737</v>
      </c>
      <c r="I127" s="76" t="s">
        <v>1226</v>
      </c>
      <c r="J127" s="78" t="n">
        <v>2266.96775210737</v>
      </c>
      <c r="K127" s="76" t="s">
        <v>1226</v>
      </c>
      <c r="L127" s="77" t="s">
        <v>1114</v>
      </c>
    </row>
    <row r="128" customFormat="false" ht="15" hidden="false" customHeight="false" outlineLevel="0" collapsed="false">
      <c r="A128" s="76" t="s">
        <v>1222</v>
      </c>
      <c r="B128" s="76" t="s">
        <v>47</v>
      </c>
      <c r="C128" s="76" t="s">
        <v>1207</v>
      </c>
      <c r="D128" s="76" t="s">
        <v>1132</v>
      </c>
      <c r="E128" s="76" t="s">
        <v>1133</v>
      </c>
      <c r="F128" s="35" t="s">
        <v>1223</v>
      </c>
      <c r="G128" s="76" t="s">
        <v>484</v>
      </c>
      <c r="H128" s="76"/>
      <c r="I128" s="76"/>
      <c r="J128" s="76"/>
      <c r="K128" s="76"/>
      <c r="L128" s="77" t="s">
        <v>1114</v>
      </c>
    </row>
    <row r="129" customFormat="false" ht="15" hidden="false" customHeight="false" outlineLevel="0" collapsed="false">
      <c r="A129" s="76" t="s">
        <v>1222</v>
      </c>
      <c r="B129" s="76" t="s">
        <v>47</v>
      </c>
      <c r="C129" s="76" t="s">
        <v>1207</v>
      </c>
      <c r="D129" s="76" t="s">
        <v>1132</v>
      </c>
      <c r="E129" s="76" t="s">
        <v>1133</v>
      </c>
      <c r="F129" s="35" t="s">
        <v>1223</v>
      </c>
      <c r="G129" s="76" t="s">
        <v>463</v>
      </c>
      <c r="H129" s="78" t="n">
        <v>7102.60878954612</v>
      </c>
      <c r="I129" s="76" t="s">
        <v>1227</v>
      </c>
      <c r="J129" s="78" t="n">
        <v>7102.60878954612</v>
      </c>
      <c r="K129" s="76" t="s">
        <v>1227</v>
      </c>
      <c r="L129" s="77" t="s">
        <v>1114</v>
      </c>
    </row>
    <row r="130" customFormat="false" ht="15" hidden="false" customHeight="false" outlineLevel="0" collapsed="false">
      <c r="A130" s="76" t="s">
        <v>1222</v>
      </c>
      <c r="B130" s="76" t="s">
        <v>47</v>
      </c>
      <c r="C130" s="76" t="s">
        <v>1207</v>
      </c>
      <c r="D130" s="76" t="s">
        <v>1132</v>
      </c>
      <c r="E130" s="76" t="s">
        <v>1133</v>
      </c>
      <c r="F130" s="35" t="s">
        <v>1223</v>
      </c>
      <c r="G130" s="76" t="s">
        <v>487</v>
      </c>
      <c r="H130" s="78" t="n">
        <v>27203.6130252884</v>
      </c>
      <c r="I130" s="76" t="s">
        <v>1228</v>
      </c>
      <c r="J130" s="78" t="n">
        <v>27203.6130252884</v>
      </c>
      <c r="K130" s="76" t="s">
        <v>1228</v>
      </c>
      <c r="L130" s="77" t="s">
        <v>1114</v>
      </c>
    </row>
    <row r="131" customFormat="false" ht="15" hidden="false" customHeight="false" outlineLevel="0" collapsed="false">
      <c r="A131" s="76" t="s">
        <v>1222</v>
      </c>
      <c r="B131" s="76" t="s">
        <v>47</v>
      </c>
      <c r="C131" s="76" t="s">
        <v>1207</v>
      </c>
      <c r="D131" s="76" t="s">
        <v>1132</v>
      </c>
      <c r="E131" s="76" t="s">
        <v>1133</v>
      </c>
      <c r="F131" s="35" t="s">
        <v>1223</v>
      </c>
      <c r="G131" s="76" t="s">
        <v>488</v>
      </c>
      <c r="H131" s="76"/>
      <c r="I131" s="76"/>
      <c r="J131" s="76"/>
      <c r="K131" s="76"/>
      <c r="L131" s="77" t="s">
        <v>1114</v>
      </c>
    </row>
    <row r="132" customFormat="false" ht="15" hidden="false" customHeight="false" outlineLevel="0" collapsed="false">
      <c r="A132" s="76" t="s">
        <v>1222</v>
      </c>
      <c r="B132" s="76" t="s">
        <v>47</v>
      </c>
      <c r="C132" s="76" t="s">
        <v>1207</v>
      </c>
      <c r="D132" s="76" t="s">
        <v>1132</v>
      </c>
      <c r="E132" s="76" t="s">
        <v>1133</v>
      </c>
      <c r="F132" s="35" t="s">
        <v>1223</v>
      </c>
      <c r="G132" s="76" t="s">
        <v>477</v>
      </c>
      <c r="H132" s="76"/>
      <c r="I132" s="76"/>
      <c r="J132" s="76"/>
      <c r="K132" s="76"/>
      <c r="L132" s="77" t="s">
        <v>1114</v>
      </c>
    </row>
    <row r="133" customFormat="false" ht="15" hidden="false" customHeight="false" outlineLevel="0" collapsed="false">
      <c r="A133" s="76" t="s">
        <v>1222</v>
      </c>
      <c r="B133" s="76" t="s">
        <v>47</v>
      </c>
      <c r="C133" s="76" t="s">
        <v>1207</v>
      </c>
      <c r="D133" s="76" t="s">
        <v>1132</v>
      </c>
      <c r="E133" s="76" t="s">
        <v>1133</v>
      </c>
      <c r="F133" s="35" t="s">
        <v>1223</v>
      </c>
      <c r="G133" s="76" t="s">
        <v>490</v>
      </c>
      <c r="H133" s="76"/>
      <c r="I133" s="76"/>
      <c r="J133" s="76"/>
      <c r="K133" s="76"/>
      <c r="L133" s="77" t="s">
        <v>1114</v>
      </c>
    </row>
    <row r="134" customFormat="false" ht="15" hidden="false" customHeight="false" outlineLevel="0" collapsed="false">
      <c r="A134" s="76" t="s">
        <v>1222</v>
      </c>
      <c r="B134" s="76" t="s">
        <v>47</v>
      </c>
      <c r="C134" s="76" t="s">
        <v>1207</v>
      </c>
      <c r="D134" s="76" t="s">
        <v>1132</v>
      </c>
      <c r="E134" s="76" t="s">
        <v>1133</v>
      </c>
      <c r="F134" s="35" t="s">
        <v>1223</v>
      </c>
      <c r="G134" s="76" t="s">
        <v>491</v>
      </c>
      <c r="H134" s="78" t="n">
        <v>1000000</v>
      </c>
      <c r="I134" s="76" t="s">
        <v>1229</v>
      </c>
      <c r="J134" s="76" t="n">
        <v>1000000</v>
      </c>
      <c r="K134" s="76" t="s">
        <v>1229</v>
      </c>
      <c r="L134" s="77" t="s">
        <v>1114</v>
      </c>
    </row>
    <row r="135" customFormat="false" ht="15" hidden="false" customHeight="false" outlineLevel="0" collapsed="false">
      <c r="A135" s="76" t="s">
        <v>1222</v>
      </c>
      <c r="B135" s="76" t="s">
        <v>47</v>
      </c>
      <c r="C135" s="76" t="s">
        <v>1207</v>
      </c>
      <c r="D135" s="76" t="s">
        <v>1132</v>
      </c>
      <c r="E135" s="76" t="s">
        <v>1133</v>
      </c>
      <c r="F135" s="35" t="s">
        <v>1223</v>
      </c>
      <c r="G135" s="76" t="s">
        <v>434</v>
      </c>
      <c r="H135" s="78" t="n">
        <v>3</v>
      </c>
      <c r="I135" s="76" t="s">
        <v>1122</v>
      </c>
      <c r="J135" s="76" t="n">
        <v>3</v>
      </c>
      <c r="K135" s="76" t="s">
        <v>1122</v>
      </c>
      <c r="L135" s="77" t="s">
        <v>1114</v>
      </c>
    </row>
    <row r="136" customFormat="false" ht="15" hidden="false" customHeight="false" outlineLevel="0" collapsed="false">
      <c r="A136" s="76" t="s">
        <v>1230</v>
      </c>
      <c r="B136" s="76" t="s">
        <v>47</v>
      </c>
      <c r="C136" s="76" t="s">
        <v>1207</v>
      </c>
      <c r="D136" s="76" t="s">
        <v>1141</v>
      </c>
      <c r="E136" s="76" t="s">
        <v>1142</v>
      </c>
      <c r="F136" s="35" t="s">
        <v>1231</v>
      </c>
      <c r="G136" s="76" t="s">
        <v>419</v>
      </c>
      <c r="H136" s="76"/>
      <c r="I136" s="76" t="s">
        <v>1232</v>
      </c>
      <c r="J136" s="76"/>
      <c r="K136" s="76" t="s">
        <v>1232</v>
      </c>
      <c r="L136" s="77" t="s">
        <v>1114</v>
      </c>
    </row>
    <row r="137" customFormat="false" ht="15" hidden="false" customHeight="false" outlineLevel="0" collapsed="false">
      <c r="A137" s="76" t="s">
        <v>1230</v>
      </c>
      <c r="B137" s="76" t="s">
        <v>47</v>
      </c>
      <c r="C137" s="76" t="s">
        <v>1207</v>
      </c>
      <c r="D137" s="76" t="s">
        <v>1141</v>
      </c>
      <c r="E137" s="76" t="s">
        <v>1142</v>
      </c>
      <c r="F137" s="35" t="s">
        <v>1231</v>
      </c>
      <c r="G137" s="76" t="s">
        <v>481</v>
      </c>
      <c r="H137" s="78" t="n">
        <v>7884.65488966362</v>
      </c>
      <c r="I137" s="76" t="s">
        <v>1233</v>
      </c>
      <c r="J137" s="78" t="n">
        <v>7884.65488966362</v>
      </c>
      <c r="K137" s="76" t="s">
        <v>1233</v>
      </c>
      <c r="L137" s="77" t="s">
        <v>1114</v>
      </c>
    </row>
    <row r="138" customFormat="false" ht="15" hidden="false" customHeight="false" outlineLevel="0" collapsed="false">
      <c r="A138" s="76" t="s">
        <v>1230</v>
      </c>
      <c r="B138" s="76" t="s">
        <v>47</v>
      </c>
      <c r="C138" s="76" t="s">
        <v>1207</v>
      </c>
      <c r="D138" s="76" t="s">
        <v>1141</v>
      </c>
      <c r="E138" s="76" t="s">
        <v>1142</v>
      </c>
      <c r="F138" s="35" t="s">
        <v>1231</v>
      </c>
      <c r="G138" s="76" t="s">
        <v>482</v>
      </c>
      <c r="H138" s="78" t="n">
        <v>174.510111821712</v>
      </c>
      <c r="I138" s="76" t="s">
        <v>1234</v>
      </c>
      <c r="J138" s="78" t="n">
        <v>174.510111821712</v>
      </c>
      <c r="K138" s="76" t="s">
        <v>1234</v>
      </c>
      <c r="L138" s="77" t="s">
        <v>1114</v>
      </c>
    </row>
    <row r="139" customFormat="false" ht="15" hidden="false" customHeight="false" outlineLevel="0" collapsed="false">
      <c r="A139" s="76" t="s">
        <v>1230</v>
      </c>
      <c r="B139" s="76" t="s">
        <v>47</v>
      </c>
      <c r="C139" s="76" t="s">
        <v>1207</v>
      </c>
      <c r="D139" s="76" t="s">
        <v>1141</v>
      </c>
      <c r="E139" s="76" t="s">
        <v>1142</v>
      </c>
      <c r="F139" s="35" t="s">
        <v>1231</v>
      </c>
      <c r="G139" s="76" t="s">
        <v>484</v>
      </c>
      <c r="H139" s="76"/>
      <c r="I139" s="76"/>
      <c r="J139" s="76"/>
      <c r="K139" s="76"/>
      <c r="L139" s="77" t="s">
        <v>1114</v>
      </c>
    </row>
    <row r="140" customFormat="false" ht="15" hidden="false" customHeight="false" outlineLevel="0" collapsed="false">
      <c r="A140" s="76" t="s">
        <v>1230</v>
      </c>
      <c r="B140" s="76" t="s">
        <v>47</v>
      </c>
      <c r="C140" s="76" t="s">
        <v>1207</v>
      </c>
      <c r="D140" s="76" t="s">
        <v>1141</v>
      </c>
      <c r="E140" s="76" t="s">
        <v>1142</v>
      </c>
      <c r="F140" s="35" t="s">
        <v>1231</v>
      </c>
      <c r="G140" s="76" t="s">
        <v>463</v>
      </c>
      <c r="H140" s="78" t="n">
        <v>8059.16500148533</v>
      </c>
      <c r="I140" s="76" t="s">
        <v>1235</v>
      </c>
      <c r="J140" s="78" t="n">
        <v>8059.16500148533</v>
      </c>
      <c r="K140" s="76" t="s">
        <v>1235</v>
      </c>
      <c r="L140" s="77" t="s">
        <v>1114</v>
      </c>
    </row>
    <row r="141" customFormat="false" ht="15" hidden="false" customHeight="false" outlineLevel="0" collapsed="false">
      <c r="A141" s="76" t="s">
        <v>1230</v>
      </c>
      <c r="B141" s="76" t="s">
        <v>47</v>
      </c>
      <c r="C141" s="76" t="s">
        <v>1207</v>
      </c>
      <c r="D141" s="76" t="s">
        <v>1141</v>
      </c>
      <c r="E141" s="76" t="s">
        <v>1142</v>
      </c>
      <c r="F141" s="35" t="s">
        <v>1231</v>
      </c>
      <c r="G141" s="76" t="s">
        <v>487</v>
      </c>
      <c r="H141" s="78" t="n">
        <v>-2094.12134186054</v>
      </c>
      <c r="I141" s="76" t="s">
        <v>1236</v>
      </c>
      <c r="J141" s="78" t="n">
        <v>-2094.12134186054</v>
      </c>
      <c r="K141" s="76" t="s">
        <v>1236</v>
      </c>
      <c r="L141" s="77" t="s">
        <v>1114</v>
      </c>
    </row>
    <row r="142" customFormat="false" ht="15" hidden="false" customHeight="false" outlineLevel="0" collapsed="false">
      <c r="A142" s="76" t="s">
        <v>1230</v>
      </c>
      <c r="B142" s="76" t="s">
        <v>47</v>
      </c>
      <c r="C142" s="76" t="s">
        <v>1207</v>
      </c>
      <c r="D142" s="76" t="s">
        <v>1141</v>
      </c>
      <c r="E142" s="76" t="s">
        <v>1142</v>
      </c>
      <c r="F142" s="35" t="s">
        <v>1231</v>
      </c>
      <c r="G142" s="76" t="s">
        <v>488</v>
      </c>
      <c r="H142" s="76"/>
      <c r="I142" s="76"/>
      <c r="J142" s="76"/>
      <c r="K142" s="76"/>
      <c r="L142" s="77" t="s">
        <v>1114</v>
      </c>
    </row>
    <row r="143" customFormat="false" ht="15" hidden="false" customHeight="false" outlineLevel="0" collapsed="false">
      <c r="A143" s="76" t="s">
        <v>1230</v>
      </c>
      <c r="B143" s="76" t="s">
        <v>47</v>
      </c>
      <c r="C143" s="76" t="s">
        <v>1207</v>
      </c>
      <c r="D143" s="76" t="s">
        <v>1141</v>
      </c>
      <c r="E143" s="76" t="s">
        <v>1142</v>
      </c>
      <c r="F143" s="35" t="s">
        <v>1231</v>
      </c>
      <c r="G143" s="76" t="s">
        <v>477</v>
      </c>
      <c r="H143" s="76"/>
      <c r="I143" s="76"/>
      <c r="J143" s="76"/>
      <c r="K143" s="76"/>
      <c r="L143" s="77" t="s">
        <v>1114</v>
      </c>
    </row>
    <row r="144" customFormat="false" ht="15" hidden="false" customHeight="false" outlineLevel="0" collapsed="false">
      <c r="A144" s="76" t="s">
        <v>1230</v>
      </c>
      <c r="B144" s="76" t="s">
        <v>47</v>
      </c>
      <c r="C144" s="76" t="s">
        <v>1207</v>
      </c>
      <c r="D144" s="76" t="s">
        <v>1141</v>
      </c>
      <c r="E144" s="76" t="s">
        <v>1142</v>
      </c>
      <c r="F144" s="35" t="s">
        <v>1231</v>
      </c>
      <c r="G144" s="76" t="s">
        <v>490</v>
      </c>
      <c r="H144" s="76"/>
      <c r="I144" s="76"/>
      <c r="J144" s="76"/>
      <c r="K144" s="76"/>
      <c r="L144" s="77" t="s">
        <v>1114</v>
      </c>
    </row>
    <row r="145" customFormat="false" ht="15" hidden="false" customHeight="false" outlineLevel="0" collapsed="false">
      <c r="A145" s="76" t="s">
        <v>1230</v>
      </c>
      <c r="B145" s="76" t="s">
        <v>47</v>
      </c>
      <c r="C145" s="76" t="s">
        <v>1207</v>
      </c>
      <c r="D145" s="76" t="s">
        <v>1141</v>
      </c>
      <c r="E145" s="76" t="s">
        <v>1142</v>
      </c>
      <c r="F145" s="35" t="s">
        <v>1231</v>
      </c>
      <c r="G145" s="76" t="s">
        <v>491</v>
      </c>
      <c r="H145" s="78" t="n">
        <v>777000</v>
      </c>
      <c r="I145" s="76" t="s">
        <v>1237</v>
      </c>
      <c r="J145" s="76" t="n">
        <v>777000</v>
      </c>
      <c r="K145" s="76" t="s">
        <v>1237</v>
      </c>
      <c r="L145" s="77" t="s">
        <v>1114</v>
      </c>
    </row>
    <row r="146" customFormat="false" ht="15" hidden="false" customHeight="false" outlineLevel="0" collapsed="false">
      <c r="A146" s="76" t="s">
        <v>1230</v>
      </c>
      <c r="B146" s="76" t="s">
        <v>47</v>
      </c>
      <c r="C146" s="76" t="s">
        <v>1207</v>
      </c>
      <c r="D146" s="76" t="s">
        <v>1141</v>
      </c>
      <c r="E146" s="76" t="s">
        <v>1142</v>
      </c>
      <c r="F146" s="35" t="s">
        <v>1231</v>
      </c>
      <c r="G146" s="76" t="s">
        <v>434</v>
      </c>
      <c r="H146" s="78" t="n">
        <v>3</v>
      </c>
      <c r="I146" s="76" t="s">
        <v>1122</v>
      </c>
      <c r="J146" s="76" t="n">
        <v>3</v>
      </c>
      <c r="K146" s="76" t="s">
        <v>1122</v>
      </c>
      <c r="L146" s="77" t="s">
        <v>1114</v>
      </c>
    </row>
    <row r="147" customFormat="false" ht="15" hidden="false" customHeight="false" outlineLevel="0" collapsed="false">
      <c r="A147" s="76" t="s">
        <v>1238</v>
      </c>
      <c r="B147" s="76" t="s">
        <v>47</v>
      </c>
      <c r="C147" s="76" t="s">
        <v>1207</v>
      </c>
      <c r="D147" s="76" t="s">
        <v>1151</v>
      </c>
      <c r="E147" s="76" t="s">
        <v>1152</v>
      </c>
      <c r="F147" s="35" t="s">
        <v>1239</v>
      </c>
      <c r="G147" s="76" t="s">
        <v>419</v>
      </c>
      <c r="H147" s="76"/>
      <c r="I147" s="76" t="s">
        <v>1240</v>
      </c>
      <c r="J147" s="76"/>
      <c r="K147" s="76" t="s">
        <v>1240</v>
      </c>
      <c r="L147" s="77" t="s">
        <v>1114</v>
      </c>
    </row>
    <row r="148" customFormat="false" ht="15" hidden="false" customHeight="false" outlineLevel="0" collapsed="false">
      <c r="A148" s="76" t="s">
        <v>1238</v>
      </c>
      <c r="B148" s="76" t="s">
        <v>47</v>
      </c>
      <c r="C148" s="76" t="s">
        <v>1207</v>
      </c>
      <c r="D148" s="76" t="s">
        <v>1151</v>
      </c>
      <c r="E148" s="76" t="s">
        <v>1152</v>
      </c>
      <c r="F148" s="35" t="s">
        <v>1239</v>
      </c>
      <c r="G148" s="76" t="s">
        <v>481</v>
      </c>
      <c r="H148" s="76" t="n">
        <v>1500</v>
      </c>
      <c r="I148" s="76" t="s">
        <v>1241</v>
      </c>
      <c r="J148" s="76" t="n">
        <v>1500</v>
      </c>
      <c r="K148" s="76" t="s">
        <v>1241</v>
      </c>
      <c r="L148" s="77" t="s">
        <v>1114</v>
      </c>
    </row>
    <row r="149" customFormat="false" ht="15" hidden="false" customHeight="false" outlineLevel="0" collapsed="false">
      <c r="A149" s="76" t="s">
        <v>1238</v>
      </c>
      <c r="B149" s="76" t="s">
        <v>47</v>
      </c>
      <c r="C149" s="76" t="s">
        <v>1207</v>
      </c>
      <c r="D149" s="76" t="s">
        <v>1151</v>
      </c>
      <c r="E149" s="76" t="s">
        <v>1152</v>
      </c>
      <c r="F149" s="35" t="s">
        <v>1239</v>
      </c>
      <c r="G149" s="76" t="s">
        <v>482</v>
      </c>
      <c r="H149" s="76"/>
      <c r="I149" s="76"/>
      <c r="J149" s="76"/>
      <c r="K149" s="76"/>
      <c r="L149" s="77" t="s">
        <v>1114</v>
      </c>
    </row>
    <row r="150" customFormat="false" ht="15" hidden="false" customHeight="false" outlineLevel="0" collapsed="false">
      <c r="A150" s="76" t="s">
        <v>1238</v>
      </c>
      <c r="B150" s="76" t="s">
        <v>47</v>
      </c>
      <c r="C150" s="76" t="s">
        <v>1207</v>
      </c>
      <c r="D150" s="76" t="s">
        <v>1151</v>
      </c>
      <c r="E150" s="76" t="s">
        <v>1152</v>
      </c>
      <c r="F150" s="35" t="s">
        <v>1239</v>
      </c>
      <c r="G150" s="76" t="s">
        <v>484</v>
      </c>
      <c r="H150" s="78" t="n">
        <v>1432.24588639636</v>
      </c>
      <c r="I150" s="76" t="s">
        <v>1209</v>
      </c>
      <c r="J150" s="78" t="n">
        <v>1432.24588639636</v>
      </c>
      <c r="K150" s="76" t="s">
        <v>1209</v>
      </c>
      <c r="L150" s="77" t="s">
        <v>1114</v>
      </c>
    </row>
    <row r="151" customFormat="false" ht="15" hidden="false" customHeight="false" outlineLevel="0" collapsed="false">
      <c r="A151" s="76" t="s">
        <v>1238</v>
      </c>
      <c r="B151" s="76" t="s">
        <v>47</v>
      </c>
      <c r="C151" s="76" t="s">
        <v>1207</v>
      </c>
      <c r="D151" s="76" t="s">
        <v>1151</v>
      </c>
      <c r="E151" s="76" t="s">
        <v>1152</v>
      </c>
      <c r="F151" s="35" t="s">
        <v>1239</v>
      </c>
      <c r="G151" s="76" t="s">
        <v>463</v>
      </c>
      <c r="H151" s="76"/>
      <c r="I151" s="76"/>
      <c r="J151" s="76"/>
      <c r="K151" s="76"/>
      <c r="L151" s="77" t="s">
        <v>1114</v>
      </c>
    </row>
    <row r="152" customFormat="false" ht="15" hidden="false" customHeight="false" outlineLevel="0" collapsed="false">
      <c r="A152" s="76" t="s">
        <v>1238</v>
      </c>
      <c r="B152" s="76" t="s">
        <v>47</v>
      </c>
      <c r="C152" s="76" t="s">
        <v>1207</v>
      </c>
      <c r="D152" s="76" t="s">
        <v>1151</v>
      </c>
      <c r="E152" s="76" t="s">
        <v>1152</v>
      </c>
      <c r="F152" s="35" t="s">
        <v>1239</v>
      </c>
      <c r="G152" s="76" t="s">
        <v>487</v>
      </c>
      <c r="H152" s="76"/>
      <c r="I152" s="76"/>
      <c r="J152" s="76"/>
      <c r="K152" s="76"/>
      <c r="L152" s="77" t="s">
        <v>1114</v>
      </c>
    </row>
    <row r="153" customFormat="false" ht="15" hidden="false" customHeight="false" outlineLevel="0" collapsed="false">
      <c r="A153" s="76" t="s">
        <v>1238</v>
      </c>
      <c r="B153" s="76" t="s">
        <v>47</v>
      </c>
      <c r="C153" s="76" t="s">
        <v>1207</v>
      </c>
      <c r="D153" s="76" t="s">
        <v>1151</v>
      </c>
      <c r="E153" s="76" t="s">
        <v>1152</v>
      </c>
      <c r="F153" s="35" t="s">
        <v>1239</v>
      </c>
      <c r="G153" s="76" t="s">
        <v>488</v>
      </c>
      <c r="H153" s="76" t="n">
        <v>331</v>
      </c>
      <c r="I153" s="76" t="s">
        <v>1242</v>
      </c>
      <c r="J153" s="76" t="n">
        <v>331</v>
      </c>
      <c r="K153" s="76" t="s">
        <v>1242</v>
      </c>
      <c r="L153" s="77" t="s">
        <v>1114</v>
      </c>
    </row>
    <row r="154" customFormat="false" ht="15" hidden="false" customHeight="false" outlineLevel="0" collapsed="false">
      <c r="A154" s="76" t="s">
        <v>1238</v>
      </c>
      <c r="B154" s="76" t="s">
        <v>47</v>
      </c>
      <c r="C154" s="76" t="s">
        <v>1207</v>
      </c>
      <c r="D154" s="76" t="s">
        <v>1151</v>
      </c>
      <c r="E154" s="76" t="s">
        <v>1152</v>
      </c>
      <c r="F154" s="35" t="s">
        <v>1239</v>
      </c>
      <c r="G154" s="76" t="s">
        <v>477</v>
      </c>
      <c r="H154" s="78" t="n">
        <v>195199.319466789</v>
      </c>
      <c r="I154" s="76" t="s">
        <v>1243</v>
      </c>
      <c r="J154" s="78" t="n">
        <v>195199.319466789</v>
      </c>
      <c r="K154" s="76" t="s">
        <v>1243</v>
      </c>
      <c r="L154" s="77" t="s">
        <v>1114</v>
      </c>
    </row>
    <row r="155" customFormat="false" ht="15" hidden="false" customHeight="false" outlineLevel="0" collapsed="false">
      <c r="A155" s="76" t="s">
        <v>1238</v>
      </c>
      <c r="B155" s="76" t="s">
        <v>47</v>
      </c>
      <c r="C155" s="76" t="s">
        <v>1207</v>
      </c>
      <c r="D155" s="76" t="s">
        <v>1151</v>
      </c>
      <c r="E155" s="76" t="s">
        <v>1152</v>
      </c>
      <c r="F155" s="35" t="s">
        <v>1239</v>
      </c>
      <c r="G155" s="76" t="s">
        <v>490</v>
      </c>
      <c r="H155" s="78" t="n">
        <v>495199.319466789</v>
      </c>
      <c r="I155" s="76" t="s">
        <v>1244</v>
      </c>
      <c r="J155" s="78" t="n">
        <v>495199.319466789</v>
      </c>
      <c r="K155" s="76" t="s">
        <v>1244</v>
      </c>
      <c r="L155" s="77" t="s">
        <v>1114</v>
      </c>
    </row>
    <row r="156" customFormat="false" ht="15" hidden="false" customHeight="false" outlineLevel="0" collapsed="false">
      <c r="A156" s="76" t="s">
        <v>1238</v>
      </c>
      <c r="B156" s="76" t="s">
        <v>47</v>
      </c>
      <c r="C156" s="76" t="s">
        <v>1207</v>
      </c>
      <c r="D156" s="76" t="s">
        <v>1151</v>
      </c>
      <c r="E156" s="76" t="s">
        <v>1152</v>
      </c>
      <c r="F156" s="35" t="s">
        <v>1239</v>
      </c>
      <c r="G156" s="76" t="s">
        <v>491</v>
      </c>
      <c r="H156" s="78" t="n">
        <v>300000</v>
      </c>
      <c r="I156" s="76" t="s">
        <v>1213</v>
      </c>
      <c r="J156" s="76" t="n">
        <v>300000</v>
      </c>
      <c r="K156" s="76" t="s">
        <v>1213</v>
      </c>
      <c r="L156" s="77" t="s">
        <v>1114</v>
      </c>
    </row>
    <row r="157" customFormat="false" ht="15" hidden="false" customHeight="false" outlineLevel="0" collapsed="false">
      <c r="A157" s="76" t="s">
        <v>1238</v>
      </c>
      <c r="B157" s="76" t="s">
        <v>47</v>
      </c>
      <c r="C157" s="76" t="s">
        <v>1207</v>
      </c>
      <c r="D157" s="76" t="s">
        <v>1151</v>
      </c>
      <c r="E157" s="76" t="s">
        <v>1152</v>
      </c>
      <c r="F157" s="35" t="s">
        <v>1239</v>
      </c>
      <c r="G157" s="76" t="s">
        <v>434</v>
      </c>
      <c r="H157" s="78" t="n">
        <v>3</v>
      </c>
      <c r="I157" s="76" t="s">
        <v>1122</v>
      </c>
      <c r="J157" s="76" t="n">
        <v>3</v>
      </c>
      <c r="K157" s="76" t="s">
        <v>1122</v>
      </c>
      <c r="L157" s="77" t="s">
        <v>1114</v>
      </c>
    </row>
    <row r="158" customFormat="false" ht="15" hidden="false" customHeight="false" outlineLevel="0" collapsed="false">
      <c r="A158" s="76" t="s">
        <v>1245</v>
      </c>
      <c r="B158" s="76" t="s">
        <v>47</v>
      </c>
      <c r="C158" s="76" t="s">
        <v>1207</v>
      </c>
      <c r="D158" s="76" t="s">
        <v>1161</v>
      </c>
      <c r="E158" s="76" t="s">
        <v>1162</v>
      </c>
      <c r="F158" s="35" t="s">
        <v>1246</v>
      </c>
      <c r="G158" s="76" t="s">
        <v>419</v>
      </c>
      <c r="H158" s="76"/>
      <c r="I158" s="76" t="s">
        <v>1240</v>
      </c>
      <c r="J158" s="76"/>
      <c r="K158" s="76" t="s">
        <v>1240</v>
      </c>
      <c r="L158" s="77" t="s">
        <v>1114</v>
      </c>
    </row>
    <row r="159" customFormat="false" ht="15" hidden="false" customHeight="false" outlineLevel="0" collapsed="false">
      <c r="A159" s="76" t="s">
        <v>1245</v>
      </c>
      <c r="B159" s="76" t="s">
        <v>47</v>
      </c>
      <c r="C159" s="76" t="s">
        <v>1207</v>
      </c>
      <c r="D159" s="76" t="s">
        <v>1161</v>
      </c>
      <c r="E159" s="76" t="s">
        <v>1162</v>
      </c>
      <c r="F159" s="35" t="s">
        <v>1246</v>
      </c>
      <c r="G159" s="76" t="s">
        <v>481</v>
      </c>
      <c r="H159" s="76" t="n">
        <v>800</v>
      </c>
      <c r="I159" s="76" t="s">
        <v>1247</v>
      </c>
      <c r="J159" s="76" t="n">
        <v>800</v>
      </c>
      <c r="K159" s="76" t="s">
        <v>1247</v>
      </c>
      <c r="L159" s="77" t="s">
        <v>1114</v>
      </c>
    </row>
    <row r="160" customFormat="false" ht="15" hidden="false" customHeight="false" outlineLevel="0" collapsed="false">
      <c r="A160" s="76" t="s">
        <v>1245</v>
      </c>
      <c r="B160" s="76" t="s">
        <v>47</v>
      </c>
      <c r="C160" s="76" t="s">
        <v>1207</v>
      </c>
      <c r="D160" s="76" t="s">
        <v>1161</v>
      </c>
      <c r="E160" s="76" t="s">
        <v>1162</v>
      </c>
      <c r="F160" s="35" t="s">
        <v>1246</v>
      </c>
      <c r="G160" s="76" t="s">
        <v>482</v>
      </c>
      <c r="H160" s="76"/>
      <c r="I160" s="76"/>
      <c r="J160" s="76"/>
      <c r="K160" s="76"/>
      <c r="L160" s="77" t="s">
        <v>1114</v>
      </c>
    </row>
    <row r="161" customFormat="false" ht="15" hidden="false" customHeight="false" outlineLevel="0" collapsed="false">
      <c r="A161" s="76" t="s">
        <v>1245</v>
      </c>
      <c r="B161" s="76" t="s">
        <v>47</v>
      </c>
      <c r="C161" s="76" t="s">
        <v>1207</v>
      </c>
      <c r="D161" s="76" t="s">
        <v>1161</v>
      </c>
      <c r="E161" s="76" t="s">
        <v>1162</v>
      </c>
      <c r="F161" s="35" t="s">
        <v>1246</v>
      </c>
      <c r="G161" s="76" t="s">
        <v>484</v>
      </c>
      <c r="H161" s="78" t="n">
        <v>1432.24588639636</v>
      </c>
      <c r="I161" s="76" t="s">
        <v>1209</v>
      </c>
      <c r="J161" s="78" t="n">
        <v>1432.24588639636</v>
      </c>
      <c r="K161" s="76" t="s">
        <v>1209</v>
      </c>
      <c r="L161" s="77" t="s">
        <v>1114</v>
      </c>
    </row>
    <row r="162" customFormat="false" ht="15" hidden="false" customHeight="false" outlineLevel="0" collapsed="false">
      <c r="A162" s="76" t="s">
        <v>1245</v>
      </c>
      <c r="B162" s="76" t="s">
        <v>47</v>
      </c>
      <c r="C162" s="76" t="s">
        <v>1207</v>
      </c>
      <c r="D162" s="76" t="s">
        <v>1161</v>
      </c>
      <c r="E162" s="76" t="s">
        <v>1162</v>
      </c>
      <c r="F162" s="35" t="s">
        <v>1246</v>
      </c>
      <c r="G162" s="76" t="s">
        <v>463</v>
      </c>
      <c r="H162" s="76"/>
      <c r="I162" s="76"/>
      <c r="J162" s="76"/>
      <c r="K162" s="76"/>
      <c r="L162" s="77" t="s">
        <v>1114</v>
      </c>
    </row>
    <row r="163" customFormat="false" ht="15" hidden="false" customHeight="false" outlineLevel="0" collapsed="false">
      <c r="A163" s="76" t="s">
        <v>1245</v>
      </c>
      <c r="B163" s="76" t="s">
        <v>47</v>
      </c>
      <c r="C163" s="76" t="s">
        <v>1207</v>
      </c>
      <c r="D163" s="76" t="s">
        <v>1161</v>
      </c>
      <c r="E163" s="76" t="s">
        <v>1162</v>
      </c>
      <c r="F163" s="35" t="s">
        <v>1246</v>
      </c>
      <c r="G163" s="76" t="s">
        <v>487</v>
      </c>
      <c r="H163" s="76"/>
      <c r="I163" s="76"/>
      <c r="J163" s="76"/>
      <c r="K163" s="76"/>
      <c r="L163" s="77" t="s">
        <v>1114</v>
      </c>
    </row>
    <row r="164" customFormat="false" ht="15" hidden="false" customHeight="false" outlineLevel="0" collapsed="false">
      <c r="A164" s="76" t="s">
        <v>1245</v>
      </c>
      <c r="B164" s="76" t="s">
        <v>47</v>
      </c>
      <c r="C164" s="76" t="s">
        <v>1207</v>
      </c>
      <c r="D164" s="76" t="s">
        <v>1161</v>
      </c>
      <c r="E164" s="76" t="s">
        <v>1162</v>
      </c>
      <c r="F164" s="35" t="s">
        <v>1246</v>
      </c>
      <c r="G164" s="76" t="s">
        <v>488</v>
      </c>
      <c r="H164" s="76"/>
      <c r="I164" s="76" t="s">
        <v>1248</v>
      </c>
      <c r="J164" s="76" t="s">
        <v>1249</v>
      </c>
      <c r="K164" s="76" t="s">
        <v>1248</v>
      </c>
      <c r="L164" s="77" t="s">
        <v>1114</v>
      </c>
    </row>
    <row r="165" customFormat="false" ht="15" hidden="false" customHeight="false" outlineLevel="0" collapsed="false">
      <c r="A165" s="76" t="s">
        <v>1245</v>
      </c>
      <c r="B165" s="76" t="s">
        <v>47</v>
      </c>
      <c r="C165" s="76" t="s">
        <v>1207</v>
      </c>
      <c r="D165" s="76" t="s">
        <v>1161</v>
      </c>
      <c r="E165" s="76" t="s">
        <v>1162</v>
      </c>
      <c r="F165" s="35" t="s">
        <v>1246</v>
      </c>
      <c r="G165" s="76" t="s">
        <v>477</v>
      </c>
      <c r="H165" s="76"/>
      <c r="I165" s="76" t="s">
        <v>1250</v>
      </c>
      <c r="J165" s="76"/>
      <c r="K165" s="76" t="s">
        <v>1250</v>
      </c>
      <c r="L165" s="77" t="s">
        <v>1114</v>
      </c>
    </row>
    <row r="166" customFormat="false" ht="15" hidden="false" customHeight="false" outlineLevel="0" collapsed="false">
      <c r="A166" s="76" t="s">
        <v>1245</v>
      </c>
      <c r="B166" s="76" t="s">
        <v>47</v>
      </c>
      <c r="C166" s="76" t="s">
        <v>1207</v>
      </c>
      <c r="D166" s="76" t="s">
        <v>1161</v>
      </c>
      <c r="E166" s="76" t="s">
        <v>1162</v>
      </c>
      <c r="F166" s="35" t="s">
        <v>1246</v>
      </c>
      <c r="G166" s="76" t="s">
        <v>490</v>
      </c>
      <c r="H166" s="76"/>
      <c r="I166" s="76" t="s">
        <v>1250</v>
      </c>
      <c r="J166" s="76"/>
      <c r="K166" s="76" t="s">
        <v>1250</v>
      </c>
      <c r="L166" s="77" t="s">
        <v>1114</v>
      </c>
    </row>
    <row r="167" customFormat="false" ht="15" hidden="false" customHeight="false" outlineLevel="0" collapsed="false">
      <c r="A167" s="76" t="s">
        <v>1245</v>
      </c>
      <c r="B167" s="76" t="s">
        <v>47</v>
      </c>
      <c r="C167" s="76" t="s">
        <v>1207</v>
      </c>
      <c r="D167" s="76" t="s">
        <v>1161</v>
      </c>
      <c r="E167" s="76" t="s">
        <v>1162</v>
      </c>
      <c r="F167" s="35" t="s">
        <v>1246</v>
      </c>
      <c r="G167" s="76" t="s">
        <v>491</v>
      </c>
      <c r="H167" s="78" t="n">
        <v>300000</v>
      </c>
      <c r="I167" s="76" t="s">
        <v>1213</v>
      </c>
      <c r="J167" s="76" t="n">
        <v>300000</v>
      </c>
      <c r="K167" s="76" t="s">
        <v>1213</v>
      </c>
      <c r="L167" s="77" t="s">
        <v>1114</v>
      </c>
    </row>
    <row r="168" customFormat="false" ht="15" hidden="false" customHeight="false" outlineLevel="0" collapsed="false">
      <c r="A168" s="76" t="s">
        <v>1245</v>
      </c>
      <c r="B168" s="76" t="s">
        <v>47</v>
      </c>
      <c r="C168" s="76" t="s">
        <v>1207</v>
      </c>
      <c r="D168" s="76" t="s">
        <v>1161</v>
      </c>
      <c r="E168" s="76" t="s">
        <v>1162</v>
      </c>
      <c r="F168" s="35" t="s">
        <v>1246</v>
      </c>
      <c r="G168" s="76" t="s">
        <v>434</v>
      </c>
      <c r="H168" s="78" t="n">
        <v>3</v>
      </c>
      <c r="I168" s="76" t="s">
        <v>1122</v>
      </c>
      <c r="J168" s="76" t="n">
        <v>3</v>
      </c>
      <c r="K168" s="76" t="s">
        <v>1122</v>
      </c>
      <c r="L168" s="77" t="s">
        <v>1114</v>
      </c>
    </row>
    <row r="169" customFormat="false" ht="15" hidden="false" customHeight="false" outlineLevel="0" collapsed="false">
      <c r="A169" s="76" t="s">
        <v>1251</v>
      </c>
      <c r="B169" s="76" t="s">
        <v>47</v>
      </c>
      <c r="C169" s="76" t="s">
        <v>1207</v>
      </c>
      <c r="D169" s="76" t="s">
        <v>1170</v>
      </c>
      <c r="E169" s="76" t="s">
        <v>1171</v>
      </c>
      <c r="F169" s="35" t="s">
        <v>1252</v>
      </c>
      <c r="G169" s="76" t="s">
        <v>419</v>
      </c>
      <c r="H169" s="76"/>
      <c r="I169" s="76" t="s">
        <v>1253</v>
      </c>
      <c r="J169" s="76"/>
      <c r="K169" s="76" t="s">
        <v>1253</v>
      </c>
      <c r="L169" s="77" t="s">
        <v>1114</v>
      </c>
    </row>
    <row r="170" customFormat="false" ht="15" hidden="false" customHeight="false" outlineLevel="0" collapsed="false">
      <c r="A170" s="76" t="s">
        <v>1251</v>
      </c>
      <c r="B170" s="76" t="s">
        <v>47</v>
      </c>
      <c r="C170" s="76" t="s">
        <v>1207</v>
      </c>
      <c r="D170" s="76" t="s">
        <v>1170</v>
      </c>
      <c r="E170" s="76" t="s">
        <v>1171</v>
      </c>
      <c r="F170" s="35" t="s">
        <v>1252</v>
      </c>
      <c r="G170" s="76" t="s">
        <v>481</v>
      </c>
      <c r="H170" s="78" t="n">
        <v>1475.81967323843</v>
      </c>
      <c r="I170" s="76" t="s">
        <v>1254</v>
      </c>
      <c r="J170" s="78" t="n">
        <v>1475.81967323843</v>
      </c>
      <c r="K170" s="76" t="s">
        <v>1254</v>
      </c>
      <c r="L170" s="77" t="s">
        <v>1114</v>
      </c>
    </row>
    <row r="171" customFormat="false" ht="15" hidden="false" customHeight="false" outlineLevel="0" collapsed="false">
      <c r="A171" s="76" t="s">
        <v>1251</v>
      </c>
      <c r="B171" s="76" t="s">
        <v>47</v>
      </c>
      <c r="C171" s="76" t="s">
        <v>1207</v>
      </c>
      <c r="D171" s="76" t="s">
        <v>1170</v>
      </c>
      <c r="E171" s="76" t="s">
        <v>1171</v>
      </c>
      <c r="F171" s="35" t="s">
        <v>1252</v>
      </c>
      <c r="G171" s="76" t="s">
        <v>482</v>
      </c>
      <c r="H171" s="78" t="n">
        <v>43.5737868420665</v>
      </c>
      <c r="I171" s="76" t="s">
        <v>1255</v>
      </c>
      <c r="J171" s="78" t="n">
        <v>43.5737868420665</v>
      </c>
      <c r="K171" s="76" t="s">
        <v>1255</v>
      </c>
      <c r="L171" s="77" t="s">
        <v>1114</v>
      </c>
    </row>
    <row r="172" customFormat="false" ht="15" hidden="false" customHeight="false" outlineLevel="0" collapsed="false">
      <c r="A172" s="76" t="s">
        <v>1251</v>
      </c>
      <c r="B172" s="76" t="s">
        <v>47</v>
      </c>
      <c r="C172" s="76" t="s">
        <v>1207</v>
      </c>
      <c r="D172" s="76" t="s">
        <v>1170</v>
      </c>
      <c r="E172" s="76" t="s">
        <v>1171</v>
      </c>
      <c r="F172" s="35" t="s">
        <v>1252</v>
      </c>
      <c r="G172" s="76" t="s">
        <v>484</v>
      </c>
      <c r="H172" s="76"/>
      <c r="I172" s="76"/>
      <c r="J172" s="76"/>
      <c r="K172" s="76"/>
      <c r="L172" s="77" t="s">
        <v>1114</v>
      </c>
    </row>
    <row r="173" customFormat="false" ht="15" hidden="false" customHeight="false" outlineLevel="0" collapsed="false">
      <c r="A173" s="76" t="s">
        <v>1251</v>
      </c>
      <c r="B173" s="76" t="s">
        <v>47</v>
      </c>
      <c r="C173" s="76" t="s">
        <v>1207</v>
      </c>
      <c r="D173" s="76" t="s">
        <v>1170</v>
      </c>
      <c r="E173" s="76" t="s">
        <v>1171</v>
      </c>
      <c r="F173" s="35" t="s">
        <v>1252</v>
      </c>
      <c r="G173" s="76" t="s">
        <v>463</v>
      </c>
      <c r="H173" s="78" t="n">
        <v>1432.24588639636</v>
      </c>
      <c r="I173" s="76" t="s">
        <v>1209</v>
      </c>
      <c r="J173" s="78" t="n">
        <v>1432.24588639636</v>
      </c>
      <c r="K173" s="76" t="s">
        <v>1209</v>
      </c>
      <c r="L173" s="77" t="s">
        <v>1114</v>
      </c>
    </row>
    <row r="174" customFormat="false" ht="15" hidden="false" customHeight="false" outlineLevel="0" collapsed="false">
      <c r="A174" s="76" t="s">
        <v>1251</v>
      </c>
      <c r="B174" s="76" t="s">
        <v>47</v>
      </c>
      <c r="C174" s="76" t="s">
        <v>1207</v>
      </c>
      <c r="D174" s="76" t="s">
        <v>1170</v>
      </c>
      <c r="E174" s="76" t="s">
        <v>1171</v>
      </c>
      <c r="F174" s="35" t="s">
        <v>1252</v>
      </c>
      <c r="G174" s="76" t="s">
        <v>487</v>
      </c>
      <c r="H174" s="78" t="n">
        <v>522.885442104798</v>
      </c>
      <c r="I174" s="76" t="s">
        <v>1256</v>
      </c>
      <c r="J174" s="78" t="n">
        <v>522.885442104798</v>
      </c>
      <c r="K174" s="76" t="s">
        <v>1256</v>
      </c>
      <c r="L174" s="77" t="s">
        <v>1114</v>
      </c>
    </row>
    <row r="175" customFormat="false" ht="15" hidden="false" customHeight="false" outlineLevel="0" collapsed="false">
      <c r="A175" s="76" t="s">
        <v>1251</v>
      </c>
      <c r="B175" s="76" t="s">
        <v>47</v>
      </c>
      <c r="C175" s="76" t="s">
        <v>1207</v>
      </c>
      <c r="D175" s="76" t="s">
        <v>1170</v>
      </c>
      <c r="E175" s="76" t="s">
        <v>1171</v>
      </c>
      <c r="F175" s="35" t="s">
        <v>1252</v>
      </c>
      <c r="G175" s="76" t="s">
        <v>488</v>
      </c>
      <c r="H175" s="76"/>
      <c r="I175" s="76"/>
      <c r="J175" s="76"/>
      <c r="K175" s="76"/>
      <c r="L175" s="77" t="s">
        <v>1114</v>
      </c>
    </row>
    <row r="176" customFormat="false" ht="15" hidden="false" customHeight="false" outlineLevel="0" collapsed="false">
      <c r="A176" s="76" t="s">
        <v>1251</v>
      </c>
      <c r="B176" s="76" t="s">
        <v>47</v>
      </c>
      <c r="C176" s="76" t="s">
        <v>1207</v>
      </c>
      <c r="D176" s="76" t="s">
        <v>1170</v>
      </c>
      <c r="E176" s="76" t="s">
        <v>1171</v>
      </c>
      <c r="F176" s="35" t="s">
        <v>1252</v>
      </c>
      <c r="G176" s="76" t="s">
        <v>477</v>
      </c>
      <c r="H176" s="76"/>
      <c r="I176" s="76"/>
      <c r="J176" s="76"/>
      <c r="K176" s="76"/>
      <c r="L176" s="77" t="s">
        <v>1114</v>
      </c>
    </row>
    <row r="177" customFormat="false" ht="15" hidden="false" customHeight="false" outlineLevel="0" collapsed="false">
      <c r="A177" s="76" t="s">
        <v>1251</v>
      </c>
      <c r="B177" s="76" t="s">
        <v>47</v>
      </c>
      <c r="C177" s="76" t="s">
        <v>1207</v>
      </c>
      <c r="D177" s="76" t="s">
        <v>1170</v>
      </c>
      <c r="E177" s="76" t="s">
        <v>1171</v>
      </c>
      <c r="F177" s="35" t="s">
        <v>1252</v>
      </c>
      <c r="G177" s="76" t="s">
        <v>490</v>
      </c>
      <c r="H177" s="76"/>
      <c r="I177" s="76"/>
      <c r="J177" s="76"/>
      <c r="K177" s="76"/>
      <c r="L177" s="77" t="s">
        <v>1114</v>
      </c>
    </row>
    <row r="178" customFormat="false" ht="15" hidden="false" customHeight="false" outlineLevel="0" collapsed="false">
      <c r="A178" s="76" t="s">
        <v>1251</v>
      </c>
      <c r="B178" s="76" t="s">
        <v>47</v>
      </c>
      <c r="C178" s="76" t="s">
        <v>1207</v>
      </c>
      <c r="D178" s="76" t="s">
        <v>1170</v>
      </c>
      <c r="E178" s="76" t="s">
        <v>1171</v>
      </c>
      <c r="F178" s="35" t="s">
        <v>1252</v>
      </c>
      <c r="G178" s="76" t="s">
        <v>491</v>
      </c>
      <c r="H178" s="78" t="n">
        <v>300000</v>
      </c>
      <c r="I178" s="76" t="s">
        <v>1213</v>
      </c>
      <c r="J178" s="76" t="n">
        <v>300000</v>
      </c>
      <c r="K178" s="76" t="s">
        <v>1213</v>
      </c>
      <c r="L178" s="77" t="s">
        <v>1114</v>
      </c>
    </row>
    <row r="179" customFormat="false" ht="15" hidden="false" customHeight="false" outlineLevel="0" collapsed="false">
      <c r="A179" s="76" t="s">
        <v>1251</v>
      </c>
      <c r="B179" s="76" t="s">
        <v>47</v>
      </c>
      <c r="C179" s="76" t="s">
        <v>1207</v>
      </c>
      <c r="D179" s="76" t="s">
        <v>1170</v>
      </c>
      <c r="E179" s="76" t="s">
        <v>1171</v>
      </c>
      <c r="F179" s="35" t="s">
        <v>1252</v>
      </c>
      <c r="G179" s="76" t="s">
        <v>434</v>
      </c>
      <c r="H179" s="78" t="n">
        <v>3</v>
      </c>
      <c r="I179" s="76" t="s">
        <v>1122</v>
      </c>
      <c r="J179" s="76" t="n">
        <v>3</v>
      </c>
      <c r="K179" s="76" t="s">
        <v>1122</v>
      </c>
      <c r="L179" s="77" t="s">
        <v>1114</v>
      </c>
    </row>
    <row r="180" customFormat="false" ht="15" hidden="false" customHeight="false" outlineLevel="0" collapsed="false">
      <c r="A180" s="76" t="s">
        <v>1257</v>
      </c>
      <c r="B180" s="76" t="s">
        <v>47</v>
      </c>
      <c r="C180" s="76" t="s">
        <v>1207</v>
      </c>
      <c r="D180" s="76" t="s">
        <v>1180</v>
      </c>
      <c r="E180" s="76" t="s">
        <v>1152</v>
      </c>
      <c r="F180" s="35" t="s">
        <v>1258</v>
      </c>
      <c r="G180" s="76" t="s">
        <v>419</v>
      </c>
      <c r="H180" s="76"/>
      <c r="I180" s="76" t="s">
        <v>1259</v>
      </c>
      <c r="J180" s="76"/>
      <c r="K180" s="76" t="s">
        <v>1259</v>
      </c>
      <c r="L180" s="77" t="s">
        <v>1114</v>
      </c>
    </row>
    <row r="181" customFormat="false" ht="15" hidden="false" customHeight="false" outlineLevel="0" collapsed="false">
      <c r="A181" s="76" t="s">
        <v>1257</v>
      </c>
      <c r="B181" s="76" t="s">
        <v>47</v>
      </c>
      <c r="C181" s="76" t="s">
        <v>1207</v>
      </c>
      <c r="D181" s="76" t="s">
        <v>1180</v>
      </c>
      <c r="E181" s="76" t="s">
        <v>1152</v>
      </c>
      <c r="F181" s="35" t="s">
        <v>1258</v>
      </c>
      <c r="G181" s="76" t="s">
        <v>481</v>
      </c>
      <c r="H181" s="78" t="n">
        <v>5274.73754417156</v>
      </c>
      <c r="I181" s="76" t="s">
        <v>1260</v>
      </c>
      <c r="J181" s="78" t="n">
        <v>5274.73754417156</v>
      </c>
      <c r="K181" s="76" t="s">
        <v>1260</v>
      </c>
      <c r="L181" s="77" t="s">
        <v>1114</v>
      </c>
    </row>
    <row r="182" customFormat="false" ht="15" hidden="false" customHeight="false" outlineLevel="0" collapsed="false">
      <c r="A182" s="76" t="s">
        <v>1257</v>
      </c>
      <c r="B182" s="76" t="s">
        <v>47</v>
      </c>
      <c r="C182" s="76" t="s">
        <v>1207</v>
      </c>
      <c r="D182" s="76" t="s">
        <v>1180</v>
      </c>
      <c r="E182" s="76" t="s">
        <v>1152</v>
      </c>
      <c r="F182" s="35" t="s">
        <v>1258</v>
      </c>
      <c r="G182" s="76" t="s">
        <v>482</v>
      </c>
      <c r="H182" s="78" t="n">
        <v>330.359465817701</v>
      </c>
      <c r="I182" s="76" t="s">
        <v>1261</v>
      </c>
      <c r="J182" s="78" t="n">
        <v>330.359465817701</v>
      </c>
      <c r="K182" s="76" t="s">
        <v>1261</v>
      </c>
      <c r="L182" s="77" t="s">
        <v>1114</v>
      </c>
    </row>
    <row r="183" customFormat="false" ht="15" hidden="false" customHeight="false" outlineLevel="0" collapsed="false">
      <c r="A183" s="76" t="s">
        <v>1257</v>
      </c>
      <c r="B183" s="76" t="s">
        <v>47</v>
      </c>
      <c r="C183" s="76" t="s">
        <v>1207</v>
      </c>
      <c r="D183" s="76" t="s">
        <v>1180</v>
      </c>
      <c r="E183" s="76" t="s">
        <v>1152</v>
      </c>
      <c r="F183" s="35" t="s">
        <v>1258</v>
      </c>
      <c r="G183" s="76" t="s">
        <v>484</v>
      </c>
      <c r="H183" s="76"/>
      <c r="I183" s="76"/>
      <c r="J183" s="76"/>
      <c r="K183" s="76"/>
      <c r="L183" s="77" t="s">
        <v>1114</v>
      </c>
    </row>
    <row r="184" customFormat="false" ht="15" hidden="false" customHeight="false" outlineLevel="0" collapsed="false">
      <c r="A184" s="76" t="s">
        <v>1257</v>
      </c>
      <c r="B184" s="76" t="s">
        <v>47</v>
      </c>
      <c r="C184" s="76" t="s">
        <v>1207</v>
      </c>
      <c r="D184" s="76" t="s">
        <v>1180</v>
      </c>
      <c r="E184" s="76" t="s">
        <v>1152</v>
      </c>
      <c r="F184" s="35" t="s">
        <v>1258</v>
      </c>
      <c r="G184" s="76" t="s">
        <v>463</v>
      </c>
      <c r="H184" s="78" t="n">
        <v>4944.37807835386</v>
      </c>
      <c r="I184" s="76" t="s">
        <v>1262</v>
      </c>
      <c r="J184" s="78" t="n">
        <v>4944.37807835386</v>
      </c>
      <c r="K184" s="76" t="s">
        <v>1262</v>
      </c>
      <c r="L184" s="77" t="s">
        <v>1114</v>
      </c>
    </row>
    <row r="185" customFormat="false" ht="15" hidden="false" customHeight="false" outlineLevel="0" collapsed="false">
      <c r="A185" s="76" t="s">
        <v>1257</v>
      </c>
      <c r="B185" s="76" t="s">
        <v>47</v>
      </c>
      <c r="C185" s="76" t="s">
        <v>1207</v>
      </c>
      <c r="D185" s="76" t="s">
        <v>1180</v>
      </c>
      <c r="E185" s="76" t="s">
        <v>1152</v>
      </c>
      <c r="F185" s="35" t="s">
        <v>1258</v>
      </c>
      <c r="G185" s="76" t="s">
        <v>487</v>
      </c>
      <c r="H185" s="78" t="n">
        <v>3964.31358981241</v>
      </c>
      <c r="I185" s="76" t="s">
        <v>1263</v>
      </c>
      <c r="J185" s="78" t="n">
        <v>3964.31358981241</v>
      </c>
      <c r="K185" s="76" t="s">
        <v>1263</v>
      </c>
      <c r="L185" s="77" t="s">
        <v>1114</v>
      </c>
    </row>
    <row r="186" customFormat="false" ht="15" hidden="false" customHeight="false" outlineLevel="0" collapsed="false">
      <c r="A186" s="76" t="s">
        <v>1257</v>
      </c>
      <c r="B186" s="76" t="s">
        <v>47</v>
      </c>
      <c r="C186" s="76" t="s">
        <v>1207</v>
      </c>
      <c r="D186" s="76" t="s">
        <v>1180</v>
      </c>
      <c r="E186" s="76" t="s">
        <v>1152</v>
      </c>
      <c r="F186" s="35" t="s">
        <v>1258</v>
      </c>
      <c r="G186" s="76" t="s">
        <v>488</v>
      </c>
      <c r="H186" s="76"/>
      <c r="I186" s="76"/>
      <c r="J186" s="76"/>
      <c r="K186" s="76"/>
      <c r="L186" s="77" t="s">
        <v>1114</v>
      </c>
    </row>
    <row r="187" customFormat="false" ht="15" hidden="false" customHeight="false" outlineLevel="0" collapsed="false">
      <c r="A187" s="76" t="s">
        <v>1257</v>
      </c>
      <c r="B187" s="76" t="s">
        <v>47</v>
      </c>
      <c r="C187" s="76" t="s">
        <v>1207</v>
      </c>
      <c r="D187" s="76" t="s">
        <v>1180</v>
      </c>
      <c r="E187" s="76" t="s">
        <v>1152</v>
      </c>
      <c r="F187" s="35" t="s">
        <v>1258</v>
      </c>
      <c r="G187" s="76" t="s">
        <v>477</v>
      </c>
      <c r="H187" s="76"/>
      <c r="I187" s="76"/>
      <c r="J187" s="76"/>
      <c r="K187" s="76"/>
      <c r="L187" s="77" t="s">
        <v>1114</v>
      </c>
    </row>
    <row r="188" customFormat="false" ht="15" hidden="false" customHeight="false" outlineLevel="0" collapsed="false">
      <c r="A188" s="76" t="s">
        <v>1257</v>
      </c>
      <c r="B188" s="76" t="s">
        <v>47</v>
      </c>
      <c r="C188" s="76" t="s">
        <v>1207</v>
      </c>
      <c r="D188" s="76" t="s">
        <v>1180</v>
      </c>
      <c r="E188" s="76" t="s">
        <v>1152</v>
      </c>
      <c r="F188" s="35" t="s">
        <v>1258</v>
      </c>
      <c r="G188" s="76" t="s">
        <v>490</v>
      </c>
      <c r="H188" s="76"/>
      <c r="I188" s="76"/>
      <c r="J188" s="76"/>
      <c r="K188" s="76"/>
      <c r="L188" s="77" t="s">
        <v>1114</v>
      </c>
    </row>
    <row r="189" customFormat="false" ht="15" hidden="false" customHeight="false" outlineLevel="0" collapsed="false">
      <c r="A189" s="76" t="s">
        <v>1257</v>
      </c>
      <c r="B189" s="76" t="s">
        <v>47</v>
      </c>
      <c r="C189" s="76" t="s">
        <v>1207</v>
      </c>
      <c r="D189" s="76" t="s">
        <v>1180</v>
      </c>
      <c r="E189" s="76" t="s">
        <v>1152</v>
      </c>
      <c r="F189" s="35" t="s">
        <v>1258</v>
      </c>
      <c r="G189" s="76" t="s">
        <v>491</v>
      </c>
      <c r="H189" s="78" t="n">
        <v>743000</v>
      </c>
      <c r="I189" s="76" t="s">
        <v>1264</v>
      </c>
      <c r="J189" s="76" t="n">
        <v>743000</v>
      </c>
      <c r="K189" s="76" t="s">
        <v>1264</v>
      </c>
      <c r="L189" s="77" t="s">
        <v>1114</v>
      </c>
    </row>
    <row r="190" customFormat="false" ht="15" hidden="false" customHeight="false" outlineLevel="0" collapsed="false">
      <c r="A190" s="76" t="s">
        <v>1257</v>
      </c>
      <c r="B190" s="76" t="s">
        <v>47</v>
      </c>
      <c r="C190" s="76" t="s">
        <v>1207</v>
      </c>
      <c r="D190" s="76" t="s">
        <v>1180</v>
      </c>
      <c r="E190" s="76" t="s">
        <v>1152</v>
      </c>
      <c r="F190" s="35" t="s">
        <v>1258</v>
      </c>
      <c r="G190" s="76" t="s">
        <v>434</v>
      </c>
      <c r="H190" s="78" t="n">
        <v>3</v>
      </c>
      <c r="I190" s="76" t="s">
        <v>1122</v>
      </c>
      <c r="J190" s="76" t="n">
        <v>3</v>
      </c>
      <c r="K190" s="76" t="s">
        <v>1122</v>
      </c>
      <c r="L190" s="77" t="s">
        <v>1114</v>
      </c>
    </row>
    <row r="191" customFormat="false" ht="15" hidden="false" customHeight="false" outlineLevel="0" collapsed="false">
      <c r="A191" s="76" t="s">
        <v>1265</v>
      </c>
      <c r="B191" s="76" t="s">
        <v>47</v>
      </c>
      <c r="C191" s="76" t="s">
        <v>1207</v>
      </c>
      <c r="D191" s="76" t="s">
        <v>1189</v>
      </c>
      <c r="E191" s="76" t="s">
        <v>1125</v>
      </c>
      <c r="F191" s="35" t="s">
        <v>1266</v>
      </c>
      <c r="G191" s="76" t="s">
        <v>419</v>
      </c>
      <c r="H191" s="76"/>
      <c r="I191" s="76" t="s">
        <v>1267</v>
      </c>
      <c r="J191" s="76"/>
      <c r="K191" s="76" t="s">
        <v>1267</v>
      </c>
      <c r="L191" s="77" t="s">
        <v>1114</v>
      </c>
    </row>
    <row r="192" customFormat="false" ht="15" hidden="false" customHeight="false" outlineLevel="0" collapsed="false">
      <c r="A192" s="76" t="s">
        <v>1265</v>
      </c>
      <c r="B192" s="76" t="s">
        <v>47</v>
      </c>
      <c r="C192" s="76" t="s">
        <v>1207</v>
      </c>
      <c r="D192" s="76" t="s">
        <v>1189</v>
      </c>
      <c r="E192" s="76" t="s">
        <v>1125</v>
      </c>
      <c r="F192" s="35" t="s">
        <v>1266</v>
      </c>
      <c r="G192" s="76" t="s">
        <v>481</v>
      </c>
      <c r="H192" s="78" t="n">
        <v>3368.4218093339</v>
      </c>
      <c r="I192" s="76" t="s">
        <v>1268</v>
      </c>
      <c r="J192" s="78" t="n">
        <v>3368.4218093339</v>
      </c>
      <c r="K192" s="76" t="s">
        <v>1268</v>
      </c>
      <c r="L192" s="77" t="s">
        <v>1114</v>
      </c>
    </row>
    <row r="193" customFormat="false" ht="15" hidden="false" customHeight="false" outlineLevel="0" collapsed="false">
      <c r="A193" s="76" t="s">
        <v>1265</v>
      </c>
      <c r="B193" s="76" t="s">
        <v>47</v>
      </c>
      <c r="C193" s="76" t="s">
        <v>1207</v>
      </c>
      <c r="D193" s="76" t="s">
        <v>1189</v>
      </c>
      <c r="E193" s="76" t="s">
        <v>1125</v>
      </c>
      <c r="F193" s="35" t="s">
        <v>1266</v>
      </c>
      <c r="G193" s="76" t="s">
        <v>482</v>
      </c>
      <c r="H193" s="78" t="n">
        <v>138.476431266771</v>
      </c>
      <c r="I193" s="76" t="s">
        <v>1269</v>
      </c>
      <c r="J193" s="78" t="n">
        <v>138.476431266771</v>
      </c>
      <c r="K193" s="76" t="s">
        <v>1269</v>
      </c>
      <c r="L193" s="77" t="s">
        <v>1114</v>
      </c>
    </row>
    <row r="194" customFormat="false" ht="15" hidden="false" customHeight="false" outlineLevel="0" collapsed="false">
      <c r="A194" s="76" t="s">
        <v>1265</v>
      </c>
      <c r="B194" s="76" t="s">
        <v>47</v>
      </c>
      <c r="C194" s="76" t="s">
        <v>1207</v>
      </c>
      <c r="D194" s="76" t="s">
        <v>1189</v>
      </c>
      <c r="E194" s="76" t="s">
        <v>1125</v>
      </c>
      <c r="F194" s="35" t="s">
        <v>1266</v>
      </c>
      <c r="G194" s="76" t="s">
        <v>484</v>
      </c>
      <c r="H194" s="76"/>
      <c r="I194" s="76"/>
      <c r="J194" s="76"/>
      <c r="K194" s="76"/>
      <c r="L194" s="77" t="s">
        <v>1114</v>
      </c>
    </row>
    <row r="195" customFormat="false" ht="15" hidden="false" customHeight="false" outlineLevel="0" collapsed="false">
      <c r="A195" s="76" t="s">
        <v>1265</v>
      </c>
      <c r="B195" s="76" t="s">
        <v>47</v>
      </c>
      <c r="C195" s="76" t="s">
        <v>1207</v>
      </c>
      <c r="D195" s="76" t="s">
        <v>1189</v>
      </c>
      <c r="E195" s="76" t="s">
        <v>1125</v>
      </c>
      <c r="F195" s="35" t="s">
        <v>1266</v>
      </c>
      <c r="G195" s="76" t="s">
        <v>463</v>
      </c>
      <c r="H195" s="78" t="n">
        <v>3506.89824060067</v>
      </c>
      <c r="I195" s="76" t="s">
        <v>1270</v>
      </c>
      <c r="J195" s="78" t="n">
        <v>3506.89824060067</v>
      </c>
      <c r="K195" s="76" t="s">
        <v>1270</v>
      </c>
      <c r="L195" s="77" t="s">
        <v>1114</v>
      </c>
    </row>
    <row r="196" customFormat="false" ht="15" hidden="false" customHeight="false" outlineLevel="0" collapsed="false">
      <c r="A196" s="76" t="s">
        <v>1265</v>
      </c>
      <c r="B196" s="76" t="s">
        <v>47</v>
      </c>
      <c r="C196" s="76" t="s">
        <v>1207</v>
      </c>
      <c r="D196" s="76" t="s">
        <v>1189</v>
      </c>
      <c r="E196" s="76" t="s">
        <v>1125</v>
      </c>
      <c r="F196" s="35" t="s">
        <v>1266</v>
      </c>
      <c r="G196" s="76" t="s">
        <v>487</v>
      </c>
      <c r="H196" s="78" t="n">
        <v>-1661.71717520126</v>
      </c>
      <c r="I196" s="76" t="s">
        <v>1271</v>
      </c>
      <c r="J196" s="78" t="n">
        <v>-1661.71717520125</v>
      </c>
      <c r="K196" s="76" t="s">
        <v>1271</v>
      </c>
      <c r="L196" s="77" t="s">
        <v>1114</v>
      </c>
    </row>
    <row r="197" customFormat="false" ht="15" hidden="false" customHeight="false" outlineLevel="0" collapsed="false">
      <c r="A197" s="76" t="s">
        <v>1265</v>
      </c>
      <c r="B197" s="76" t="s">
        <v>47</v>
      </c>
      <c r="C197" s="76" t="s">
        <v>1207</v>
      </c>
      <c r="D197" s="76" t="s">
        <v>1189</v>
      </c>
      <c r="E197" s="76" t="s">
        <v>1125</v>
      </c>
      <c r="F197" s="35" t="s">
        <v>1266</v>
      </c>
      <c r="G197" s="76" t="s">
        <v>488</v>
      </c>
      <c r="H197" s="76"/>
      <c r="I197" s="76"/>
      <c r="J197" s="76"/>
      <c r="K197" s="76"/>
      <c r="L197" s="77" t="s">
        <v>1114</v>
      </c>
    </row>
    <row r="198" customFormat="false" ht="15" hidden="false" customHeight="false" outlineLevel="0" collapsed="false">
      <c r="A198" s="76" t="s">
        <v>1265</v>
      </c>
      <c r="B198" s="76" t="s">
        <v>47</v>
      </c>
      <c r="C198" s="76" t="s">
        <v>1207</v>
      </c>
      <c r="D198" s="76" t="s">
        <v>1189</v>
      </c>
      <c r="E198" s="76" t="s">
        <v>1125</v>
      </c>
      <c r="F198" s="35" t="s">
        <v>1266</v>
      </c>
      <c r="G198" s="76" t="s">
        <v>477</v>
      </c>
      <c r="H198" s="76"/>
      <c r="I198" s="76"/>
      <c r="J198" s="76"/>
      <c r="K198" s="76"/>
      <c r="L198" s="77" t="s">
        <v>1114</v>
      </c>
    </row>
    <row r="199" customFormat="false" ht="15" hidden="false" customHeight="false" outlineLevel="0" collapsed="false">
      <c r="A199" s="76" t="s">
        <v>1265</v>
      </c>
      <c r="B199" s="76" t="s">
        <v>47</v>
      </c>
      <c r="C199" s="76" t="s">
        <v>1207</v>
      </c>
      <c r="D199" s="76" t="s">
        <v>1189</v>
      </c>
      <c r="E199" s="76" t="s">
        <v>1125</v>
      </c>
      <c r="F199" s="35" t="s">
        <v>1266</v>
      </c>
      <c r="G199" s="76" t="s">
        <v>490</v>
      </c>
      <c r="H199" s="76"/>
      <c r="I199" s="76"/>
      <c r="J199" s="76"/>
      <c r="K199" s="76"/>
      <c r="L199" s="77" t="s">
        <v>1114</v>
      </c>
    </row>
    <row r="200" customFormat="false" ht="15" hidden="false" customHeight="false" outlineLevel="0" collapsed="false">
      <c r="A200" s="76" t="s">
        <v>1265</v>
      </c>
      <c r="B200" s="76" t="s">
        <v>47</v>
      </c>
      <c r="C200" s="76" t="s">
        <v>1207</v>
      </c>
      <c r="D200" s="76" t="s">
        <v>1189</v>
      </c>
      <c r="E200" s="76" t="s">
        <v>1125</v>
      </c>
      <c r="F200" s="35" t="s">
        <v>1266</v>
      </c>
      <c r="G200" s="76" t="s">
        <v>491</v>
      </c>
      <c r="H200" s="78" t="n">
        <v>225000</v>
      </c>
      <c r="I200" s="76" t="s">
        <v>1139</v>
      </c>
      <c r="J200" s="76" t="n">
        <v>225000</v>
      </c>
      <c r="K200" s="76" t="s">
        <v>1139</v>
      </c>
      <c r="L200" s="77" t="s">
        <v>1114</v>
      </c>
    </row>
    <row r="201" customFormat="false" ht="15" hidden="false" customHeight="false" outlineLevel="0" collapsed="false">
      <c r="A201" s="76" t="s">
        <v>1265</v>
      </c>
      <c r="B201" s="76" t="s">
        <v>47</v>
      </c>
      <c r="C201" s="76" t="s">
        <v>1207</v>
      </c>
      <c r="D201" s="76" t="s">
        <v>1189</v>
      </c>
      <c r="E201" s="76" t="s">
        <v>1125</v>
      </c>
      <c r="F201" s="35" t="s">
        <v>1266</v>
      </c>
      <c r="G201" s="76" t="s">
        <v>434</v>
      </c>
      <c r="H201" s="78" t="n">
        <v>3</v>
      </c>
      <c r="I201" s="76" t="s">
        <v>1122</v>
      </c>
      <c r="J201" s="76" t="n">
        <v>3</v>
      </c>
      <c r="K201" s="76" t="s">
        <v>1122</v>
      </c>
      <c r="L201" s="77" t="s">
        <v>1114</v>
      </c>
    </row>
    <row r="202" customFormat="false" ht="15" hidden="false" customHeight="false" outlineLevel="0" collapsed="false">
      <c r="A202" s="76" t="s">
        <v>1272</v>
      </c>
      <c r="B202" s="76" t="s">
        <v>47</v>
      </c>
      <c r="C202" s="76" t="s">
        <v>1207</v>
      </c>
      <c r="D202" s="76" t="s">
        <v>1198</v>
      </c>
      <c r="E202" s="76" t="s">
        <v>1162</v>
      </c>
      <c r="F202" s="35" t="s">
        <v>1273</v>
      </c>
      <c r="G202" s="76" t="s">
        <v>419</v>
      </c>
      <c r="H202" s="76"/>
      <c r="I202" s="76" t="s">
        <v>611</v>
      </c>
      <c r="J202" s="76"/>
      <c r="K202" s="76" t="s">
        <v>611</v>
      </c>
      <c r="L202" s="77" t="s">
        <v>1114</v>
      </c>
    </row>
    <row r="203" customFormat="false" ht="15" hidden="false" customHeight="false" outlineLevel="0" collapsed="false">
      <c r="A203" s="76" t="s">
        <v>1272</v>
      </c>
      <c r="B203" s="76" t="s">
        <v>47</v>
      </c>
      <c r="C203" s="76" t="s">
        <v>1207</v>
      </c>
      <c r="D203" s="76" t="s">
        <v>1198</v>
      </c>
      <c r="E203" s="76" t="s">
        <v>1162</v>
      </c>
      <c r="F203" s="35" t="s">
        <v>1273</v>
      </c>
      <c r="G203" s="76" t="s">
        <v>481</v>
      </c>
      <c r="H203" s="78" t="n">
        <v>3285.772560852</v>
      </c>
      <c r="I203" s="76" t="s">
        <v>1274</v>
      </c>
      <c r="J203" s="78" t="n">
        <v>3285.772560852</v>
      </c>
      <c r="K203" s="76" t="s">
        <v>1274</v>
      </c>
      <c r="L203" s="77" t="s">
        <v>1114</v>
      </c>
    </row>
    <row r="204" customFormat="false" ht="15" hidden="false" customHeight="false" outlineLevel="0" collapsed="false">
      <c r="A204" s="76" t="s">
        <v>1272</v>
      </c>
      <c r="B204" s="76" t="s">
        <v>47</v>
      </c>
      <c r="C204" s="76" t="s">
        <v>1207</v>
      </c>
      <c r="D204" s="76" t="s">
        <v>1198</v>
      </c>
      <c r="E204" s="76" t="s">
        <v>1162</v>
      </c>
      <c r="F204" s="35" t="s">
        <v>1273</v>
      </c>
      <c r="G204" s="76" t="s">
        <v>482</v>
      </c>
      <c r="H204" s="76"/>
      <c r="I204" s="76"/>
      <c r="J204" s="76"/>
      <c r="K204" s="76"/>
      <c r="L204" s="77" t="s">
        <v>1114</v>
      </c>
    </row>
    <row r="205" customFormat="false" ht="15" hidden="false" customHeight="false" outlineLevel="0" collapsed="false">
      <c r="A205" s="76" t="s">
        <v>1272</v>
      </c>
      <c r="B205" s="76" t="s">
        <v>47</v>
      </c>
      <c r="C205" s="76" t="s">
        <v>1207</v>
      </c>
      <c r="D205" s="76" t="s">
        <v>1198</v>
      </c>
      <c r="E205" s="76" t="s">
        <v>1162</v>
      </c>
      <c r="F205" s="35" t="s">
        <v>1273</v>
      </c>
      <c r="G205" s="76" t="s">
        <v>484</v>
      </c>
      <c r="H205" s="76"/>
      <c r="I205" s="76"/>
      <c r="J205" s="76"/>
      <c r="K205" s="76"/>
      <c r="L205" s="77" t="s">
        <v>1114</v>
      </c>
    </row>
    <row r="206" customFormat="false" ht="15" hidden="false" customHeight="false" outlineLevel="0" collapsed="false">
      <c r="A206" s="76" t="s">
        <v>1272</v>
      </c>
      <c r="B206" s="76" t="s">
        <v>47</v>
      </c>
      <c r="C206" s="76" t="s">
        <v>1207</v>
      </c>
      <c r="D206" s="76" t="s">
        <v>1198</v>
      </c>
      <c r="E206" s="76" t="s">
        <v>1162</v>
      </c>
      <c r="F206" s="35" t="s">
        <v>1273</v>
      </c>
      <c r="G206" s="76" t="s">
        <v>463</v>
      </c>
      <c r="H206" s="76"/>
      <c r="I206" s="76"/>
      <c r="J206" s="76"/>
      <c r="K206" s="76"/>
      <c r="L206" s="77" t="s">
        <v>1114</v>
      </c>
    </row>
    <row r="207" customFormat="false" ht="15" hidden="false" customHeight="false" outlineLevel="0" collapsed="false">
      <c r="A207" s="76" t="s">
        <v>1272</v>
      </c>
      <c r="B207" s="76" t="s">
        <v>47</v>
      </c>
      <c r="C207" s="76" t="s">
        <v>1207</v>
      </c>
      <c r="D207" s="76" t="s">
        <v>1198</v>
      </c>
      <c r="E207" s="76" t="s">
        <v>1162</v>
      </c>
      <c r="F207" s="35" t="s">
        <v>1273</v>
      </c>
      <c r="G207" s="76" t="s">
        <v>487</v>
      </c>
      <c r="H207" s="76"/>
      <c r="I207" s="76"/>
      <c r="J207" s="76"/>
      <c r="K207" s="76"/>
      <c r="L207" s="77" t="s">
        <v>1114</v>
      </c>
    </row>
    <row r="208" customFormat="false" ht="15" hidden="false" customHeight="false" outlineLevel="0" collapsed="false">
      <c r="A208" s="76" t="s">
        <v>1272</v>
      </c>
      <c r="B208" s="76" t="s">
        <v>47</v>
      </c>
      <c r="C208" s="76" t="s">
        <v>1207</v>
      </c>
      <c r="D208" s="76" t="s">
        <v>1198</v>
      </c>
      <c r="E208" s="76" t="s">
        <v>1162</v>
      </c>
      <c r="F208" s="35" t="s">
        <v>1273</v>
      </c>
      <c r="G208" s="76" t="s">
        <v>488</v>
      </c>
      <c r="H208" s="76" t="n">
        <v>180</v>
      </c>
      <c r="I208" s="76" t="s">
        <v>1275</v>
      </c>
      <c r="J208" s="76" t="n">
        <v>180</v>
      </c>
      <c r="K208" s="76" t="s">
        <v>1275</v>
      </c>
      <c r="L208" s="77" t="s">
        <v>1114</v>
      </c>
    </row>
    <row r="209" customFormat="false" ht="15" hidden="false" customHeight="false" outlineLevel="0" collapsed="false">
      <c r="A209" s="76" t="s">
        <v>1272</v>
      </c>
      <c r="B209" s="76" t="s">
        <v>47</v>
      </c>
      <c r="C209" s="76" t="s">
        <v>1207</v>
      </c>
      <c r="D209" s="76" t="s">
        <v>1198</v>
      </c>
      <c r="E209" s="76" t="s">
        <v>1162</v>
      </c>
      <c r="F209" s="35" t="s">
        <v>1273</v>
      </c>
      <c r="G209" s="76" t="s">
        <v>477</v>
      </c>
      <c r="H209" s="78" t="n">
        <v>125439.060953366</v>
      </c>
      <c r="I209" s="76" t="s">
        <v>1276</v>
      </c>
      <c r="J209" s="78" t="n">
        <v>125439.060953366</v>
      </c>
      <c r="K209" s="76" t="s">
        <v>1276</v>
      </c>
      <c r="L209" s="77" t="s">
        <v>1114</v>
      </c>
    </row>
    <row r="210" customFormat="false" ht="15" hidden="false" customHeight="false" outlineLevel="0" collapsed="false">
      <c r="A210" s="76" t="s">
        <v>1272</v>
      </c>
      <c r="B210" s="76" t="s">
        <v>47</v>
      </c>
      <c r="C210" s="76" t="s">
        <v>1207</v>
      </c>
      <c r="D210" s="76" t="s">
        <v>1198</v>
      </c>
      <c r="E210" s="76" t="s">
        <v>1162</v>
      </c>
      <c r="F210" s="35" t="s">
        <v>1273</v>
      </c>
      <c r="G210" s="76" t="s">
        <v>490</v>
      </c>
      <c r="H210" s="78" t="n">
        <v>591439.060953366</v>
      </c>
      <c r="I210" s="76" t="s">
        <v>1277</v>
      </c>
      <c r="J210" s="78" t="n">
        <v>591439.060953366</v>
      </c>
      <c r="K210" s="76" t="s">
        <v>1277</v>
      </c>
      <c r="L210" s="77" t="s">
        <v>1114</v>
      </c>
    </row>
    <row r="211" customFormat="false" ht="15" hidden="false" customHeight="false" outlineLevel="0" collapsed="false">
      <c r="A211" s="76" t="s">
        <v>1272</v>
      </c>
      <c r="B211" s="76" t="s">
        <v>47</v>
      </c>
      <c r="C211" s="76" t="s">
        <v>1207</v>
      </c>
      <c r="D211" s="76" t="s">
        <v>1198</v>
      </c>
      <c r="E211" s="76" t="s">
        <v>1162</v>
      </c>
      <c r="F211" s="35" t="s">
        <v>1273</v>
      </c>
      <c r="G211" s="76" t="s">
        <v>491</v>
      </c>
      <c r="H211" s="78" t="n">
        <v>466000</v>
      </c>
      <c r="I211" s="76" t="s">
        <v>1278</v>
      </c>
      <c r="J211" s="76" t="n">
        <v>466000</v>
      </c>
      <c r="K211" s="76" t="s">
        <v>1278</v>
      </c>
      <c r="L211" s="77" t="s">
        <v>1114</v>
      </c>
    </row>
    <row r="212" customFormat="false" ht="15" hidden="false" customHeight="false" outlineLevel="0" collapsed="false">
      <c r="A212" s="76" t="s">
        <v>1272</v>
      </c>
      <c r="B212" s="76" t="s">
        <v>47</v>
      </c>
      <c r="C212" s="76" t="s">
        <v>1207</v>
      </c>
      <c r="D212" s="76" t="s">
        <v>1198</v>
      </c>
      <c r="E212" s="76" t="s">
        <v>1162</v>
      </c>
      <c r="F212" s="35" t="s">
        <v>1273</v>
      </c>
      <c r="G212" s="76" t="s">
        <v>434</v>
      </c>
      <c r="H212" s="78" t="n">
        <v>3</v>
      </c>
      <c r="I212" s="76" t="s">
        <v>1122</v>
      </c>
      <c r="J212" s="76" t="n">
        <v>3</v>
      </c>
      <c r="K212" s="76" t="s">
        <v>1122</v>
      </c>
      <c r="L212" s="77" t="s">
        <v>1114</v>
      </c>
    </row>
    <row r="213" customFormat="false" ht="15" hidden="false" customHeight="false" outlineLevel="0" collapsed="false">
      <c r="A213" s="76" t="s">
        <v>1279</v>
      </c>
      <c r="B213" s="76" t="s">
        <v>47</v>
      </c>
      <c r="C213" s="76" t="s">
        <v>1207</v>
      </c>
      <c r="D213" s="76" t="s">
        <v>1280</v>
      </c>
      <c r="E213" s="76" t="s">
        <v>1112</v>
      </c>
      <c r="F213" s="35" t="s">
        <v>1281</v>
      </c>
      <c r="G213" s="76" t="s">
        <v>419</v>
      </c>
      <c r="H213" s="76"/>
      <c r="I213" s="76" t="s">
        <v>1282</v>
      </c>
      <c r="J213" s="76"/>
      <c r="K213" s="76" t="s">
        <v>1282</v>
      </c>
      <c r="L213" s="77" t="s">
        <v>1114</v>
      </c>
    </row>
    <row r="214" customFormat="false" ht="15" hidden="false" customHeight="false" outlineLevel="0" collapsed="false">
      <c r="A214" s="76" t="s">
        <v>1279</v>
      </c>
      <c r="B214" s="76" t="s">
        <v>47</v>
      </c>
      <c r="C214" s="76" t="s">
        <v>1207</v>
      </c>
      <c r="D214" s="76" t="s">
        <v>1280</v>
      </c>
      <c r="E214" s="76" t="s">
        <v>1112</v>
      </c>
      <c r="F214" s="35" t="s">
        <v>1281</v>
      </c>
      <c r="G214" s="76" t="s">
        <v>481</v>
      </c>
      <c r="H214" s="78" t="n">
        <v>1587.8100430813</v>
      </c>
      <c r="I214" s="76" t="s">
        <v>1283</v>
      </c>
      <c r="J214" s="78" t="n">
        <v>1587.8100430813</v>
      </c>
      <c r="K214" s="76" t="s">
        <v>1283</v>
      </c>
      <c r="L214" s="77" t="s">
        <v>1114</v>
      </c>
    </row>
    <row r="215" customFormat="false" ht="15" hidden="false" customHeight="false" outlineLevel="0" collapsed="false">
      <c r="A215" s="76" t="s">
        <v>1279</v>
      </c>
      <c r="B215" s="76" t="s">
        <v>47</v>
      </c>
      <c r="C215" s="76" t="s">
        <v>1207</v>
      </c>
      <c r="D215" s="76" t="s">
        <v>1280</v>
      </c>
      <c r="E215" s="76" t="s">
        <v>1112</v>
      </c>
      <c r="F215" s="35" t="s">
        <v>1281</v>
      </c>
      <c r="G215" s="76" t="s">
        <v>482</v>
      </c>
      <c r="H215" s="78" t="n">
        <v>87.810043081296</v>
      </c>
      <c r="I215" s="76" t="s">
        <v>1284</v>
      </c>
      <c r="J215" s="78" t="n">
        <v>87.810043081296</v>
      </c>
      <c r="K215" s="76" t="s">
        <v>1284</v>
      </c>
      <c r="L215" s="77" t="s">
        <v>1114</v>
      </c>
    </row>
    <row r="216" customFormat="false" ht="15" hidden="false" customHeight="false" outlineLevel="0" collapsed="false">
      <c r="A216" s="76" t="s">
        <v>1279</v>
      </c>
      <c r="B216" s="76" t="s">
        <v>47</v>
      </c>
      <c r="C216" s="76" t="s">
        <v>1207</v>
      </c>
      <c r="D216" s="76" t="s">
        <v>1280</v>
      </c>
      <c r="E216" s="76" t="s">
        <v>1112</v>
      </c>
      <c r="F216" s="35" t="s">
        <v>1281</v>
      </c>
      <c r="G216" s="76" t="s">
        <v>484</v>
      </c>
      <c r="H216" s="76"/>
      <c r="I216" s="76"/>
      <c r="J216" s="76"/>
      <c r="K216" s="76"/>
      <c r="L216" s="77" t="s">
        <v>1114</v>
      </c>
    </row>
    <row r="217" customFormat="false" ht="15" hidden="false" customHeight="false" outlineLevel="0" collapsed="false">
      <c r="A217" s="76" t="s">
        <v>1279</v>
      </c>
      <c r="B217" s="76" t="s">
        <v>47</v>
      </c>
      <c r="C217" s="76" t="s">
        <v>1207</v>
      </c>
      <c r="D217" s="76" t="s">
        <v>1280</v>
      </c>
      <c r="E217" s="76" t="s">
        <v>1112</v>
      </c>
      <c r="F217" s="35" t="s">
        <v>1281</v>
      </c>
      <c r="G217" s="76" t="s">
        <v>463</v>
      </c>
      <c r="H217" s="76" t="n">
        <v>1500</v>
      </c>
      <c r="I217" s="76" t="s">
        <v>1241</v>
      </c>
      <c r="J217" s="76" t="n">
        <v>1500</v>
      </c>
      <c r="K217" s="76" t="s">
        <v>1241</v>
      </c>
      <c r="L217" s="77" t="s">
        <v>1114</v>
      </c>
    </row>
    <row r="218" customFormat="false" ht="15" hidden="false" customHeight="false" outlineLevel="0" collapsed="false">
      <c r="A218" s="76" t="s">
        <v>1279</v>
      </c>
      <c r="B218" s="76" t="s">
        <v>47</v>
      </c>
      <c r="C218" s="76" t="s">
        <v>1207</v>
      </c>
      <c r="D218" s="76" t="s">
        <v>1280</v>
      </c>
      <c r="E218" s="76" t="s">
        <v>1112</v>
      </c>
      <c r="F218" s="35" t="s">
        <v>1281</v>
      </c>
      <c r="G218" s="76" t="s">
        <v>487</v>
      </c>
      <c r="H218" s="78" t="n">
        <v>1053.72051697555</v>
      </c>
      <c r="I218" s="76" t="s">
        <v>1285</v>
      </c>
      <c r="J218" s="78" t="n">
        <v>1053.72051697555</v>
      </c>
      <c r="K218" s="76" t="s">
        <v>1285</v>
      </c>
      <c r="L218" s="77" t="s">
        <v>1114</v>
      </c>
    </row>
    <row r="219" customFormat="false" ht="15" hidden="false" customHeight="false" outlineLevel="0" collapsed="false">
      <c r="A219" s="76" t="s">
        <v>1279</v>
      </c>
      <c r="B219" s="76" t="s">
        <v>47</v>
      </c>
      <c r="C219" s="76" t="s">
        <v>1207</v>
      </c>
      <c r="D219" s="76" t="s">
        <v>1280</v>
      </c>
      <c r="E219" s="76" t="s">
        <v>1112</v>
      </c>
      <c r="F219" s="35" t="s">
        <v>1281</v>
      </c>
      <c r="G219" s="76" t="s">
        <v>488</v>
      </c>
      <c r="H219" s="76"/>
      <c r="I219" s="76"/>
      <c r="J219" s="76"/>
      <c r="K219" s="76"/>
      <c r="L219" s="77" t="s">
        <v>1114</v>
      </c>
    </row>
    <row r="220" customFormat="false" ht="15" hidden="false" customHeight="false" outlineLevel="0" collapsed="false">
      <c r="A220" s="76" t="s">
        <v>1279</v>
      </c>
      <c r="B220" s="76" t="s">
        <v>47</v>
      </c>
      <c r="C220" s="76" t="s">
        <v>1207</v>
      </c>
      <c r="D220" s="76" t="s">
        <v>1280</v>
      </c>
      <c r="E220" s="76" t="s">
        <v>1112</v>
      </c>
      <c r="F220" s="35" t="s">
        <v>1281</v>
      </c>
      <c r="G220" s="76" t="s">
        <v>477</v>
      </c>
      <c r="H220" s="76"/>
      <c r="I220" s="76"/>
      <c r="J220" s="76"/>
      <c r="K220" s="76"/>
      <c r="L220" s="77" t="s">
        <v>1114</v>
      </c>
    </row>
    <row r="221" customFormat="false" ht="15" hidden="false" customHeight="false" outlineLevel="0" collapsed="false">
      <c r="A221" s="76" t="s">
        <v>1279</v>
      </c>
      <c r="B221" s="76" t="s">
        <v>47</v>
      </c>
      <c r="C221" s="76" t="s">
        <v>1207</v>
      </c>
      <c r="D221" s="76" t="s">
        <v>1280</v>
      </c>
      <c r="E221" s="76" t="s">
        <v>1112</v>
      </c>
      <c r="F221" s="35" t="s">
        <v>1281</v>
      </c>
      <c r="G221" s="76" t="s">
        <v>490</v>
      </c>
      <c r="H221" s="76"/>
      <c r="I221" s="76"/>
      <c r="J221" s="76"/>
      <c r="K221" s="76"/>
      <c r="L221" s="77" t="s">
        <v>1114</v>
      </c>
    </row>
    <row r="222" customFormat="false" ht="15" hidden="false" customHeight="false" outlineLevel="0" collapsed="false">
      <c r="A222" s="76" t="s">
        <v>1279</v>
      </c>
      <c r="B222" s="76" t="s">
        <v>47</v>
      </c>
      <c r="C222" s="76" t="s">
        <v>1207</v>
      </c>
      <c r="D222" s="76" t="s">
        <v>1280</v>
      </c>
      <c r="E222" s="76" t="s">
        <v>1112</v>
      </c>
      <c r="F222" s="35" t="s">
        <v>1281</v>
      </c>
      <c r="G222" s="76" t="s">
        <v>491</v>
      </c>
      <c r="H222" s="78" t="n">
        <v>300000</v>
      </c>
      <c r="I222" s="76" t="s">
        <v>1213</v>
      </c>
      <c r="J222" s="76" t="n">
        <v>300000</v>
      </c>
      <c r="K222" s="76" t="s">
        <v>1213</v>
      </c>
      <c r="L222" s="77" t="s">
        <v>1114</v>
      </c>
    </row>
    <row r="223" customFormat="false" ht="15" hidden="false" customHeight="false" outlineLevel="0" collapsed="false">
      <c r="A223" s="76" t="s">
        <v>1279</v>
      </c>
      <c r="B223" s="76" t="s">
        <v>47</v>
      </c>
      <c r="C223" s="76" t="s">
        <v>1207</v>
      </c>
      <c r="D223" s="76" t="s">
        <v>1280</v>
      </c>
      <c r="E223" s="76" t="s">
        <v>1112</v>
      </c>
      <c r="F223" s="35" t="s">
        <v>1281</v>
      </c>
      <c r="G223" s="76" t="s">
        <v>434</v>
      </c>
      <c r="H223" s="78" t="n">
        <v>3</v>
      </c>
      <c r="I223" s="76" t="s">
        <v>1122</v>
      </c>
      <c r="J223" s="76" t="n">
        <v>3</v>
      </c>
      <c r="K223" s="76" t="s">
        <v>1122</v>
      </c>
      <c r="L223" s="77" t="s">
        <v>1114</v>
      </c>
    </row>
    <row r="224" customFormat="false" ht="15" hidden="false" customHeight="false" outlineLevel="0" collapsed="false">
      <c r="A224" s="76" t="s">
        <v>1286</v>
      </c>
      <c r="B224" s="76" t="s">
        <v>52</v>
      </c>
      <c r="C224" s="76" t="s">
        <v>601</v>
      </c>
      <c r="D224" s="76" t="s">
        <v>1111</v>
      </c>
      <c r="E224" s="76" t="s">
        <v>1112</v>
      </c>
      <c r="F224" s="35" t="s">
        <v>1287</v>
      </c>
      <c r="G224" s="76" t="s">
        <v>419</v>
      </c>
      <c r="H224" s="76"/>
      <c r="I224" s="76" t="s">
        <v>1288</v>
      </c>
      <c r="J224" s="76"/>
      <c r="K224" s="76" t="s">
        <v>1288</v>
      </c>
      <c r="L224" s="77" t="s">
        <v>1114</v>
      </c>
    </row>
    <row r="225" customFormat="false" ht="15" hidden="false" customHeight="false" outlineLevel="0" collapsed="false">
      <c r="A225" s="76" t="s">
        <v>1286</v>
      </c>
      <c r="B225" s="76" t="s">
        <v>52</v>
      </c>
      <c r="C225" s="76" t="s">
        <v>601</v>
      </c>
      <c r="D225" s="76" t="s">
        <v>1111</v>
      </c>
      <c r="E225" s="76" t="s">
        <v>1112</v>
      </c>
      <c r="F225" s="35" t="s">
        <v>1287</v>
      </c>
      <c r="G225" s="76" t="s">
        <v>511</v>
      </c>
      <c r="H225" s="76" t="n">
        <v>29</v>
      </c>
      <c r="I225" s="76" t="s">
        <v>1289</v>
      </c>
      <c r="J225" s="76" t="n">
        <v>29</v>
      </c>
      <c r="K225" s="76" t="s">
        <v>1289</v>
      </c>
      <c r="L225" s="77" t="s">
        <v>1114</v>
      </c>
    </row>
    <row r="226" customFormat="false" ht="15" hidden="false" customHeight="false" outlineLevel="0" collapsed="false">
      <c r="A226" s="76" t="s">
        <v>1286</v>
      </c>
      <c r="B226" s="76" t="s">
        <v>52</v>
      </c>
      <c r="C226" s="76" t="s">
        <v>601</v>
      </c>
      <c r="D226" s="76" t="s">
        <v>1111</v>
      </c>
      <c r="E226" s="76" t="s">
        <v>1112</v>
      </c>
      <c r="F226" s="35" t="s">
        <v>1287</v>
      </c>
      <c r="G226" s="76" t="s">
        <v>513</v>
      </c>
      <c r="H226" s="76" t="n">
        <v>35000</v>
      </c>
      <c r="I226" s="76" t="s">
        <v>1157</v>
      </c>
      <c r="J226" s="76" t="n">
        <v>35000</v>
      </c>
      <c r="K226" s="76" t="s">
        <v>1157</v>
      </c>
      <c r="L226" s="77" t="s">
        <v>1114</v>
      </c>
    </row>
    <row r="227" customFormat="false" ht="15" hidden="false" customHeight="false" outlineLevel="0" collapsed="false">
      <c r="A227" s="76" t="s">
        <v>1286</v>
      </c>
      <c r="B227" s="76" t="s">
        <v>52</v>
      </c>
      <c r="C227" s="76" t="s">
        <v>601</v>
      </c>
      <c r="D227" s="76" t="s">
        <v>1111</v>
      </c>
      <c r="E227" s="76" t="s">
        <v>1112</v>
      </c>
      <c r="F227" s="35" t="s">
        <v>1287</v>
      </c>
      <c r="G227" s="76" t="s">
        <v>514</v>
      </c>
      <c r="H227" s="76" t="n">
        <v>800</v>
      </c>
      <c r="I227" s="76" t="s">
        <v>1247</v>
      </c>
      <c r="J227" s="76" t="n">
        <v>800</v>
      </c>
      <c r="K227" s="76" t="s">
        <v>1247</v>
      </c>
      <c r="L227" s="77" t="s">
        <v>1114</v>
      </c>
    </row>
    <row r="228" customFormat="false" ht="15" hidden="false" customHeight="false" outlineLevel="0" collapsed="false">
      <c r="A228" s="76" t="s">
        <v>1286</v>
      </c>
      <c r="B228" s="76" t="s">
        <v>52</v>
      </c>
      <c r="C228" s="76" t="s">
        <v>601</v>
      </c>
      <c r="D228" s="76" t="s">
        <v>1111</v>
      </c>
      <c r="E228" s="76" t="s">
        <v>1112</v>
      </c>
      <c r="F228" s="35" t="s">
        <v>1287</v>
      </c>
      <c r="G228" s="76" t="s">
        <v>497</v>
      </c>
      <c r="H228" s="76" t="n">
        <v>35000</v>
      </c>
      <c r="I228" s="76" t="s">
        <v>1157</v>
      </c>
      <c r="J228" s="76" t="n">
        <v>35000</v>
      </c>
      <c r="K228" s="76" t="s">
        <v>1157</v>
      </c>
      <c r="L228" s="77" t="s">
        <v>1114</v>
      </c>
    </row>
    <row r="229" customFormat="false" ht="15" hidden="false" customHeight="false" outlineLevel="0" collapsed="false">
      <c r="A229" s="76" t="s">
        <v>1286</v>
      </c>
      <c r="B229" s="76" t="s">
        <v>52</v>
      </c>
      <c r="C229" s="76" t="s">
        <v>601</v>
      </c>
      <c r="D229" s="76" t="s">
        <v>1111</v>
      </c>
      <c r="E229" s="76" t="s">
        <v>1112</v>
      </c>
      <c r="F229" s="35" t="s">
        <v>1287</v>
      </c>
      <c r="G229" s="76" t="s">
        <v>502</v>
      </c>
      <c r="H229" s="76" t="n">
        <v>23000</v>
      </c>
      <c r="I229" s="76" t="s">
        <v>1290</v>
      </c>
      <c r="J229" s="76" t="n">
        <v>23000</v>
      </c>
      <c r="K229" s="76" t="s">
        <v>1290</v>
      </c>
      <c r="L229" s="77" t="s">
        <v>1114</v>
      </c>
    </row>
    <row r="230" customFormat="false" ht="15" hidden="false" customHeight="false" outlineLevel="0" collapsed="false">
      <c r="A230" s="76" t="s">
        <v>1286</v>
      </c>
      <c r="B230" s="76" t="s">
        <v>52</v>
      </c>
      <c r="C230" s="76" t="s">
        <v>601</v>
      </c>
      <c r="D230" s="76" t="s">
        <v>1111</v>
      </c>
      <c r="E230" s="76" t="s">
        <v>1112</v>
      </c>
      <c r="F230" s="35" t="s">
        <v>1287</v>
      </c>
      <c r="G230" s="76" t="s">
        <v>515</v>
      </c>
      <c r="H230" s="78" t="n">
        <v>35000</v>
      </c>
      <c r="I230" s="76" t="s">
        <v>1159</v>
      </c>
      <c r="J230" s="76" t="n">
        <v>35000</v>
      </c>
      <c r="K230" s="76" t="s">
        <v>1159</v>
      </c>
      <c r="L230" s="77" t="s">
        <v>1114</v>
      </c>
    </row>
    <row r="231" customFormat="false" ht="15" hidden="false" customHeight="false" outlineLevel="0" collapsed="false">
      <c r="A231" s="76" t="s">
        <v>1286</v>
      </c>
      <c r="B231" s="76" t="s">
        <v>52</v>
      </c>
      <c r="C231" s="76" t="s">
        <v>601</v>
      </c>
      <c r="D231" s="76" t="s">
        <v>1111</v>
      </c>
      <c r="E231" s="76" t="s">
        <v>1112</v>
      </c>
      <c r="F231" s="35" t="s">
        <v>1287</v>
      </c>
      <c r="G231" s="76" t="s">
        <v>434</v>
      </c>
      <c r="H231" s="78" t="n">
        <v>3</v>
      </c>
      <c r="I231" s="76" t="s">
        <v>1122</v>
      </c>
      <c r="J231" s="76" t="n">
        <v>3</v>
      </c>
      <c r="K231" s="76" t="s">
        <v>1122</v>
      </c>
      <c r="L231" s="77" t="s">
        <v>1114</v>
      </c>
    </row>
    <row r="232" customFormat="false" ht="15" hidden="false" customHeight="false" outlineLevel="0" collapsed="false">
      <c r="A232" s="76" t="s">
        <v>1291</v>
      </c>
      <c r="B232" s="76" t="s">
        <v>52</v>
      </c>
      <c r="C232" s="76" t="s">
        <v>601</v>
      </c>
      <c r="D232" s="76" t="s">
        <v>1124</v>
      </c>
      <c r="E232" s="76" t="s">
        <v>1125</v>
      </c>
      <c r="F232" s="35" t="s">
        <v>1292</v>
      </c>
      <c r="G232" s="76" t="s">
        <v>419</v>
      </c>
      <c r="H232" s="76"/>
      <c r="I232" s="76" t="s">
        <v>1288</v>
      </c>
      <c r="J232" s="76"/>
      <c r="K232" s="76" t="s">
        <v>1288</v>
      </c>
      <c r="L232" s="77" t="s">
        <v>1114</v>
      </c>
    </row>
    <row r="233" customFormat="false" ht="15" hidden="false" customHeight="false" outlineLevel="0" collapsed="false">
      <c r="A233" s="76" t="s">
        <v>1291</v>
      </c>
      <c r="B233" s="76" t="s">
        <v>52</v>
      </c>
      <c r="C233" s="76" t="s">
        <v>601</v>
      </c>
      <c r="D233" s="76" t="s">
        <v>1124</v>
      </c>
      <c r="E233" s="76" t="s">
        <v>1125</v>
      </c>
      <c r="F233" s="35" t="s">
        <v>1292</v>
      </c>
      <c r="G233" s="76" t="s">
        <v>511</v>
      </c>
      <c r="H233" s="76"/>
      <c r="I233" s="76" t="s">
        <v>1293</v>
      </c>
      <c r="J233" s="76" t="n">
        <v>0</v>
      </c>
      <c r="K233" s="76" t="s">
        <v>1293</v>
      </c>
      <c r="L233" s="77" t="s">
        <v>1114</v>
      </c>
    </row>
    <row r="234" customFormat="false" ht="15" hidden="false" customHeight="false" outlineLevel="0" collapsed="false">
      <c r="A234" s="76" t="s">
        <v>1291</v>
      </c>
      <c r="B234" s="76" t="s">
        <v>52</v>
      </c>
      <c r="C234" s="76" t="s">
        <v>601</v>
      </c>
      <c r="D234" s="76" t="s">
        <v>1124</v>
      </c>
      <c r="E234" s="76" t="s">
        <v>1125</v>
      </c>
      <c r="F234" s="35" t="s">
        <v>1292</v>
      </c>
      <c r="G234" s="76" t="s">
        <v>513</v>
      </c>
      <c r="H234" s="76" t="n">
        <v>5000</v>
      </c>
      <c r="I234" s="76" t="s">
        <v>1294</v>
      </c>
      <c r="J234" s="76" t="n">
        <v>5000</v>
      </c>
      <c r="K234" s="76" t="s">
        <v>1294</v>
      </c>
      <c r="L234" s="77" t="s">
        <v>1114</v>
      </c>
    </row>
    <row r="235" customFormat="false" ht="15" hidden="false" customHeight="false" outlineLevel="0" collapsed="false">
      <c r="A235" s="76" t="s">
        <v>1291</v>
      </c>
      <c r="B235" s="76" t="s">
        <v>52</v>
      </c>
      <c r="C235" s="76" t="s">
        <v>601</v>
      </c>
      <c r="D235" s="76" t="s">
        <v>1124</v>
      </c>
      <c r="E235" s="76" t="s">
        <v>1125</v>
      </c>
      <c r="F235" s="35" t="s">
        <v>1292</v>
      </c>
      <c r="G235" s="76" t="s">
        <v>514</v>
      </c>
      <c r="H235" s="76" t="n">
        <v>50</v>
      </c>
      <c r="I235" s="76" t="s">
        <v>1295</v>
      </c>
      <c r="J235" s="76" t="n">
        <v>50</v>
      </c>
      <c r="K235" s="76" t="s">
        <v>1295</v>
      </c>
      <c r="L235" s="77" t="s">
        <v>1114</v>
      </c>
    </row>
    <row r="236" customFormat="false" ht="15" hidden="false" customHeight="false" outlineLevel="0" collapsed="false">
      <c r="A236" s="76" t="s">
        <v>1291</v>
      </c>
      <c r="B236" s="76" t="s">
        <v>52</v>
      </c>
      <c r="C236" s="76" t="s">
        <v>601</v>
      </c>
      <c r="D236" s="76" t="s">
        <v>1124</v>
      </c>
      <c r="E236" s="76" t="s">
        <v>1125</v>
      </c>
      <c r="F236" s="35" t="s">
        <v>1292</v>
      </c>
      <c r="G236" s="76" t="s">
        <v>497</v>
      </c>
      <c r="H236" s="76" t="n">
        <v>5000</v>
      </c>
      <c r="I236" s="76" t="s">
        <v>1294</v>
      </c>
      <c r="J236" s="76" t="n">
        <v>5000</v>
      </c>
      <c r="K236" s="76" t="s">
        <v>1294</v>
      </c>
      <c r="L236" s="77" t="s">
        <v>1114</v>
      </c>
    </row>
    <row r="237" customFormat="false" ht="15" hidden="false" customHeight="false" outlineLevel="0" collapsed="false">
      <c r="A237" s="76" t="s">
        <v>1291</v>
      </c>
      <c r="B237" s="76" t="s">
        <v>52</v>
      </c>
      <c r="C237" s="76" t="s">
        <v>601</v>
      </c>
      <c r="D237" s="76" t="s">
        <v>1124</v>
      </c>
      <c r="E237" s="76" t="s">
        <v>1125</v>
      </c>
      <c r="F237" s="35" t="s">
        <v>1292</v>
      </c>
      <c r="G237" s="76" t="s">
        <v>502</v>
      </c>
      <c r="H237" s="76" t="n">
        <v>0</v>
      </c>
      <c r="I237" s="76" t="s">
        <v>1127</v>
      </c>
      <c r="J237" s="76" t="n">
        <v>0</v>
      </c>
      <c r="K237" s="76" t="s">
        <v>1127</v>
      </c>
      <c r="L237" s="77" t="s">
        <v>1114</v>
      </c>
    </row>
    <row r="238" customFormat="false" ht="15" hidden="false" customHeight="false" outlineLevel="0" collapsed="false">
      <c r="A238" s="76" t="s">
        <v>1291</v>
      </c>
      <c r="B238" s="76" t="s">
        <v>52</v>
      </c>
      <c r="C238" s="76" t="s">
        <v>601</v>
      </c>
      <c r="D238" s="76" t="s">
        <v>1124</v>
      </c>
      <c r="E238" s="76" t="s">
        <v>1125</v>
      </c>
      <c r="F238" s="35" t="s">
        <v>1292</v>
      </c>
      <c r="G238" s="76" t="s">
        <v>515</v>
      </c>
      <c r="H238" s="78" t="n">
        <v>5000</v>
      </c>
      <c r="I238" s="76" t="s">
        <v>1296</v>
      </c>
      <c r="J238" s="76" t="n">
        <v>5000</v>
      </c>
      <c r="K238" s="76" t="s">
        <v>1296</v>
      </c>
      <c r="L238" s="77" t="s">
        <v>1114</v>
      </c>
    </row>
    <row r="239" customFormat="false" ht="15" hidden="false" customHeight="false" outlineLevel="0" collapsed="false">
      <c r="A239" s="76" t="s">
        <v>1291</v>
      </c>
      <c r="B239" s="76" t="s">
        <v>52</v>
      </c>
      <c r="C239" s="76" t="s">
        <v>601</v>
      </c>
      <c r="D239" s="76" t="s">
        <v>1124</v>
      </c>
      <c r="E239" s="76" t="s">
        <v>1125</v>
      </c>
      <c r="F239" s="35" t="s">
        <v>1292</v>
      </c>
      <c r="G239" s="76" t="s">
        <v>434</v>
      </c>
      <c r="H239" s="78" t="n">
        <v>1</v>
      </c>
      <c r="I239" s="76" t="s">
        <v>1297</v>
      </c>
      <c r="J239" s="76" t="n">
        <v>1</v>
      </c>
      <c r="K239" s="76" t="s">
        <v>1297</v>
      </c>
      <c r="L239" s="77" t="s">
        <v>1114</v>
      </c>
    </row>
    <row r="240" customFormat="false" ht="15" hidden="false" customHeight="false" outlineLevel="0" collapsed="false">
      <c r="A240" s="76" t="s">
        <v>1298</v>
      </c>
      <c r="B240" s="76" t="s">
        <v>52</v>
      </c>
      <c r="C240" s="76" t="s">
        <v>601</v>
      </c>
      <c r="D240" s="76" t="s">
        <v>1132</v>
      </c>
      <c r="E240" s="76" t="s">
        <v>1133</v>
      </c>
      <c r="F240" s="35" t="s">
        <v>1299</v>
      </c>
      <c r="G240" s="76" t="s">
        <v>419</v>
      </c>
      <c r="H240" s="76"/>
      <c r="I240" s="76" t="s">
        <v>1288</v>
      </c>
      <c r="J240" s="76"/>
      <c r="K240" s="76" t="s">
        <v>1288</v>
      </c>
      <c r="L240" s="77" t="s">
        <v>1114</v>
      </c>
    </row>
    <row r="241" customFormat="false" ht="15" hidden="false" customHeight="false" outlineLevel="0" collapsed="false">
      <c r="A241" s="76" t="s">
        <v>1298</v>
      </c>
      <c r="B241" s="76" t="s">
        <v>52</v>
      </c>
      <c r="C241" s="76" t="s">
        <v>601</v>
      </c>
      <c r="D241" s="76" t="s">
        <v>1132</v>
      </c>
      <c r="E241" s="76" t="s">
        <v>1133</v>
      </c>
      <c r="F241" s="35" t="s">
        <v>1299</v>
      </c>
      <c r="G241" s="76" t="s">
        <v>511</v>
      </c>
      <c r="H241" s="76" t="n">
        <v>6000</v>
      </c>
      <c r="I241" s="76" t="s">
        <v>1300</v>
      </c>
      <c r="J241" s="76" t="n">
        <v>6000</v>
      </c>
      <c r="K241" s="76" t="s">
        <v>1300</v>
      </c>
      <c r="L241" s="77" t="s">
        <v>1114</v>
      </c>
    </row>
    <row r="242" customFormat="false" ht="15" hidden="false" customHeight="false" outlineLevel="0" collapsed="false">
      <c r="A242" s="76" t="s">
        <v>1298</v>
      </c>
      <c r="B242" s="76" t="s">
        <v>52</v>
      </c>
      <c r="C242" s="76" t="s">
        <v>601</v>
      </c>
      <c r="D242" s="76" t="s">
        <v>1132</v>
      </c>
      <c r="E242" s="76" t="s">
        <v>1133</v>
      </c>
      <c r="F242" s="35" t="s">
        <v>1299</v>
      </c>
      <c r="G242" s="76" t="s">
        <v>513</v>
      </c>
      <c r="H242" s="76" t="n">
        <v>300000</v>
      </c>
      <c r="I242" s="76" t="s">
        <v>1301</v>
      </c>
      <c r="J242" s="76" t="n">
        <v>300000</v>
      </c>
      <c r="K242" s="76" t="s">
        <v>1301</v>
      </c>
      <c r="L242" s="77" t="s">
        <v>1114</v>
      </c>
    </row>
    <row r="243" customFormat="false" ht="15" hidden="false" customHeight="false" outlineLevel="0" collapsed="false">
      <c r="A243" s="76" t="s">
        <v>1298</v>
      </c>
      <c r="B243" s="76" t="s">
        <v>52</v>
      </c>
      <c r="C243" s="76" t="s">
        <v>601</v>
      </c>
      <c r="D243" s="76" t="s">
        <v>1132</v>
      </c>
      <c r="E243" s="76" t="s">
        <v>1133</v>
      </c>
      <c r="F243" s="35" t="s">
        <v>1299</v>
      </c>
      <c r="G243" s="76" t="s">
        <v>514</v>
      </c>
      <c r="H243" s="76" t="n">
        <v>50</v>
      </c>
      <c r="I243" s="76" t="s">
        <v>1295</v>
      </c>
      <c r="J243" s="76" t="n">
        <v>50</v>
      </c>
      <c r="K243" s="76" t="s">
        <v>1295</v>
      </c>
      <c r="L243" s="77" t="s">
        <v>1114</v>
      </c>
    </row>
    <row r="244" customFormat="false" ht="15" hidden="false" customHeight="false" outlineLevel="0" collapsed="false">
      <c r="A244" s="76" t="s">
        <v>1298</v>
      </c>
      <c r="B244" s="76" t="s">
        <v>52</v>
      </c>
      <c r="C244" s="76" t="s">
        <v>601</v>
      </c>
      <c r="D244" s="76" t="s">
        <v>1132</v>
      </c>
      <c r="E244" s="76" t="s">
        <v>1133</v>
      </c>
      <c r="F244" s="35" t="s">
        <v>1299</v>
      </c>
      <c r="G244" s="76" t="s">
        <v>497</v>
      </c>
      <c r="H244" s="76" t="n">
        <v>300000</v>
      </c>
      <c r="I244" s="76" t="s">
        <v>1301</v>
      </c>
      <c r="J244" s="76" t="n">
        <v>300000</v>
      </c>
      <c r="K244" s="76" t="s">
        <v>1301</v>
      </c>
      <c r="L244" s="77" t="s">
        <v>1114</v>
      </c>
    </row>
    <row r="245" customFormat="false" ht="15" hidden="false" customHeight="false" outlineLevel="0" collapsed="false">
      <c r="A245" s="76" t="s">
        <v>1298</v>
      </c>
      <c r="B245" s="76" t="s">
        <v>52</v>
      </c>
      <c r="C245" s="76" t="s">
        <v>601</v>
      </c>
      <c r="D245" s="76" t="s">
        <v>1132</v>
      </c>
      <c r="E245" s="76" t="s">
        <v>1133</v>
      </c>
      <c r="F245" s="35" t="s">
        <v>1299</v>
      </c>
      <c r="G245" s="76" t="s">
        <v>502</v>
      </c>
      <c r="H245" s="76" t="n">
        <v>300000</v>
      </c>
      <c r="I245" s="76" t="s">
        <v>1301</v>
      </c>
      <c r="J245" s="76" t="n">
        <v>300000</v>
      </c>
      <c r="K245" s="76" t="s">
        <v>1301</v>
      </c>
      <c r="L245" s="77" t="s">
        <v>1114</v>
      </c>
    </row>
    <row r="246" customFormat="false" ht="15" hidden="false" customHeight="false" outlineLevel="0" collapsed="false">
      <c r="A246" s="76" t="s">
        <v>1298</v>
      </c>
      <c r="B246" s="76" t="s">
        <v>52</v>
      </c>
      <c r="C246" s="76" t="s">
        <v>601</v>
      </c>
      <c r="D246" s="76" t="s">
        <v>1132</v>
      </c>
      <c r="E246" s="76" t="s">
        <v>1133</v>
      </c>
      <c r="F246" s="35" t="s">
        <v>1299</v>
      </c>
      <c r="G246" s="76" t="s">
        <v>515</v>
      </c>
      <c r="H246" s="78" t="n">
        <v>300000</v>
      </c>
      <c r="I246" s="76" t="s">
        <v>1213</v>
      </c>
      <c r="J246" s="76" t="n">
        <v>300000</v>
      </c>
      <c r="K246" s="76" t="s">
        <v>1213</v>
      </c>
      <c r="L246" s="77" t="s">
        <v>1114</v>
      </c>
    </row>
    <row r="247" customFormat="false" ht="15" hidden="false" customHeight="false" outlineLevel="0" collapsed="false">
      <c r="A247" s="76" t="s">
        <v>1298</v>
      </c>
      <c r="B247" s="76" t="s">
        <v>52</v>
      </c>
      <c r="C247" s="76" t="s">
        <v>601</v>
      </c>
      <c r="D247" s="76" t="s">
        <v>1132</v>
      </c>
      <c r="E247" s="76" t="s">
        <v>1133</v>
      </c>
      <c r="F247" s="35" t="s">
        <v>1299</v>
      </c>
      <c r="G247" s="76" t="s">
        <v>434</v>
      </c>
      <c r="H247" s="78" t="n">
        <v>500</v>
      </c>
      <c r="I247" s="76" t="s">
        <v>1302</v>
      </c>
      <c r="J247" s="76" t="n">
        <v>500</v>
      </c>
      <c r="K247" s="76" t="s">
        <v>1302</v>
      </c>
      <c r="L247" s="77" t="s">
        <v>1114</v>
      </c>
    </row>
    <row r="248" customFormat="false" ht="15" hidden="false" customHeight="false" outlineLevel="0" collapsed="false">
      <c r="A248" s="76" t="s">
        <v>1303</v>
      </c>
      <c r="B248" s="76" t="s">
        <v>52</v>
      </c>
      <c r="C248" s="76" t="s">
        <v>601</v>
      </c>
      <c r="D248" s="76" t="s">
        <v>1141</v>
      </c>
      <c r="E248" s="76" t="s">
        <v>1142</v>
      </c>
      <c r="F248" s="35" t="s">
        <v>1304</v>
      </c>
      <c r="G248" s="76" t="s">
        <v>419</v>
      </c>
      <c r="H248" s="76"/>
      <c r="I248" s="76" t="s">
        <v>1288</v>
      </c>
      <c r="J248" s="76"/>
      <c r="K248" s="76" t="s">
        <v>1288</v>
      </c>
      <c r="L248" s="77" t="s">
        <v>1114</v>
      </c>
    </row>
    <row r="249" customFormat="false" ht="15" hidden="false" customHeight="false" outlineLevel="0" collapsed="false">
      <c r="A249" s="76" t="s">
        <v>1303</v>
      </c>
      <c r="B249" s="76" t="s">
        <v>52</v>
      </c>
      <c r="C249" s="76" t="s">
        <v>601</v>
      </c>
      <c r="D249" s="76" t="s">
        <v>1141</v>
      </c>
      <c r="E249" s="76" t="s">
        <v>1142</v>
      </c>
      <c r="F249" s="35" t="s">
        <v>1304</v>
      </c>
      <c r="G249" s="76" t="s">
        <v>511</v>
      </c>
      <c r="H249" s="76" t="n">
        <v>6</v>
      </c>
      <c r="I249" s="76" t="s">
        <v>1305</v>
      </c>
      <c r="J249" s="76" t="n">
        <v>6</v>
      </c>
      <c r="K249" s="76" t="s">
        <v>1305</v>
      </c>
      <c r="L249" s="77" t="s">
        <v>1114</v>
      </c>
    </row>
    <row r="250" customFormat="false" ht="15" hidden="false" customHeight="false" outlineLevel="0" collapsed="false">
      <c r="A250" s="76" t="s">
        <v>1303</v>
      </c>
      <c r="B250" s="76" t="s">
        <v>52</v>
      </c>
      <c r="C250" s="76" t="s">
        <v>601</v>
      </c>
      <c r="D250" s="76" t="s">
        <v>1141</v>
      </c>
      <c r="E250" s="76" t="s">
        <v>1142</v>
      </c>
      <c r="F250" s="35" t="s">
        <v>1304</v>
      </c>
      <c r="G250" s="76" t="s">
        <v>513</v>
      </c>
      <c r="H250" s="76" t="n">
        <v>38400</v>
      </c>
      <c r="I250" s="76" t="s">
        <v>1306</v>
      </c>
      <c r="J250" s="76" t="n">
        <v>38400</v>
      </c>
      <c r="K250" s="76" t="s">
        <v>1306</v>
      </c>
      <c r="L250" s="77" t="s">
        <v>1114</v>
      </c>
    </row>
    <row r="251" customFormat="false" ht="15" hidden="false" customHeight="false" outlineLevel="0" collapsed="false">
      <c r="A251" s="76" t="s">
        <v>1303</v>
      </c>
      <c r="B251" s="76" t="s">
        <v>52</v>
      </c>
      <c r="C251" s="76" t="s">
        <v>601</v>
      </c>
      <c r="D251" s="76" t="s">
        <v>1141</v>
      </c>
      <c r="E251" s="76" t="s">
        <v>1142</v>
      </c>
      <c r="F251" s="35" t="s">
        <v>1304</v>
      </c>
      <c r="G251" s="76" t="s">
        <v>514</v>
      </c>
      <c r="H251" s="76" t="n">
        <v>4550</v>
      </c>
      <c r="I251" s="76" t="s">
        <v>1307</v>
      </c>
      <c r="J251" s="76" t="n">
        <v>4550</v>
      </c>
      <c r="K251" s="76" t="s">
        <v>1307</v>
      </c>
      <c r="L251" s="77" t="s">
        <v>1114</v>
      </c>
    </row>
    <row r="252" customFormat="false" ht="15" hidden="false" customHeight="false" outlineLevel="0" collapsed="false">
      <c r="A252" s="76" t="s">
        <v>1303</v>
      </c>
      <c r="B252" s="76" t="s">
        <v>52</v>
      </c>
      <c r="C252" s="76" t="s">
        <v>601</v>
      </c>
      <c r="D252" s="76" t="s">
        <v>1141</v>
      </c>
      <c r="E252" s="76" t="s">
        <v>1142</v>
      </c>
      <c r="F252" s="35" t="s">
        <v>1304</v>
      </c>
      <c r="G252" s="76" t="s">
        <v>497</v>
      </c>
      <c r="H252" s="76" t="n">
        <v>38400</v>
      </c>
      <c r="I252" s="76" t="s">
        <v>1306</v>
      </c>
      <c r="J252" s="76" t="n">
        <v>38400</v>
      </c>
      <c r="K252" s="76" t="s">
        <v>1306</v>
      </c>
      <c r="L252" s="77" t="s">
        <v>1114</v>
      </c>
    </row>
    <row r="253" customFormat="false" ht="15" hidden="false" customHeight="false" outlineLevel="0" collapsed="false">
      <c r="A253" s="76" t="s">
        <v>1303</v>
      </c>
      <c r="B253" s="76" t="s">
        <v>52</v>
      </c>
      <c r="C253" s="76" t="s">
        <v>601</v>
      </c>
      <c r="D253" s="76" t="s">
        <v>1141</v>
      </c>
      <c r="E253" s="76" t="s">
        <v>1142</v>
      </c>
      <c r="F253" s="35" t="s">
        <v>1304</v>
      </c>
      <c r="G253" s="76" t="s">
        <v>502</v>
      </c>
      <c r="H253" s="76" t="n">
        <v>23400</v>
      </c>
      <c r="I253" s="76" t="s">
        <v>1308</v>
      </c>
      <c r="J253" s="76" t="n">
        <v>23400</v>
      </c>
      <c r="K253" s="76" t="s">
        <v>1308</v>
      </c>
      <c r="L253" s="77" t="s">
        <v>1114</v>
      </c>
    </row>
    <row r="254" customFormat="false" ht="15" hidden="false" customHeight="false" outlineLevel="0" collapsed="false">
      <c r="A254" s="76" t="s">
        <v>1303</v>
      </c>
      <c r="B254" s="76" t="s">
        <v>52</v>
      </c>
      <c r="C254" s="76" t="s">
        <v>601</v>
      </c>
      <c r="D254" s="76" t="s">
        <v>1141</v>
      </c>
      <c r="E254" s="76" t="s">
        <v>1142</v>
      </c>
      <c r="F254" s="35" t="s">
        <v>1304</v>
      </c>
      <c r="G254" s="76" t="s">
        <v>515</v>
      </c>
      <c r="H254" s="78" t="n">
        <v>38400</v>
      </c>
      <c r="I254" s="76" t="s">
        <v>1309</v>
      </c>
      <c r="J254" s="76" t="n">
        <v>38400</v>
      </c>
      <c r="K254" s="76" t="s">
        <v>1309</v>
      </c>
      <c r="L254" s="77" t="s">
        <v>1114</v>
      </c>
    </row>
    <row r="255" customFormat="false" ht="15" hidden="false" customHeight="false" outlineLevel="0" collapsed="false">
      <c r="A255" s="76" t="s">
        <v>1303</v>
      </c>
      <c r="B255" s="76" t="s">
        <v>52</v>
      </c>
      <c r="C255" s="76" t="s">
        <v>601</v>
      </c>
      <c r="D255" s="76" t="s">
        <v>1141</v>
      </c>
      <c r="E255" s="76" t="s">
        <v>1142</v>
      </c>
      <c r="F255" s="35" t="s">
        <v>1304</v>
      </c>
      <c r="G255" s="76" t="s">
        <v>434</v>
      </c>
      <c r="H255" s="78" t="n">
        <v>1</v>
      </c>
      <c r="I255" s="76" t="s">
        <v>1297</v>
      </c>
      <c r="J255" s="76" t="n">
        <v>1</v>
      </c>
      <c r="K255" s="76" t="s">
        <v>1297</v>
      </c>
      <c r="L255" s="77" t="s">
        <v>1114</v>
      </c>
    </row>
    <row r="256" customFormat="false" ht="15" hidden="false" customHeight="false" outlineLevel="0" collapsed="false">
      <c r="A256" s="76" t="s">
        <v>1310</v>
      </c>
      <c r="B256" s="76" t="s">
        <v>52</v>
      </c>
      <c r="C256" s="76" t="s">
        <v>601</v>
      </c>
      <c r="D256" s="76" t="s">
        <v>1151</v>
      </c>
      <c r="E256" s="76" t="s">
        <v>1152</v>
      </c>
      <c r="F256" s="35" t="s">
        <v>1311</v>
      </c>
      <c r="G256" s="76" t="s">
        <v>419</v>
      </c>
      <c r="H256" s="76"/>
      <c r="I256" s="76" t="s">
        <v>1288</v>
      </c>
      <c r="J256" s="76"/>
      <c r="K256" s="76" t="s">
        <v>1288</v>
      </c>
      <c r="L256" s="77" t="s">
        <v>1114</v>
      </c>
    </row>
    <row r="257" customFormat="false" ht="15" hidden="false" customHeight="false" outlineLevel="0" collapsed="false">
      <c r="A257" s="76" t="s">
        <v>1310</v>
      </c>
      <c r="B257" s="76" t="s">
        <v>52</v>
      </c>
      <c r="C257" s="76" t="s">
        <v>601</v>
      </c>
      <c r="D257" s="76" t="s">
        <v>1151</v>
      </c>
      <c r="E257" s="76" t="s">
        <v>1152</v>
      </c>
      <c r="F257" s="35" t="s">
        <v>1311</v>
      </c>
      <c r="G257" s="76" t="s">
        <v>511</v>
      </c>
      <c r="H257" s="76" t="n">
        <v>10</v>
      </c>
      <c r="I257" s="76" t="s">
        <v>1312</v>
      </c>
      <c r="J257" s="76" t="n">
        <v>10</v>
      </c>
      <c r="K257" s="76" t="s">
        <v>1312</v>
      </c>
      <c r="L257" s="77" t="s">
        <v>1114</v>
      </c>
    </row>
    <row r="258" customFormat="false" ht="15" hidden="false" customHeight="false" outlineLevel="0" collapsed="false">
      <c r="A258" s="76" t="s">
        <v>1310</v>
      </c>
      <c r="B258" s="76" t="s">
        <v>52</v>
      </c>
      <c r="C258" s="76" t="s">
        <v>601</v>
      </c>
      <c r="D258" s="76" t="s">
        <v>1151</v>
      </c>
      <c r="E258" s="76" t="s">
        <v>1152</v>
      </c>
      <c r="F258" s="35" t="s">
        <v>1311</v>
      </c>
      <c r="G258" s="76" t="s">
        <v>513</v>
      </c>
      <c r="H258" s="76" t="n">
        <v>35000</v>
      </c>
      <c r="I258" s="76" t="s">
        <v>1157</v>
      </c>
      <c r="J258" s="76" t="n">
        <v>35000</v>
      </c>
      <c r="K258" s="76" t="s">
        <v>1157</v>
      </c>
      <c r="L258" s="77" t="s">
        <v>1114</v>
      </c>
    </row>
    <row r="259" customFormat="false" ht="15" hidden="false" customHeight="false" outlineLevel="0" collapsed="false">
      <c r="A259" s="76" t="s">
        <v>1310</v>
      </c>
      <c r="B259" s="76" t="s">
        <v>52</v>
      </c>
      <c r="C259" s="76" t="s">
        <v>601</v>
      </c>
      <c r="D259" s="76" t="s">
        <v>1151</v>
      </c>
      <c r="E259" s="76" t="s">
        <v>1152</v>
      </c>
      <c r="F259" s="35" t="s">
        <v>1311</v>
      </c>
      <c r="G259" s="76" t="s">
        <v>514</v>
      </c>
      <c r="H259" s="76" t="n">
        <v>2300</v>
      </c>
      <c r="I259" s="76" t="s">
        <v>1313</v>
      </c>
      <c r="J259" s="76" t="n">
        <v>2300</v>
      </c>
      <c r="K259" s="76" t="s">
        <v>1313</v>
      </c>
      <c r="L259" s="77" t="s">
        <v>1114</v>
      </c>
    </row>
    <row r="260" customFormat="false" ht="15" hidden="false" customHeight="false" outlineLevel="0" collapsed="false">
      <c r="A260" s="76" t="s">
        <v>1310</v>
      </c>
      <c r="B260" s="76" t="s">
        <v>52</v>
      </c>
      <c r="C260" s="76" t="s">
        <v>601</v>
      </c>
      <c r="D260" s="76" t="s">
        <v>1151</v>
      </c>
      <c r="E260" s="76" t="s">
        <v>1152</v>
      </c>
      <c r="F260" s="35" t="s">
        <v>1311</v>
      </c>
      <c r="G260" s="76" t="s">
        <v>497</v>
      </c>
      <c r="H260" s="76" t="n">
        <v>35000</v>
      </c>
      <c r="I260" s="76" t="s">
        <v>1157</v>
      </c>
      <c r="J260" s="76" t="n">
        <v>35000</v>
      </c>
      <c r="K260" s="76" t="s">
        <v>1157</v>
      </c>
      <c r="L260" s="77" t="s">
        <v>1114</v>
      </c>
    </row>
    <row r="261" customFormat="false" ht="15" hidden="false" customHeight="false" outlineLevel="0" collapsed="false">
      <c r="A261" s="76" t="s">
        <v>1310</v>
      </c>
      <c r="B261" s="76" t="s">
        <v>52</v>
      </c>
      <c r="C261" s="76" t="s">
        <v>601</v>
      </c>
      <c r="D261" s="76" t="s">
        <v>1151</v>
      </c>
      <c r="E261" s="76" t="s">
        <v>1152</v>
      </c>
      <c r="F261" s="35" t="s">
        <v>1311</v>
      </c>
      <c r="G261" s="76" t="s">
        <v>502</v>
      </c>
      <c r="H261" s="76" t="n">
        <v>23000</v>
      </c>
      <c r="I261" s="76" t="s">
        <v>1290</v>
      </c>
      <c r="J261" s="76" t="n">
        <v>23000</v>
      </c>
      <c r="K261" s="76" t="s">
        <v>1290</v>
      </c>
      <c r="L261" s="77" t="s">
        <v>1114</v>
      </c>
    </row>
    <row r="262" customFormat="false" ht="15" hidden="false" customHeight="false" outlineLevel="0" collapsed="false">
      <c r="A262" s="76" t="s">
        <v>1310</v>
      </c>
      <c r="B262" s="76" t="s">
        <v>52</v>
      </c>
      <c r="C262" s="76" t="s">
        <v>601</v>
      </c>
      <c r="D262" s="76" t="s">
        <v>1151</v>
      </c>
      <c r="E262" s="76" t="s">
        <v>1152</v>
      </c>
      <c r="F262" s="35" t="s">
        <v>1311</v>
      </c>
      <c r="G262" s="76" t="s">
        <v>515</v>
      </c>
      <c r="H262" s="78" t="n">
        <v>35000</v>
      </c>
      <c r="I262" s="76" t="s">
        <v>1159</v>
      </c>
      <c r="J262" s="76" t="n">
        <v>35000</v>
      </c>
      <c r="K262" s="76" t="s">
        <v>1159</v>
      </c>
      <c r="L262" s="77" t="s">
        <v>1114</v>
      </c>
    </row>
    <row r="263" customFormat="false" ht="15" hidden="false" customHeight="false" outlineLevel="0" collapsed="false">
      <c r="A263" s="76" t="s">
        <v>1310</v>
      </c>
      <c r="B263" s="76" t="s">
        <v>52</v>
      </c>
      <c r="C263" s="76" t="s">
        <v>601</v>
      </c>
      <c r="D263" s="76" t="s">
        <v>1151</v>
      </c>
      <c r="E263" s="76" t="s">
        <v>1152</v>
      </c>
      <c r="F263" s="35" t="s">
        <v>1311</v>
      </c>
      <c r="G263" s="76" t="s">
        <v>434</v>
      </c>
      <c r="H263" s="78" t="n">
        <v>1</v>
      </c>
      <c r="I263" s="76" t="s">
        <v>1297</v>
      </c>
      <c r="J263" s="76" t="n">
        <v>1</v>
      </c>
      <c r="K263" s="76" t="s">
        <v>1297</v>
      </c>
      <c r="L263" s="77" t="s">
        <v>1114</v>
      </c>
    </row>
    <row r="264" customFormat="false" ht="15" hidden="false" customHeight="false" outlineLevel="0" collapsed="false">
      <c r="A264" s="76" t="s">
        <v>1314</v>
      </c>
      <c r="B264" s="76" t="s">
        <v>52</v>
      </c>
      <c r="C264" s="76" t="s">
        <v>601</v>
      </c>
      <c r="D264" s="76" t="s">
        <v>1161</v>
      </c>
      <c r="E264" s="76" t="s">
        <v>1162</v>
      </c>
      <c r="F264" s="35" t="s">
        <v>1315</v>
      </c>
      <c r="G264" s="76" t="s">
        <v>419</v>
      </c>
      <c r="H264" s="76"/>
      <c r="I264" s="76" t="s">
        <v>1288</v>
      </c>
      <c r="J264" s="76"/>
      <c r="K264" s="76" t="s">
        <v>1288</v>
      </c>
      <c r="L264" s="77" t="s">
        <v>1114</v>
      </c>
    </row>
    <row r="265" customFormat="false" ht="15" hidden="false" customHeight="false" outlineLevel="0" collapsed="false">
      <c r="A265" s="76" t="s">
        <v>1314</v>
      </c>
      <c r="B265" s="76" t="s">
        <v>52</v>
      </c>
      <c r="C265" s="76" t="s">
        <v>601</v>
      </c>
      <c r="D265" s="76" t="s">
        <v>1161</v>
      </c>
      <c r="E265" s="76" t="s">
        <v>1162</v>
      </c>
      <c r="F265" s="35" t="s">
        <v>1315</v>
      </c>
      <c r="G265" s="76" t="s">
        <v>511</v>
      </c>
      <c r="H265" s="76" t="n">
        <v>30</v>
      </c>
      <c r="I265" s="76" t="s">
        <v>1316</v>
      </c>
      <c r="J265" s="76" t="n">
        <v>30</v>
      </c>
      <c r="K265" s="76" t="s">
        <v>1316</v>
      </c>
      <c r="L265" s="77" t="s">
        <v>1114</v>
      </c>
    </row>
    <row r="266" customFormat="false" ht="15" hidden="false" customHeight="false" outlineLevel="0" collapsed="false">
      <c r="A266" s="76" t="s">
        <v>1314</v>
      </c>
      <c r="B266" s="76" t="s">
        <v>52</v>
      </c>
      <c r="C266" s="76" t="s">
        <v>601</v>
      </c>
      <c r="D266" s="76" t="s">
        <v>1161</v>
      </c>
      <c r="E266" s="76" t="s">
        <v>1162</v>
      </c>
      <c r="F266" s="35" t="s">
        <v>1315</v>
      </c>
      <c r="G266" s="76" t="s">
        <v>513</v>
      </c>
      <c r="H266" s="76" t="n">
        <v>35000</v>
      </c>
      <c r="I266" s="76" t="s">
        <v>1157</v>
      </c>
      <c r="J266" s="76" t="n">
        <v>35000</v>
      </c>
      <c r="K266" s="76" t="s">
        <v>1157</v>
      </c>
      <c r="L266" s="77" t="s">
        <v>1114</v>
      </c>
    </row>
    <row r="267" customFormat="false" ht="15" hidden="false" customHeight="false" outlineLevel="0" collapsed="false">
      <c r="A267" s="76" t="s">
        <v>1314</v>
      </c>
      <c r="B267" s="76" t="s">
        <v>52</v>
      </c>
      <c r="C267" s="76" t="s">
        <v>601</v>
      </c>
      <c r="D267" s="76" t="s">
        <v>1161</v>
      </c>
      <c r="E267" s="76" t="s">
        <v>1162</v>
      </c>
      <c r="F267" s="35" t="s">
        <v>1315</v>
      </c>
      <c r="G267" s="76" t="s">
        <v>514</v>
      </c>
      <c r="H267" s="76" t="n">
        <v>800</v>
      </c>
      <c r="I267" s="76" t="s">
        <v>1247</v>
      </c>
      <c r="J267" s="76" t="n">
        <v>800</v>
      </c>
      <c r="K267" s="76" t="s">
        <v>1247</v>
      </c>
      <c r="L267" s="77" t="s">
        <v>1114</v>
      </c>
    </row>
    <row r="268" customFormat="false" ht="15" hidden="false" customHeight="false" outlineLevel="0" collapsed="false">
      <c r="A268" s="76" t="s">
        <v>1314</v>
      </c>
      <c r="B268" s="76" t="s">
        <v>52</v>
      </c>
      <c r="C268" s="76" t="s">
        <v>601</v>
      </c>
      <c r="D268" s="76" t="s">
        <v>1161</v>
      </c>
      <c r="E268" s="76" t="s">
        <v>1162</v>
      </c>
      <c r="F268" s="35" t="s">
        <v>1315</v>
      </c>
      <c r="G268" s="76" t="s">
        <v>497</v>
      </c>
      <c r="H268" s="76" t="n">
        <v>35000</v>
      </c>
      <c r="I268" s="76" t="s">
        <v>1157</v>
      </c>
      <c r="J268" s="76" t="n">
        <v>35000</v>
      </c>
      <c r="K268" s="76" t="s">
        <v>1157</v>
      </c>
      <c r="L268" s="77" t="s">
        <v>1114</v>
      </c>
    </row>
    <row r="269" customFormat="false" ht="15" hidden="false" customHeight="false" outlineLevel="0" collapsed="false">
      <c r="A269" s="76" t="s">
        <v>1314</v>
      </c>
      <c r="B269" s="76" t="s">
        <v>52</v>
      </c>
      <c r="C269" s="76" t="s">
        <v>601</v>
      </c>
      <c r="D269" s="76" t="s">
        <v>1161</v>
      </c>
      <c r="E269" s="76" t="s">
        <v>1162</v>
      </c>
      <c r="F269" s="35" t="s">
        <v>1315</v>
      </c>
      <c r="G269" s="76" t="s">
        <v>502</v>
      </c>
      <c r="H269" s="76" t="n">
        <v>24000</v>
      </c>
      <c r="I269" s="76" t="s">
        <v>1317</v>
      </c>
      <c r="J269" s="76" t="n">
        <v>24000</v>
      </c>
      <c r="K269" s="76" t="s">
        <v>1317</v>
      </c>
      <c r="L269" s="77" t="s">
        <v>1114</v>
      </c>
    </row>
    <row r="270" customFormat="false" ht="15" hidden="false" customHeight="false" outlineLevel="0" collapsed="false">
      <c r="A270" s="76" t="s">
        <v>1314</v>
      </c>
      <c r="B270" s="76" t="s">
        <v>52</v>
      </c>
      <c r="C270" s="76" t="s">
        <v>601</v>
      </c>
      <c r="D270" s="76" t="s">
        <v>1161</v>
      </c>
      <c r="E270" s="76" t="s">
        <v>1162</v>
      </c>
      <c r="F270" s="35" t="s">
        <v>1315</v>
      </c>
      <c r="G270" s="76" t="s">
        <v>515</v>
      </c>
      <c r="H270" s="78" t="n">
        <v>35000</v>
      </c>
      <c r="I270" s="76" t="s">
        <v>1159</v>
      </c>
      <c r="J270" s="76" t="n">
        <v>35000</v>
      </c>
      <c r="K270" s="76" t="s">
        <v>1159</v>
      </c>
      <c r="L270" s="77" t="s">
        <v>1114</v>
      </c>
    </row>
    <row r="271" customFormat="false" ht="15" hidden="false" customHeight="false" outlineLevel="0" collapsed="false">
      <c r="A271" s="76" t="s">
        <v>1314</v>
      </c>
      <c r="B271" s="76" t="s">
        <v>52</v>
      </c>
      <c r="C271" s="76" t="s">
        <v>601</v>
      </c>
      <c r="D271" s="76" t="s">
        <v>1161</v>
      </c>
      <c r="E271" s="76" t="s">
        <v>1162</v>
      </c>
      <c r="F271" s="35" t="s">
        <v>1315</v>
      </c>
      <c r="G271" s="76" t="s">
        <v>434</v>
      </c>
      <c r="H271" s="78" t="n">
        <v>3</v>
      </c>
      <c r="I271" s="76" t="s">
        <v>1122</v>
      </c>
      <c r="J271" s="76" t="n">
        <v>3</v>
      </c>
      <c r="K271" s="76" t="s">
        <v>1122</v>
      </c>
      <c r="L271" s="77" t="s">
        <v>1114</v>
      </c>
    </row>
    <row r="272" customFormat="false" ht="15" hidden="false" customHeight="false" outlineLevel="0" collapsed="false">
      <c r="A272" s="76" t="s">
        <v>1318</v>
      </c>
      <c r="B272" s="76" t="s">
        <v>52</v>
      </c>
      <c r="C272" s="76" t="s">
        <v>601</v>
      </c>
      <c r="D272" s="76" t="s">
        <v>1170</v>
      </c>
      <c r="E272" s="76" t="s">
        <v>1171</v>
      </c>
      <c r="F272" s="35" t="s">
        <v>1319</v>
      </c>
      <c r="G272" s="76" t="s">
        <v>419</v>
      </c>
      <c r="H272" s="76"/>
      <c r="I272" s="76" t="s">
        <v>1288</v>
      </c>
      <c r="J272" s="76"/>
      <c r="K272" s="76" t="s">
        <v>1288</v>
      </c>
      <c r="L272" s="77" t="s">
        <v>1114</v>
      </c>
    </row>
    <row r="273" customFormat="false" ht="15" hidden="false" customHeight="false" outlineLevel="0" collapsed="false">
      <c r="A273" s="76" t="s">
        <v>1318</v>
      </c>
      <c r="B273" s="76" t="s">
        <v>52</v>
      </c>
      <c r="C273" s="76" t="s">
        <v>601</v>
      </c>
      <c r="D273" s="76" t="s">
        <v>1170</v>
      </c>
      <c r="E273" s="76" t="s">
        <v>1171</v>
      </c>
      <c r="F273" s="35" t="s">
        <v>1319</v>
      </c>
      <c r="G273" s="76" t="s">
        <v>511</v>
      </c>
      <c r="H273" s="76"/>
      <c r="I273" s="76" t="s">
        <v>1293</v>
      </c>
      <c r="J273" s="76" t="n">
        <v>0</v>
      </c>
      <c r="K273" s="76" t="s">
        <v>1293</v>
      </c>
      <c r="L273" s="77" t="s">
        <v>1114</v>
      </c>
    </row>
    <row r="274" customFormat="false" ht="15" hidden="false" customHeight="false" outlineLevel="0" collapsed="false">
      <c r="A274" s="76" t="s">
        <v>1318</v>
      </c>
      <c r="B274" s="76" t="s">
        <v>52</v>
      </c>
      <c r="C274" s="76" t="s">
        <v>601</v>
      </c>
      <c r="D274" s="76" t="s">
        <v>1170</v>
      </c>
      <c r="E274" s="76" t="s">
        <v>1171</v>
      </c>
      <c r="F274" s="35" t="s">
        <v>1319</v>
      </c>
      <c r="G274" s="76" t="s">
        <v>513</v>
      </c>
      <c r="H274" s="76" t="n">
        <v>35000</v>
      </c>
      <c r="I274" s="76" t="s">
        <v>1157</v>
      </c>
      <c r="J274" s="76" t="n">
        <v>35000</v>
      </c>
      <c r="K274" s="76" t="s">
        <v>1157</v>
      </c>
      <c r="L274" s="77" t="s">
        <v>1114</v>
      </c>
    </row>
    <row r="275" customFormat="false" ht="15" hidden="false" customHeight="false" outlineLevel="0" collapsed="false">
      <c r="A275" s="76" t="s">
        <v>1318</v>
      </c>
      <c r="B275" s="76" t="s">
        <v>52</v>
      </c>
      <c r="C275" s="76" t="s">
        <v>601</v>
      </c>
      <c r="D275" s="76" t="s">
        <v>1170</v>
      </c>
      <c r="E275" s="76" t="s">
        <v>1171</v>
      </c>
      <c r="F275" s="35" t="s">
        <v>1319</v>
      </c>
      <c r="G275" s="76" t="s">
        <v>514</v>
      </c>
      <c r="H275" s="76" t="n">
        <v>800</v>
      </c>
      <c r="I275" s="76" t="s">
        <v>1247</v>
      </c>
      <c r="J275" s="76" t="n">
        <v>800</v>
      </c>
      <c r="K275" s="76" t="s">
        <v>1247</v>
      </c>
      <c r="L275" s="77" t="s">
        <v>1114</v>
      </c>
    </row>
    <row r="276" customFormat="false" ht="15" hidden="false" customHeight="false" outlineLevel="0" collapsed="false">
      <c r="A276" s="76" t="s">
        <v>1318</v>
      </c>
      <c r="B276" s="76" t="s">
        <v>52</v>
      </c>
      <c r="C276" s="76" t="s">
        <v>601</v>
      </c>
      <c r="D276" s="76" t="s">
        <v>1170</v>
      </c>
      <c r="E276" s="76" t="s">
        <v>1171</v>
      </c>
      <c r="F276" s="35" t="s">
        <v>1319</v>
      </c>
      <c r="G276" s="76" t="s">
        <v>497</v>
      </c>
      <c r="H276" s="76" t="n">
        <v>35000</v>
      </c>
      <c r="I276" s="76" t="s">
        <v>1157</v>
      </c>
      <c r="J276" s="76" t="n">
        <v>35000</v>
      </c>
      <c r="K276" s="76" t="s">
        <v>1157</v>
      </c>
      <c r="L276" s="77" t="s">
        <v>1114</v>
      </c>
    </row>
    <row r="277" customFormat="false" ht="15" hidden="false" customHeight="false" outlineLevel="0" collapsed="false">
      <c r="A277" s="76" t="s">
        <v>1318</v>
      </c>
      <c r="B277" s="76" t="s">
        <v>52</v>
      </c>
      <c r="C277" s="76" t="s">
        <v>601</v>
      </c>
      <c r="D277" s="76" t="s">
        <v>1170</v>
      </c>
      <c r="E277" s="76" t="s">
        <v>1171</v>
      </c>
      <c r="F277" s="35" t="s">
        <v>1319</v>
      </c>
      <c r="G277" s="76" t="s">
        <v>502</v>
      </c>
      <c r="H277" s="76" t="n">
        <v>0</v>
      </c>
      <c r="I277" s="76" t="s">
        <v>1127</v>
      </c>
      <c r="J277" s="76" t="n">
        <v>0</v>
      </c>
      <c r="K277" s="76" t="s">
        <v>1127</v>
      </c>
      <c r="L277" s="77" t="s">
        <v>1114</v>
      </c>
    </row>
    <row r="278" customFormat="false" ht="15" hidden="false" customHeight="false" outlineLevel="0" collapsed="false">
      <c r="A278" s="76" t="s">
        <v>1318</v>
      </c>
      <c r="B278" s="76" t="s">
        <v>52</v>
      </c>
      <c r="C278" s="76" t="s">
        <v>601</v>
      </c>
      <c r="D278" s="76" t="s">
        <v>1170</v>
      </c>
      <c r="E278" s="76" t="s">
        <v>1171</v>
      </c>
      <c r="F278" s="35" t="s">
        <v>1319</v>
      </c>
      <c r="G278" s="76" t="s">
        <v>515</v>
      </c>
      <c r="H278" s="78" t="n">
        <v>35000</v>
      </c>
      <c r="I278" s="76" t="s">
        <v>1159</v>
      </c>
      <c r="J278" s="76" t="n">
        <v>35000</v>
      </c>
      <c r="K278" s="76" t="s">
        <v>1159</v>
      </c>
      <c r="L278" s="77" t="s">
        <v>1114</v>
      </c>
    </row>
    <row r="279" customFormat="false" ht="15" hidden="false" customHeight="false" outlineLevel="0" collapsed="false">
      <c r="A279" s="76" t="s">
        <v>1318</v>
      </c>
      <c r="B279" s="76" t="s">
        <v>52</v>
      </c>
      <c r="C279" s="76" t="s">
        <v>601</v>
      </c>
      <c r="D279" s="76" t="s">
        <v>1170</v>
      </c>
      <c r="E279" s="76" t="s">
        <v>1171</v>
      </c>
      <c r="F279" s="35" t="s">
        <v>1319</v>
      </c>
      <c r="G279" s="76" t="s">
        <v>434</v>
      </c>
      <c r="H279" s="78" t="n">
        <v>1</v>
      </c>
      <c r="I279" s="76" t="s">
        <v>1297</v>
      </c>
      <c r="J279" s="76" t="n">
        <v>1</v>
      </c>
      <c r="K279" s="76" t="s">
        <v>1297</v>
      </c>
      <c r="L279" s="77" t="s">
        <v>1114</v>
      </c>
    </row>
    <row r="280" customFormat="false" ht="15" hidden="false" customHeight="false" outlineLevel="0" collapsed="false">
      <c r="A280" s="76" t="s">
        <v>1320</v>
      </c>
      <c r="B280" s="76" t="s">
        <v>52</v>
      </c>
      <c r="C280" s="76" t="s">
        <v>601</v>
      </c>
      <c r="D280" s="76" t="s">
        <v>1180</v>
      </c>
      <c r="E280" s="76" t="s">
        <v>1152</v>
      </c>
      <c r="F280" s="35" t="s">
        <v>1321</v>
      </c>
      <c r="G280" s="76" t="s">
        <v>419</v>
      </c>
      <c r="H280" s="76"/>
      <c r="I280" s="76" t="s">
        <v>1288</v>
      </c>
      <c r="J280" s="76"/>
      <c r="K280" s="76" t="s">
        <v>1288</v>
      </c>
      <c r="L280" s="77" t="s">
        <v>1114</v>
      </c>
    </row>
    <row r="281" customFormat="false" ht="15" hidden="false" customHeight="false" outlineLevel="0" collapsed="false">
      <c r="A281" s="76" t="s">
        <v>1320</v>
      </c>
      <c r="B281" s="76" t="s">
        <v>52</v>
      </c>
      <c r="C281" s="76" t="s">
        <v>601</v>
      </c>
      <c r="D281" s="76" t="s">
        <v>1180</v>
      </c>
      <c r="E281" s="76" t="s">
        <v>1152</v>
      </c>
      <c r="F281" s="35" t="s">
        <v>1321</v>
      </c>
      <c r="G281" s="76" t="s">
        <v>511</v>
      </c>
      <c r="H281" s="76" t="n">
        <v>66</v>
      </c>
      <c r="I281" s="76" t="s">
        <v>1322</v>
      </c>
      <c r="J281" s="76" t="n">
        <v>66</v>
      </c>
      <c r="K281" s="76" t="s">
        <v>1322</v>
      </c>
      <c r="L281" s="77" t="s">
        <v>1114</v>
      </c>
    </row>
    <row r="282" customFormat="false" ht="15" hidden="false" customHeight="false" outlineLevel="0" collapsed="false">
      <c r="A282" s="76" t="s">
        <v>1320</v>
      </c>
      <c r="B282" s="76" t="s">
        <v>52</v>
      </c>
      <c r="C282" s="76" t="s">
        <v>601</v>
      </c>
      <c r="D282" s="76" t="s">
        <v>1180</v>
      </c>
      <c r="E282" s="76" t="s">
        <v>1152</v>
      </c>
      <c r="F282" s="35" t="s">
        <v>1321</v>
      </c>
      <c r="G282" s="76" t="s">
        <v>513</v>
      </c>
      <c r="H282" s="76" t="n">
        <v>205800</v>
      </c>
      <c r="I282" s="76" t="s">
        <v>1323</v>
      </c>
      <c r="J282" s="76" t="n">
        <v>205800</v>
      </c>
      <c r="K282" s="76" t="s">
        <v>1323</v>
      </c>
      <c r="L282" s="77" t="s">
        <v>1114</v>
      </c>
    </row>
    <row r="283" customFormat="false" ht="15" hidden="false" customHeight="false" outlineLevel="0" collapsed="false">
      <c r="A283" s="76" t="s">
        <v>1320</v>
      </c>
      <c r="B283" s="76" t="s">
        <v>52</v>
      </c>
      <c r="C283" s="76" t="s">
        <v>601</v>
      </c>
      <c r="D283" s="76" t="s">
        <v>1180</v>
      </c>
      <c r="E283" s="76" t="s">
        <v>1152</v>
      </c>
      <c r="F283" s="35" t="s">
        <v>1321</v>
      </c>
      <c r="G283" s="76" t="s">
        <v>514</v>
      </c>
      <c r="H283" s="76" t="n">
        <v>2850</v>
      </c>
      <c r="I283" s="76" t="s">
        <v>1324</v>
      </c>
      <c r="J283" s="76" t="n">
        <v>2850</v>
      </c>
      <c r="K283" s="76" t="s">
        <v>1324</v>
      </c>
      <c r="L283" s="77" t="s">
        <v>1114</v>
      </c>
    </row>
    <row r="284" customFormat="false" ht="15" hidden="false" customHeight="false" outlineLevel="0" collapsed="false">
      <c r="A284" s="76" t="s">
        <v>1320</v>
      </c>
      <c r="B284" s="76" t="s">
        <v>52</v>
      </c>
      <c r="C284" s="76" t="s">
        <v>601</v>
      </c>
      <c r="D284" s="76" t="s">
        <v>1180</v>
      </c>
      <c r="E284" s="76" t="s">
        <v>1152</v>
      </c>
      <c r="F284" s="35" t="s">
        <v>1321</v>
      </c>
      <c r="G284" s="76" t="s">
        <v>497</v>
      </c>
      <c r="H284" s="76" t="n">
        <v>205800</v>
      </c>
      <c r="I284" s="76" t="s">
        <v>1323</v>
      </c>
      <c r="J284" s="76" t="n">
        <v>205800</v>
      </c>
      <c r="K284" s="76" t="s">
        <v>1323</v>
      </c>
      <c r="L284" s="77" t="s">
        <v>1114</v>
      </c>
    </row>
    <row r="285" customFormat="false" ht="15" hidden="false" customHeight="false" outlineLevel="0" collapsed="false">
      <c r="A285" s="76" t="s">
        <v>1320</v>
      </c>
      <c r="B285" s="76" t="s">
        <v>52</v>
      </c>
      <c r="C285" s="76" t="s">
        <v>601</v>
      </c>
      <c r="D285" s="76" t="s">
        <v>1180</v>
      </c>
      <c r="E285" s="76" t="s">
        <v>1152</v>
      </c>
      <c r="F285" s="35" t="s">
        <v>1321</v>
      </c>
      <c r="G285" s="76" t="s">
        <v>502</v>
      </c>
      <c r="H285" s="76" t="n">
        <v>187300</v>
      </c>
      <c r="I285" s="76" t="s">
        <v>1325</v>
      </c>
      <c r="J285" s="76" t="n">
        <v>187300</v>
      </c>
      <c r="K285" s="76" t="s">
        <v>1325</v>
      </c>
      <c r="L285" s="77" t="s">
        <v>1114</v>
      </c>
    </row>
    <row r="286" customFormat="false" ht="15" hidden="false" customHeight="false" outlineLevel="0" collapsed="false">
      <c r="A286" s="76" t="s">
        <v>1320</v>
      </c>
      <c r="B286" s="76" t="s">
        <v>52</v>
      </c>
      <c r="C286" s="76" t="s">
        <v>601</v>
      </c>
      <c r="D286" s="76" t="s">
        <v>1180</v>
      </c>
      <c r="E286" s="76" t="s">
        <v>1152</v>
      </c>
      <c r="F286" s="35" t="s">
        <v>1321</v>
      </c>
      <c r="G286" s="76" t="s">
        <v>515</v>
      </c>
      <c r="H286" s="78" t="n">
        <v>205800</v>
      </c>
      <c r="I286" s="76" t="s">
        <v>1326</v>
      </c>
      <c r="J286" s="76" t="n">
        <v>205800</v>
      </c>
      <c r="K286" s="76" t="s">
        <v>1326</v>
      </c>
      <c r="L286" s="77" t="s">
        <v>1114</v>
      </c>
    </row>
    <row r="287" customFormat="false" ht="15" hidden="false" customHeight="false" outlineLevel="0" collapsed="false">
      <c r="A287" s="76" t="s">
        <v>1320</v>
      </c>
      <c r="B287" s="76" t="s">
        <v>52</v>
      </c>
      <c r="C287" s="76" t="s">
        <v>601</v>
      </c>
      <c r="D287" s="76" t="s">
        <v>1180</v>
      </c>
      <c r="E287" s="76" t="s">
        <v>1152</v>
      </c>
      <c r="F287" s="35" t="s">
        <v>1321</v>
      </c>
      <c r="G287" s="76" t="s">
        <v>434</v>
      </c>
      <c r="H287" s="78" t="n">
        <v>6</v>
      </c>
      <c r="I287" s="76" t="s">
        <v>873</v>
      </c>
      <c r="J287" s="76" t="n">
        <v>6</v>
      </c>
      <c r="K287" s="76" t="s">
        <v>873</v>
      </c>
      <c r="L287" s="77" t="s">
        <v>1114</v>
      </c>
    </row>
    <row r="288" customFormat="false" ht="15" hidden="false" customHeight="false" outlineLevel="0" collapsed="false">
      <c r="A288" s="76" t="s">
        <v>1327</v>
      </c>
      <c r="B288" s="76" t="s">
        <v>52</v>
      </c>
      <c r="C288" s="76" t="s">
        <v>601</v>
      </c>
      <c r="D288" s="76" t="s">
        <v>1189</v>
      </c>
      <c r="E288" s="76" t="s">
        <v>1125</v>
      </c>
      <c r="F288" s="35" t="s">
        <v>1328</v>
      </c>
      <c r="G288" s="76" t="s">
        <v>419</v>
      </c>
      <c r="H288" s="76"/>
      <c r="I288" s="76" t="s">
        <v>1288</v>
      </c>
      <c r="J288" s="76"/>
      <c r="K288" s="76" t="s">
        <v>1288</v>
      </c>
      <c r="L288" s="77" t="s">
        <v>1114</v>
      </c>
    </row>
    <row r="289" customFormat="false" ht="15" hidden="false" customHeight="false" outlineLevel="0" collapsed="false">
      <c r="A289" s="76" t="s">
        <v>1327</v>
      </c>
      <c r="B289" s="76" t="s">
        <v>52</v>
      </c>
      <c r="C289" s="76" t="s">
        <v>601</v>
      </c>
      <c r="D289" s="76" t="s">
        <v>1189</v>
      </c>
      <c r="E289" s="76" t="s">
        <v>1125</v>
      </c>
      <c r="F289" s="35" t="s">
        <v>1328</v>
      </c>
      <c r="G289" s="76" t="s">
        <v>511</v>
      </c>
      <c r="H289" s="76"/>
      <c r="I289" s="76" t="s">
        <v>1293</v>
      </c>
      <c r="J289" s="76" t="n">
        <v>0</v>
      </c>
      <c r="K289" s="76" t="s">
        <v>1293</v>
      </c>
      <c r="L289" s="77" t="s">
        <v>1114</v>
      </c>
    </row>
    <row r="290" customFormat="false" ht="15" hidden="false" customHeight="false" outlineLevel="0" collapsed="false">
      <c r="A290" s="76" t="s">
        <v>1327</v>
      </c>
      <c r="B290" s="76" t="s">
        <v>52</v>
      </c>
      <c r="C290" s="76" t="s">
        <v>601</v>
      </c>
      <c r="D290" s="76" t="s">
        <v>1189</v>
      </c>
      <c r="E290" s="76" t="s">
        <v>1125</v>
      </c>
      <c r="F290" s="35" t="s">
        <v>1328</v>
      </c>
      <c r="G290" s="76" t="s">
        <v>513</v>
      </c>
      <c r="H290" s="76" t="n">
        <v>71500</v>
      </c>
      <c r="I290" s="76" t="s">
        <v>1329</v>
      </c>
      <c r="J290" s="76" t="n">
        <v>71500</v>
      </c>
      <c r="K290" s="76" t="s">
        <v>1329</v>
      </c>
      <c r="L290" s="77" t="s">
        <v>1114</v>
      </c>
    </row>
    <row r="291" customFormat="false" ht="15" hidden="false" customHeight="false" outlineLevel="0" collapsed="false">
      <c r="A291" s="76" t="s">
        <v>1327</v>
      </c>
      <c r="B291" s="76" t="s">
        <v>52</v>
      </c>
      <c r="C291" s="76" t="s">
        <v>601</v>
      </c>
      <c r="D291" s="76" t="s">
        <v>1189</v>
      </c>
      <c r="E291" s="76" t="s">
        <v>1125</v>
      </c>
      <c r="F291" s="35" t="s">
        <v>1328</v>
      </c>
      <c r="G291" s="76" t="s">
        <v>514</v>
      </c>
      <c r="H291" s="76" t="n">
        <v>1750</v>
      </c>
      <c r="I291" s="76" t="s">
        <v>1330</v>
      </c>
      <c r="J291" s="76" t="n">
        <v>1750</v>
      </c>
      <c r="K291" s="76" t="s">
        <v>1330</v>
      </c>
      <c r="L291" s="77" t="s">
        <v>1114</v>
      </c>
    </row>
    <row r="292" customFormat="false" ht="15" hidden="false" customHeight="false" outlineLevel="0" collapsed="false">
      <c r="A292" s="76" t="s">
        <v>1327</v>
      </c>
      <c r="B292" s="76" t="s">
        <v>52</v>
      </c>
      <c r="C292" s="76" t="s">
        <v>601</v>
      </c>
      <c r="D292" s="76" t="s">
        <v>1189</v>
      </c>
      <c r="E292" s="76" t="s">
        <v>1125</v>
      </c>
      <c r="F292" s="35" t="s">
        <v>1328</v>
      </c>
      <c r="G292" s="76" t="s">
        <v>497</v>
      </c>
      <c r="H292" s="76" t="n">
        <v>71500</v>
      </c>
      <c r="I292" s="76" t="s">
        <v>1329</v>
      </c>
      <c r="J292" s="76" t="n">
        <v>71500</v>
      </c>
      <c r="K292" s="76" t="s">
        <v>1329</v>
      </c>
      <c r="L292" s="77" t="s">
        <v>1114</v>
      </c>
    </row>
    <row r="293" customFormat="false" ht="15" hidden="false" customHeight="false" outlineLevel="0" collapsed="false">
      <c r="A293" s="76" t="s">
        <v>1327</v>
      </c>
      <c r="B293" s="76" t="s">
        <v>52</v>
      </c>
      <c r="C293" s="76" t="s">
        <v>601</v>
      </c>
      <c r="D293" s="76" t="s">
        <v>1189</v>
      </c>
      <c r="E293" s="76" t="s">
        <v>1125</v>
      </c>
      <c r="F293" s="35" t="s">
        <v>1328</v>
      </c>
      <c r="G293" s="76" t="s">
        <v>502</v>
      </c>
      <c r="H293" s="76" t="n">
        <v>0</v>
      </c>
      <c r="I293" s="76" t="s">
        <v>1127</v>
      </c>
      <c r="J293" s="76" t="n">
        <v>0</v>
      </c>
      <c r="K293" s="76" t="s">
        <v>1127</v>
      </c>
      <c r="L293" s="77" t="s">
        <v>1114</v>
      </c>
    </row>
    <row r="294" customFormat="false" ht="15" hidden="false" customHeight="false" outlineLevel="0" collapsed="false">
      <c r="A294" s="76" t="s">
        <v>1327</v>
      </c>
      <c r="B294" s="76" t="s">
        <v>52</v>
      </c>
      <c r="C294" s="76" t="s">
        <v>601</v>
      </c>
      <c r="D294" s="76" t="s">
        <v>1189</v>
      </c>
      <c r="E294" s="76" t="s">
        <v>1125</v>
      </c>
      <c r="F294" s="35" t="s">
        <v>1328</v>
      </c>
      <c r="G294" s="76" t="s">
        <v>515</v>
      </c>
      <c r="H294" s="78" t="n">
        <v>71500</v>
      </c>
      <c r="I294" s="76" t="s">
        <v>1331</v>
      </c>
      <c r="J294" s="76" t="n">
        <v>71500</v>
      </c>
      <c r="K294" s="76" t="s">
        <v>1331</v>
      </c>
      <c r="L294" s="77" t="s">
        <v>1114</v>
      </c>
    </row>
    <row r="295" customFormat="false" ht="15" hidden="false" customHeight="false" outlineLevel="0" collapsed="false">
      <c r="A295" s="76" t="s">
        <v>1327</v>
      </c>
      <c r="B295" s="76" t="s">
        <v>52</v>
      </c>
      <c r="C295" s="76" t="s">
        <v>601</v>
      </c>
      <c r="D295" s="76" t="s">
        <v>1189</v>
      </c>
      <c r="E295" s="76" t="s">
        <v>1125</v>
      </c>
      <c r="F295" s="35" t="s">
        <v>1328</v>
      </c>
      <c r="G295" s="76" t="s">
        <v>434</v>
      </c>
      <c r="H295" s="78" t="n">
        <v>1</v>
      </c>
      <c r="I295" s="76" t="s">
        <v>1297</v>
      </c>
      <c r="J295" s="76" t="n">
        <v>1</v>
      </c>
      <c r="K295" s="76" t="s">
        <v>1297</v>
      </c>
      <c r="L295" s="77" t="s">
        <v>1114</v>
      </c>
    </row>
    <row r="296" customFormat="false" ht="15" hidden="false" customHeight="false" outlineLevel="0" collapsed="false">
      <c r="A296" s="76" t="s">
        <v>1332</v>
      </c>
      <c r="B296" s="76" t="s">
        <v>52</v>
      </c>
      <c r="C296" s="76" t="s">
        <v>601</v>
      </c>
      <c r="D296" s="76" t="s">
        <v>1198</v>
      </c>
      <c r="E296" s="76" t="s">
        <v>1162</v>
      </c>
      <c r="F296" s="35" t="s">
        <v>1333</v>
      </c>
      <c r="G296" s="76" t="s">
        <v>419</v>
      </c>
      <c r="H296" s="76"/>
      <c r="I296" s="76" t="s">
        <v>1288</v>
      </c>
      <c r="J296" s="76"/>
      <c r="K296" s="76" t="s">
        <v>1288</v>
      </c>
      <c r="L296" s="77" t="s">
        <v>1114</v>
      </c>
    </row>
    <row r="297" customFormat="false" ht="15" hidden="false" customHeight="false" outlineLevel="0" collapsed="false">
      <c r="A297" s="76" t="s">
        <v>1332</v>
      </c>
      <c r="B297" s="76" t="s">
        <v>52</v>
      </c>
      <c r="C297" s="76" t="s">
        <v>601</v>
      </c>
      <c r="D297" s="76" t="s">
        <v>1198</v>
      </c>
      <c r="E297" s="76" t="s">
        <v>1162</v>
      </c>
      <c r="F297" s="35" t="s">
        <v>1333</v>
      </c>
      <c r="G297" s="76" t="s">
        <v>511</v>
      </c>
      <c r="H297" s="76"/>
      <c r="I297" s="76" t="s">
        <v>1293</v>
      </c>
      <c r="J297" s="76" t="n">
        <v>0</v>
      </c>
      <c r="K297" s="76" t="s">
        <v>1293</v>
      </c>
      <c r="L297" s="77" t="s">
        <v>1114</v>
      </c>
    </row>
    <row r="298" customFormat="false" ht="15" hidden="false" customHeight="false" outlineLevel="0" collapsed="false">
      <c r="A298" s="76" t="s">
        <v>1332</v>
      </c>
      <c r="B298" s="76" t="s">
        <v>52</v>
      </c>
      <c r="C298" s="76" t="s">
        <v>601</v>
      </c>
      <c r="D298" s="76" t="s">
        <v>1198</v>
      </c>
      <c r="E298" s="76" t="s">
        <v>1162</v>
      </c>
      <c r="F298" s="35" t="s">
        <v>1333</v>
      </c>
      <c r="G298" s="76" t="s">
        <v>513</v>
      </c>
      <c r="H298" s="76" t="n">
        <v>110500</v>
      </c>
      <c r="I298" s="76" t="s">
        <v>1334</v>
      </c>
      <c r="J298" s="76" t="n">
        <v>110500</v>
      </c>
      <c r="K298" s="76" t="s">
        <v>1334</v>
      </c>
      <c r="L298" s="77" t="s">
        <v>1114</v>
      </c>
    </row>
    <row r="299" customFormat="false" ht="15" hidden="false" customHeight="false" outlineLevel="0" collapsed="false">
      <c r="A299" s="76" t="s">
        <v>1332</v>
      </c>
      <c r="B299" s="76" t="s">
        <v>52</v>
      </c>
      <c r="C299" s="76" t="s">
        <v>601</v>
      </c>
      <c r="D299" s="76" t="s">
        <v>1198</v>
      </c>
      <c r="E299" s="76" t="s">
        <v>1162</v>
      </c>
      <c r="F299" s="35" t="s">
        <v>1333</v>
      </c>
      <c r="G299" s="76" t="s">
        <v>514</v>
      </c>
      <c r="H299" s="76" t="n">
        <v>3800</v>
      </c>
      <c r="I299" s="76" t="s">
        <v>1335</v>
      </c>
      <c r="J299" s="76" t="n">
        <v>3800</v>
      </c>
      <c r="K299" s="76" t="s">
        <v>1335</v>
      </c>
      <c r="L299" s="77" t="s">
        <v>1114</v>
      </c>
    </row>
    <row r="300" customFormat="false" ht="15" hidden="false" customHeight="false" outlineLevel="0" collapsed="false">
      <c r="A300" s="76" t="s">
        <v>1332</v>
      </c>
      <c r="B300" s="76" t="s">
        <v>52</v>
      </c>
      <c r="C300" s="76" t="s">
        <v>601</v>
      </c>
      <c r="D300" s="76" t="s">
        <v>1198</v>
      </c>
      <c r="E300" s="76" t="s">
        <v>1162</v>
      </c>
      <c r="F300" s="35" t="s">
        <v>1333</v>
      </c>
      <c r="G300" s="76" t="s">
        <v>497</v>
      </c>
      <c r="H300" s="76" t="n">
        <v>110500</v>
      </c>
      <c r="I300" s="76" t="s">
        <v>1334</v>
      </c>
      <c r="J300" s="76" t="n">
        <v>110500</v>
      </c>
      <c r="K300" s="76" t="s">
        <v>1334</v>
      </c>
      <c r="L300" s="77" t="s">
        <v>1114</v>
      </c>
    </row>
    <row r="301" customFormat="false" ht="15" hidden="false" customHeight="false" outlineLevel="0" collapsed="false">
      <c r="A301" s="76" t="s">
        <v>1332</v>
      </c>
      <c r="B301" s="76" t="s">
        <v>52</v>
      </c>
      <c r="C301" s="76" t="s">
        <v>601</v>
      </c>
      <c r="D301" s="76" t="s">
        <v>1198</v>
      </c>
      <c r="E301" s="76" t="s">
        <v>1162</v>
      </c>
      <c r="F301" s="35" t="s">
        <v>1333</v>
      </c>
      <c r="G301" s="76" t="s">
        <v>502</v>
      </c>
      <c r="H301" s="76" t="n">
        <v>0</v>
      </c>
      <c r="I301" s="76" t="s">
        <v>1127</v>
      </c>
      <c r="J301" s="76" t="n">
        <v>0</v>
      </c>
      <c r="K301" s="76" t="s">
        <v>1127</v>
      </c>
      <c r="L301" s="77" t="s">
        <v>1114</v>
      </c>
    </row>
    <row r="302" customFormat="false" ht="15" hidden="false" customHeight="false" outlineLevel="0" collapsed="false">
      <c r="A302" s="76" t="s">
        <v>1332</v>
      </c>
      <c r="B302" s="76" t="s">
        <v>52</v>
      </c>
      <c r="C302" s="76" t="s">
        <v>601</v>
      </c>
      <c r="D302" s="76" t="s">
        <v>1198</v>
      </c>
      <c r="E302" s="76" t="s">
        <v>1162</v>
      </c>
      <c r="F302" s="35" t="s">
        <v>1333</v>
      </c>
      <c r="G302" s="76" t="s">
        <v>515</v>
      </c>
      <c r="H302" s="78" t="n">
        <v>110500</v>
      </c>
      <c r="I302" s="76" t="s">
        <v>1336</v>
      </c>
      <c r="J302" s="76" t="n">
        <v>110500</v>
      </c>
      <c r="K302" s="76" t="s">
        <v>1336</v>
      </c>
      <c r="L302" s="77" t="s">
        <v>1114</v>
      </c>
    </row>
    <row r="303" customFormat="false" ht="15" hidden="false" customHeight="false" outlineLevel="0" collapsed="false">
      <c r="A303" s="76" t="s">
        <v>1332</v>
      </c>
      <c r="B303" s="76" t="s">
        <v>52</v>
      </c>
      <c r="C303" s="76" t="s">
        <v>601</v>
      </c>
      <c r="D303" s="76" t="s">
        <v>1198</v>
      </c>
      <c r="E303" s="76" t="s">
        <v>1162</v>
      </c>
      <c r="F303" s="35" t="s">
        <v>1333</v>
      </c>
      <c r="G303" s="76" t="s">
        <v>434</v>
      </c>
      <c r="H303" s="78" t="n">
        <v>1</v>
      </c>
      <c r="I303" s="76" t="s">
        <v>1297</v>
      </c>
      <c r="J303" s="76" t="n">
        <v>1</v>
      </c>
      <c r="K303" s="76" t="s">
        <v>1297</v>
      </c>
      <c r="L303" s="77" t="s">
        <v>1114</v>
      </c>
    </row>
    <row r="304" customFormat="false" ht="15" hidden="false" customHeight="false" outlineLevel="0" collapsed="false">
      <c r="A304" s="76" t="s">
        <v>1337</v>
      </c>
      <c r="B304" s="76" t="s">
        <v>52</v>
      </c>
      <c r="C304" s="76" t="s">
        <v>601</v>
      </c>
      <c r="D304" s="76" t="s">
        <v>1280</v>
      </c>
      <c r="E304" s="76" t="s">
        <v>1112</v>
      </c>
      <c r="F304" s="35" t="s">
        <v>1338</v>
      </c>
      <c r="G304" s="76" t="s">
        <v>419</v>
      </c>
      <c r="H304" s="76"/>
      <c r="I304" s="76" t="s">
        <v>1288</v>
      </c>
      <c r="J304" s="76"/>
      <c r="K304" s="76" t="s">
        <v>1288</v>
      </c>
      <c r="L304" s="77" t="s">
        <v>1114</v>
      </c>
    </row>
    <row r="305" customFormat="false" ht="15" hidden="false" customHeight="false" outlineLevel="0" collapsed="false">
      <c r="A305" s="76" t="s">
        <v>1337</v>
      </c>
      <c r="B305" s="76" t="s">
        <v>52</v>
      </c>
      <c r="C305" s="76" t="s">
        <v>601</v>
      </c>
      <c r="D305" s="76" t="s">
        <v>1280</v>
      </c>
      <c r="E305" s="76" t="s">
        <v>1112</v>
      </c>
      <c r="F305" s="35" t="s">
        <v>1338</v>
      </c>
      <c r="G305" s="76" t="s">
        <v>511</v>
      </c>
      <c r="H305" s="76" t="n">
        <v>1</v>
      </c>
      <c r="I305" s="76" t="s">
        <v>1339</v>
      </c>
      <c r="J305" s="76" t="n">
        <v>1</v>
      </c>
      <c r="K305" s="76" t="s">
        <v>1339</v>
      </c>
      <c r="L305" s="77" t="s">
        <v>1114</v>
      </c>
    </row>
    <row r="306" customFormat="false" ht="15" hidden="false" customHeight="false" outlineLevel="0" collapsed="false">
      <c r="A306" s="76" t="s">
        <v>1337</v>
      </c>
      <c r="B306" s="76" t="s">
        <v>52</v>
      </c>
      <c r="C306" s="76" t="s">
        <v>601</v>
      </c>
      <c r="D306" s="76" t="s">
        <v>1280</v>
      </c>
      <c r="E306" s="76" t="s">
        <v>1112</v>
      </c>
      <c r="F306" s="35" t="s">
        <v>1338</v>
      </c>
      <c r="G306" s="76" t="s">
        <v>513</v>
      </c>
      <c r="H306" s="76" t="n">
        <v>35000</v>
      </c>
      <c r="I306" s="76" t="s">
        <v>1157</v>
      </c>
      <c r="J306" s="76" t="n">
        <v>35000</v>
      </c>
      <c r="K306" s="76" t="s">
        <v>1157</v>
      </c>
      <c r="L306" s="77" t="s">
        <v>1114</v>
      </c>
    </row>
    <row r="307" customFormat="false" ht="15" hidden="false" customHeight="false" outlineLevel="0" collapsed="false">
      <c r="A307" s="76" t="s">
        <v>1337</v>
      </c>
      <c r="B307" s="76" t="s">
        <v>52</v>
      </c>
      <c r="C307" s="76" t="s">
        <v>601</v>
      </c>
      <c r="D307" s="76" t="s">
        <v>1280</v>
      </c>
      <c r="E307" s="76" t="s">
        <v>1112</v>
      </c>
      <c r="F307" s="35" t="s">
        <v>1338</v>
      </c>
      <c r="G307" s="76" t="s">
        <v>514</v>
      </c>
      <c r="H307" s="76" t="n">
        <v>50</v>
      </c>
      <c r="I307" s="76" t="s">
        <v>1295</v>
      </c>
      <c r="J307" s="76" t="n">
        <v>50</v>
      </c>
      <c r="K307" s="76" t="s">
        <v>1295</v>
      </c>
      <c r="L307" s="77" t="s">
        <v>1114</v>
      </c>
    </row>
    <row r="308" customFormat="false" ht="15" hidden="false" customHeight="false" outlineLevel="0" collapsed="false">
      <c r="A308" s="76" t="s">
        <v>1337</v>
      </c>
      <c r="B308" s="76" t="s">
        <v>52</v>
      </c>
      <c r="C308" s="76" t="s">
        <v>601</v>
      </c>
      <c r="D308" s="76" t="s">
        <v>1280</v>
      </c>
      <c r="E308" s="76" t="s">
        <v>1112</v>
      </c>
      <c r="F308" s="35" t="s">
        <v>1338</v>
      </c>
      <c r="G308" s="76" t="s">
        <v>497</v>
      </c>
      <c r="H308" s="76" t="n">
        <v>35000</v>
      </c>
      <c r="I308" s="76" t="s">
        <v>1157</v>
      </c>
      <c r="J308" s="76" t="n">
        <v>35000</v>
      </c>
      <c r="K308" s="76" t="s">
        <v>1157</v>
      </c>
      <c r="L308" s="77" t="s">
        <v>1114</v>
      </c>
    </row>
    <row r="309" customFormat="false" ht="15" hidden="false" customHeight="false" outlineLevel="0" collapsed="false">
      <c r="A309" s="76" t="s">
        <v>1337</v>
      </c>
      <c r="B309" s="76" t="s">
        <v>52</v>
      </c>
      <c r="C309" s="76" t="s">
        <v>601</v>
      </c>
      <c r="D309" s="76" t="s">
        <v>1280</v>
      </c>
      <c r="E309" s="76" t="s">
        <v>1112</v>
      </c>
      <c r="F309" s="35" t="s">
        <v>1338</v>
      </c>
      <c r="G309" s="76" t="s">
        <v>502</v>
      </c>
      <c r="H309" s="76" t="n">
        <v>50</v>
      </c>
      <c r="I309" s="76" t="s">
        <v>1295</v>
      </c>
      <c r="J309" s="76" t="n">
        <v>50</v>
      </c>
      <c r="K309" s="76" t="s">
        <v>1295</v>
      </c>
      <c r="L309" s="77" t="s">
        <v>1114</v>
      </c>
    </row>
    <row r="310" customFormat="false" ht="15" hidden="false" customHeight="false" outlineLevel="0" collapsed="false">
      <c r="A310" s="76" t="s">
        <v>1337</v>
      </c>
      <c r="B310" s="76" t="s">
        <v>52</v>
      </c>
      <c r="C310" s="76" t="s">
        <v>601</v>
      </c>
      <c r="D310" s="76" t="s">
        <v>1280</v>
      </c>
      <c r="E310" s="76" t="s">
        <v>1112</v>
      </c>
      <c r="F310" s="35" t="s">
        <v>1338</v>
      </c>
      <c r="G310" s="76" t="s">
        <v>515</v>
      </c>
      <c r="H310" s="78" t="n">
        <v>35000</v>
      </c>
      <c r="I310" s="76" t="s">
        <v>1159</v>
      </c>
      <c r="J310" s="76" t="n">
        <v>35000</v>
      </c>
      <c r="K310" s="76" t="s">
        <v>1159</v>
      </c>
      <c r="L310" s="77" t="s">
        <v>1114</v>
      </c>
    </row>
    <row r="311" customFormat="false" ht="15" hidden="false" customHeight="false" outlineLevel="0" collapsed="false">
      <c r="A311" s="76" t="s">
        <v>1337</v>
      </c>
      <c r="B311" s="76" t="s">
        <v>52</v>
      </c>
      <c r="C311" s="76" t="s">
        <v>601</v>
      </c>
      <c r="D311" s="76" t="s">
        <v>1280</v>
      </c>
      <c r="E311" s="76" t="s">
        <v>1112</v>
      </c>
      <c r="F311" s="35" t="s">
        <v>1338</v>
      </c>
      <c r="G311" s="76" t="s">
        <v>434</v>
      </c>
      <c r="H311" s="78" t="n">
        <v>1</v>
      </c>
      <c r="I311" s="76" t="s">
        <v>1297</v>
      </c>
      <c r="J311" s="76" t="n">
        <v>1</v>
      </c>
      <c r="K311" s="76" t="s">
        <v>1297</v>
      </c>
      <c r="L311" s="77" t="s">
        <v>1114</v>
      </c>
    </row>
    <row r="312" customFormat="false" ht="15" hidden="false" customHeight="false" outlineLevel="0" collapsed="false">
      <c r="A312" s="76" t="s">
        <v>1340</v>
      </c>
      <c r="B312" s="76" t="s">
        <v>57</v>
      </c>
      <c r="C312" s="76" t="s">
        <v>58</v>
      </c>
      <c r="D312" s="76" t="s">
        <v>1111</v>
      </c>
      <c r="E312" s="76" t="s">
        <v>1112</v>
      </c>
      <c r="F312" s="35" t="s">
        <v>1341</v>
      </c>
      <c r="G312" s="76" t="s">
        <v>419</v>
      </c>
      <c r="H312" s="76"/>
      <c r="I312" s="76" t="s">
        <v>1342</v>
      </c>
      <c r="J312" s="76"/>
      <c r="K312" s="76" t="s">
        <v>1342</v>
      </c>
      <c r="L312" s="77" t="s">
        <v>1114</v>
      </c>
    </row>
    <row r="313" customFormat="false" ht="15" hidden="false" customHeight="false" outlineLevel="0" collapsed="false">
      <c r="A313" s="76" t="s">
        <v>1340</v>
      </c>
      <c r="B313" s="76" t="s">
        <v>57</v>
      </c>
      <c r="C313" s="76" t="s">
        <v>58</v>
      </c>
      <c r="D313" s="76" t="s">
        <v>1111</v>
      </c>
      <c r="E313" s="76" t="s">
        <v>1112</v>
      </c>
      <c r="F313" s="35" t="s">
        <v>1341</v>
      </c>
      <c r="G313" s="76" t="s">
        <v>547</v>
      </c>
      <c r="H313" s="76" t="n">
        <v>61</v>
      </c>
      <c r="I313" s="76" t="s">
        <v>1343</v>
      </c>
      <c r="J313" s="76" t="n">
        <v>61</v>
      </c>
      <c r="K313" s="76" t="s">
        <v>1343</v>
      </c>
      <c r="L313" s="77" t="s">
        <v>1114</v>
      </c>
    </row>
    <row r="314" customFormat="false" ht="15" hidden="false" customHeight="false" outlineLevel="0" collapsed="false">
      <c r="A314" s="76" t="s">
        <v>1340</v>
      </c>
      <c r="B314" s="76" t="s">
        <v>57</v>
      </c>
      <c r="C314" s="76" t="s">
        <v>58</v>
      </c>
      <c r="D314" s="76" t="s">
        <v>1111</v>
      </c>
      <c r="E314" s="76" t="s">
        <v>1112</v>
      </c>
      <c r="F314" s="35" t="s">
        <v>1341</v>
      </c>
      <c r="G314" s="76" t="s">
        <v>548</v>
      </c>
      <c r="H314" s="76" t="n">
        <v>200</v>
      </c>
      <c r="I314" s="76" t="s">
        <v>1344</v>
      </c>
      <c r="J314" s="76" t="n">
        <v>200</v>
      </c>
      <c r="K314" s="76" t="s">
        <v>1344</v>
      </c>
      <c r="L314" s="77" t="s">
        <v>1114</v>
      </c>
    </row>
    <row r="315" customFormat="false" ht="15" hidden="false" customHeight="false" outlineLevel="0" collapsed="false">
      <c r="A315" s="76" t="s">
        <v>1340</v>
      </c>
      <c r="B315" s="76" t="s">
        <v>57</v>
      </c>
      <c r="C315" s="76" t="s">
        <v>58</v>
      </c>
      <c r="D315" s="76" t="s">
        <v>1111</v>
      </c>
      <c r="E315" s="76" t="s">
        <v>1112</v>
      </c>
      <c r="F315" s="35" t="s">
        <v>1341</v>
      </c>
      <c r="G315" s="76" t="s">
        <v>549</v>
      </c>
      <c r="H315" s="78" t="n">
        <v>1319.59210074443</v>
      </c>
      <c r="I315" s="76" t="s">
        <v>1345</v>
      </c>
      <c r="J315" s="78" t="n">
        <v>1319.59210074443</v>
      </c>
      <c r="K315" s="76" t="s">
        <v>1345</v>
      </c>
      <c r="L315" s="77" t="s">
        <v>1114</v>
      </c>
    </row>
    <row r="316" customFormat="false" ht="15" hidden="false" customHeight="false" outlineLevel="0" collapsed="false">
      <c r="A316" s="76" t="s">
        <v>1340</v>
      </c>
      <c r="B316" s="76" t="s">
        <v>57</v>
      </c>
      <c r="C316" s="76" t="s">
        <v>58</v>
      </c>
      <c r="D316" s="76" t="s">
        <v>1111</v>
      </c>
      <c r="E316" s="76" t="s">
        <v>1112</v>
      </c>
      <c r="F316" s="35" t="s">
        <v>1341</v>
      </c>
      <c r="G316" s="76" t="s">
        <v>550</v>
      </c>
      <c r="H316" s="76" t="n">
        <v>300</v>
      </c>
      <c r="I316" s="76" t="s">
        <v>1346</v>
      </c>
      <c r="J316" s="76" t="n">
        <v>300</v>
      </c>
      <c r="K316" s="76" t="s">
        <v>1346</v>
      </c>
      <c r="L316" s="77" t="s">
        <v>1114</v>
      </c>
    </row>
    <row r="317" customFormat="false" ht="15" hidden="false" customHeight="false" outlineLevel="0" collapsed="false">
      <c r="A317" s="76" t="s">
        <v>1340</v>
      </c>
      <c r="B317" s="76" t="s">
        <v>57</v>
      </c>
      <c r="C317" s="76" t="s">
        <v>58</v>
      </c>
      <c r="D317" s="76" t="s">
        <v>1111</v>
      </c>
      <c r="E317" s="76" t="s">
        <v>1112</v>
      </c>
      <c r="F317" s="35" t="s">
        <v>1341</v>
      </c>
      <c r="G317" s="76" t="s">
        <v>551</v>
      </c>
      <c r="H317" s="76" t="n">
        <v>239</v>
      </c>
      <c r="I317" s="76" t="s">
        <v>1347</v>
      </c>
      <c r="J317" s="76" t="n">
        <v>239</v>
      </c>
      <c r="K317" s="76" t="s">
        <v>1347</v>
      </c>
      <c r="L317" s="77" t="s">
        <v>1114</v>
      </c>
    </row>
    <row r="318" customFormat="false" ht="15" hidden="false" customHeight="false" outlineLevel="0" collapsed="false">
      <c r="A318" s="76" t="s">
        <v>1340</v>
      </c>
      <c r="B318" s="76" t="s">
        <v>57</v>
      </c>
      <c r="C318" s="76" t="s">
        <v>58</v>
      </c>
      <c r="D318" s="76" t="s">
        <v>1111</v>
      </c>
      <c r="E318" s="76" t="s">
        <v>1112</v>
      </c>
      <c r="F318" s="35" t="s">
        <v>1341</v>
      </c>
      <c r="G318" s="76" t="s">
        <v>545</v>
      </c>
      <c r="H318" s="78" t="n">
        <v>32877.2218504546</v>
      </c>
      <c r="I318" s="76" t="s">
        <v>1348</v>
      </c>
      <c r="J318" s="78" t="n">
        <v>32877.2218504546</v>
      </c>
      <c r="K318" s="76" t="s">
        <v>1348</v>
      </c>
      <c r="L318" s="77" t="s">
        <v>1114</v>
      </c>
    </row>
    <row r="319" customFormat="false" ht="15" hidden="false" customHeight="false" outlineLevel="0" collapsed="false">
      <c r="A319" s="76" t="s">
        <v>1340</v>
      </c>
      <c r="B319" s="76" t="s">
        <v>57</v>
      </c>
      <c r="C319" s="76" t="s">
        <v>58</v>
      </c>
      <c r="D319" s="76" t="s">
        <v>1111</v>
      </c>
      <c r="E319" s="76" t="s">
        <v>1112</v>
      </c>
      <c r="F319" s="35" t="s">
        <v>1341</v>
      </c>
      <c r="G319" s="76" t="s">
        <v>553</v>
      </c>
      <c r="H319" s="78" t="n">
        <v>250000</v>
      </c>
      <c r="I319" s="76" t="s">
        <v>1349</v>
      </c>
      <c r="J319" s="76" t="n">
        <v>250000</v>
      </c>
      <c r="K319" s="76" t="s">
        <v>1349</v>
      </c>
      <c r="L319" s="77" t="s">
        <v>1114</v>
      </c>
    </row>
    <row r="320" customFormat="false" ht="15" hidden="false" customHeight="false" outlineLevel="0" collapsed="false">
      <c r="A320" s="76" t="s">
        <v>1340</v>
      </c>
      <c r="B320" s="76" t="s">
        <v>57</v>
      </c>
      <c r="C320" s="76" t="s">
        <v>58</v>
      </c>
      <c r="D320" s="76" t="s">
        <v>1111</v>
      </c>
      <c r="E320" s="76" t="s">
        <v>1112</v>
      </c>
      <c r="F320" s="35" t="s">
        <v>1341</v>
      </c>
      <c r="G320" s="76" t="s">
        <v>434</v>
      </c>
      <c r="H320" s="78" t="n">
        <v>20</v>
      </c>
      <c r="I320" s="76" t="s">
        <v>1350</v>
      </c>
      <c r="J320" s="76" t="n">
        <v>20</v>
      </c>
      <c r="K320" s="76" t="s">
        <v>1350</v>
      </c>
      <c r="L320" s="77" t="s">
        <v>1114</v>
      </c>
    </row>
    <row r="321" customFormat="false" ht="15" hidden="false" customHeight="false" outlineLevel="0" collapsed="false">
      <c r="A321" s="76" t="s">
        <v>1351</v>
      </c>
      <c r="B321" s="76" t="s">
        <v>57</v>
      </c>
      <c r="C321" s="76" t="s">
        <v>58</v>
      </c>
      <c r="D321" s="76" t="s">
        <v>1124</v>
      </c>
      <c r="E321" s="76" t="s">
        <v>1125</v>
      </c>
      <c r="F321" s="35" t="s">
        <v>1352</v>
      </c>
      <c r="G321" s="76" t="s">
        <v>419</v>
      </c>
      <c r="H321" s="76"/>
      <c r="I321" s="76" t="s">
        <v>1342</v>
      </c>
      <c r="J321" s="76"/>
      <c r="K321" s="76" t="s">
        <v>1342</v>
      </c>
      <c r="L321" s="77" t="s">
        <v>1114</v>
      </c>
    </row>
    <row r="322" customFormat="false" ht="15" hidden="false" customHeight="false" outlineLevel="0" collapsed="false">
      <c r="A322" s="76" t="s">
        <v>1351</v>
      </c>
      <c r="B322" s="76" t="s">
        <v>57</v>
      </c>
      <c r="C322" s="76" t="s">
        <v>58</v>
      </c>
      <c r="D322" s="76" t="s">
        <v>1124</v>
      </c>
      <c r="E322" s="76" t="s">
        <v>1125</v>
      </c>
      <c r="F322" s="35" t="s">
        <v>1352</v>
      </c>
      <c r="G322" s="76" t="s">
        <v>547</v>
      </c>
      <c r="H322" s="76" t="n">
        <v>0</v>
      </c>
      <c r="I322" s="76" t="s">
        <v>1353</v>
      </c>
      <c r="J322" s="76" t="n">
        <v>0</v>
      </c>
      <c r="K322" s="76" t="s">
        <v>1353</v>
      </c>
      <c r="L322" s="77" t="s">
        <v>1114</v>
      </c>
    </row>
    <row r="323" customFormat="false" ht="15" hidden="false" customHeight="false" outlineLevel="0" collapsed="false">
      <c r="A323" s="76" t="s">
        <v>1351</v>
      </c>
      <c r="B323" s="76" t="s">
        <v>57</v>
      </c>
      <c r="C323" s="76" t="s">
        <v>58</v>
      </c>
      <c r="D323" s="76" t="s">
        <v>1124</v>
      </c>
      <c r="E323" s="76" t="s">
        <v>1125</v>
      </c>
      <c r="F323" s="35" t="s">
        <v>1352</v>
      </c>
      <c r="G323" s="76" t="s">
        <v>548</v>
      </c>
      <c r="H323" s="76" t="n">
        <v>0</v>
      </c>
      <c r="I323" s="76" t="s">
        <v>1127</v>
      </c>
      <c r="J323" s="76" t="n">
        <v>0</v>
      </c>
      <c r="K323" s="76" t="s">
        <v>1127</v>
      </c>
      <c r="L323" s="77" t="s">
        <v>1114</v>
      </c>
    </row>
    <row r="324" customFormat="false" ht="15" hidden="false" customHeight="false" outlineLevel="0" collapsed="false">
      <c r="A324" s="76" t="s">
        <v>1351</v>
      </c>
      <c r="B324" s="76" t="s">
        <v>57</v>
      </c>
      <c r="C324" s="76" t="s">
        <v>58</v>
      </c>
      <c r="D324" s="76" t="s">
        <v>1124</v>
      </c>
      <c r="E324" s="76" t="s">
        <v>1125</v>
      </c>
      <c r="F324" s="35" t="s">
        <v>1352</v>
      </c>
      <c r="G324" s="76" t="s">
        <v>549</v>
      </c>
      <c r="H324" s="78" t="n">
        <v>564.161986924603</v>
      </c>
      <c r="I324" s="76" t="s">
        <v>1354</v>
      </c>
      <c r="J324" s="78" t="n">
        <v>564.161986924603</v>
      </c>
      <c r="K324" s="76" t="s">
        <v>1354</v>
      </c>
      <c r="L324" s="77" t="s">
        <v>1114</v>
      </c>
    </row>
    <row r="325" customFormat="false" ht="15" hidden="false" customHeight="false" outlineLevel="0" collapsed="false">
      <c r="A325" s="76" t="s">
        <v>1351</v>
      </c>
      <c r="B325" s="76" t="s">
        <v>57</v>
      </c>
      <c r="C325" s="76" t="s">
        <v>58</v>
      </c>
      <c r="D325" s="76" t="s">
        <v>1124</v>
      </c>
      <c r="E325" s="76" t="s">
        <v>1125</v>
      </c>
      <c r="F325" s="35" t="s">
        <v>1352</v>
      </c>
      <c r="G325" s="76" t="s">
        <v>550</v>
      </c>
      <c r="H325" s="76" t="n">
        <v>36</v>
      </c>
      <c r="I325" s="76" t="s">
        <v>1355</v>
      </c>
      <c r="J325" s="76" t="n">
        <v>36</v>
      </c>
      <c r="K325" s="76" t="s">
        <v>1355</v>
      </c>
      <c r="L325" s="77" t="s">
        <v>1114</v>
      </c>
    </row>
    <row r="326" customFormat="false" ht="15" hidden="false" customHeight="false" outlineLevel="0" collapsed="false">
      <c r="A326" s="76" t="s">
        <v>1351</v>
      </c>
      <c r="B326" s="76" t="s">
        <v>57</v>
      </c>
      <c r="C326" s="76" t="s">
        <v>58</v>
      </c>
      <c r="D326" s="76" t="s">
        <v>1124</v>
      </c>
      <c r="E326" s="76" t="s">
        <v>1125</v>
      </c>
      <c r="F326" s="35" t="s">
        <v>1352</v>
      </c>
      <c r="G326" s="76" t="s">
        <v>551</v>
      </c>
      <c r="H326" s="76" t="n">
        <v>36</v>
      </c>
      <c r="I326" s="76" t="s">
        <v>1355</v>
      </c>
      <c r="J326" s="76" t="n">
        <v>36</v>
      </c>
      <c r="K326" s="76" t="s">
        <v>1355</v>
      </c>
      <c r="L326" s="77" t="s">
        <v>1114</v>
      </c>
    </row>
    <row r="327" customFormat="false" ht="15" hidden="false" customHeight="false" outlineLevel="0" collapsed="false">
      <c r="A327" s="76" t="s">
        <v>1351</v>
      </c>
      <c r="B327" s="76" t="s">
        <v>57</v>
      </c>
      <c r="C327" s="76" t="s">
        <v>58</v>
      </c>
      <c r="D327" s="76" t="s">
        <v>1124</v>
      </c>
      <c r="E327" s="76" t="s">
        <v>1125</v>
      </c>
      <c r="F327" s="35" t="s">
        <v>1352</v>
      </c>
      <c r="G327" s="76" t="s">
        <v>545</v>
      </c>
      <c r="H327" s="76" t="n">
        <v>0</v>
      </c>
      <c r="I327" s="76" t="s">
        <v>1127</v>
      </c>
      <c r="J327" s="76" t="n">
        <v>0</v>
      </c>
      <c r="K327" s="76" t="s">
        <v>1127</v>
      </c>
      <c r="L327" s="77" t="s">
        <v>1114</v>
      </c>
    </row>
    <row r="328" customFormat="false" ht="15" hidden="false" customHeight="false" outlineLevel="0" collapsed="false">
      <c r="A328" s="76" t="s">
        <v>1351</v>
      </c>
      <c r="B328" s="76" t="s">
        <v>57</v>
      </c>
      <c r="C328" s="76" t="s">
        <v>58</v>
      </c>
      <c r="D328" s="76" t="s">
        <v>1124</v>
      </c>
      <c r="E328" s="76" t="s">
        <v>1125</v>
      </c>
      <c r="F328" s="35" t="s">
        <v>1352</v>
      </c>
      <c r="G328" s="76" t="s">
        <v>553</v>
      </c>
      <c r="H328" s="78" t="n">
        <v>20000</v>
      </c>
      <c r="I328" s="76" t="s">
        <v>1168</v>
      </c>
      <c r="J328" s="76" t="n">
        <v>20000</v>
      </c>
      <c r="K328" s="76" t="s">
        <v>1168</v>
      </c>
      <c r="L328" s="77" t="s">
        <v>1114</v>
      </c>
    </row>
    <row r="329" customFormat="false" ht="15" hidden="false" customHeight="false" outlineLevel="0" collapsed="false">
      <c r="A329" s="76" t="s">
        <v>1351</v>
      </c>
      <c r="B329" s="76" t="s">
        <v>57</v>
      </c>
      <c r="C329" s="76" t="s">
        <v>58</v>
      </c>
      <c r="D329" s="76" t="s">
        <v>1124</v>
      </c>
      <c r="E329" s="76" t="s">
        <v>1125</v>
      </c>
      <c r="F329" s="35" t="s">
        <v>1352</v>
      </c>
      <c r="G329" s="76" t="s">
        <v>434</v>
      </c>
      <c r="H329" s="78" t="n">
        <v>3</v>
      </c>
      <c r="I329" s="76" t="s">
        <v>1122</v>
      </c>
      <c r="J329" s="76" t="n">
        <v>3</v>
      </c>
      <c r="K329" s="76" t="s">
        <v>1122</v>
      </c>
      <c r="L329" s="77" t="s">
        <v>1114</v>
      </c>
    </row>
    <row r="330" customFormat="false" ht="15" hidden="false" customHeight="false" outlineLevel="0" collapsed="false">
      <c r="A330" s="76" t="s">
        <v>1356</v>
      </c>
      <c r="B330" s="76" t="s">
        <v>57</v>
      </c>
      <c r="C330" s="76" t="s">
        <v>58</v>
      </c>
      <c r="D330" s="76" t="s">
        <v>1132</v>
      </c>
      <c r="E330" s="76" t="s">
        <v>1133</v>
      </c>
      <c r="F330" s="35" t="s">
        <v>1357</v>
      </c>
      <c r="G330" s="76" t="s">
        <v>419</v>
      </c>
      <c r="H330" s="76"/>
      <c r="I330" s="76" t="s">
        <v>1342</v>
      </c>
      <c r="J330" s="76"/>
      <c r="K330" s="76" t="s">
        <v>1342</v>
      </c>
      <c r="L330" s="77" t="s">
        <v>1114</v>
      </c>
    </row>
    <row r="331" customFormat="false" ht="15" hidden="false" customHeight="false" outlineLevel="0" collapsed="false">
      <c r="A331" s="76" t="s">
        <v>1356</v>
      </c>
      <c r="B331" s="76" t="s">
        <v>57</v>
      </c>
      <c r="C331" s="76" t="s">
        <v>58</v>
      </c>
      <c r="D331" s="76" t="s">
        <v>1132</v>
      </c>
      <c r="E331" s="76" t="s">
        <v>1133</v>
      </c>
      <c r="F331" s="35" t="s">
        <v>1357</v>
      </c>
      <c r="G331" s="76" t="s">
        <v>547</v>
      </c>
      <c r="H331" s="76" t="n">
        <v>221</v>
      </c>
      <c r="I331" s="76" t="s">
        <v>1358</v>
      </c>
      <c r="J331" s="76" t="n">
        <v>221</v>
      </c>
      <c r="K331" s="76" t="s">
        <v>1358</v>
      </c>
      <c r="L331" s="77" t="s">
        <v>1114</v>
      </c>
    </row>
    <row r="332" customFormat="false" ht="15" hidden="false" customHeight="false" outlineLevel="0" collapsed="false">
      <c r="A332" s="76" t="s">
        <v>1356</v>
      </c>
      <c r="B332" s="76" t="s">
        <v>57</v>
      </c>
      <c r="C332" s="76" t="s">
        <v>58</v>
      </c>
      <c r="D332" s="76" t="s">
        <v>1132</v>
      </c>
      <c r="E332" s="76" t="s">
        <v>1133</v>
      </c>
      <c r="F332" s="35" t="s">
        <v>1357</v>
      </c>
      <c r="G332" s="76" t="s">
        <v>548</v>
      </c>
      <c r="H332" s="76" t="n">
        <v>2000</v>
      </c>
      <c r="I332" s="76" t="s">
        <v>1359</v>
      </c>
      <c r="J332" s="76" t="n">
        <v>2000</v>
      </c>
      <c r="K332" s="76" t="s">
        <v>1359</v>
      </c>
      <c r="L332" s="77" t="s">
        <v>1114</v>
      </c>
    </row>
    <row r="333" customFormat="false" ht="15" hidden="false" customHeight="false" outlineLevel="0" collapsed="false">
      <c r="A333" s="76" t="s">
        <v>1356</v>
      </c>
      <c r="B333" s="76" t="s">
        <v>57</v>
      </c>
      <c r="C333" s="76" t="s">
        <v>58</v>
      </c>
      <c r="D333" s="76" t="s">
        <v>1132</v>
      </c>
      <c r="E333" s="76" t="s">
        <v>1133</v>
      </c>
      <c r="F333" s="35" t="s">
        <v>1357</v>
      </c>
      <c r="G333" s="76" t="s">
        <v>549</v>
      </c>
      <c r="H333" s="78" t="n">
        <v>7102.60878954612</v>
      </c>
      <c r="I333" s="76" t="s">
        <v>1227</v>
      </c>
      <c r="J333" s="78" t="n">
        <v>7102.60878954612</v>
      </c>
      <c r="K333" s="76" t="s">
        <v>1227</v>
      </c>
      <c r="L333" s="77" t="s">
        <v>1114</v>
      </c>
    </row>
    <row r="334" customFormat="false" ht="15" hidden="false" customHeight="false" outlineLevel="0" collapsed="false">
      <c r="A334" s="76" t="s">
        <v>1356</v>
      </c>
      <c r="B334" s="76" t="s">
        <v>57</v>
      </c>
      <c r="C334" s="76" t="s">
        <v>58</v>
      </c>
      <c r="D334" s="76" t="s">
        <v>1132</v>
      </c>
      <c r="E334" s="76" t="s">
        <v>1133</v>
      </c>
      <c r="F334" s="35" t="s">
        <v>1357</v>
      </c>
      <c r="G334" s="76" t="s">
        <v>550</v>
      </c>
      <c r="H334" s="76" t="n">
        <v>420</v>
      </c>
      <c r="I334" s="76" t="s">
        <v>1360</v>
      </c>
      <c r="J334" s="76" t="n">
        <v>420</v>
      </c>
      <c r="K334" s="76" t="s">
        <v>1360</v>
      </c>
      <c r="L334" s="77" t="s">
        <v>1114</v>
      </c>
    </row>
    <row r="335" customFormat="false" ht="15" hidden="false" customHeight="false" outlineLevel="0" collapsed="false">
      <c r="A335" s="76" t="s">
        <v>1356</v>
      </c>
      <c r="B335" s="76" t="s">
        <v>57</v>
      </c>
      <c r="C335" s="76" t="s">
        <v>58</v>
      </c>
      <c r="D335" s="76" t="s">
        <v>1132</v>
      </c>
      <c r="E335" s="76" t="s">
        <v>1133</v>
      </c>
      <c r="F335" s="35" t="s">
        <v>1357</v>
      </c>
      <c r="G335" s="76" t="s">
        <v>551</v>
      </c>
      <c r="H335" s="76" t="n">
        <v>199</v>
      </c>
      <c r="I335" s="76" t="s">
        <v>1361</v>
      </c>
      <c r="J335" s="76" t="n">
        <v>199</v>
      </c>
      <c r="K335" s="76" t="s">
        <v>1361</v>
      </c>
      <c r="L335" s="77" t="s">
        <v>1114</v>
      </c>
    </row>
    <row r="336" customFormat="false" ht="15" hidden="false" customHeight="false" outlineLevel="0" collapsed="false">
      <c r="A336" s="76" t="s">
        <v>1356</v>
      </c>
      <c r="B336" s="76" t="s">
        <v>57</v>
      </c>
      <c r="C336" s="76" t="s">
        <v>58</v>
      </c>
      <c r="D336" s="76" t="s">
        <v>1132</v>
      </c>
      <c r="E336" s="76" t="s">
        <v>1133</v>
      </c>
      <c r="F336" s="35" t="s">
        <v>1357</v>
      </c>
      <c r="G336" s="76" t="s">
        <v>545</v>
      </c>
      <c r="H336" s="78" t="n">
        <v>1177199.13623295</v>
      </c>
      <c r="I336" s="76" t="s">
        <v>1362</v>
      </c>
      <c r="J336" s="78" t="n">
        <v>1177199.13623295</v>
      </c>
      <c r="K336" s="76" t="s">
        <v>1362</v>
      </c>
      <c r="L336" s="77" t="s">
        <v>1114</v>
      </c>
    </row>
    <row r="337" customFormat="false" ht="15" hidden="false" customHeight="false" outlineLevel="0" collapsed="false">
      <c r="A337" s="76" t="s">
        <v>1356</v>
      </c>
      <c r="B337" s="76" t="s">
        <v>57</v>
      </c>
      <c r="C337" s="76" t="s">
        <v>58</v>
      </c>
      <c r="D337" s="76" t="s">
        <v>1132</v>
      </c>
      <c r="E337" s="76" t="s">
        <v>1133</v>
      </c>
      <c r="F337" s="35" t="s">
        <v>1357</v>
      </c>
      <c r="G337" s="76" t="s">
        <v>553</v>
      </c>
      <c r="H337" s="78" t="n">
        <v>1000000</v>
      </c>
      <c r="I337" s="76" t="s">
        <v>1229</v>
      </c>
      <c r="J337" s="76" t="n">
        <v>1000000</v>
      </c>
      <c r="K337" s="76" t="s">
        <v>1229</v>
      </c>
      <c r="L337" s="77" t="s">
        <v>1114</v>
      </c>
    </row>
    <row r="338" customFormat="false" ht="15" hidden="false" customHeight="false" outlineLevel="0" collapsed="false">
      <c r="A338" s="76" t="s">
        <v>1356</v>
      </c>
      <c r="B338" s="76" t="s">
        <v>57</v>
      </c>
      <c r="C338" s="76" t="s">
        <v>58</v>
      </c>
      <c r="D338" s="76" t="s">
        <v>1132</v>
      </c>
      <c r="E338" s="76" t="s">
        <v>1133</v>
      </c>
      <c r="F338" s="35" t="s">
        <v>1357</v>
      </c>
      <c r="G338" s="76" t="s">
        <v>434</v>
      </c>
      <c r="H338" s="78" t="n">
        <v>17</v>
      </c>
      <c r="I338" s="76" t="s">
        <v>1363</v>
      </c>
      <c r="J338" s="76" t="n">
        <v>17</v>
      </c>
      <c r="K338" s="76" t="s">
        <v>1363</v>
      </c>
      <c r="L338" s="77" t="s">
        <v>1114</v>
      </c>
    </row>
    <row r="339" customFormat="false" ht="15" hidden="false" customHeight="false" outlineLevel="0" collapsed="false">
      <c r="A339" s="76" t="s">
        <v>1364</v>
      </c>
      <c r="B339" s="76" t="s">
        <v>57</v>
      </c>
      <c r="C339" s="76" t="s">
        <v>58</v>
      </c>
      <c r="D339" s="76" t="s">
        <v>1141</v>
      </c>
      <c r="E339" s="76" t="s">
        <v>1142</v>
      </c>
      <c r="F339" s="35" t="s">
        <v>1365</v>
      </c>
      <c r="G339" s="76" t="s">
        <v>419</v>
      </c>
      <c r="H339" s="76"/>
      <c r="I339" s="76" t="s">
        <v>1342</v>
      </c>
      <c r="J339" s="76"/>
      <c r="K339" s="76" t="s">
        <v>1342</v>
      </c>
      <c r="L339" s="77" t="s">
        <v>1114</v>
      </c>
    </row>
    <row r="340" customFormat="false" ht="15" hidden="false" customHeight="false" outlineLevel="0" collapsed="false">
      <c r="A340" s="76" t="s">
        <v>1364</v>
      </c>
      <c r="B340" s="76" t="s">
        <v>57</v>
      </c>
      <c r="C340" s="76" t="s">
        <v>58</v>
      </c>
      <c r="D340" s="76" t="s">
        <v>1141</v>
      </c>
      <c r="E340" s="76" t="s">
        <v>1142</v>
      </c>
      <c r="F340" s="35" t="s">
        <v>1365</v>
      </c>
      <c r="G340" s="76" t="s">
        <v>547</v>
      </c>
      <c r="H340" s="76" t="n">
        <v>315</v>
      </c>
      <c r="I340" s="76" t="s">
        <v>1366</v>
      </c>
      <c r="J340" s="76" t="n">
        <v>315</v>
      </c>
      <c r="K340" s="76" t="s">
        <v>1366</v>
      </c>
      <c r="L340" s="77" t="s">
        <v>1114</v>
      </c>
    </row>
    <row r="341" customFormat="false" ht="15" hidden="false" customHeight="false" outlineLevel="0" collapsed="false">
      <c r="A341" s="76" t="s">
        <v>1364</v>
      </c>
      <c r="B341" s="76" t="s">
        <v>57</v>
      </c>
      <c r="C341" s="76" t="s">
        <v>58</v>
      </c>
      <c r="D341" s="76" t="s">
        <v>1141</v>
      </c>
      <c r="E341" s="76" t="s">
        <v>1142</v>
      </c>
      <c r="F341" s="35" t="s">
        <v>1365</v>
      </c>
      <c r="G341" s="76" t="s">
        <v>548</v>
      </c>
      <c r="H341" s="76" t="n">
        <v>1900</v>
      </c>
      <c r="I341" s="76" t="s">
        <v>1367</v>
      </c>
      <c r="J341" s="76" t="n">
        <v>1900</v>
      </c>
      <c r="K341" s="76" t="s">
        <v>1367</v>
      </c>
      <c r="L341" s="77" t="s">
        <v>1114</v>
      </c>
    </row>
    <row r="342" customFormat="false" ht="15" hidden="false" customHeight="false" outlineLevel="0" collapsed="false">
      <c r="A342" s="76" t="s">
        <v>1364</v>
      </c>
      <c r="B342" s="76" t="s">
        <v>57</v>
      </c>
      <c r="C342" s="76" t="s">
        <v>58</v>
      </c>
      <c r="D342" s="76" t="s">
        <v>1141</v>
      </c>
      <c r="E342" s="76" t="s">
        <v>1142</v>
      </c>
      <c r="F342" s="35" t="s">
        <v>1365</v>
      </c>
      <c r="G342" s="76" t="s">
        <v>549</v>
      </c>
      <c r="H342" s="78" t="n">
        <v>1409.165758</v>
      </c>
      <c r="I342" s="76" t="s">
        <v>1368</v>
      </c>
      <c r="J342" s="78" t="n">
        <v>1409.165758</v>
      </c>
      <c r="K342" s="76" t="s">
        <v>1368</v>
      </c>
      <c r="L342" s="77" t="s">
        <v>1114</v>
      </c>
    </row>
    <row r="343" customFormat="false" ht="15" hidden="false" customHeight="false" outlineLevel="0" collapsed="false">
      <c r="A343" s="76" t="s">
        <v>1364</v>
      </c>
      <c r="B343" s="76" t="s">
        <v>57</v>
      </c>
      <c r="C343" s="76" t="s">
        <v>58</v>
      </c>
      <c r="D343" s="76" t="s">
        <v>1141</v>
      </c>
      <c r="E343" s="76" t="s">
        <v>1142</v>
      </c>
      <c r="F343" s="35" t="s">
        <v>1365</v>
      </c>
      <c r="G343" s="76" t="s">
        <v>550</v>
      </c>
      <c r="H343" s="76" t="n">
        <v>408</v>
      </c>
      <c r="I343" s="76" t="s">
        <v>1369</v>
      </c>
      <c r="J343" s="76" t="n">
        <v>408</v>
      </c>
      <c r="K343" s="76" t="s">
        <v>1369</v>
      </c>
      <c r="L343" s="77" t="s">
        <v>1114</v>
      </c>
    </row>
    <row r="344" customFormat="false" ht="15" hidden="false" customHeight="false" outlineLevel="0" collapsed="false">
      <c r="A344" s="76" t="s">
        <v>1364</v>
      </c>
      <c r="B344" s="76" t="s">
        <v>57</v>
      </c>
      <c r="C344" s="76" t="s">
        <v>58</v>
      </c>
      <c r="D344" s="76" t="s">
        <v>1141</v>
      </c>
      <c r="E344" s="76" t="s">
        <v>1142</v>
      </c>
      <c r="F344" s="35" t="s">
        <v>1365</v>
      </c>
      <c r="G344" s="76" t="s">
        <v>551</v>
      </c>
      <c r="H344" s="76" t="n">
        <v>93</v>
      </c>
      <c r="I344" s="76" t="s">
        <v>1370</v>
      </c>
      <c r="J344" s="76" t="n">
        <v>93</v>
      </c>
      <c r="K344" s="76" t="s">
        <v>1370</v>
      </c>
      <c r="L344" s="77" t="s">
        <v>1114</v>
      </c>
    </row>
    <row r="345" customFormat="false" ht="15" hidden="false" customHeight="false" outlineLevel="0" collapsed="false">
      <c r="A345" s="76" t="s">
        <v>1364</v>
      </c>
      <c r="B345" s="76" t="s">
        <v>57</v>
      </c>
      <c r="C345" s="76" t="s">
        <v>58</v>
      </c>
      <c r="D345" s="76" t="s">
        <v>1141</v>
      </c>
      <c r="E345" s="76" t="s">
        <v>1142</v>
      </c>
      <c r="F345" s="35" t="s">
        <v>1365</v>
      </c>
      <c r="G345" s="76" t="s">
        <v>545</v>
      </c>
      <c r="H345" s="78" t="n">
        <v>268189.921042908</v>
      </c>
      <c r="I345" s="76" t="s">
        <v>1371</v>
      </c>
      <c r="J345" s="78" t="n">
        <v>268189.921042907</v>
      </c>
      <c r="K345" s="76" t="s">
        <v>1371</v>
      </c>
      <c r="L345" s="77" t="s">
        <v>1114</v>
      </c>
    </row>
    <row r="346" customFormat="false" ht="15" hidden="false" customHeight="false" outlineLevel="0" collapsed="false">
      <c r="A346" s="76" t="s">
        <v>1364</v>
      </c>
      <c r="B346" s="76" t="s">
        <v>57</v>
      </c>
      <c r="C346" s="76" t="s">
        <v>58</v>
      </c>
      <c r="D346" s="76" t="s">
        <v>1141</v>
      </c>
      <c r="E346" s="76" t="s">
        <v>1142</v>
      </c>
      <c r="F346" s="35" t="s">
        <v>1365</v>
      </c>
      <c r="G346" s="76" t="s">
        <v>553</v>
      </c>
      <c r="H346" s="78" t="n">
        <v>245000</v>
      </c>
      <c r="I346" s="76" t="s">
        <v>1372</v>
      </c>
      <c r="J346" s="76" t="n">
        <v>245000</v>
      </c>
      <c r="K346" s="76" t="s">
        <v>1372</v>
      </c>
      <c r="L346" s="77" t="s">
        <v>1114</v>
      </c>
    </row>
    <row r="347" customFormat="false" ht="15" hidden="false" customHeight="false" outlineLevel="0" collapsed="false">
      <c r="A347" s="76" t="s">
        <v>1364</v>
      </c>
      <c r="B347" s="76" t="s">
        <v>57</v>
      </c>
      <c r="C347" s="76" t="s">
        <v>58</v>
      </c>
      <c r="D347" s="76" t="s">
        <v>1141</v>
      </c>
      <c r="E347" s="76" t="s">
        <v>1142</v>
      </c>
      <c r="F347" s="35" t="s">
        <v>1365</v>
      </c>
      <c r="G347" s="76" t="s">
        <v>434</v>
      </c>
      <c r="H347" s="78" t="n">
        <v>8</v>
      </c>
      <c r="I347" s="76" t="s">
        <v>1373</v>
      </c>
      <c r="J347" s="76" t="n">
        <v>8</v>
      </c>
      <c r="K347" s="76" t="s">
        <v>1373</v>
      </c>
      <c r="L347" s="77" t="s">
        <v>1114</v>
      </c>
    </row>
    <row r="348" customFormat="false" ht="15" hidden="false" customHeight="false" outlineLevel="0" collapsed="false">
      <c r="A348" s="76" t="s">
        <v>1374</v>
      </c>
      <c r="B348" s="76" t="s">
        <v>57</v>
      </c>
      <c r="C348" s="76" t="s">
        <v>58</v>
      </c>
      <c r="D348" s="76" t="s">
        <v>1151</v>
      </c>
      <c r="E348" s="76" t="s">
        <v>1152</v>
      </c>
      <c r="F348" s="35" t="s">
        <v>1375</v>
      </c>
      <c r="G348" s="76" t="s">
        <v>419</v>
      </c>
      <c r="H348" s="76"/>
      <c r="I348" s="76" t="s">
        <v>1342</v>
      </c>
      <c r="J348" s="76"/>
      <c r="K348" s="76" t="s">
        <v>1342</v>
      </c>
      <c r="L348" s="77" t="s">
        <v>1114</v>
      </c>
    </row>
    <row r="349" customFormat="false" ht="15" hidden="false" customHeight="false" outlineLevel="0" collapsed="false">
      <c r="A349" s="76" t="s">
        <v>1374</v>
      </c>
      <c r="B349" s="76" t="s">
        <v>57</v>
      </c>
      <c r="C349" s="76" t="s">
        <v>58</v>
      </c>
      <c r="D349" s="76" t="s">
        <v>1151</v>
      </c>
      <c r="E349" s="76" t="s">
        <v>1152</v>
      </c>
      <c r="F349" s="35" t="s">
        <v>1375</v>
      </c>
      <c r="G349" s="76" t="s">
        <v>547</v>
      </c>
      <c r="H349" s="76" t="n">
        <v>41</v>
      </c>
      <c r="I349" s="76" t="s">
        <v>1376</v>
      </c>
      <c r="J349" s="76" t="n">
        <v>41</v>
      </c>
      <c r="K349" s="76" t="s">
        <v>1376</v>
      </c>
      <c r="L349" s="77" t="s">
        <v>1114</v>
      </c>
    </row>
    <row r="350" customFormat="false" ht="15" hidden="false" customHeight="false" outlineLevel="0" collapsed="false">
      <c r="A350" s="76" t="s">
        <v>1374</v>
      </c>
      <c r="B350" s="76" t="s">
        <v>57</v>
      </c>
      <c r="C350" s="76" t="s">
        <v>58</v>
      </c>
      <c r="D350" s="76" t="s">
        <v>1151</v>
      </c>
      <c r="E350" s="76" t="s">
        <v>1152</v>
      </c>
      <c r="F350" s="35" t="s">
        <v>1375</v>
      </c>
      <c r="G350" s="76" t="s">
        <v>548</v>
      </c>
      <c r="H350" s="76" t="n">
        <v>200</v>
      </c>
      <c r="I350" s="76" t="s">
        <v>1344</v>
      </c>
      <c r="J350" s="76" t="n">
        <v>200</v>
      </c>
      <c r="K350" s="76" t="s">
        <v>1344</v>
      </c>
      <c r="L350" s="77" t="s">
        <v>1114</v>
      </c>
    </row>
    <row r="351" customFormat="false" ht="15" hidden="false" customHeight="false" outlineLevel="0" collapsed="false">
      <c r="A351" s="76" t="s">
        <v>1374</v>
      </c>
      <c r="B351" s="76" t="s">
        <v>57</v>
      </c>
      <c r="C351" s="76" t="s">
        <v>58</v>
      </c>
      <c r="D351" s="76" t="s">
        <v>1151</v>
      </c>
      <c r="E351" s="76" t="s">
        <v>1152</v>
      </c>
      <c r="F351" s="35" t="s">
        <v>1375</v>
      </c>
      <c r="G351" s="76" t="s">
        <v>549</v>
      </c>
      <c r="H351" s="76" t="n">
        <v>1500</v>
      </c>
      <c r="I351" s="76" t="s">
        <v>1241</v>
      </c>
      <c r="J351" s="76" t="n">
        <v>1500</v>
      </c>
      <c r="K351" s="76" t="s">
        <v>1241</v>
      </c>
      <c r="L351" s="77" t="s">
        <v>1114</v>
      </c>
    </row>
    <row r="352" customFormat="false" ht="15" hidden="false" customHeight="false" outlineLevel="0" collapsed="false">
      <c r="A352" s="76" t="s">
        <v>1374</v>
      </c>
      <c r="B352" s="76" t="s">
        <v>57</v>
      </c>
      <c r="C352" s="76" t="s">
        <v>58</v>
      </c>
      <c r="D352" s="76" t="s">
        <v>1151</v>
      </c>
      <c r="E352" s="76" t="s">
        <v>1152</v>
      </c>
      <c r="F352" s="35" t="s">
        <v>1375</v>
      </c>
      <c r="G352" s="76" t="s">
        <v>550</v>
      </c>
      <c r="H352" s="76" t="n">
        <v>244</v>
      </c>
      <c r="I352" s="76" t="s">
        <v>1377</v>
      </c>
      <c r="J352" s="76" t="n">
        <v>244</v>
      </c>
      <c r="K352" s="76" t="s">
        <v>1377</v>
      </c>
      <c r="L352" s="77" t="s">
        <v>1114</v>
      </c>
    </row>
    <row r="353" customFormat="false" ht="15" hidden="false" customHeight="false" outlineLevel="0" collapsed="false">
      <c r="A353" s="76" t="s">
        <v>1374</v>
      </c>
      <c r="B353" s="76" t="s">
        <v>57</v>
      </c>
      <c r="C353" s="76" t="s">
        <v>58</v>
      </c>
      <c r="D353" s="76" t="s">
        <v>1151</v>
      </c>
      <c r="E353" s="76" t="s">
        <v>1152</v>
      </c>
      <c r="F353" s="35" t="s">
        <v>1375</v>
      </c>
      <c r="G353" s="76" t="s">
        <v>551</v>
      </c>
      <c r="H353" s="76" t="n">
        <v>203</v>
      </c>
      <c r="I353" s="76" t="s">
        <v>1378</v>
      </c>
      <c r="J353" s="76" t="n">
        <v>203</v>
      </c>
      <c r="K353" s="76" t="s">
        <v>1378</v>
      </c>
      <c r="L353" s="77" t="s">
        <v>1114</v>
      </c>
    </row>
    <row r="354" customFormat="false" ht="15" hidden="false" customHeight="false" outlineLevel="0" collapsed="false">
      <c r="A354" s="76" t="s">
        <v>1374</v>
      </c>
      <c r="B354" s="76" t="s">
        <v>57</v>
      </c>
      <c r="C354" s="76" t="s">
        <v>58</v>
      </c>
      <c r="D354" s="76" t="s">
        <v>1151</v>
      </c>
      <c r="E354" s="76" t="s">
        <v>1152</v>
      </c>
      <c r="F354" s="35" t="s">
        <v>1375</v>
      </c>
      <c r="G354" s="76" t="s">
        <v>545</v>
      </c>
      <c r="H354" s="78" t="n">
        <v>21352.1047313592</v>
      </c>
      <c r="I354" s="76" t="s">
        <v>1379</v>
      </c>
      <c r="J354" s="78" t="n">
        <v>21352.1047313592</v>
      </c>
      <c r="K354" s="76" t="s">
        <v>1379</v>
      </c>
      <c r="L354" s="77" t="s">
        <v>1114</v>
      </c>
    </row>
    <row r="355" customFormat="false" ht="15" hidden="false" customHeight="false" outlineLevel="0" collapsed="false">
      <c r="A355" s="76" t="s">
        <v>1374</v>
      </c>
      <c r="B355" s="76" t="s">
        <v>57</v>
      </c>
      <c r="C355" s="76" t="s">
        <v>58</v>
      </c>
      <c r="D355" s="76" t="s">
        <v>1151</v>
      </c>
      <c r="E355" s="76" t="s">
        <v>1152</v>
      </c>
      <c r="F355" s="35" t="s">
        <v>1375</v>
      </c>
      <c r="G355" s="76" t="s">
        <v>553</v>
      </c>
      <c r="H355" s="78" t="n">
        <v>250000</v>
      </c>
      <c r="I355" s="76" t="s">
        <v>1349</v>
      </c>
      <c r="J355" s="76" t="n">
        <v>250000</v>
      </c>
      <c r="K355" s="76" t="s">
        <v>1349</v>
      </c>
      <c r="L355" s="77" t="s">
        <v>1114</v>
      </c>
    </row>
    <row r="356" customFormat="false" ht="15" hidden="false" customHeight="false" outlineLevel="0" collapsed="false">
      <c r="A356" s="76" t="s">
        <v>1374</v>
      </c>
      <c r="B356" s="76" t="s">
        <v>57</v>
      </c>
      <c r="C356" s="76" t="s">
        <v>58</v>
      </c>
      <c r="D356" s="76" t="s">
        <v>1151</v>
      </c>
      <c r="E356" s="76" t="s">
        <v>1152</v>
      </c>
      <c r="F356" s="35" t="s">
        <v>1375</v>
      </c>
      <c r="G356" s="76" t="s">
        <v>434</v>
      </c>
      <c r="H356" s="78" t="n">
        <v>17</v>
      </c>
      <c r="I356" s="76" t="s">
        <v>1363</v>
      </c>
      <c r="J356" s="76" t="n">
        <v>17</v>
      </c>
      <c r="K356" s="76" t="s">
        <v>1363</v>
      </c>
      <c r="L356" s="77" t="s">
        <v>1114</v>
      </c>
    </row>
    <row r="357" customFormat="false" ht="15" hidden="false" customHeight="false" outlineLevel="0" collapsed="false">
      <c r="A357" s="76" t="s">
        <v>1380</v>
      </c>
      <c r="B357" s="76" t="s">
        <v>57</v>
      </c>
      <c r="C357" s="76" t="s">
        <v>58</v>
      </c>
      <c r="D357" s="76" t="s">
        <v>1161</v>
      </c>
      <c r="E357" s="76" t="s">
        <v>1162</v>
      </c>
      <c r="F357" s="35" t="s">
        <v>1381</v>
      </c>
      <c r="G357" s="76" t="s">
        <v>419</v>
      </c>
      <c r="H357" s="76"/>
      <c r="I357" s="76" t="s">
        <v>1342</v>
      </c>
      <c r="J357" s="76"/>
      <c r="K357" s="76" t="s">
        <v>1342</v>
      </c>
      <c r="L357" s="77" t="s">
        <v>1114</v>
      </c>
    </row>
    <row r="358" customFormat="false" ht="15" hidden="false" customHeight="false" outlineLevel="0" collapsed="false">
      <c r="A358" s="76" t="s">
        <v>1380</v>
      </c>
      <c r="B358" s="76" t="s">
        <v>57</v>
      </c>
      <c r="C358" s="76" t="s">
        <v>58</v>
      </c>
      <c r="D358" s="76" t="s">
        <v>1161</v>
      </c>
      <c r="E358" s="76" t="s">
        <v>1162</v>
      </c>
      <c r="F358" s="35" t="s">
        <v>1381</v>
      </c>
      <c r="G358" s="76" t="s">
        <v>547</v>
      </c>
      <c r="H358" s="76"/>
      <c r="I358" s="76" t="s">
        <v>1250</v>
      </c>
      <c r="J358" s="76"/>
      <c r="K358" s="76" t="s">
        <v>1250</v>
      </c>
      <c r="L358" s="77" t="s">
        <v>1114</v>
      </c>
    </row>
    <row r="359" customFormat="false" ht="15" hidden="false" customHeight="false" outlineLevel="0" collapsed="false">
      <c r="A359" s="76" t="s">
        <v>1380</v>
      </c>
      <c r="B359" s="76" t="s">
        <v>57</v>
      </c>
      <c r="C359" s="76" t="s">
        <v>58</v>
      </c>
      <c r="D359" s="76" t="s">
        <v>1161</v>
      </c>
      <c r="E359" s="76" t="s">
        <v>1162</v>
      </c>
      <c r="F359" s="35" t="s">
        <v>1381</v>
      </c>
      <c r="G359" s="76" t="s">
        <v>548</v>
      </c>
      <c r="H359" s="76" t="n">
        <v>200</v>
      </c>
      <c r="I359" s="76" t="s">
        <v>1344</v>
      </c>
      <c r="J359" s="76" t="n">
        <v>200</v>
      </c>
      <c r="K359" s="76" t="s">
        <v>1344</v>
      </c>
      <c r="L359" s="77" t="s">
        <v>1114</v>
      </c>
    </row>
    <row r="360" customFormat="false" ht="15" hidden="false" customHeight="false" outlineLevel="0" collapsed="false">
      <c r="A360" s="76" t="s">
        <v>1380</v>
      </c>
      <c r="B360" s="76" t="s">
        <v>57</v>
      </c>
      <c r="C360" s="76" t="s">
        <v>58</v>
      </c>
      <c r="D360" s="76" t="s">
        <v>1161</v>
      </c>
      <c r="E360" s="76" t="s">
        <v>1162</v>
      </c>
      <c r="F360" s="35" t="s">
        <v>1381</v>
      </c>
      <c r="G360" s="76" t="s">
        <v>549</v>
      </c>
      <c r="H360" s="76" t="n">
        <v>700</v>
      </c>
      <c r="I360" s="76" t="s">
        <v>1382</v>
      </c>
      <c r="J360" s="76" t="n">
        <v>700</v>
      </c>
      <c r="K360" s="76" t="s">
        <v>1382</v>
      </c>
      <c r="L360" s="77" t="s">
        <v>1114</v>
      </c>
    </row>
    <row r="361" customFormat="false" ht="15" hidden="false" customHeight="false" outlineLevel="0" collapsed="false">
      <c r="A361" s="76" t="s">
        <v>1380</v>
      </c>
      <c r="B361" s="76" t="s">
        <v>57</v>
      </c>
      <c r="C361" s="76" t="s">
        <v>58</v>
      </c>
      <c r="D361" s="76" t="s">
        <v>1161</v>
      </c>
      <c r="E361" s="76" t="s">
        <v>1162</v>
      </c>
      <c r="F361" s="35" t="s">
        <v>1381</v>
      </c>
      <c r="G361" s="76" t="s">
        <v>550</v>
      </c>
      <c r="H361" s="76"/>
      <c r="I361" s="76" t="s">
        <v>1250</v>
      </c>
      <c r="J361" s="76"/>
      <c r="K361" s="76" t="s">
        <v>1250</v>
      </c>
      <c r="L361" s="77" t="s">
        <v>1114</v>
      </c>
    </row>
    <row r="362" customFormat="false" ht="15" hidden="false" customHeight="false" outlineLevel="0" collapsed="false">
      <c r="A362" s="76" t="s">
        <v>1380</v>
      </c>
      <c r="B362" s="76" t="s">
        <v>57</v>
      </c>
      <c r="C362" s="76" t="s">
        <v>58</v>
      </c>
      <c r="D362" s="76" t="s">
        <v>1161</v>
      </c>
      <c r="E362" s="76" t="s">
        <v>1162</v>
      </c>
      <c r="F362" s="35" t="s">
        <v>1381</v>
      </c>
      <c r="G362" s="76" t="s">
        <v>551</v>
      </c>
      <c r="H362" s="76" t="n">
        <v>783</v>
      </c>
      <c r="I362" s="76" t="s">
        <v>1383</v>
      </c>
      <c r="J362" s="76" t="n">
        <v>783</v>
      </c>
      <c r="K362" s="76" t="s">
        <v>1383</v>
      </c>
      <c r="L362" s="77" t="s">
        <v>1114</v>
      </c>
    </row>
    <row r="363" customFormat="false" ht="15" hidden="false" customHeight="false" outlineLevel="0" collapsed="false">
      <c r="A363" s="76" t="s">
        <v>1380</v>
      </c>
      <c r="B363" s="76" t="s">
        <v>57</v>
      </c>
      <c r="C363" s="76" t="s">
        <v>58</v>
      </c>
      <c r="D363" s="76" t="s">
        <v>1161</v>
      </c>
      <c r="E363" s="76" t="s">
        <v>1162</v>
      </c>
      <c r="F363" s="35" t="s">
        <v>1381</v>
      </c>
      <c r="G363" s="76" t="s">
        <v>545</v>
      </c>
      <c r="H363" s="78" t="n">
        <v>-453063.586277447</v>
      </c>
      <c r="I363" s="76" t="s">
        <v>1384</v>
      </c>
      <c r="J363" s="78" t="n">
        <v>-453063.586277447</v>
      </c>
      <c r="K363" s="76" t="s">
        <v>1384</v>
      </c>
      <c r="L363" s="77" t="s">
        <v>1114</v>
      </c>
    </row>
    <row r="364" customFormat="false" ht="15" hidden="false" customHeight="false" outlineLevel="0" collapsed="false">
      <c r="A364" s="76" t="s">
        <v>1380</v>
      </c>
      <c r="B364" s="76" t="s">
        <v>57</v>
      </c>
      <c r="C364" s="76" t="s">
        <v>58</v>
      </c>
      <c r="D364" s="76" t="s">
        <v>1161</v>
      </c>
      <c r="E364" s="76" t="s">
        <v>1162</v>
      </c>
      <c r="F364" s="35" t="s">
        <v>1381</v>
      </c>
      <c r="G364" s="76" t="s">
        <v>553</v>
      </c>
      <c r="H364" s="78" t="n">
        <v>250000</v>
      </c>
      <c r="I364" s="76" t="s">
        <v>1349</v>
      </c>
      <c r="J364" s="76" t="n">
        <v>250000</v>
      </c>
      <c r="K364" s="76" t="s">
        <v>1349</v>
      </c>
      <c r="L364" s="77" t="s">
        <v>1114</v>
      </c>
    </row>
    <row r="365" customFormat="false" ht="15" hidden="false" customHeight="false" outlineLevel="0" collapsed="false">
      <c r="A365" s="76" t="s">
        <v>1380</v>
      </c>
      <c r="B365" s="76" t="s">
        <v>57</v>
      </c>
      <c r="C365" s="76" t="s">
        <v>58</v>
      </c>
      <c r="D365" s="76" t="s">
        <v>1161</v>
      </c>
      <c r="E365" s="76" t="s">
        <v>1162</v>
      </c>
      <c r="F365" s="35" t="s">
        <v>1381</v>
      </c>
      <c r="G365" s="76" t="s">
        <v>434</v>
      </c>
      <c r="H365" s="78" t="n">
        <v>66</v>
      </c>
      <c r="I365" s="76" t="s">
        <v>1385</v>
      </c>
      <c r="J365" s="76" t="n">
        <v>66</v>
      </c>
      <c r="K365" s="76" t="s">
        <v>1385</v>
      </c>
      <c r="L365" s="77" t="s">
        <v>1114</v>
      </c>
    </row>
    <row r="366" customFormat="false" ht="15" hidden="false" customHeight="false" outlineLevel="0" collapsed="false">
      <c r="A366" s="76" t="s">
        <v>1386</v>
      </c>
      <c r="B366" s="76" t="s">
        <v>57</v>
      </c>
      <c r="C366" s="76" t="s">
        <v>58</v>
      </c>
      <c r="D366" s="76" t="s">
        <v>1170</v>
      </c>
      <c r="E366" s="76" t="s">
        <v>1171</v>
      </c>
      <c r="F366" s="35" t="s">
        <v>1387</v>
      </c>
      <c r="G366" s="76" t="s">
        <v>419</v>
      </c>
      <c r="H366" s="76"/>
      <c r="I366" s="76" t="s">
        <v>1342</v>
      </c>
      <c r="J366" s="76"/>
      <c r="K366" s="76" t="s">
        <v>1342</v>
      </c>
      <c r="L366" s="77" t="s">
        <v>1114</v>
      </c>
    </row>
    <row r="367" customFormat="false" ht="15" hidden="false" customHeight="false" outlineLevel="0" collapsed="false">
      <c r="A367" s="76" t="s">
        <v>1386</v>
      </c>
      <c r="B367" s="76" t="s">
        <v>57</v>
      </c>
      <c r="C367" s="76" t="s">
        <v>58</v>
      </c>
      <c r="D367" s="76" t="s">
        <v>1170</v>
      </c>
      <c r="E367" s="76" t="s">
        <v>1171</v>
      </c>
      <c r="F367" s="35" t="s">
        <v>1387</v>
      </c>
      <c r="G367" s="76" t="s">
        <v>547</v>
      </c>
      <c r="H367" s="76"/>
      <c r="I367" s="76" t="s">
        <v>1250</v>
      </c>
      <c r="J367" s="76"/>
      <c r="K367" s="76" t="s">
        <v>1250</v>
      </c>
      <c r="L367" s="77" t="s">
        <v>1114</v>
      </c>
    </row>
    <row r="368" customFormat="false" ht="15" hidden="false" customHeight="false" outlineLevel="0" collapsed="false">
      <c r="A368" s="76" t="s">
        <v>1386</v>
      </c>
      <c r="B368" s="76" t="s">
        <v>57</v>
      </c>
      <c r="C368" s="76" t="s">
        <v>58</v>
      </c>
      <c r="D368" s="76" t="s">
        <v>1170</v>
      </c>
      <c r="E368" s="76" t="s">
        <v>1171</v>
      </c>
      <c r="F368" s="35" t="s">
        <v>1387</v>
      </c>
      <c r="G368" s="76" t="s">
        <v>548</v>
      </c>
      <c r="H368" s="76" t="n">
        <v>100</v>
      </c>
      <c r="I368" s="76" t="s">
        <v>1388</v>
      </c>
      <c r="J368" s="76" t="n">
        <v>100</v>
      </c>
      <c r="K368" s="76" t="s">
        <v>1388</v>
      </c>
      <c r="L368" s="77" t="s">
        <v>1114</v>
      </c>
    </row>
    <row r="369" customFormat="false" ht="15" hidden="false" customHeight="false" outlineLevel="0" collapsed="false">
      <c r="A369" s="76" t="s">
        <v>1386</v>
      </c>
      <c r="B369" s="76" t="s">
        <v>57</v>
      </c>
      <c r="C369" s="76" t="s">
        <v>58</v>
      </c>
      <c r="D369" s="76" t="s">
        <v>1170</v>
      </c>
      <c r="E369" s="76" t="s">
        <v>1171</v>
      </c>
      <c r="F369" s="35" t="s">
        <v>1387</v>
      </c>
      <c r="G369" s="76" t="s">
        <v>549</v>
      </c>
      <c r="H369" s="76" t="n">
        <v>700</v>
      </c>
      <c r="I369" s="76" t="s">
        <v>1382</v>
      </c>
      <c r="J369" s="76" t="n">
        <v>700</v>
      </c>
      <c r="K369" s="76" t="s">
        <v>1382</v>
      </c>
      <c r="L369" s="77" t="s">
        <v>1114</v>
      </c>
    </row>
    <row r="370" customFormat="false" ht="15" hidden="false" customHeight="false" outlineLevel="0" collapsed="false">
      <c r="A370" s="76" t="s">
        <v>1386</v>
      </c>
      <c r="B370" s="76" t="s">
        <v>57</v>
      </c>
      <c r="C370" s="76" t="s">
        <v>58</v>
      </c>
      <c r="D370" s="76" t="s">
        <v>1170</v>
      </c>
      <c r="E370" s="76" t="s">
        <v>1171</v>
      </c>
      <c r="F370" s="35" t="s">
        <v>1387</v>
      </c>
      <c r="G370" s="76" t="s">
        <v>550</v>
      </c>
      <c r="H370" s="76"/>
      <c r="I370" s="76" t="s">
        <v>1250</v>
      </c>
      <c r="J370" s="76"/>
      <c r="K370" s="76" t="s">
        <v>1250</v>
      </c>
      <c r="L370" s="77" t="s">
        <v>1114</v>
      </c>
    </row>
    <row r="371" customFormat="false" ht="15" hidden="false" customHeight="false" outlineLevel="0" collapsed="false">
      <c r="A371" s="76" t="s">
        <v>1386</v>
      </c>
      <c r="B371" s="76" t="s">
        <v>57</v>
      </c>
      <c r="C371" s="76" t="s">
        <v>58</v>
      </c>
      <c r="D371" s="76" t="s">
        <v>1170</v>
      </c>
      <c r="E371" s="76" t="s">
        <v>1171</v>
      </c>
      <c r="F371" s="35" t="s">
        <v>1387</v>
      </c>
      <c r="G371" s="76" t="s">
        <v>551</v>
      </c>
      <c r="H371" s="76"/>
      <c r="I371" s="76" t="s">
        <v>1389</v>
      </c>
      <c r="J371" s="76" t="s">
        <v>1390</v>
      </c>
      <c r="K371" s="76" t="s">
        <v>1389</v>
      </c>
      <c r="L371" s="77" t="s">
        <v>1114</v>
      </c>
    </row>
    <row r="372" customFormat="false" ht="15" hidden="false" customHeight="false" outlineLevel="0" collapsed="false">
      <c r="A372" s="76" t="s">
        <v>1386</v>
      </c>
      <c r="B372" s="76" t="s">
        <v>57</v>
      </c>
      <c r="C372" s="76" t="s">
        <v>58</v>
      </c>
      <c r="D372" s="76" t="s">
        <v>1170</v>
      </c>
      <c r="E372" s="76" t="s">
        <v>1171</v>
      </c>
      <c r="F372" s="35" t="s">
        <v>1387</v>
      </c>
      <c r="G372" s="76" t="s">
        <v>545</v>
      </c>
      <c r="H372" s="76" t="n">
        <v>0</v>
      </c>
      <c r="I372" s="76" t="s">
        <v>1127</v>
      </c>
      <c r="J372" s="76" t="n">
        <v>0</v>
      </c>
      <c r="K372" s="76" t="s">
        <v>1127</v>
      </c>
      <c r="L372" s="77" t="s">
        <v>1114</v>
      </c>
    </row>
    <row r="373" customFormat="false" ht="15" hidden="false" customHeight="false" outlineLevel="0" collapsed="false">
      <c r="A373" s="76" t="s">
        <v>1386</v>
      </c>
      <c r="B373" s="76" t="s">
        <v>57</v>
      </c>
      <c r="C373" s="76" t="s">
        <v>58</v>
      </c>
      <c r="D373" s="76" t="s">
        <v>1170</v>
      </c>
      <c r="E373" s="76" t="s">
        <v>1171</v>
      </c>
      <c r="F373" s="35" t="s">
        <v>1387</v>
      </c>
      <c r="G373" s="76" t="s">
        <v>553</v>
      </c>
      <c r="H373" s="78" t="n">
        <v>250000</v>
      </c>
      <c r="I373" s="76" t="s">
        <v>1349</v>
      </c>
      <c r="J373" s="76" t="n">
        <v>250000</v>
      </c>
      <c r="K373" s="76" t="s">
        <v>1349</v>
      </c>
      <c r="L373" s="77" t="s">
        <v>1114</v>
      </c>
    </row>
    <row r="374" customFormat="false" ht="15" hidden="false" customHeight="false" outlineLevel="0" collapsed="false">
      <c r="A374" s="76" t="s">
        <v>1386</v>
      </c>
      <c r="B374" s="76" t="s">
        <v>57</v>
      </c>
      <c r="C374" s="76" t="s">
        <v>58</v>
      </c>
      <c r="D374" s="76" t="s">
        <v>1170</v>
      </c>
      <c r="E374" s="76" t="s">
        <v>1171</v>
      </c>
      <c r="F374" s="35" t="s">
        <v>1387</v>
      </c>
      <c r="G374" s="76" t="s">
        <v>434</v>
      </c>
      <c r="H374" s="76" t="s">
        <v>1390</v>
      </c>
      <c r="I374" s="76" t="s">
        <v>1390</v>
      </c>
      <c r="J374" s="76" t="s">
        <v>1390</v>
      </c>
      <c r="K374" s="76" t="s">
        <v>1390</v>
      </c>
      <c r="L374" s="77" t="s">
        <v>1114</v>
      </c>
    </row>
    <row r="375" customFormat="false" ht="15" hidden="false" customHeight="false" outlineLevel="0" collapsed="false">
      <c r="A375" s="76" t="s">
        <v>1391</v>
      </c>
      <c r="B375" s="76" t="s">
        <v>57</v>
      </c>
      <c r="C375" s="76" t="s">
        <v>58</v>
      </c>
      <c r="D375" s="76" t="s">
        <v>1180</v>
      </c>
      <c r="E375" s="76" t="s">
        <v>1152</v>
      </c>
      <c r="F375" s="35" t="s">
        <v>1392</v>
      </c>
      <c r="G375" s="76" t="s">
        <v>419</v>
      </c>
      <c r="H375" s="76"/>
      <c r="I375" s="76" t="s">
        <v>1342</v>
      </c>
      <c r="J375" s="76"/>
      <c r="K375" s="76" t="s">
        <v>1342</v>
      </c>
      <c r="L375" s="77" t="s">
        <v>1114</v>
      </c>
    </row>
    <row r="376" customFormat="false" ht="15" hidden="false" customHeight="false" outlineLevel="0" collapsed="false">
      <c r="A376" s="76" t="s">
        <v>1391</v>
      </c>
      <c r="B376" s="76" t="s">
        <v>57</v>
      </c>
      <c r="C376" s="76" t="s">
        <v>58</v>
      </c>
      <c r="D376" s="76" t="s">
        <v>1180</v>
      </c>
      <c r="E376" s="76" t="s">
        <v>1152</v>
      </c>
      <c r="F376" s="35" t="s">
        <v>1392</v>
      </c>
      <c r="G376" s="76" t="s">
        <v>547</v>
      </c>
      <c r="H376" s="76" t="n">
        <v>8</v>
      </c>
      <c r="I376" s="76" t="s">
        <v>1393</v>
      </c>
      <c r="J376" s="76" t="n">
        <v>8</v>
      </c>
      <c r="K376" s="76" t="s">
        <v>1393</v>
      </c>
      <c r="L376" s="77" t="s">
        <v>1114</v>
      </c>
    </row>
    <row r="377" customFormat="false" ht="15" hidden="false" customHeight="false" outlineLevel="0" collapsed="false">
      <c r="A377" s="76" t="s">
        <v>1391</v>
      </c>
      <c r="B377" s="76" t="s">
        <v>57</v>
      </c>
      <c r="C377" s="76" t="s">
        <v>58</v>
      </c>
      <c r="D377" s="76" t="s">
        <v>1180</v>
      </c>
      <c r="E377" s="76" t="s">
        <v>1152</v>
      </c>
      <c r="F377" s="35" t="s">
        <v>1392</v>
      </c>
      <c r="G377" s="76" t="s">
        <v>548</v>
      </c>
      <c r="H377" s="76" t="n">
        <v>475</v>
      </c>
      <c r="I377" s="76" t="s">
        <v>1394</v>
      </c>
      <c r="J377" s="76" t="n">
        <v>475</v>
      </c>
      <c r="K377" s="76" t="s">
        <v>1394</v>
      </c>
      <c r="L377" s="77" t="s">
        <v>1114</v>
      </c>
    </row>
    <row r="378" customFormat="false" ht="15" hidden="false" customHeight="false" outlineLevel="0" collapsed="false">
      <c r="A378" s="76" t="s">
        <v>1391</v>
      </c>
      <c r="B378" s="76" t="s">
        <v>57</v>
      </c>
      <c r="C378" s="76" t="s">
        <v>58</v>
      </c>
      <c r="D378" s="76" t="s">
        <v>1180</v>
      </c>
      <c r="E378" s="76" t="s">
        <v>1152</v>
      </c>
      <c r="F378" s="35" t="s">
        <v>1392</v>
      </c>
      <c r="G378" s="76" t="s">
        <v>549</v>
      </c>
      <c r="H378" s="78" t="n">
        <v>7295.12609172546</v>
      </c>
      <c r="I378" s="76" t="s">
        <v>1395</v>
      </c>
      <c r="J378" s="78" t="n">
        <v>7295.12609172546</v>
      </c>
      <c r="K378" s="76" t="s">
        <v>1395</v>
      </c>
      <c r="L378" s="77" t="s">
        <v>1114</v>
      </c>
    </row>
    <row r="379" customFormat="false" ht="15" hidden="false" customHeight="false" outlineLevel="0" collapsed="false">
      <c r="A379" s="76" t="s">
        <v>1391</v>
      </c>
      <c r="B379" s="76" t="s">
        <v>57</v>
      </c>
      <c r="C379" s="76" t="s">
        <v>58</v>
      </c>
      <c r="D379" s="76" t="s">
        <v>1180</v>
      </c>
      <c r="E379" s="76" t="s">
        <v>1152</v>
      </c>
      <c r="F379" s="35" t="s">
        <v>1392</v>
      </c>
      <c r="G379" s="76" t="s">
        <v>550</v>
      </c>
      <c r="H379" s="76" t="n">
        <v>120</v>
      </c>
      <c r="I379" s="76" t="s">
        <v>1396</v>
      </c>
      <c r="J379" s="76" t="n">
        <v>120</v>
      </c>
      <c r="K379" s="76" t="s">
        <v>1396</v>
      </c>
      <c r="L379" s="77" t="s">
        <v>1114</v>
      </c>
    </row>
    <row r="380" customFormat="false" ht="15" hidden="false" customHeight="false" outlineLevel="0" collapsed="false">
      <c r="A380" s="76" t="s">
        <v>1391</v>
      </c>
      <c r="B380" s="76" t="s">
        <v>57</v>
      </c>
      <c r="C380" s="76" t="s">
        <v>58</v>
      </c>
      <c r="D380" s="76" t="s">
        <v>1180</v>
      </c>
      <c r="E380" s="76" t="s">
        <v>1152</v>
      </c>
      <c r="F380" s="35" t="s">
        <v>1392</v>
      </c>
      <c r="G380" s="76" t="s">
        <v>551</v>
      </c>
      <c r="H380" s="76" t="n">
        <v>112</v>
      </c>
      <c r="I380" s="76" t="s">
        <v>1397</v>
      </c>
      <c r="J380" s="76" t="n">
        <v>112</v>
      </c>
      <c r="K380" s="76" t="s">
        <v>1397</v>
      </c>
      <c r="L380" s="77" t="s">
        <v>1114</v>
      </c>
    </row>
    <row r="381" customFormat="false" ht="15" hidden="false" customHeight="false" outlineLevel="0" collapsed="false">
      <c r="A381" s="76" t="s">
        <v>1391</v>
      </c>
      <c r="B381" s="76" t="s">
        <v>57</v>
      </c>
      <c r="C381" s="76" t="s">
        <v>58</v>
      </c>
      <c r="D381" s="76" t="s">
        <v>1180</v>
      </c>
      <c r="E381" s="76" t="s">
        <v>1152</v>
      </c>
      <c r="F381" s="35" t="s">
        <v>1392</v>
      </c>
      <c r="G381" s="76" t="s">
        <v>545</v>
      </c>
      <c r="H381" s="78" t="n">
        <v>9881.05055405061</v>
      </c>
      <c r="I381" s="76" t="s">
        <v>1398</v>
      </c>
      <c r="J381" s="78" t="n">
        <v>9881.05055405061</v>
      </c>
      <c r="K381" s="76" t="s">
        <v>1398</v>
      </c>
      <c r="L381" s="77" t="s">
        <v>1114</v>
      </c>
    </row>
    <row r="382" customFormat="false" ht="15" hidden="false" customHeight="false" outlineLevel="0" collapsed="false">
      <c r="A382" s="76" t="s">
        <v>1391</v>
      </c>
      <c r="B382" s="76" t="s">
        <v>57</v>
      </c>
      <c r="C382" s="76" t="s">
        <v>58</v>
      </c>
      <c r="D382" s="76" t="s">
        <v>1180</v>
      </c>
      <c r="E382" s="76" t="s">
        <v>1152</v>
      </c>
      <c r="F382" s="35" t="s">
        <v>1392</v>
      </c>
      <c r="G382" s="76" t="s">
        <v>553</v>
      </c>
      <c r="H382" s="78" t="n">
        <v>743000</v>
      </c>
      <c r="I382" s="76" t="s">
        <v>1264</v>
      </c>
      <c r="J382" s="76" t="n">
        <v>743000</v>
      </c>
      <c r="K382" s="76" t="s">
        <v>1264</v>
      </c>
      <c r="L382" s="77" t="s">
        <v>1114</v>
      </c>
    </row>
    <row r="383" customFormat="false" ht="15" hidden="false" customHeight="false" outlineLevel="0" collapsed="false">
      <c r="A383" s="76" t="s">
        <v>1391</v>
      </c>
      <c r="B383" s="76" t="s">
        <v>57</v>
      </c>
      <c r="C383" s="76" t="s">
        <v>58</v>
      </c>
      <c r="D383" s="76" t="s">
        <v>1180</v>
      </c>
      <c r="E383" s="76" t="s">
        <v>1152</v>
      </c>
      <c r="F383" s="35" t="s">
        <v>1392</v>
      </c>
      <c r="G383" s="76" t="s">
        <v>434</v>
      </c>
      <c r="H383" s="78" t="n">
        <v>10</v>
      </c>
      <c r="I383" s="76" t="s">
        <v>1399</v>
      </c>
      <c r="J383" s="76" t="n">
        <v>10</v>
      </c>
      <c r="K383" s="76" t="s">
        <v>1399</v>
      </c>
      <c r="L383" s="77" t="s">
        <v>1114</v>
      </c>
    </row>
    <row r="384" customFormat="false" ht="15" hidden="false" customHeight="false" outlineLevel="0" collapsed="false">
      <c r="A384" s="76" t="s">
        <v>1400</v>
      </c>
      <c r="B384" s="76" t="s">
        <v>57</v>
      </c>
      <c r="C384" s="76" t="s">
        <v>58</v>
      </c>
      <c r="D384" s="76" t="s">
        <v>1189</v>
      </c>
      <c r="E384" s="76" t="s">
        <v>1125</v>
      </c>
      <c r="F384" s="35" t="s">
        <v>1401</v>
      </c>
      <c r="G384" s="76" t="s">
        <v>419</v>
      </c>
      <c r="H384" s="76"/>
      <c r="I384" s="76" t="s">
        <v>1342</v>
      </c>
      <c r="J384" s="76"/>
      <c r="K384" s="76" t="s">
        <v>1342</v>
      </c>
      <c r="L384" s="77" t="s">
        <v>1114</v>
      </c>
    </row>
    <row r="385" customFormat="false" ht="15" hidden="false" customHeight="false" outlineLevel="0" collapsed="false">
      <c r="A385" s="76" t="s">
        <v>1400</v>
      </c>
      <c r="B385" s="76" t="s">
        <v>57</v>
      </c>
      <c r="C385" s="76" t="s">
        <v>58</v>
      </c>
      <c r="D385" s="76" t="s">
        <v>1189</v>
      </c>
      <c r="E385" s="76" t="s">
        <v>1125</v>
      </c>
      <c r="F385" s="35" t="s">
        <v>1401</v>
      </c>
      <c r="G385" s="76" t="s">
        <v>547</v>
      </c>
      <c r="H385" s="76" t="n">
        <v>68</v>
      </c>
      <c r="I385" s="76" t="s">
        <v>1402</v>
      </c>
      <c r="J385" s="76" t="n">
        <v>68</v>
      </c>
      <c r="K385" s="76" t="s">
        <v>1402</v>
      </c>
      <c r="L385" s="77" t="s">
        <v>1114</v>
      </c>
    </row>
    <row r="386" customFormat="false" ht="15" hidden="false" customHeight="false" outlineLevel="0" collapsed="false">
      <c r="A386" s="76" t="s">
        <v>1400</v>
      </c>
      <c r="B386" s="76" t="s">
        <v>57</v>
      </c>
      <c r="C386" s="76" t="s">
        <v>58</v>
      </c>
      <c r="D386" s="76" t="s">
        <v>1189</v>
      </c>
      <c r="E386" s="76" t="s">
        <v>1125</v>
      </c>
      <c r="F386" s="35" t="s">
        <v>1401</v>
      </c>
      <c r="G386" s="76" t="s">
        <v>548</v>
      </c>
      <c r="H386" s="76" t="n">
        <v>800</v>
      </c>
      <c r="I386" s="76" t="s">
        <v>1247</v>
      </c>
      <c r="J386" s="76" t="n">
        <v>800</v>
      </c>
      <c r="K386" s="76" t="s">
        <v>1247</v>
      </c>
      <c r="L386" s="77" t="s">
        <v>1114</v>
      </c>
    </row>
    <row r="387" customFormat="false" ht="15" hidden="false" customHeight="false" outlineLevel="0" collapsed="false">
      <c r="A387" s="76" t="s">
        <v>1400</v>
      </c>
      <c r="B387" s="76" t="s">
        <v>57</v>
      </c>
      <c r="C387" s="76" t="s">
        <v>58</v>
      </c>
      <c r="D387" s="76" t="s">
        <v>1189</v>
      </c>
      <c r="E387" s="76" t="s">
        <v>1125</v>
      </c>
      <c r="F387" s="35" t="s">
        <v>1401</v>
      </c>
      <c r="G387" s="76" t="s">
        <v>549</v>
      </c>
      <c r="H387" s="78" t="n">
        <v>2203.1051317036</v>
      </c>
      <c r="I387" s="76" t="s">
        <v>1403</v>
      </c>
      <c r="J387" s="78" t="n">
        <v>2203.1051317036</v>
      </c>
      <c r="K387" s="76" t="s">
        <v>1403</v>
      </c>
      <c r="L387" s="77" t="s">
        <v>1114</v>
      </c>
    </row>
    <row r="388" customFormat="false" ht="15" hidden="false" customHeight="false" outlineLevel="0" collapsed="false">
      <c r="A388" s="76" t="s">
        <v>1400</v>
      </c>
      <c r="B388" s="76" t="s">
        <v>57</v>
      </c>
      <c r="C388" s="76" t="s">
        <v>58</v>
      </c>
      <c r="D388" s="76" t="s">
        <v>1189</v>
      </c>
      <c r="E388" s="76" t="s">
        <v>1125</v>
      </c>
      <c r="F388" s="35" t="s">
        <v>1401</v>
      </c>
      <c r="G388" s="76" t="s">
        <v>550</v>
      </c>
      <c r="H388" s="76" t="n">
        <v>228</v>
      </c>
      <c r="I388" s="76" t="s">
        <v>1404</v>
      </c>
      <c r="J388" s="76" t="n">
        <v>228</v>
      </c>
      <c r="K388" s="76" t="s">
        <v>1404</v>
      </c>
      <c r="L388" s="77" t="s">
        <v>1114</v>
      </c>
    </row>
    <row r="389" customFormat="false" ht="15" hidden="false" customHeight="false" outlineLevel="0" collapsed="false">
      <c r="A389" s="76" t="s">
        <v>1400</v>
      </c>
      <c r="B389" s="76" t="s">
        <v>57</v>
      </c>
      <c r="C389" s="76" t="s">
        <v>58</v>
      </c>
      <c r="D389" s="76" t="s">
        <v>1189</v>
      </c>
      <c r="E389" s="76" t="s">
        <v>1125</v>
      </c>
      <c r="F389" s="35" t="s">
        <v>1401</v>
      </c>
      <c r="G389" s="76" t="s">
        <v>551</v>
      </c>
      <c r="H389" s="76" t="n">
        <v>160</v>
      </c>
      <c r="I389" s="76" t="s">
        <v>1405</v>
      </c>
      <c r="J389" s="76" t="n">
        <v>160</v>
      </c>
      <c r="K389" s="76" t="s">
        <v>1405</v>
      </c>
      <c r="L389" s="77" t="s">
        <v>1114</v>
      </c>
    </row>
    <row r="390" customFormat="false" ht="15" hidden="false" customHeight="false" outlineLevel="0" collapsed="false">
      <c r="A390" s="76" t="s">
        <v>1400</v>
      </c>
      <c r="B390" s="76" t="s">
        <v>57</v>
      </c>
      <c r="C390" s="76" t="s">
        <v>58</v>
      </c>
      <c r="D390" s="76" t="s">
        <v>1189</v>
      </c>
      <c r="E390" s="76" t="s">
        <v>1125</v>
      </c>
      <c r="F390" s="35" t="s">
        <v>1401</v>
      </c>
      <c r="G390" s="76" t="s">
        <v>545</v>
      </c>
      <c r="H390" s="78" t="n">
        <v>22640.0951612551</v>
      </c>
      <c r="I390" s="76" t="s">
        <v>1406</v>
      </c>
      <c r="J390" s="78" t="n">
        <v>22640.0951612551</v>
      </c>
      <c r="K390" s="76" t="s">
        <v>1406</v>
      </c>
      <c r="L390" s="77" t="s">
        <v>1114</v>
      </c>
    </row>
    <row r="391" customFormat="false" ht="15" hidden="false" customHeight="false" outlineLevel="0" collapsed="false">
      <c r="A391" s="76" t="s">
        <v>1400</v>
      </c>
      <c r="B391" s="76" t="s">
        <v>57</v>
      </c>
      <c r="C391" s="76" t="s">
        <v>58</v>
      </c>
      <c r="D391" s="76" t="s">
        <v>1189</v>
      </c>
      <c r="E391" s="76" t="s">
        <v>1125</v>
      </c>
      <c r="F391" s="35" t="s">
        <v>1401</v>
      </c>
      <c r="G391" s="76" t="s">
        <v>553</v>
      </c>
      <c r="H391" s="78" t="n">
        <v>429000</v>
      </c>
      <c r="I391" s="76" t="s">
        <v>1407</v>
      </c>
      <c r="J391" s="76" t="n">
        <v>429000</v>
      </c>
      <c r="K391" s="76" t="s">
        <v>1407</v>
      </c>
      <c r="L391" s="77" t="s">
        <v>1114</v>
      </c>
    </row>
    <row r="392" customFormat="false" ht="15" hidden="false" customHeight="false" outlineLevel="0" collapsed="false">
      <c r="A392" s="76" t="s">
        <v>1400</v>
      </c>
      <c r="B392" s="76" t="s">
        <v>57</v>
      </c>
      <c r="C392" s="76" t="s">
        <v>58</v>
      </c>
      <c r="D392" s="76" t="s">
        <v>1189</v>
      </c>
      <c r="E392" s="76" t="s">
        <v>1125</v>
      </c>
      <c r="F392" s="35" t="s">
        <v>1401</v>
      </c>
      <c r="G392" s="76" t="s">
        <v>434</v>
      </c>
      <c r="H392" s="78" t="n">
        <v>14</v>
      </c>
      <c r="I392" s="76" t="s">
        <v>1408</v>
      </c>
      <c r="J392" s="76" t="n">
        <v>14</v>
      </c>
      <c r="K392" s="76" t="s">
        <v>1408</v>
      </c>
      <c r="L392" s="77" t="s">
        <v>1114</v>
      </c>
    </row>
    <row r="393" customFormat="false" ht="15" hidden="false" customHeight="false" outlineLevel="0" collapsed="false">
      <c r="A393" s="76" t="s">
        <v>1409</v>
      </c>
      <c r="B393" s="76" t="s">
        <v>57</v>
      </c>
      <c r="C393" s="76" t="s">
        <v>58</v>
      </c>
      <c r="D393" s="76" t="s">
        <v>1198</v>
      </c>
      <c r="E393" s="76" t="s">
        <v>1162</v>
      </c>
      <c r="F393" s="35" t="s">
        <v>1410</v>
      </c>
      <c r="G393" s="76" t="s">
        <v>419</v>
      </c>
      <c r="H393" s="76"/>
      <c r="I393" s="76" t="s">
        <v>1342</v>
      </c>
      <c r="J393" s="76"/>
      <c r="K393" s="76" t="s">
        <v>1342</v>
      </c>
      <c r="L393" s="77" t="s">
        <v>1114</v>
      </c>
    </row>
    <row r="394" customFormat="false" ht="15" hidden="false" customHeight="false" outlineLevel="0" collapsed="false">
      <c r="A394" s="76" t="s">
        <v>1409</v>
      </c>
      <c r="B394" s="76" t="s">
        <v>57</v>
      </c>
      <c r="C394" s="76" t="s">
        <v>58</v>
      </c>
      <c r="D394" s="76" t="s">
        <v>1198</v>
      </c>
      <c r="E394" s="76" t="s">
        <v>1162</v>
      </c>
      <c r="F394" s="35" t="s">
        <v>1410</v>
      </c>
      <c r="G394" s="76" t="s">
        <v>547</v>
      </c>
      <c r="H394" s="76" t="n">
        <v>212</v>
      </c>
      <c r="I394" s="76" t="s">
        <v>1411</v>
      </c>
      <c r="J394" s="76" t="n">
        <v>212</v>
      </c>
      <c r="K394" s="76" t="s">
        <v>1411</v>
      </c>
      <c r="L394" s="77" t="s">
        <v>1114</v>
      </c>
    </row>
    <row r="395" customFormat="false" ht="15" hidden="false" customHeight="false" outlineLevel="0" collapsed="false">
      <c r="A395" s="76" t="s">
        <v>1409</v>
      </c>
      <c r="B395" s="76" t="s">
        <v>57</v>
      </c>
      <c r="C395" s="76" t="s">
        <v>58</v>
      </c>
      <c r="D395" s="76" t="s">
        <v>1198</v>
      </c>
      <c r="E395" s="76" t="s">
        <v>1162</v>
      </c>
      <c r="F395" s="35" t="s">
        <v>1410</v>
      </c>
      <c r="G395" s="76" t="s">
        <v>548</v>
      </c>
      <c r="H395" s="76" t="n">
        <v>1350</v>
      </c>
      <c r="I395" s="76" t="s">
        <v>1412</v>
      </c>
      <c r="J395" s="76" t="n">
        <v>1350</v>
      </c>
      <c r="K395" s="76" t="s">
        <v>1412</v>
      </c>
      <c r="L395" s="77" t="s">
        <v>1114</v>
      </c>
    </row>
    <row r="396" customFormat="false" ht="15" hidden="false" customHeight="false" outlineLevel="0" collapsed="false">
      <c r="A396" s="76" t="s">
        <v>1409</v>
      </c>
      <c r="B396" s="76" t="s">
        <v>57</v>
      </c>
      <c r="C396" s="76" t="s">
        <v>58</v>
      </c>
      <c r="D396" s="76" t="s">
        <v>1198</v>
      </c>
      <c r="E396" s="76" t="s">
        <v>1162</v>
      </c>
      <c r="F396" s="35" t="s">
        <v>1410</v>
      </c>
      <c r="G396" s="76" t="s">
        <v>549</v>
      </c>
      <c r="H396" s="78" t="n">
        <v>422.356275899155</v>
      </c>
      <c r="I396" s="76" t="s">
        <v>1413</v>
      </c>
      <c r="J396" s="78" t="n">
        <v>422.356275899155</v>
      </c>
      <c r="K396" s="76" t="s">
        <v>1413</v>
      </c>
      <c r="L396" s="77" t="s">
        <v>1114</v>
      </c>
    </row>
    <row r="397" customFormat="false" ht="15" hidden="false" customHeight="false" outlineLevel="0" collapsed="false">
      <c r="A397" s="76" t="s">
        <v>1409</v>
      </c>
      <c r="B397" s="76" t="s">
        <v>57</v>
      </c>
      <c r="C397" s="76" t="s">
        <v>58</v>
      </c>
      <c r="D397" s="76" t="s">
        <v>1198</v>
      </c>
      <c r="E397" s="76" t="s">
        <v>1162</v>
      </c>
      <c r="F397" s="35" t="s">
        <v>1410</v>
      </c>
      <c r="G397" s="76" t="s">
        <v>550</v>
      </c>
      <c r="H397" s="76" t="n">
        <v>264</v>
      </c>
      <c r="I397" s="76" t="s">
        <v>1414</v>
      </c>
      <c r="J397" s="76" t="n">
        <v>264</v>
      </c>
      <c r="K397" s="76" t="s">
        <v>1414</v>
      </c>
      <c r="L397" s="77" t="s">
        <v>1114</v>
      </c>
    </row>
    <row r="398" customFormat="false" ht="15" hidden="false" customHeight="false" outlineLevel="0" collapsed="false">
      <c r="A398" s="76" t="s">
        <v>1409</v>
      </c>
      <c r="B398" s="76" t="s">
        <v>57</v>
      </c>
      <c r="C398" s="76" t="s">
        <v>58</v>
      </c>
      <c r="D398" s="76" t="s">
        <v>1198</v>
      </c>
      <c r="E398" s="76" t="s">
        <v>1162</v>
      </c>
      <c r="F398" s="35" t="s">
        <v>1410</v>
      </c>
      <c r="G398" s="76" t="s">
        <v>551</v>
      </c>
      <c r="H398" s="76" t="n">
        <v>52</v>
      </c>
      <c r="I398" s="76" t="s">
        <v>1415</v>
      </c>
      <c r="J398" s="76" t="n">
        <v>52</v>
      </c>
      <c r="K398" s="76" t="s">
        <v>1415</v>
      </c>
      <c r="L398" s="77" t="s">
        <v>1114</v>
      </c>
    </row>
    <row r="399" customFormat="false" ht="15" hidden="false" customHeight="false" outlineLevel="0" collapsed="false">
      <c r="A399" s="76" t="s">
        <v>1409</v>
      </c>
      <c r="B399" s="76" t="s">
        <v>57</v>
      </c>
      <c r="C399" s="76" t="s">
        <v>58</v>
      </c>
      <c r="D399" s="76" t="s">
        <v>1198</v>
      </c>
      <c r="E399" s="76" t="s">
        <v>1162</v>
      </c>
      <c r="F399" s="35" t="s">
        <v>1410</v>
      </c>
      <c r="G399" s="76" t="s">
        <v>545</v>
      </c>
      <c r="H399" s="78" t="n">
        <v>19941.5970905085</v>
      </c>
      <c r="I399" s="76" t="s">
        <v>1416</v>
      </c>
      <c r="J399" s="78" t="n">
        <v>19941.5970905085</v>
      </c>
      <c r="K399" s="76" t="s">
        <v>1416</v>
      </c>
      <c r="L399" s="77" t="s">
        <v>1114</v>
      </c>
    </row>
    <row r="400" customFormat="false" ht="15" hidden="false" customHeight="false" outlineLevel="0" collapsed="false">
      <c r="A400" s="76" t="s">
        <v>1409</v>
      </c>
      <c r="B400" s="76" t="s">
        <v>57</v>
      </c>
      <c r="C400" s="76" t="s">
        <v>58</v>
      </c>
      <c r="D400" s="76" t="s">
        <v>1198</v>
      </c>
      <c r="E400" s="76" t="s">
        <v>1162</v>
      </c>
      <c r="F400" s="35" t="s">
        <v>1410</v>
      </c>
      <c r="G400" s="76" t="s">
        <v>553</v>
      </c>
      <c r="H400" s="78" t="n">
        <v>87000</v>
      </c>
      <c r="I400" s="76" t="s">
        <v>1417</v>
      </c>
      <c r="J400" s="76" t="n">
        <v>87000</v>
      </c>
      <c r="K400" s="76" t="s">
        <v>1417</v>
      </c>
      <c r="L400" s="77" t="s">
        <v>1114</v>
      </c>
    </row>
    <row r="401" customFormat="false" ht="15" hidden="false" customHeight="false" outlineLevel="0" collapsed="false">
      <c r="A401" s="76" t="s">
        <v>1409</v>
      </c>
      <c r="B401" s="76" t="s">
        <v>57</v>
      </c>
      <c r="C401" s="76" t="s">
        <v>58</v>
      </c>
      <c r="D401" s="76" t="s">
        <v>1198</v>
      </c>
      <c r="E401" s="76" t="s">
        <v>1162</v>
      </c>
      <c r="F401" s="35" t="s">
        <v>1410</v>
      </c>
      <c r="G401" s="76" t="s">
        <v>434</v>
      </c>
      <c r="H401" s="78" t="n">
        <v>5</v>
      </c>
      <c r="I401" s="76" t="s">
        <v>1418</v>
      </c>
      <c r="J401" s="76" t="n">
        <v>5</v>
      </c>
      <c r="K401" s="76" t="s">
        <v>1418</v>
      </c>
      <c r="L401" s="77" t="s">
        <v>1114</v>
      </c>
    </row>
    <row r="402" customFormat="false" ht="15" hidden="false" customHeight="false" outlineLevel="0" collapsed="false">
      <c r="A402" s="76" t="s">
        <v>1419</v>
      </c>
      <c r="B402" s="76" t="s">
        <v>57</v>
      </c>
      <c r="C402" s="76" t="s">
        <v>58</v>
      </c>
      <c r="D402" s="76" t="s">
        <v>1280</v>
      </c>
      <c r="E402" s="76" t="s">
        <v>1112</v>
      </c>
      <c r="F402" s="35" t="s">
        <v>1420</v>
      </c>
      <c r="G402" s="76" t="s">
        <v>419</v>
      </c>
      <c r="H402" s="76"/>
      <c r="I402" s="76" t="s">
        <v>1342</v>
      </c>
      <c r="J402" s="76"/>
      <c r="K402" s="76" t="s">
        <v>1342</v>
      </c>
      <c r="L402" s="77" t="s">
        <v>1114</v>
      </c>
    </row>
    <row r="403" customFormat="false" ht="15" hidden="false" customHeight="false" outlineLevel="0" collapsed="false">
      <c r="A403" s="76" t="s">
        <v>1419</v>
      </c>
      <c r="B403" s="76" t="s">
        <v>57</v>
      </c>
      <c r="C403" s="76" t="s">
        <v>58</v>
      </c>
      <c r="D403" s="76" t="s">
        <v>1280</v>
      </c>
      <c r="E403" s="76" t="s">
        <v>1112</v>
      </c>
      <c r="F403" s="35" t="s">
        <v>1420</v>
      </c>
      <c r="G403" s="76" t="s">
        <v>547</v>
      </c>
      <c r="H403" s="76" t="n">
        <v>0</v>
      </c>
      <c r="I403" s="76" t="s">
        <v>1353</v>
      </c>
      <c r="J403" s="76" t="n">
        <v>0</v>
      </c>
      <c r="K403" s="76" t="s">
        <v>1353</v>
      </c>
      <c r="L403" s="77" t="s">
        <v>1114</v>
      </c>
    </row>
    <row r="404" customFormat="false" ht="15" hidden="false" customHeight="false" outlineLevel="0" collapsed="false">
      <c r="A404" s="76" t="s">
        <v>1419</v>
      </c>
      <c r="B404" s="76" t="s">
        <v>57</v>
      </c>
      <c r="C404" s="76" t="s">
        <v>58</v>
      </c>
      <c r="D404" s="76" t="s">
        <v>1280</v>
      </c>
      <c r="E404" s="76" t="s">
        <v>1112</v>
      </c>
      <c r="F404" s="35" t="s">
        <v>1420</v>
      </c>
      <c r="G404" s="76" t="s">
        <v>548</v>
      </c>
      <c r="H404" s="76" t="n">
        <v>0</v>
      </c>
      <c r="I404" s="76" t="s">
        <v>1127</v>
      </c>
      <c r="J404" s="76" t="n">
        <v>0</v>
      </c>
      <c r="K404" s="76" t="s">
        <v>1127</v>
      </c>
      <c r="L404" s="77" t="s">
        <v>1114</v>
      </c>
    </row>
    <row r="405" customFormat="false" ht="15" hidden="false" customHeight="false" outlineLevel="0" collapsed="false">
      <c r="A405" s="76" t="s">
        <v>1419</v>
      </c>
      <c r="B405" s="76" t="s">
        <v>57</v>
      </c>
      <c r="C405" s="76" t="s">
        <v>58</v>
      </c>
      <c r="D405" s="76" t="s">
        <v>1280</v>
      </c>
      <c r="E405" s="76" t="s">
        <v>1112</v>
      </c>
      <c r="F405" s="35" t="s">
        <v>1420</v>
      </c>
      <c r="G405" s="76" t="s">
        <v>549</v>
      </c>
      <c r="H405" s="76" t="n">
        <v>840</v>
      </c>
      <c r="I405" s="76" t="s">
        <v>1421</v>
      </c>
      <c r="J405" s="76" t="n">
        <v>840</v>
      </c>
      <c r="K405" s="76" t="s">
        <v>1421</v>
      </c>
      <c r="L405" s="77" t="s">
        <v>1114</v>
      </c>
    </row>
    <row r="406" customFormat="false" ht="15" hidden="false" customHeight="false" outlineLevel="0" collapsed="false">
      <c r="A406" s="76" t="s">
        <v>1419</v>
      </c>
      <c r="B406" s="76" t="s">
        <v>57</v>
      </c>
      <c r="C406" s="76" t="s">
        <v>58</v>
      </c>
      <c r="D406" s="76" t="s">
        <v>1280</v>
      </c>
      <c r="E406" s="76" t="s">
        <v>1112</v>
      </c>
      <c r="F406" s="35" t="s">
        <v>1420</v>
      </c>
      <c r="G406" s="76" t="s">
        <v>550</v>
      </c>
      <c r="H406" s="76" t="n">
        <v>1200</v>
      </c>
      <c r="I406" s="76" t="s">
        <v>1422</v>
      </c>
      <c r="J406" s="76" t="n">
        <v>1200</v>
      </c>
      <c r="K406" s="76" t="s">
        <v>1422</v>
      </c>
      <c r="L406" s="77" t="s">
        <v>1114</v>
      </c>
    </row>
    <row r="407" customFormat="false" ht="15" hidden="false" customHeight="false" outlineLevel="0" collapsed="false">
      <c r="A407" s="76" t="s">
        <v>1419</v>
      </c>
      <c r="B407" s="76" t="s">
        <v>57</v>
      </c>
      <c r="C407" s="76" t="s">
        <v>58</v>
      </c>
      <c r="D407" s="76" t="s">
        <v>1280</v>
      </c>
      <c r="E407" s="76" t="s">
        <v>1112</v>
      </c>
      <c r="F407" s="35" t="s">
        <v>1420</v>
      </c>
      <c r="G407" s="76" t="s">
        <v>551</v>
      </c>
      <c r="H407" s="76" t="n">
        <v>1200</v>
      </c>
      <c r="I407" s="76" t="s">
        <v>1422</v>
      </c>
      <c r="J407" s="76" t="n">
        <v>1200</v>
      </c>
      <c r="K407" s="76" t="s">
        <v>1422</v>
      </c>
      <c r="L407" s="77" t="s">
        <v>1114</v>
      </c>
    </row>
    <row r="408" customFormat="false" ht="15" hidden="false" customHeight="false" outlineLevel="0" collapsed="false">
      <c r="A408" s="76" t="s">
        <v>1419</v>
      </c>
      <c r="B408" s="76" t="s">
        <v>57</v>
      </c>
      <c r="C408" s="76" t="s">
        <v>58</v>
      </c>
      <c r="D408" s="76" t="s">
        <v>1280</v>
      </c>
      <c r="E408" s="76" t="s">
        <v>1112</v>
      </c>
      <c r="F408" s="35" t="s">
        <v>1420</v>
      </c>
      <c r="G408" s="76" t="s">
        <v>545</v>
      </c>
      <c r="H408" s="76" t="n">
        <v>0</v>
      </c>
      <c r="I408" s="76" t="s">
        <v>1127</v>
      </c>
      <c r="J408" s="76" t="n">
        <v>0</v>
      </c>
      <c r="K408" s="76" t="s">
        <v>1127</v>
      </c>
      <c r="L408" s="77" t="s">
        <v>1114</v>
      </c>
    </row>
    <row r="409" customFormat="false" ht="15" hidden="false" customHeight="false" outlineLevel="0" collapsed="false">
      <c r="A409" s="76" t="s">
        <v>1419</v>
      </c>
      <c r="B409" s="76" t="s">
        <v>57</v>
      </c>
      <c r="C409" s="76" t="s">
        <v>58</v>
      </c>
      <c r="D409" s="76" t="s">
        <v>1280</v>
      </c>
      <c r="E409" s="76" t="s">
        <v>1112</v>
      </c>
      <c r="F409" s="35" t="s">
        <v>1420</v>
      </c>
      <c r="G409" s="76" t="s">
        <v>553</v>
      </c>
      <c r="H409" s="78" t="n">
        <v>250000</v>
      </c>
      <c r="I409" s="76" t="s">
        <v>1349</v>
      </c>
      <c r="J409" s="76" t="n">
        <v>250000</v>
      </c>
      <c r="K409" s="76" t="s">
        <v>1349</v>
      </c>
      <c r="L409" s="77" t="s">
        <v>1114</v>
      </c>
    </row>
    <row r="410" customFormat="false" ht="15" hidden="false" customHeight="false" outlineLevel="0" collapsed="false">
      <c r="A410" s="76" t="s">
        <v>1419</v>
      </c>
      <c r="B410" s="76" t="s">
        <v>57</v>
      </c>
      <c r="C410" s="76" t="s">
        <v>58</v>
      </c>
      <c r="D410" s="76" t="s">
        <v>1280</v>
      </c>
      <c r="E410" s="76" t="s">
        <v>1112</v>
      </c>
      <c r="F410" s="35" t="s">
        <v>1420</v>
      </c>
      <c r="G410" s="76" t="s">
        <v>434</v>
      </c>
      <c r="H410" s="78" t="n">
        <v>100</v>
      </c>
      <c r="I410" s="76" t="s">
        <v>1423</v>
      </c>
      <c r="J410" s="76" t="n">
        <v>100</v>
      </c>
      <c r="K410" s="76" t="s">
        <v>1423</v>
      </c>
      <c r="L410" s="77" t="s">
        <v>1114</v>
      </c>
    </row>
    <row r="411" customFormat="false" ht="15" hidden="false" customHeight="false" outlineLevel="0" collapsed="false">
      <c r="A411" s="76" t="s">
        <v>1424</v>
      </c>
      <c r="B411" s="76" t="s">
        <v>62</v>
      </c>
      <c r="C411" s="76" t="s">
        <v>1425</v>
      </c>
      <c r="D411" s="76" t="s">
        <v>1111</v>
      </c>
      <c r="E411" s="76" t="s">
        <v>1112</v>
      </c>
      <c r="F411" s="35" t="s">
        <v>1426</v>
      </c>
      <c r="G411" s="76" t="s">
        <v>419</v>
      </c>
      <c r="H411" s="76"/>
      <c r="I411" s="76" t="s">
        <v>570</v>
      </c>
      <c r="J411" s="76"/>
      <c r="K411" s="76" t="s">
        <v>570</v>
      </c>
      <c r="L411" s="77" t="s">
        <v>1114</v>
      </c>
    </row>
    <row r="412" customFormat="false" ht="15" hidden="false" customHeight="false" outlineLevel="0" collapsed="false">
      <c r="A412" s="76" t="s">
        <v>1424</v>
      </c>
      <c r="B412" s="76" t="s">
        <v>62</v>
      </c>
      <c r="C412" s="76" t="s">
        <v>1425</v>
      </c>
      <c r="D412" s="76" t="s">
        <v>1111</v>
      </c>
      <c r="E412" s="76" t="s">
        <v>1112</v>
      </c>
      <c r="F412" s="35" t="s">
        <v>1426</v>
      </c>
      <c r="G412" s="76" t="s">
        <v>570</v>
      </c>
      <c r="H412" s="78" t="n">
        <v>170.25960363063</v>
      </c>
      <c r="I412" s="76" t="s">
        <v>1427</v>
      </c>
      <c r="J412" s="78" t="n">
        <v>170.25960363063</v>
      </c>
      <c r="K412" s="76" t="s">
        <v>1427</v>
      </c>
      <c r="L412" s="77" t="s">
        <v>1114</v>
      </c>
    </row>
    <row r="413" customFormat="false" ht="15" hidden="false" customHeight="false" outlineLevel="0" collapsed="false">
      <c r="A413" s="76" t="s">
        <v>1424</v>
      </c>
      <c r="B413" s="76" t="s">
        <v>62</v>
      </c>
      <c r="C413" s="76" t="s">
        <v>1425</v>
      </c>
      <c r="D413" s="76" t="s">
        <v>1111</v>
      </c>
      <c r="E413" s="76" t="s">
        <v>1112</v>
      </c>
      <c r="F413" s="35" t="s">
        <v>1426</v>
      </c>
      <c r="G413" s="76" t="s">
        <v>572</v>
      </c>
      <c r="H413" s="76"/>
      <c r="I413" s="76" t="s">
        <v>1428</v>
      </c>
      <c r="J413" s="78" t="n">
        <v>0.05</v>
      </c>
      <c r="K413" s="76" t="s">
        <v>1428</v>
      </c>
      <c r="L413" s="77" t="s">
        <v>1114</v>
      </c>
    </row>
    <row r="414" customFormat="false" ht="15" hidden="false" customHeight="false" outlineLevel="0" collapsed="false">
      <c r="A414" s="76" t="s">
        <v>1424</v>
      </c>
      <c r="B414" s="76" t="s">
        <v>62</v>
      </c>
      <c r="C414" s="76" t="s">
        <v>1425</v>
      </c>
      <c r="D414" s="76" t="s">
        <v>1111</v>
      </c>
      <c r="E414" s="76" t="s">
        <v>1112</v>
      </c>
      <c r="F414" s="35" t="s">
        <v>1426</v>
      </c>
      <c r="G414" s="76" t="s">
        <v>573</v>
      </c>
      <c r="H414" s="78" t="n">
        <v>1583.51052089331</v>
      </c>
      <c r="I414" s="76" t="s">
        <v>1429</v>
      </c>
      <c r="J414" s="78" t="n">
        <v>1583.51052089331</v>
      </c>
      <c r="K414" s="76" t="s">
        <v>1429</v>
      </c>
      <c r="L414" s="77" t="s">
        <v>1114</v>
      </c>
    </row>
    <row r="415" customFormat="false" ht="15" hidden="false" customHeight="false" outlineLevel="0" collapsed="false">
      <c r="A415" s="76" t="s">
        <v>1424</v>
      </c>
      <c r="B415" s="76" t="s">
        <v>62</v>
      </c>
      <c r="C415" s="76" t="s">
        <v>1425</v>
      </c>
      <c r="D415" s="76" t="s">
        <v>1111</v>
      </c>
      <c r="E415" s="76" t="s">
        <v>1112</v>
      </c>
      <c r="F415" s="35" t="s">
        <v>1426</v>
      </c>
      <c r="G415" s="76" t="s">
        <v>574</v>
      </c>
      <c r="H415" s="78" t="n">
        <v>1753.77012452394</v>
      </c>
      <c r="I415" s="76" t="s">
        <v>1430</v>
      </c>
      <c r="J415" s="78" t="n">
        <v>1753.77012452394</v>
      </c>
      <c r="K415" s="76" t="s">
        <v>1430</v>
      </c>
      <c r="L415" s="77" t="s">
        <v>1114</v>
      </c>
    </row>
    <row r="416" customFormat="false" ht="15" hidden="false" customHeight="false" outlineLevel="0" collapsed="false">
      <c r="A416" s="76" t="s">
        <v>1424</v>
      </c>
      <c r="B416" s="76" t="s">
        <v>62</v>
      </c>
      <c r="C416" s="76" t="s">
        <v>1425</v>
      </c>
      <c r="D416" s="76" t="s">
        <v>1111</v>
      </c>
      <c r="E416" s="76" t="s">
        <v>1112</v>
      </c>
      <c r="F416" s="35" t="s">
        <v>1426</v>
      </c>
      <c r="G416" s="76" t="s">
        <v>487</v>
      </c>
      <c r="H416" s="78" t="n">
        <v>2043.11524356755</v>
      </c>
      <c r="I416" s="76" t="s">
        <v>1431</v>
      </c>
      <c r="J416" s="78" t="n">
        <v>2043.11524356755</v>
      </c>
      <c r="K416" s="76" t="s">
        <v>1431</v>
      </c>
      <c r="L416" s="77" t="s">
        <v>1114</v>
      </c>
    </row>
    <row r="417" customFormat="false" ht="15" hidden="false" customHeight="false" outlineLevel="0" collapsed="false">
      <c r="A417" s="76" t="s">
        <v>1432</v>
      </c>
      <c r="B417" s="76" t="s">
        <v>62</v>
      </c>
      <c r="C417" s="76" t="s">
        <v>1425</v>
      </c>
      <c r="D417" s="76" t="s">
        <v>1124</v>
      </c>
      <c r="E417" s="76" t="s">
        <v>1125</v>
      </c>
      <c r="F417" s="35" t="s">
        <v>1433</v>
      </c>
      <c r="G417" s="76" t="s">
        <v>419</v>
      </c>
      <c r="H417" s="76"/>
      <c r="I417" s="76" t="s">
        <v>570</v>
      </c>
      <c r="J417" s="76"/>
      <c r="K417" s="76" t="s">
        <v>570</v>
      </c>
      <c r="L417" s="77" t="s">
        <v>1114</v>
      </c>
    </row>
    <row r="418" customFormat="false" ht="15" hidden="false" customHeight="false" outlineLevel="0" collapsed="false">
      <c r="A418" s="76" t="s">
        <v>1432</v>
      </c>
      <c r="B418" s="76" t="s">
        <v>62</v>
      </c>
      <c r="C418" s="76" t="s">
        <v>1425</v>
      </c>
      <c r="D418" s="76" t="s">
        <v>1124</v>
      </c>
      <c r="E418" s="76" t="s">
        <v>1125</v>
      </c>
      <c r="F418" s="35" t="s">
        <v>1433</v>
      </c>
      <c r="G418" s="76" t="s">
        <v>570</v>
      </c>
      <c r="H418" s="78" t="n">
        <v>-42.3609664935152</v>
      </c>
      <c r="I418" s="76" t="s">
        <v>1434</v>
      </c>
      <c r="J418" s="78" t="n">
        <v>-42.3609664935152</v>
      </c>
      <c r="K418" s="76" t="s">
        <v>1434</v>
      </c>
      <c r="L418" s="77" t="s">
        <v>1114</v>
      </c>
    </row>
    <row r="419" customFormat="false" ht="15" hidden="false" customHeight="false" outlineLevel="0" collapsed="false">
      <c r="A419" s="76" t="s">
        <v>1432</v>
      </c>
      <c r="B419" s="76" t="s">
        <v>62</v>
      </c>
      <c r="C419" s="76" t="s">
        <v>1425</v>
      </c>
      <c r="D419" s="76" t="s">
        <v>1124</v>
      </c>
      <c r="E419" s="76" t="s">
        <v>1125</v>
      </c>
      <c r="F419" s="35" t="s">
        <v>1433</v>
      </c>
      <c r="G419" s="76" t="s">
        <v>572</v>
      </c>
      <c r="H419" s="76"/>
      <c r="I419" s="76" t="s">
        <v>1435</v>
      </c>
      <c r="J419" s="78" t="n">
        <v>-0.01</v>
      </c>
      <c r="K419" s="76" t="s">
        <v>1435</v>
      </c>
      <c r="L419" s="77" t="s">
        <v>1114</v>
      </c>
    </row>
    <row r="420" customFormat="false" ht="15" hidden="false" customHeight="false" outlineLevel="0" collapsed="false">
      <c r="A420" s="76" t="s">
        <v>1432</v>
      </c>
      <c r="B420" s="76" t="s">
        <v>62</v>
      </c>
      <c r="C420" s="76" t="s">
        <v>1425</v>
      </c>
      <c r="D420" s="76" t="s">
        <v>1124</v>
      </c>
      <c r="E420" s="76" t="s">
        <v>1125</v>
      </c>
      <c r="F420" s="35" t="s">
        <v>1433</v>
      </c>
      <c r="G420" s="76" t="s">
        <v>573</v>
      </c>
      <c r="H420" s="78" t="n">
        <v>854.687372272732</v>
      </c>
      <c r="I420" s="76" t="s">
        <v>1219</v>
      </c>
      <c r="J420" s="78" t="n">
        <v>854.687372272732</v>
      </c>
      <c r="K420" s="76" t="s">
        <v>1219</v>
      </c>
      <c r="L420" s="77" t="s">
        <v>1114</v>
      </c>
    </row>
    <row r="421" customFormat="false" ht="15" hidden="false" customHeight="false" outlineLevel="0" collapsed="false">
      <c r="A421" s="76" t="s">
        <v>1432</v>
      </c>
      <c r="B421" s="76" t="s">
        <v>62</v>
      </c>
      <c r="C421" s="76" t="s">
        <v>1425</v>
      </c>
      <c r="D421" s="76" t="s">
        <v>1124</v>
      </c>
      <c r="E421" s="76" t="s">
        <v>1125</v>
      </c>
      <c r="F421" s="35" t="s">
        <v>1433</v>
      </c>
      <c r="G421" s="76" t="s">
        <v>574</v>
      </c>
      <c r="H421" s="78" t="n">
        <v>812.326405779217</v>
      </c>
      <c r="I421" s="76" t="s">
        <v>1217</v>
      </c>
      <c r="J421" s="78" t="n">
        <v>812.326405779217</v>
      </c>
      <c r="K421" s="76" t="s">
        <v>1217</v>
      </c>
      <c r="L421" s="77" t="s">
        <v>1114</v>
      </c>
    </row>
    <row r="422" customFormat="false" ht="15" hidden="false" customHeight="false" outlineLevel="0" collapsed="false">
      <c r="A422" s="76" t="s">
        <v>1432</v>
      </c>
      <c r="B422" s="76" t="s">
        <v>62</v>
      </c>
      <c r="C422" s="76" t="s">
        <v>1425</v>
      </c>
      <c r="D422" s="76" t="s">
        <v>1124</v>
      </c>
      <c r="E422" s="76" t="s">
        <v>1125</v>
      </c>
      <c r="F422" s="35" t="s">
        <v>1433</v>
      </c>
      <c r="G422" s="76" t="s">
        <v>487</v>
      </c>
      <c r="H422" s="78" t="n">
        <v>-508.331597922183</v>
      </c>
      <c r="I422" s="76" t="s">
        <v>1220</v>
      </c>
      <c r="J422" s="78" t="n">
        <v>-508.331597922183</v>
      </c>
      <c r="K422" s="76" t="s">
        <v>1220</v>
      </c>
      <c r="L422" s="77" t="s">
        <v>1114</v>
      </c>
    </row>
    <row r="423" customFormat="false" ht="15" hidden="false" customHeight="false" outlineLevel="0" collapsed="false">
      <c r="A423" s="76" t="s">
        <v>1436</v>
      </c>
      <c r="B423" s="76" t="s">
        <v>62</v>
      </c>
      <c r="C423" s="76" t="s">
        <v>1425</v>
      </c>
      <c r="D423" s="76" t="s">
        <v>1132</v>
      </c>
      <c r="E423" s="76" t="s">
        <v>1133</v>
      </c>
      <c r="F423" s="35" t="s">
        <v>1437</v>
      </c>
      <c r="G423" s="76" t="s">
        <v>419</v>
      </c>
      <c r="H423" s="76"/>
      <c r="I423" s="76" t="s">
        <v>570</v>
      </c>
      <c r="J423" s="76"/>
      <c r="K423" s="76" t="s">
        <v>570</v>
      </c>
      <c r="L423" s="77" t="s">
        <v>1114</v>
      </c>
    </row>
    <row r="424" customFormat="false" ht="15" hidden="false" customHeight="false" outlineLevel="0" collapsed="false">
      <c r="A424" s="76" t="s">
        <v>1436</v>
      </c>
      <c r="B424" s="76" t="s">
        <v>62</v>
      </c>
      <c r="C424" s="76" t="s">
        <v>1425</v>
      </c>
      <c r="D424" s="76" t="s">
        <v>1132</v>
      </c>
      <c r="E424" s="76" t="s">
        <v>1133</v>
      </c>
      <c r="F424" s="35" t="s">
        <v>1437</v>
      </c>
      <c r="G424" s="76" t="s">
        <v>570</v>
      </c>
      <c r="H424" s="78" t="n">
        <v>2266.96775210737</v>
      </c>
      <c r="I424" s="76" t="s">
        <v>1438</v>
      </c>
      <c r="J424" s="78" t="n">
        <v>2266.96775210737</v>
      </c>
      <c r="K424" s="76" t="s">
        <v>1438</v>
      </c>
      <c r="L424" s="77" t="s">
        <v>1114</v>
      </c>
    </row>
    <row r="425" customFormat="false" ht="15" hidden="false" customHeight="false" outlineLevel="0" collapsed="false">
      <c r="A425" s="76" t="s">
        <v>1436</v>
      </c>
      <c r="B425" s="76" t="s">
        <v>62</v>
      </c>
      <c r="C425" s="76" t="s">
        <v>1425</v>
      </c>
      <c r="D425" s="76" t="s">
        <v>1132</v>
      </c>
      <c r="E425" s="76" t="s">
        <v>1133</v>
      </c>
      <c r="F425" s="35" t="s">
        <v>1437</v>
      </c>
      <c r="G425" s="76" t="s">
        <v>572</v>
      </c>
      <c r="H425" s="76"/>
      <c r="I425" s="76" t="s">
        <v>1439</v>
      </c>
      <c r="J425" s="78" t="n">
        <v>0.11</v>
      </c>
      <c r="K425" s="76" t="s">
        <v>1439</v>
      </c>
      <c r="L425" s="77" t="s">
        <v>1114</v>
      </c>
    </row>
    <row r="426" customFormat="false" ht="15" hidden="false" customHeight="false" outlineLevel="0" collapsed="false">
      <c r="A426" s="76" t="s">
        <v>1436</v>
      </c>
      <c r="B426" s="76" t="s">
        <v>62</v>
      </c>
      <c r="C426" s="76" t="s">
        <v>1425</v>
      </c>
      <c r="D426" s="76" t="s">
        <v>1132</v>
      </c>
      <c r="E426" s="76" t="s">
        <v>1133</v>
      </c>
      <c r="F426" s="35" t="s">
        <v>1437</v>
      </c>
      <c r="G426" s="76" t="s">
        <v>573</v>
      </c>
      <c r="H426" s="78" t="n">
        <v>7102.60878954612</v>
      </c>
      <c r="I426" s="76" t="s">
        <v>1227</v>
      </c>
      <c r="J426" s="78" t="n">
        <v>7102.60878954612</v>
      </c>
      <c r="K426" s="76" t="s">
        <v>1227</v>
      </c>
      <c r="L426" s="77" t="s">
        <v>1114</v>
      </c>
    </row>
    <row r="427" customFormat="false" ht="15" hidden="false" customHeight="false" outlineLevel="0" collapsed="false">
      <c r="A427" s="76" t="s">
        <v>1436</v>
      </c>
      <c r="B427" s="76" t="s">
        <v>62</v>
      </c>
      <c r="C427" s="76" t="s">
        <v>1425</v>
      </c>
      <c r="D427" s="76" t="s">
        <v>1132</v>
      </c>
      <c r="E427" s="76" t="s">
        <v>1133</v>
      </c>
      <c r="F427" s="35" t="s">
        <v>1437</v>
      </c>
      <c r="G427" s="76" t="s">
        <v>574</v>
      </c>
      <c r="H427" s="78" t="n">
        <v>9369.57654165349</v>
      </c>
      <c r="I427" s="76" t="s">
        <v>1225</v>
      </c>
      <c r="J427" s="78" t="n">
        <v>9369.57654165349</v>
      </c>
      <c r="K427" s="76" t="s">
        <v>1225</v>
      </c>
      <c r="L427" s="77" t="s">
        <v>1114</v>
      </c>
    </row>
    <row r="428" customFormat="false" ht="15" hidden="false" customHeight="false" outlineLevel="0" collapsed="false">
      <c r="A428" s="76" t="s">
        <v>1436</v>
      </c>
      <c r="B428" s="76" t="s">
        <v>62</v>
      </c>
      <c r="C428" s="76" t="s">
        <v>1425</v>
      </c>
      <c r="D428" s="76" t="s">
        <v>1132</v>
      </c>
      <c r="E428" s="76" t="s">
        <v>1133</v>
      </c>
      <c r="F428" s="35" t="s">
        <v>1437</v>
      </c>
      <c r="G428" s="76" t="s">
        <v>487</v>
      </c>
      <c r="H428" s="78" t="n">
        <v>27203.6130252884</v>
      </c>
      <c r="I428" s="76" t="s">
        <v>1228</v>
      </c>
      <c r="J428" s="78" t="n">
        <v>27203.6130252884</v>
      </c>
      <c r="K428" s="76" t="s">
        <v>1228</v>
      </c>
      <c r="L428" s="77" t="s">
        <v>1114</v>
      </c>
    </row>
    <row r="429" customFormat="false" ht="15" hidden="false" customHeight="false" outlineLevel="0" collapsed="false">
      <c r="A429" s="76" t="s">
        <v>1440</v>
      </c>
      <c r="B429" s="76" t="s">
        <v>62</v>
      </c>
      <c r="C429" s="76" t="s">
        <v>1425</v>
      </c>
      <c r="D429" s="76" t="s">
        <v>1141</v>
      </c>
      <c r="E429" s="76" t="s">
        <v>1142</v>
      </c>
      <c r="F429" s="35" t="s">
        <v>1441</v>
      </c>
      <c r="G429" s="76" t="s">
        <v>419</v>
      </c>
      <c r="H429" s="76"/>
      <c r="I429" s="76" t="s">
        <v>570</v>
      </c>
      <c r="J429" s="76"/>
      <c r="K429" s="76" t="s">
        <v>570</v>
      </c>
      <c r="L429" s="77" t="s">
        <v>1114</v>
      </c>
    </row>
    <row r="430" customFormat="false" ht="15" hidden="false" customHeight="false" outlineLevel="0" collapsed="false">
      <c r="A430" s="76" t="s">
        <v>1440</v>
      </c>
      <c r="B430" s="76" t="s">
        <v>62</v>
      </c>
      <c r="C430" s="76" t="s">
        <v>1425</v>
      </c>
      <c r="D430" s="76" t="s">
        <v>1141</v>
      </c>
      <c r="E430" s="76" t="s">
        <v>1142</v>
      </c>
      <c r="F430" s="35" t="s">
        <v>1441</v>
      </c>
      <c r="G430" s="76" t="s">
        <v>570</v>
      </c>
      <c r="H430" s="78" t="n">
        <v>247.620660108984</v>
      </c>
      <c r="I430" s="76" t="s">
        <v>1442</v>
      </c>
      <c r="J430" s="78" t="n">
        <v>247.620660108984</v>
      </c>
      <c r="K430" s="76" t="s">
        <v>1442</v>
      </c>
      <c r="L430" s="77" t="s">
        <v>1114</v>
      </c>
    </row>
    <row r="431" customFormat="false" ht="15" hidden="false" customHeight="false" outlineLevel="0" collapsed="false">
      <c r="A431" s="76" t="s">
        <v>1440</v>
      </c>
      <c r="B431" s="76" t="s">
        <v>62</v>
      </c>
      <c r="C431" s="76" t="s">
        <v>1425</v>
      </c>
      <c r="D431" s="76" t="s">
        <v>1141</v>
      </c>
      <c r="E431" s="76" t="s">
        <v>1142</v>
      </c>
      <c r="F431" s="35" t="s">
        <v>1441</v>
      </c>
      <c r="G431" s="76" t="s">
        <v>572</v>
      </c>
      <c r="H431" s="76"/>
      <c r="I431" s="76" t="s">
        <v>1443</v>
      </c>
      <c r="J431" s="78" t="n">
        <v>0.0625</v>
      </c>
      <c r="K431" s="76" t="s">
        <v>1443</v>
      </c>
      <c r="L431" s="77" t="s">
        <v>1114</v>
      </c>
    </row>
    <row r="432" customFormat="false" ht="15" hidden="false" customHeight="false" outlineLevel="0" collapsed="false">
      <c r="A432" s="76" t="s">
        <v>1440</v>
      </c>
      <c r="B432" s="76" t="s">
        <v>62</v>
      </c>
      <c r="C432" s="76" t="s">
        <v>1425</v>
      </c>
      <c r="D432" s="76" t="s">
        <v>1141</v>
      </c>
      <c r="E432" s="76" t="s">
        <v>1142</v>
      </c>
      <c r="F432" s="35" t="s">
        <v>1441</v>
      </c>
      <c r="G432" s="76" t="s">
        <v>573</v>
      </c>
      <c r="H432" s="78" t="n">
        <v>1646.40699159881</v>
      </c>
      <c r="I432" s="76" t="s">
        <v>1444</v>
      </c>
      <c r="J432" s="78" t="n">
        <v>1646.40699159881</v>
      </c>
      <c r="K432" s="76" t="s">
        <v>1444</v>
      </c>
      <c r="L432" s="77" t="s">
        <v>1114</v>
      </c>
    </row>
    <row r="433" customFormat="false" ht="15" hidden="false" customHeight="false" outlineLevel="0" collapsed="false">
      <c r="A433" s="76" t="s">
        <v>1440</v>
      </c>
      <c r="B433" s="76" t="s">
        <v>62</v>
      </c>
      <c r="C433" s="76" t="s">
        <v>1425</v>
      </c>
      <c r="D433" s="76" t="s">
        <v>1141</v>
      </c>
      <c r="E433" s="76" t="s">
        <v>1142</v>
      </c>
      <c r="F433" s="35" t="s">
        <v>1441</v>
      </c>
      <c r="G433" s="76" t="s">
        <v>574</v>
      </c>
      <c r="H433" s="78" t="n">
        <v>1894.0276517078</v>
      </c>
      <c r="I433" s="76" t="s">
        <v>1445</v>
      </c>
      <c r="J433" s="78" t="n">
        <v>1894.0276517078</v>
      </c>
      <c r="K433" s="76" t="s">
        <v>1445</v>
      </c>
      <c r="L433" s="77" t="s">
        <v>1114</v>
      </c>
    </row>
    <row r="434" customFormat="false" ht="15" hidden="false" customHeight="false" outlineLevel="0" collapsed="false">
      <c r="A434" s="76" t="s">
        <v>1440</v>
      </c>
      <c r="B434" s="76" t="s">
        <v>62</v>
      </c>
      <c r="C434" s="76" t="s">
        <v>1425</v>
      </c>
      <c r="D434" s="76" t="s">
        <v>1141</v>
      </c>
      <c r="E434" s="76" t="s">
        <v>1142</v>
      </c>
      <c r="F434" s="35" t="s">
        <v>1441</v>
      </c>
      <c r="G434" s="76" t="s">
        <v>487</v>
      </c>
      <c r="H434" s="78" t="n">
        <v>2971.44792130781</v>
      </c>
      <c r="I434" s="76" t="s">
        <v>1446</v>
      </c>
      <c r="J434" s="78" t="n">
        <v>2971.44792130781</v>
      </c>
      <c r="K434" s="76" t="s">
        <v>1446</v>
      </c>
      <c r="L434" s="77" t="s">
        <v>1114</v>
      </c>
    </row>
    <row r="435" customFormat="false" ht="15" hidden="false" customHeight="false" outlineLevel="0" collapsed="false">
      <c r="A435" s="76" t="s">
        <v>1447</v>
      </c>
      <c r="B435" s="76" t="s">
        <v>62</v>
      </c>
      <c r="C435" s="76" t="s">
        <v>1425</v>
      </c>
      <c r="D435" s="76" t="s">
        <v>1151</v>
      </c>
      <c r="E435" s="76" t="s">
        <v>1152</v>
      </c>
      <c r="F435" s="35" t="s">
        <v>1448</v>
      </c>
      <c r="G435" s="76" t="s">
        <v>419</v>
      </c>
      <c r="H435" s="76"/>
      <c r="I435" s="76" t="s">
        <v>570</v>
      </c>
      <c r="J435" s="76"/>
      <c r="K435" s="76" t="s">
        <v>570</v>
      </c>
      <c r="L435" s="77" t="s">
        <v>1114</v>
      </c>
    </row>
    <row r="436" customFormat="false" ht="15" hidden="false" customHeight="false" outlineLevel="0" collapsed="false">
      <c r="A436" s="76" t="s">
        <v>1447</v>
      </c>
      <c r="B436" s="76" t="s">
        <v>62</v>
      </c>
      <c r="C436" s="76" t="s">
        <v>1425</v>
      </c>
      <c r="D436" s="76" t="s">
        <v>1151</v>
      </c>
      <c r="E436" s="76" t="s">
        <v>1152</v>
      </c>
      <c r="F436" s="35" t="s">
        <v>1448</v>
      </c>
      <c r="G436" s="76" t="s">
        <v>570</v>
      </c>
      <c r="H436" s="78" t="n">
        <v>83.986912992676</v>
      </c>
      <c r="I436" s="76" t="s">
        <v>1449</v>
      </c>
      <c r="J436" s="78" t="n">
        <v>83.986912992676</v>
      </c>
      <c r="K436" s="76" t="s">
        <v>1449</v>
      </c>
      <c r="L436" s="77" t="s">
        <v>1114</v>
      </c>
    </row>
    <row r="437" customFormat="false" ht="15" hidden="false" customHeight="false" outlineLevel="0" collapsed="false">
      <c r="A437" s="76" t="s">
        <v>1447</v>
      </c>
      <c r="B437" s="76" t="s">
        <v>62</v>
      </c>
      <c r="C437" s="76" t="s">
        <v>1425</v>
      </c>
      <c r="D437" s="76" t="s">
        <v>1151</v>
      </c>
      <c r="E437" s="76" t="s">
        <v>1152</v>
      </c>
      <c r="F437" s="35" t="s">
        <v>1448</v>
      </c>
      <c r="G437" s="76" t="s">
        <v>572</v>
      </c>
      <c r="H437" s="76"/>
      <c r="I437" s="76" t="s">
        <v>1450</v>
      </c>
      <c r="J437" s="78" t="n">
        <v>0.045</v>
      </c>
      <c r="K437" s="76" t="s">
        <v>1450</v>
      </c>
      <c r="L437" s="77" t="s">
        <v>1114</v>
      </c>
    </row>
    <row r="438" customFormat="false" ht="15" hidden="false" customHeight="false" outlineLevel="0" collapsed="false">
      <c r="A438" s="76" t="s">
        <v>1447</v>
      </c>
      <c r="B438" s="76" t="s">
        <v>62</v>
      </c>
      <c r="C438" s="76" t="s">
        <v>1425</v>
      </c>
      <c r="D438" s="76" t="s">
        <v>1151</v>
      </c>
      <c r="E438" s="76" t="s">
        <v>1152</v>
      </c>
      <c r="F438" s="35" t="s">
        <v>1448</v>
      </c>
      <c r="G438" s="76" t="s">
        <v>573</v>
      </c>
      <c r="H438" s="76" t="n">
        <v>1500</v>
      </c>
      <c r="I438" s="76" t="s">
        <v>1241</v>
      </c>
      <c r="J438" s="76" t="n">
        <v>1500</v>
      </c>
      <c r="K438" s="76" t="s">
        <v>1241</v>
      </c>
      <c r="L438" s="77" t="s">
        <v>1114</v>
      </c>
    </row>
    <row r="439" customFormat="false" ht="15" hidden="false" customHeight="false" outlineLevel="0" collapsed="false">
      <c r="A439" s="76" t="s">
        <v>1447</v>
      </c>
      <c r="B439" s="76" t="s">
        <v>62</v>
      </c>
      <c r="C439" s="76" t="s">
        <v>1425</v>
      </c>
      <c r="D439" s="76" t="s">
        <v>1151</v>
      </c>
      <c r="E439" s="76" t="s">
        <v>1152</v>
      </c>
      <c r="F439" s="35" t="s">
        <v>1448</v>
      </c>
      <c r="G439" s="76" t="s">
        <v>574</v>
      </c>
      <c r="H439" s="78" t="n">
        <v>1583.98691299268</v>
      </c>
      <c r="I439" s="76" t="s">
        <v>1429</v>
      </c>
      <c r="J439" s="78" t="n">
        <v>1583.98691299268</v>
      </c>
      <c r="K439" s="76" t="s">
        <v>1429</v>
      </c>
      <c r="L439" s="77" t="s">
        <v>1114</v>
      </c>
    </row>
    <row r="440" customFormat="false" ht="15" hidden="false" customHeight="false" outlineLevel="0" collapsed="false">
      <c r="A440" s="76" t="s">
        <v>1447</v>
      </c>
      <c r="B440" s="76" t="s">
        <v>62</v>
      </c>
      <c r="C440" s="76" t="s">
        <v>1425</v>
      </c>
      <c r="D440" s="76" t="s">
        <v>1151</v>
      </c>
      <c r="E440" s="76" t="s">
        <v>1152</v>
      </c>
      <c r="F440" s="35" t="s">
        <v>1448</v>
      </c>
      <c r="G440" s="76" t="s">
        <v>487</v>
      </c>
      <c r="H440" s="78" t="n">
        <v>1007.84295591211</v>
      </c>
      <c r="I440" s="76" t="s">
        <v>1451</v>
      </c>
      <c r="J440" s="78" t="n">
        <v>1007.84295591211</v>
      </c>
      <c r="K440" s="76" t="s">
        <v>1451</v>
      </c>
      <c r="L440" s="77" t="s">
        <v>1114</v>
      </c>
    </row>
    <row r="441" customFormat="false" ht="15" hidden="false" customHeight="false" outlineLevel="0" collapsed="false">
      <c r="A441" s="76" t="s">
        <v>1452</v>
      </c>
      <c r="B441" s="76" t="s">
        <v>62</v>
      </c>
      <c r="C441" s="76" t="s">
        <v>1425</v>
      </c>
      <c r="D441" s="76" t="s">
        <v>1161</v>
      </c>
      <c r="E441" s="76" t="s">
        <v>1162</v>
      </c>
      <c r="F441" s="35" t="s">
        <v>1453</v>
      </c>
      <c r="G441" s="76" t="s">
        <v>419</v>
      </c>
      <c r="H441" s="76"/>
      <c r="I441" s="76" t="s">
        <v>570</v>
      </c>
      <c r="J441" s="76"/>
      <c r="K441" s="76" t="s">
        <v>570</v>
      </c>
      <c r="L441" s="77" t="s">
        <v>1114</v>
      </c>
    </row>
    <row r="442" customFormat="false" ht="15" hidden="false" customHeight="false" outlineLevel="0" collapsed="false">
      <c r="A442" s="76" t="s">
        <v>1452</v>
      </c>
      <c r="B442" s="76" t="s">
        <v>62</v>
      </c>
      <c r="C442" s="76" t="s">
        <v>1425</v>
      </c>
      <c r="D442" s="76" t="s">
        <v>1161</v>
      </c>
      <c r="E442" s="76" t="s">
        <v>1162</v>
      </c>
      <c r="F442" s="35" t="s">
        <v>1453</v>
      </c>
      <c r="G442" s="76" t="s">
        <v>570</v>
      </c>
      <c r="H442" s="76" t="n">
        <v>0</v>
      </c>
      <c r="I442" s="76" t="s">
        <v>1454</v>
      </c>
      <c r="J442" s="76" t="n">
        <v>0</v>
      </c>
      <c r="K442" s="76" t="s">
        <v>1454</v>
      </c>
      <c r="L442" s="77" t="s">
        <v>1114</v>
      </c>
    </row>
    <row r="443" customFormat="false" ht="15" hidden="false" customHeight="false" outlineLevel="0" collapsed="false">
      <c r="A443" s="76" t="s">
        <v>1452</v>
      </c>
      <c r="B443" s="76" t="s">
        <v>62</v>
      </c>
      <c r="C443" s="76" t="s">
        <v>1425</v>
      </c>
      <c r="D443" s="76" t="s">
        <v>1161</v>
      </c>
      <c r="E443" s="76" t="s">
        <v>1162</v>
      </c>
      <c r="F443" s="35" t="s">
        <v>1453</v>
      </c>
      <c r="G443" s="76" t="s">
        <v>572</v>
      </c>
      <c r="H443" s="76"/>
      <c r="I443" s="76" t="s">
        <v>1455</v>
      </c>
      <c r="J443" s="78" t="n">
        <v>0.04</v>
      </c>
      <c r="K443" s="76" t="s">
        <v>1455</v>
      </c>
      <c r="L443" s="77" t="s">
        <v>1114</v>
      </c>
    </row>
    <row r="444" customFormat="false" ht="15" hidden="false" customHeight="false" outlineLevel="0" collapsed="false">
      <c r="A444" s="76" t="s">
        <v>1452</v>
      </c>
      <c r="B444" s="76" t="s">
        <v>62</v>
      </c>
      <c r="C444" s="76" t="s">
        <v>1425</v>
      </c>
      <c r="D444" s="76" t="s">
        <v>1161</v>
      </c>
      <c r="E444" s="76" t="s">
        <v>1162</v>
      </c>
      <c r="F444" s="35" t="s">
        <v>1453</v>
      </c>
      <c r="G444" s="76" t="s">
        <v>573</v>
      </c>
      <c r="H444" s="78" t="n">
        <v>1583.51052089331</v>
      </c>
      <c r="I444" s="76" t="s">
        <v>1429</v>
      </c>
      <c r="J444" s="78" t="n">
        <v>1583.51052089331</v>
      </c>
      <c r="K444" s="76" t="s">
        <v>1429</v>
      </c>
      <c r="L444" s="77" t="s">
        <v>1114</v>
      </c>
    </row>
    <row r="445" customFormat="false" ht="15" hidden="false" customHeight="false" outlineLevel="0" collapsed="false">
      <c r="A445" s="76" t="s">
        <v>1452</v>
      </c>
      <c r="B445" s="76" t="s">
        <v>62</v>
      </c>
      <c r="C445" s="76" t="s">
        <v>1425</v>
      </c>
      <c r="D445" s="76" t="s">
        <v>1161</v>
      </c>
      <c r="E445" s="76" t="s">
        <v>1162</v>
      </c>
      <c r="F445" s="35" t="s">
        <v>1453</v>
      </c>
      <c r="G445" s="76" t="s">
        <v>574</v>
      </c>
      <c r="H445" s="78" t="n">
        <v>1583.51052089331</v>
      </c>
      <c r="I445" s="76" t="s">
        <v>1429</v>
      </c>
      <c r="J445" s="78" t="n">
        <v>1583.51052089331</v>
      </c>
      <c r="K445" s="76" t="s">
        <v>1429</v>
      </c>
      <c r="L445" s="77" t="s">
        <v>1114</v>
      </c>
    </row>
    <row r="446" customFormat="false" ht="15" hidden="false" customHeight="false" outlineLevel="0" collapsed="false">
      <c r="A446" s="76" t="s">
        <v>1452</v>
      </c>
      <c r="B446" s="76" t="s">
        <v>62</v>
      </c>
      <c r="C446" s="76" t="s">
        <v>1425</v>
      </c>
      <c r="D446" s="76" t="s">
        <v>1161</v>
      </c>
      <c r="E446" s="76" t="s">
        <v>1162</v>
      </c>
      <c r="F446" s="35" t="s">
        <v>1453</v>
      </c>
      <c r="G446" s="76" t="s">
        <v>487</v>
      </c>
      <c r="H446" s="76" t="n">
        <v>0</v>
      </c>
      <c r="I446" s="76" t="s">
        <v>1127</v>
      </c>
      <c r="J446" s="76" t="n">
        <v>0</v>
      </c>
      <c r="K446" s="76" t="s">
        <v>1127</v>
      </c>
      <c r="L446" s="77" t="s">
        <v>1114</v>
      </c>
    </row>
    <row r="447" customFormat="false" ht="15" hidden="false" customHeight="false" outlineLevel="0" collapsed="false">
      <c r="A447" s="76" t="s">
        <v>1456</v>
      </c>
      <c r="B447" s="76" t="s">
        <v>62</v>
      </c>
      <c r="C447" s="76" t="s">
        <v>1425</v>
      </c>
      <c r="D447" s="76" t="s">
        <v>1170</v>
      </c>
      <c r="E447" s="76" t="s">
        <v>1171</v>
      </c>
      <c r="F447" s="35" t="s">
        <v>1457</v>
      </c>
      <c r="G447" s="76" t="s">
        <v>419</v>
      </c>
      <c r="H447" s="76"/>
      <c r="I447" s="76" t="s">
        <v>570</v>
      </c>
      <c r="J447" s="76"/>
      <c r="K447" s="76" t="s">
        <v>570</v>
      </c>
      <c r="L447" s="77" t="s">
        <v>1114</v>
      </c>
    </row>
    <row r="448" customFormat="false" ht="15" hidden="false" customHeight="false" outlineLevel="0" collapsed="false">
      <c r="A448" s="76" t="s">
        <v>1456</v>
      </c>
      <c r="B448" s="76" t="s">
        <v>62</v>
      </c>
      <c r="C448" s="76" t="s">
        <v>1425</v>
      </c>
      <c r="D448" s="76" t="s">
        <v>1170</v>
      </c>
      <c r="E448" s="76" t="s">
        <v>1171</v>
      </c>
      <c r="F448" s="35" t="s">
        <v>1457</v>
      </c>
      <c r="G448" s="76" t="s">
        <v>570</v>
      </c>
      <c r="H448" s="78" t="n">
        <v>-207.553223668709</v>
      </c>
      <c r="I448" s="76" t="s">
        <v>1458</v>
      </c>
      <c r="J448" s="78" t="n">
        <v>-207.553223668709</v>
      </c>
      <c r="K448" s="76" t="s">
        <v>1458</v>
      </c>
      <c r="L448" s="77" t="s">
        <v>1114</v>
      </c>
    </row>
    <row r="449" customFormat="false" ht="15" hidden="false" customHeight="false" outlineLevel="0" collapsed="false">
      <c r="A449" s="76" t="s">
        <v>1456</v>
      </c>
      <c r="B449" s="76" t="s">
        <v>62</v>
      </c>
      <c r="C449" s="76" t="s">
        <v>1425</v>
      </c>
      <c r="D449" s="76" t="s">
        <v>1170</v>
      </c>
      <c r="E449" s="76" t="s">
        <v>1171</v>
      </c>
      <c r="F449" s="35" t="s">
        <v>1457</v>
      </c>
      <c r="G449" s="76" t="s">
        <v>572</v>
      </c>
      <c r="H449" s="76"/>
      <c r="I449" s="76" t="s">
        <v>1459</v>
      </c>
      <c r="J449" s="78" t="n">
        <v>0.005</v>
      </c>
      <c r="K449" s="76" t="s">
        <v>1459</v>
      </c>
      <c r="L449" s="77" t="s">
        <v>1114</v>
      </c>
    </row>
    <row r="450" customFormat="false" ht="15" hidden="false" customHeight="false" outlineLevel="0" collapsed="false">
      <c r="A450" s="76" t="s">
        <v>1456</v>
      </c>
      <c r="B450" s="76" t="s">
        <v>62</v>
      </c>
      <c r="C450" s="76" t="s">
        <v>1425</v>
      </c>
      <c r="D450" s="76" t="s">
        <v>1170</v>
      </c>
      <c r="E450" s="76" t="s">
        <v>1171</v>
      </c>
      <c r="F450" s="35" t="s">
        <v>1457</v>
      </c>
      <c r="G450" s="76" t="s">
        <v>573</v>
      </c>
      <c r="H450" s="78" t="n">
        <v>1271.5630159322</v>
      </c>
      <c r="I450" s="76" t="s">
        <v>1460</v>
      </c>
      <c r="J450" s="78" t="n">
        <v>1271.5630159322</v>
      </c>
      <c r="K450" s="76" t="s">
        <v>1460</v>
      </c>
      <c r="L450" s="77" t="s">
        <v>1114</v>
      </c>
    </row>
    <row r="451" customFormat="false" ht="15" hidden="false" customHeight="false" outlineLevel="0" collapsed="false">
      <c r="A451" s="76" t="s">
        <v>1456</v>
      </c>
      <c r="B451" s="76" t="s">
        <v>62</v>
      </c>
      <c r="C451" s="76" t="s">
        <v>1425</v>
      </c>
      <c r="D451" s="76" t="s">
        <v>1170</v>
      </c>
      <c r="E451" s="76" t="s">
        <v>1171</v>
      </c>
      <c r="F451" s="35" t="s">
        <v>1457</v>
      </c>
      <c r="G451" s="76" t="s">
        <v>574</v>
      </c>
      <c r="H451" s="78" t="n">
        <v>1064.00979226349</v>
      </c>
      <c r="I451" s="76" t="s">
        <v>1461</v>
      </c>
      <c r="J451" s="78" t="n">
        <v>1064.00979226349</v>
      </c>
      <c r="K451" s="76" t="s">
        <v>1461</v>
      </c>
      <c r="L451" s="77" t="s">
        <v>1114</v>
      </c>
    </row>
    <row r="452" customFormat="false" ht="15" hidden="false" customHeight="false" outlineLevel="0" collapsed="false">
      <c r="A452" s="76" t="s">
        <v>1456</v>
      </c>
      <c r="B452" s="76" t="s">
        <v>62</v>
      </c>
      <c r="C452" s="76" t="s">
        <v>1425</v>
      </c>
      <c r="D452" s="76" t="s">
        <v>1170</v>
      </c>
      <c r="E452" s="76" t="s">
        <v>1171</v>
      </c>
      <c r="F452" s="35" t="s">
        <v>1457</v>
      </c>
      <c r="G452" s="76" t="s">
        <v>487</v>
      </c>
      <c r="H452" s="78" t="n">
        <v>-2490.63868402451</v>
      </c>
      <c r="I452" s="76" t="s">
        <v>1462</v>
      </c>
      <c r="J452" s="78" t="n">
        <v>-2490.63868402451</v>
      </c>
      <c r="K452" s="76" t="s">
        <v>1462</v>
      </c>
      <c r="L452" s="77" t="s">
        <v>1114</v>
      </c>
    </row>
    <row r="453" customFormat="false" ht="15" hidden="false" customHeight="false" outlineLevel="0" collapsed="false">
      <c r="A453" s="76" t="s">
        <v>1463</v>
      </c>
      <c r="B453" s="76" t="s">
        <v>62</v>
      </c>
      <c r="C453" s="76" t="s">
        <v>1425</v>
      </c>
      <c r="D453" s="76" t="s">
        <v>1180</v>
      </c>
      <c r="E453" s="76" t="s">
        <v>1152</v>
      </c>
      <c r="F453" s="35" t="s">
        <v>1464</v>
      </c>
      <c r="G453" s="76" t="s">
        <v>419</v>
      </c>
      <c r="H453" s="76"/>
      <c r="I453" s="76" t="s">
        <v>570</v>
      </c>
      <c r="J453" s="76"/>
      <c r="K453" s="76" t="s">
        <v>570</v>
      </c>
      <c r="L453" s="77" t="s">
        <v>1114</v>
      </c>
    </row>
    <row r="454" customFormat="false" ht="15" hidden="false" customHeight="false" outlineLevel="0" collapsed="false">
      <c r="A454" s="76" t="s">
        <v>1463</v>
      </c>
      <c r="B454" s="76" t="s">
        <v>62</v>
      </c>
      <c r="C454" s="76" t="s">
        <v>1425</v>
      </c>
      <c r="D454" s="76" t="s">
        <v>1180</v>
      </c>
      <c r="E454" s="76" t="s">
        <v>1152</v>
      </c>
      <c r="F454" s="35" t="s">
        <v>1464</v>
      </c>
      <c r="G454" s="76" t="s">
        <v>570</v>
      </c>
      <c r="H454" s="78" t="n">
        <v>1207.90768325107</v>
      </c>
      <c r="I454" s="76" t="s">
        <v>1465</v>
      </c>
      <c r="J454" s="78" t="n">
        <v>1207.90768325107</v>
      </c>
      <c r="K454" s="76" t="s">
        <v>1465</v>
      </c>
      <c r="L454" s="77" t="s">
        <v>1114</v>
      </c>
    </row>
    <row r="455" customFormat="false" ht="15" hidden="false" customHeight="false" outlineLevel="0" collapsed="false">
      <c r="A455" s="76" t="s">
        <v>1463</v>
      </c>
      <c r="B455" s="76" t="s">
        <v>62</v>
      </c>
      <c r="C455" s="76" t="s">
        <v>1425</v>
      </c>
      <c r="D455" s="76" t="s">
        <v>1180</v>
      </c>
      <c r="E455" s="76" t="s">
        <v>1152</v>
      </c>
      <c r="F455" s="35" t="s">
        <v>1464</v>
      </c>
      <c r="G455" s="76" t="s">
        <v>572</v>
      </c>
      <c r="H455" s="76"/>
      <c r="I455" s="76" t="s">
        <v>1466</v>
      </c>
      <c r="J455" s="78" t="n">
        <v>0.0655</v>
      </c>
      <c r="K455" s="76" t="s">
        <v>1466</v>
      </c>
      <c r="L455" s="77" t="s">
        <v>1114</v>
      </c>
    </row>
    <row r="456" customFormat="false" ht="15" hidden="false" customHeight="false" outlineLevel="0" collapsed="false">
      <c r="A456" s="76" t="s">
        <v>1463</v>
      </c>
      <c r="B456" s="76" t="s">
        <v>62</v>
      </c>
      <c r="C456" s="76" t="s">
        <v>1425</v>
      </c>
      <c r="D456" s="76" t="s">
        <v>1180</v>
      </c>
      <c r="E456" s="76" t="s">
        <v>1152</v>
      </c>
      <c r="F456" s="35" t="s">
        <v>1464</v>
      </c>
      <c r="G456" s="76" t="s">
        <v>573</v>
      </c>
      <c r="H456" s="78" t="n">
        <v>5932.97020667966</v>
      </c>
      <c r="I456" s="76" t="s">
        <v>1467</v>
      </c>
      <c r="J456" s="78" t="n">
        <v>5932.97020667966</v>
      </c>
      <c r="K456" s="76" t="s">
        <v>1467</v>
      </c>
      <c r="L456" s="77" t="s">
        <v>1114</v>
      </c>
    </row>
    <row r="457" customFormat="false" ht="15" hidden="false" customHeight="false" outlineLevel="0" collapsed="false">
      <c r="A457" s="76" t="s">
        <v>1463</v>
      </c>
      <c r="B457" s="76" t="s">
        <v>62</v>
      </c>
      <c r="C457" s="76" t="s">
        <v>1425</v>
      </c>
      <c r="D457" s="76" t="s">
        <v>1180</v>
      </c>
      <c r="E457" s="76" t="s">
        <v>1152</v>
      </c>
      <c r="F457" s="35" t="s">
        <v>1464</v>
      </c>
      <c r="G457" s="76" t="s">
        <v>574</v>
      </c>
      <c r="H457" s="78" t="n">
        <v>7140.87788993073</v>
      </c>
      <c r="I457" s="76" t="s">
        <v>1468</v>
      </c>
      <c r="J457" s="78" t="n">
        <v>7140.87788993073</v>
      </c>
      <c r="K457" s="76" t="s">
        <v>1468</v>
      </c>
      <c r="L457" s="77" t="s">
        <v>1114</v>
      </c>
    </row>
    <row r="458" customFormat="false" ht="15" hidden="false" customHeight="false" outlineLevel="0" collapsed="false">
      <c r="A458" s="76" t="s">
        <v>1463</v>
      </c>
      <c r="B458" s="76" t="s">
        <v>62</v>
      </c>
      <c r="C458" s="76" t="s">
        <v>1425</v>
      </c>
      <c r="D458" s="76" t="s">
        <v>1180</v>
      </c>
      <c r="E458" s="76" t="s">
        <v>1152</v>
      </c>
      <c r="F458" s="35" t="s">
        <v>1464</v>
      </c>
      <c r="G458" s="76" t="s">
        <v>487</v>
      </c>
      <c r="H458" s="78" t="n">
        <v>14494.8921990129</v>
      </c>
      <c r="I458" s="76" t="s">
        <v>1469</v>
      </c>
      <c r="J458" s="78" t="n">
        <v>14494.8921990129</v>
      </c>
      <c r="K458" s="76" t="s">
        <v>1469</v>
      </c>
      <c r="L458" s="77" t="s">
        <v>1114</v>
      </c>
    </row>
    <row r="459" customFormat="false" ht="15" hidden="false" customHeight="false" outlineLevel="0" collapsed="false">
      <c r="A459" s="76" t="s">
        <v>1470</v>
      </c>
      <c r="B459" s="76" t="s">
        <v>62</v>
      </c>
      <c r="C459" s="76" t="s">
        <v>1425</v>
      </c>
      <c r="D459" s="76" t="s">
        <v>1189</v>
      </c>
      <c r="E459" s="76" t="s">
        <v>1125</v>
      </c>
      <c r="F459" s="35" t="s">
        <v>1471</v>
      </c>
      <c r="G459" s="76" t="s">
        <v>419</v>
      </c>
      <c r="H459" s="76"/>
      <c r="I459" s="76" t="s">
        <v>570</v>
      </c>
      <c r="J459" s="76"/>
      <c r="K459" s="76" t="s">
        <v>570</v>
      </c>
      <c r="L459" s="77" t="s">
        <v>1114</v>
      </c>
    </row>
    <row r="460" customFormat="false" ht="15" hidden="false" customHeight="false" outlineLevel="0" collapsed="false">
      <c r="A460" s="76" t="s">
        <v>1470</v>
      </c>
      <c r="B460" s="76" t="s">
        <v>62</v>
      </c>
      <c r="C460" s="76" t="s">
        <v>1425</v>
      </c>
      <c r="D460" s="76" t="s">
        <v>1189</v>
      </c>
      <c r="E460" s="76" t="s">
        <v>1125</v>
      </c>
      <c r="F460" s="35" t="s">
        <v>1471</v>
      </c>
      <c r="G460" s="76" t="s">
        <v>570</v>
      </c>
      <c r="H460" s="78" t="n">
        <v>1392.10305184045</v>
      </c>
      <c r="I460" s="76" t="s">
        <v>1472</v>
      </c>
      <c r="J460" s="78" t="n">
        <v>1392.10305184045</v>
      </c>
      <c r="K460" s="76" t="s">
        <v>1472</v>
      </c>
      <c r="L460" s="77" t="s">
        <v>1114</v>
      </c>
    </row>
    <row r="461" customFormat="false" ht="15" hidden="false" customHeight="false" outlineLevel="0" collapsed="false">
      <c r="A461" s="76" t="s">
        <v>1470</v>
      </c>
      <c r="B461" s="76" t="s">
        <v>62</v>
      </c>
      <c r="C461" s="76" t="s">
        <v>1425</v>
      </c>
      <c r="D461" s="76" t="s">
        <v>1189</v>
      </c>
      <c r="E461" s="76" t="s">
        <v>1125</v>
      </c>
      <c r="F461" s="35" t="s">
        <v>1471</v>
      </c>
      <c r="G461" s="76" t="s">
        <v>572</v>
      </c>
      <c r="H461" s="76"/>
      <c r="I461" s="76" t="s">
        <v>1473</v>
      </c>
      <c r="J461" s="78" t="n">
        <v>0.082</v>
      </c>
      <c r="K461" s="76" t="s">
        <v>1473</v>
      </c>
      <c r="L461" s="77" t="s">
        <v>1114</v>
      </c>
    </row>
    <row r="462" customFormat="false" ht="15" hidden="false" customHeight="false" outlineLevel="0" collapsed="false">
      <c r="A462" s="76" t="s">
        <v>1470</v>
      </c>
      <c r="B462" s="76" t="s">
        <v>62</v>
      </c>
      <c r="C462" s="76" t="s">
        <v>1425</v>
      </c>
      <c r="D462" s="76" t="s">
        <v>1189</v>
      </c>
      <c r="E462" s="76" t="s">
        <v>1125</v>
      </c>
      <c r="F462" s="35" t="s">
        <v>1471</v>
      </c>
      <c r="G462" s="76" t="s">
        <v>573</v>
      </c>
      <c r="H462" s="78" t="n">
        <v>5265.48097001441</v>
      </c>
      <c r="I462" s="76" t="s">
        <v>1474</v>
      </c>
      <c r="J462" s="78" t="n">
        <v>5265.4809700144</v>
      </c>
      <c r="K462" s="76" t="s">
        <v>1474</v>
      </c>
      <c r="L462" s="77" t="s">
        <v>1114</v>
      </c>
    </row>
    <row r="463" customFormat="false" ht="15" hidden="false" customHeight="false" outlineLevel="0" collapsed="false">
      <c r="A463" s="76" t="s">
        <v>1470</v>
      </c>
      <c r="B463" s="76" t="s">
        <v>62</v>
      </c>
      <c r="C463" s="76" t="s">
        <v>1425</v>
      </c>
      <c r="D463" s="76" t="s">
        <v>1189</v>
      </c>
      <c r="E463" s="76" t="s">
        <v>1125</v>
      </c>
      <c r="F463" s="35" t="s">
        <v>1471</v>
      </c>
      <c r="G463" s="76" t="s">
        <v>574</v>
      </c>
      <c r="H463" s="78" t="n">
        <v>6657.58402185486</v>
      </c>
      <c r="I463" s="76" t="s">
        <v>1475</v>
      </c>
      <c r="J463" s="78" t="n">
        <v>6657.58402185486</v>
      </c>
      <c r="K463" s="76" t="s">
        <v>1475</v>
      </c>
      <c r="L463" s="77" t="s">
        <v>1114</v>
      </c>
    </row>
    <row r="464" customFormat="false" ht="15" hidden="false" customHeight="false" outlineLevel="0" collapsed="false">
      <c r="A464" s="76" t="s">
        <v>1470</v>
      </c>
      <c r="B464" s="76" t="s">
        <v>62</v>
      </c>
      <c r="C464" s="76" t="s">
        <v>1425</v>
      </c>
      <c r="D464" s="76" t="s">
        <v>1189</v>
      </c>
      <c r="E464" s="76" t="s">
        <v>1125</v>
      </c>
      <c r="F464" s="35" t="s">
        <v>1471</v>
      </c>
      <c r="G464" s="76" t="s">
        <v>487</v>
      </c>
      <c r="H464" s="78" t="n">
        <v>16705.2366220854</v>
      </c>
      <c r="I464" s="76" t="s">
        <v>1476</v>
      </c>
      <c r="J464" s="78" t="n">
        <v>16705.2366220854</v>
      </c>
      <c r="K464" s="76" t="s">
        <v>1476</v>
      </c>
      <c r="L464" s="77" t="s">
        <v>1114</v>
      </c>
    </row>
    <row r="465" customFormat="false" ht="15" hidden="false" customHeight="false" outlineLevel="0" collapsed="false">
      <c r="A465" s="76" t="s">
        <v>1477</v>
      </c>
      <c r="B465" s="76" t="s">
        <v>62</v>
      </c>
      <c r="C465" s="76" t="s">
        <v>1425</v>
      </c>
      <c r="D465" s="76" t="s">
        <v>1198</v>
      </c>
      <c r="E465" s="76" t="s">
        <v>1162</v>
      </c>
      <c r="F465" s="35" t="s">
        <v>1478</v>
      </c>
      <c r="G465" s="76" t="s">
        <v>419</v>
      </c>
      <c r="H465" s="76"/>
      <c r="I465" s="76" t="s">
        <v>570</v>
      </c>
      <c r="J465" s="76"/>
      <c r="K465" s="76" t="s">
        <v>570</v>
      </c>
      <c r="L465" s="77" t="s">
        <v>1114</v>
      </c>
    </row>
    <row r="466" customFormat="false" ht="15" hidden="false" customHeight="false" outlineLevel="0" collapsed="false">
      <c r="A466" s="76" t="s">
        <v>1477</v>
      </c>
      <c r="B466" s="76" t="s">
        <v>62</v>
      </c>
      <c r="C466" s="76" t="s">
        <v>1425</v>
      </c>
      <c r="D466" s="76" t="s">
        <v>1198</v>
      </c>
      <c r="E466" s="76" t="s">
        <v>1162</v>
      </c>
      <c r="F466" s="35" t="s">
        <v>1478</v>
      </c>
      <c r="G466" s="76" t="s">
        <v>570</v>
      </c>
      <c r="H466" s="78" t="n">
        <v>818.410348835754</v>
      </c>
      <c r="I466" s="76" t="s">
        <v>1479</v>
      </c>
      <c r="J466" s="78" t="n">
        <v>818.410348835754</v>
      </c>
      <c r="K466" s="76" t="s">
        <v>1479</v>
      </c>
      <c r="L466" s="77" t="s">
        <v>1114</v>
      </c>
    </row>
    <row r="467" customFormat="false" ht="15" hidden="false" customHeight="false" outlineLevel="0" collapsed="false">
      <c r="A467" s="76" t="s">
        <v>1477</v>
      </c>
      <c r="B467" s="76" t="s">
        <v>62</v>
      </c>
      <c r="C467" s="76" t="s">
        <v>1425</v>
      </c>
      <c r="D467" s="76" t="s">
        <v>1198</v>
      </c>
      <c r="E467" s="76" t="s">
        <v>1162</v>
      </c>
      <c r="F467" s="35" t="s">
        <v>1478</v>
      </c>
      <c r="G467" s="76" t="s">
        <v>572</v>
      </c>
      <c r="H467" s="76"/>
      <c r="I467" s="76" t="s">
        <v>1480</v>
      </c>
      <c r="J467" s="78" t="n">
        <v>0.077</v>
      </c>
      <c r="K467" s="76" t="s">
        <v>1480</v>
      </c>
      <c r="L467" s="77" t="s">
        <v>1114</v>
      </c>
    </row>
    <row r="468" customFormat="false" ht="15" hidden="false" customHeight="false" outlineLevel="0" collapsed="false">
      <c r="A468" s="76" t="s">
        <v>1477</v>
      </c>
      <c r="B468" s="76" t="s">
        <v>62</v>
      </c>
      <c r="C468" s="76" t="s">
        <v>1425</v>
      </c>
      <c r="D468" s="76" t="s">
        <v>1198</v>
      </c>
      <c r="E468" s="76" t="s">
        <v>1162</v>
      </c>
      <c r="F468" s="35" t="s">
        <v>1478</v>
      </c>
      <c r="G468" s="76" t="s">
        <v>573</v>
      </c>
      <c r="H468" s="78" t="n">
        <v>12006.3894048836</v>
      </c>
      <c r="I468" s="76" t="s">
        <v>1481</v>
      </c>
      <c r="J468" s="78" t="n">
        <v>12006.3894048836</v>
      </c>
      <c r="K468" s="76" t="s">
        <v>1481</v>
      </c>
      <c r="L468" s="77" t="s">
        <v>1114</v>
      </c>
    </row>
    <row r="469" customFormat="false" ht="15" hidden="false" customHeight="false" outlineLevel="0" collapsed="false">
      <c r="A469" s="76" t="s">
        <v>1477</v>
      </c>
      <c r="B469" s="76" t="s">
        <v>62</v>
      </c>
      <c r="C469" s="76" t="s">
        <v>1425</v>
      </c>
      <c r="D469" s="76" t="s">
        <v>1198</v>
      </c>
      <c r="E469" s="76" t="s">
        <v>1162</v>
      </c>
      <c r="F469" s="35" t="s">
        <v>1478</v>
      </c>
      <c r="G469" s="76" t="s">
        <v>574</v>
      </c>
      <c r="H469" s="78" t="n">
        <v>12824.7997537194</v>
      </c>
      <c r="I469" s="76" t="s">
        <v>1482</v>
      </c>
      <c r="J469" s="78" t="n">
        <v>12824.7997537194</v>
      </c>
      <c r="K469" s="76" t="s">
        <v>1482</v>
      </c>
      <c r="L469" s="77" t="s">
        <v>1114</v>
      </c>
    </row>
    <row r="470" customFormat="false" ht="15" hidden="false" customHeight="false" outlineLevel="0" collapsed="false">
      <c r="A470" s="76" t="s">
        <v>1477</v>
      </c>
      <c r="B470" s="76" t="s">
        <v>62</v>
      </c>
      <c r="C470" s="76" t="s">
        <v>1425</v>
      </c>
      <c r="D470" s="76" t="s">
        <v>1198</v>
      </c>
      <c r="E470" s="76" t="s">
        <v>1162</v>
      </c>
      <c r="F470" s="35" t="s">
        <v>1478</v>
      </c>
      <c r="G470" s="76" t="s">
        <v>487</v>
      </c>
      <c r="H470" s="78" t="n">
        <v>9820.92418602905</v>
      </c>
      <c r="I470" s="76" t="s">
        <v>1483</v>
      </c>
      <c r="J470" s="78" t="n">
        <v>9820.92418602905</v>
      </c>
      <c r="K470" s="76" t="s">
        <v>1483</v>
      </c>
      <c r="L470" s="77" t="s">
        <v>1114</v>
      </c>
    </row>
    <row r="471" customFormat="false" ht="15" hidden="false" customHeight="false" outlineLevel="0" collapsed="false">
      <c r="A471" s="76" t="s">
        <v>1484</v>
      </c>
      <c r="B471" s="76" t="s">
        <v>67</v>
      </c>
      <c r="C471" s="76" t="s">
        <v>1485</v>
      </c>
      <c r="D471" s="76" t="s">
        <v>1111</v>
      </c>
      <c r="E471" s="76" t="s">
        <v>1112</v>
      </c>
      <c r="F471" s="35" t="s">
        <v>1486</v>
      </c>
      <c r="G471" s="76" t="s">
        <v>419</v>
      </c>
      <c r="H471" s="76"/>
      <c r="I471" s="76" t="s">
        <v>589</v>
      </c>
      <c r="J471" s="76"/>
      <c r="K471" s="76" t="s">
        <v>589</v>
      </c>
      <c r="L471" s="77" t="s">
        <v>1114</v>
      </c>
    </row>
    <row r="472" customFormat="false" ht="15" hidden="false" customHeight="false" outlineLevel="0" collapsed="false">
      <c r="A472" s="76" t="s">
        <v>1484</v>
      </c>
      <c r="B472" s="76" t="s">
        <v>67</v>
      </c>
      <c r="C472" s="76" t="s">
        <v>1485</v>
      </c>
      <c r="D472" s="76" t="s">
        <v>1111</v>
      </c>
      <c r="E472" s="76" t="s">
        <v>1112</v>
      </c>
      <c r="F472" s="35" t="s">
        <v>1486</v>
      </c>
      <c r="G472" s="76" t="s">
        <v>589</v>
      </c>
      <c r="H472" s="78" t="n">
        <v>82843.017433978</v>
      </c>
      <c r="I472" s="76" t="s">
        <v>1487</v>
      </c>
      <c r="J472" s="78" t="n">
        <v>82843.017433978</v>
      </c>
      <c r="K472" s="76" t="s">
        <v>1487</v>
      </c>
      <c r="L472" s="77" t="s">
        <v>1114</v>
      </c>
    </row>
    <row r="473" customFormat="false" ht="15" hidden="false" customHeight="false" outlineLevel="0" collapsed="false">
      <c r="A473" s="76" t="s">
        <v>1484</v>
      </c>
      <c r="B473" s="76" t="s">
        <v>67</v>
      </c>
      <c r="C473" s="76" t="s">
        <v>1485</v>
      </c>
      <c r="D473" s="76" t="s">
        <v>1111</v>
      </c>
      <c r="E473" s="76" t="s">
        <v>1112</v>
      </c>
      <c r="F473" s="35" t="s">
        <v>1486</v>
      </c>
      <c r="G473" s="76" t="s">
        <v>590</v>
      </c>
      <c r="H473" s="78" t="n">
        <v>25</v>
      </c>
      <c r="I473" s="76" t="s">
        <v>1488</v>
      </c>
      <c r="J473" s="76" t="n">
        <v>25</v>
      </c>
      <c r="K473" s="76" t="s">
        <v>1488</v>
      </c>
      <c r="L473" s="77" t="s">
        <v>1114</v>
      </c>
    </row>
    <row r="474" customFormat="false" ht="15" hidden="false" customHeight="false" outlineLevel="0" collapsed="false">
      <c r="A474" s="76" t="s">
        <v>1484</v>
      </c>
      <c r="B474" s="76" t="s">
        <v>67</v>
      </c>
      <c r="C474" s="76" t="s">
        <v>1485</v>
      </c>
      <c r="D474" s="76" t="s">
        <v>1111</v>
      </c>
      <c r="E474" s="76" t="s">
        <v>1112</v>
      </c>
      <c r="F474" s="35" t="s">
        <v>1486</v>
      </c>
      <c r="G474" s="76" t="s">
        <v>581</v>
      </c>
      <c r="H474" s="78" t="n">
        <v>1583.51052089331</v>
      </c>
      <c r="I474" s="76" t="s">
        <v>1429</v>
      </c>
      <c r="J474" s="78" t="n">
        <v>1583.51052089331</v>
      </c>
      <c r="K474" s="76" t="s">
        <v>1429</v>
      </c>
      <c r="L474" s="77" t="s">
        <v>1114</v>
      </c>
    </row>
    <row r="475" customFormat="false" ht="15" hidden="false" customHeight="false" outlineLevel="0" collapsed="false">
      <c r="A475" s="76" t="s">
        <v>1484</v>
      </c>
      <c r="B475" s="76" t="s">
        <v>67</v>
      </c>
      <c r="C475" s="76" t="s">
        <v>1485</v>
      </c>
      <c r="D475" s="76" t="s">
        <v>1111</v>
      </c>
      <c r="E475" s="76" t="s">
        <v>1112</v>
      </c>
      <c r="F475" s="35" t="s">
        <v>1486</v>
      </c>
      <c r="G475" s="76" t="s">
        <v>583</v>
      </c>
      <c r="H475" s="78" t="n">
        <v>1328.32422309993</v>
      </c>
      <c r="I475" s="76" t="s">
        <v>1489</v>
      </c>
      <c r="J475" s="78" t="n">
        <v>1328.32422309993</v>
      </c>
      <c r="K475" s="76" t="s">
        <v>1489</v>
      </c>
      <c r="L475" s="77" t="s">
        <v>1114</v>
      </c>
    </row>
    <row r="476" customFormat="false" ht="15" hidden="false" customHeight="false" outlineLevel="0" collapsed="false">
      <c r="A476" s="76" t="s">
        <v>1484</v>
      </c>
      <c r="B476" s="76" t="s">
        <v>67</v>
      </c>
      <c r="C476" s="76" t="s">
        <v>1485</v>
      </c>
      <c r="D476" s="76" t="s">
        <v>1111</v>
      </c>
      <c r="E476" s="76" t="s">
        <v>1112</v>
      </c>
      <c r="F476" s="35" t="s">
        <v>1486</v>
      </c>
      <c r="G476" s="76" t="s">
        <v>585</v>
      </c>
      <c r="H476" s="78" t="n">
        <v>175053.156267993</v>
      </c>
      <c r="I476" s="76" t="s">
        <v>1490</v>
      </c>
      <c r="J476" s="78" t="n">
        <v>175053.156267993</v>
      </c>
      <c r="K476" s="76" t="s">
        <v>1490</v>
      </c>
      <c r="L476" s="77" t="s">
        <v>1114</v>
      </c>
    </row>
    <row r="477" customFormat="false" ht="15" hidden="false" customHeight="false" outlineLevel="0" collapsed="false">
      <c r="A477" s="76" t="s">
        <v>1484</v>
      </c>
      <c r="B477" s="76" t="s">
        <v>67</v>
      </c>
      <c r="C477" s="76" t="s">
        <v>1485</v>
      </c>
      <c r="D477" s="76" t="s">
        <v>1111</v>
      </c>
      <c r="E477" s="76" t="s">
        <v>1112</v>
      </c>
      <c r="F477" s="35" t="s">
        <v>1486</v>
      </c>
      <c r="G477" s="76" t="s">
        <v>587</v>
      </c>
      <c r="H477" s="78" t="n">
        <v>257896.173701971</v>
      </c>
      <c r="I477" s="76" t="s">
        <v>1491</v>
      </c>
      <c r="J477" s="78" t="n">
        <v>257896.173701971</v>
      </c>
      <c r="K477" s="76" t="s">
        <v>1491</v>
      </c>
      <c r="L477" s="77" t="s">
        <v>1114</v>
      </c>
    </row>
    <row r="478" customFormat="false" ht="15" hidden="false" customHeight="false" outlineLevel="0" collapsed="false">
      <c r="A478" s="76" t="s">
        <v>1492</v>
      </c>
      <c r="B478" s="76" t="s">
        <v>67</v>
      </c>
      <c r="C478" s="76" t="s">
        <v>1485</v>
      </c>
      <c r="D478" s="76" t="s">
        <v>1124</v>
      </c>
      <c r="E478" s="76" t="s">
        <v>1125</v>
      </c>
      <c r="F478" s="35" t="s">
        <v>1493</v>
      </c>
      <c r="G478" s="76" t="s">
        <v>419</v>
      </c>
      <c r="H478" s="76"/>
      <c r="I478" s="76" t="s">
        <v>589</v>
      </c>
      <c r="J478" s="76"/>
      <c r="K478" s="76" t="s">
        <v>589</v>
      </c>
      <c r="L478" s="77" t="s">
        <v>1114</v>
      </c>
    </row>
    <row r="479" customFormat="false" ht="15" hidden="false" customHeight="false" outlineLevel="0" collapsed="false">
      <c r="A479" s="76" t="s">
        <v>1492</v>
      </c>
      <c r="B479" s="76" t="s">
        <v>67</v>
      </c>
      <c r="C479" s="76" t="s">
        <v>1485</v>
      </c>
      <c r="D479" s="76" t="s">
        <v>1124</v>
      </c>
      <c r="E479" s="76" t="s">
        <v>1125</v>
      </c>
      <c r="F479" s="35" t="s">
        <v>1493</v>
      </c>
      <c r="G479" s="76" t="s">
        <v>589</v>
      </c>
      <c r="H479" s="76" t="n">
        <v>0</v>
      </c>
      <c r="I479" s="76" t="s">
        <v>1127</v>
      </c>
      <c r="J479" s="76" t="n">
        <v>0</v>
      </c>
      <c r="K479" s="76" t="s">
        <v>1127</v>
      </c>
      <c r="L479" s="77" t="s">
        <v>1114</v>
      </c>
    </row>
    <row r="480" customFormat="false" ht="15" hidden="false" customHeight="false" outlineLevel="0" collapsed="false">
      <c r="A480" s="76" t="s">
        <v>1492</v>
      </c>
      <c r="B480" s="76" t="s">
        <v>67</v>
      </c>
      <c r="C480" s="76" t="s">
        <v>1485</v>
      </c>
      <c r="D480" s="76" t="s">
        <v>1124</v>
      </c>
      <c r="E480" s="76" t="s">
        <v>1125</v>
      </c>
      <c r="F480" s="35" t="s">
        <v>1493</v>
      </c>
      <c r="G480" s="76" t="s">
        <v>590</v>
      </c>
      <c r="H480" s="78" t="n">
        <v>5</v>
      </c>
      <c r="I480" s="76" t="s">
        <v>1418</v>
      </c>
      <c r="J480" s="76" t="n">
        <v>5</v>
      </c>
      <c r="K480" s="76" t="s">
        <v>1418</v>
      </c>
      <c r="L480" s="77" t="s">
        <v>1114</v>
      </c>
    </row>
    <row r="481" customFormat="false" ht="15" hidden="false" customHeight="false" outlineLevel="0" collapsed="false">
      <c r="A481" s="76" t="s">
        <v>1492</v>
      </c>
      <c r="B481" s="76" t="s">
        <v>67</v>
      </c>
      <c r="C481" s="76" t="s">
        <v>1485</v>
      </c>
      <c r="D481" s="76" t="s">
        <v>1124</v>
      </c>
      <c r="E481" s="76" t="s">
        <v>1125</v>
      </c>
      <c r="F481" s="35" t="s">
        <v>1493</v>
      </c>
      <c r="G481" s="76" t="s">
        <v>581</v>
      </c>
      <c r="H481" s="78" t="n">
        <v>854.687372272732</v>
      </c>
      <c r="I481" s="76" t="s">
        <v>1219</v>
      </c>
      <c r="J481" s="78" t="n">
        <v>854.687372272732</v>
      </c>
      <c r="K481" s="76" t="s">
        <v>1219</v>
      </c>
      <c r="L481" s="77" t="s">
        <v>1114</v>
      </c>
    </row>
    <row r="482" customFormat="false" ht="15" hidden="false" customHeight="false" outlineLevel="0" collapsed="false">
      <c r="A482" s="76" t="s">
        <v>1492</v>
      </c>
      <c r="B482" s="76" t="s">
        <v>67</v>
      </c>
      <c r="C482" s="76" t="s">
        <v>1485</v>
      </c>
      <c r="D482" s="76" t="s">
        <v>1124</v>
      </c>
      <c r="E482" s="76" t="s">
        <v>1125</v>
      </c>
      <c r="F482" s="35" t="s">
        <v>1493</v>
      </c>
      <c r="G482" s="76" t="s">
        <v>583</v>
      </c>
      <c r="H482" s="78" t="n">
        <v>854.687372272732</v>
      </c>
      <c r="I482" s="76" t="s">
        <v>1219</v>
      </c>
      <c r="J482" s="78" t="n">
        <v>854.687372272732</v>
      </c>
      <c r="K482" s="76" t="s">
        <v>1219</v>
      </c>
      <c r="L482" s="77" t="s">
        <v>1114</v>
      </c>
    </row>
    <row r="483" customFormat="false" ht="15" hidden="false" customHeight="false" outlineLevel="0" collapsed="false">
      <c r="A483" s="76" t="s">
        <v>1492</v>
      </c>
      <c r="B483" s="76" t="s">
        <v>67</v>
      </c>
      <c r="C483" s="76" t="s">
        <v>1485</v>
      </c>
      <c r="D483" s="76" t="s">
        <v>1124</v>
      </c>
      <c r="E483" s="76" t="s">
        <v>1125</v>
      </c>
      <c r="F483" s="35" t="s">
        <v>1493</v>
      </c>
      <c r="G483" s="76" t="s">
        <v>585</v>
      </c>
      <c r="H483" s="78" t="n">
        <v>1281.24233636393</v>
      </c>
      <c r="I483" s="76" t="s">
        <v>1494</v>
      </c>
      <c r="J483" s="78" t="n">
        <v>1281.24233636392</v>
      </c>
      <c r="K483" s="76" t="s">
        <v>1494</v>
      </c>
      <c r="L483" s="77" t="s">
        <v>1114</v>
      </c>
    </row>
    <row r="484" customFormat="false" ht="15" hidden="false" customHeight="false" outlineLevel="0" collapsed="false">
      <c r="A484" s="76" t="s">
        <v>1492</v>
      </c>
      <c r="B484" s="76" t="s">
        <v>67</v>
      </c>
      <c r="C484" s="76" t="s">
        <v>1485</v>
      </c>
      <c r="D484" s="76" t="s">
        <v>1124</v>
      </c>
      <c r="E484" s="76" t="s">
        <v>1125</v>
      </c>
      <c r="F484" s="35" t="s">
        <v>1493</v>
      </c>
      <c r="G484" s="76" t="s">
        <v>587</v>
      </c>
      <c r="H484" s="78" t="n">
        <v>1281.24233636393</v>
      </c>
      <c r="I484" s="76" t="s">
        <v>1494</v>
      </c>
      <c r="J484" s="78" t="n">
        <v>1281.24233636392</v>
      </c>
      <c r="K484" s="76" t="s">
        <v>1494</v>
      </c>
      <c r="L484" s="77" t="s">
        <v>1114</v>
      </c>
    </row>
    <row r="485" customFormat="false" ht="15" hidden="false" customHeight="false" outlineLevel="0" collapsed="false">
      <c r="A485" s="76" t="s">
        <v>1495</v>
      </c>
      <c r="B485" s="76" t="s">
        <v>67</v>
      </c>
      <c r="C485" s="76" t="s">
        <v>1485</v>
      </c>
      <c r="D485" s="76" t="s">
        <v>1132</v>
      </c>
      <c r="E485" s="76" t="s">
        <v>1133</v>
      </c>
      <c r="F485" s="35" t="s">
        <v>1496</v>
      </c>
      <c r="G485" s="76" t="s">
        <v>419</v>
      </c>
      <c r="H485" s="76"/>
      <c r="I485" s="76" t="s">
        <v>589</v>
      </c>
      <c r="J485" s="76"/>
      <c r="K485" s="76" t="s">
        <v>589</v>
      </c>
      <c r="L485" s="77" t="s">
        <v>1114</v>
      </c>
    </row>
    <row r="486" customFormat="false" ht="15" hidden="false" customHeight="false" outlineLevel="0" collapsed="false">
      <c r="A486" s="76" t="s">
        <v>1495</v>
      </c>
      <c r="B486" s="76" t="s">
        <v>67</v>
      </c>
      <c r="C486" s="76" t="s">
        <v>1485</v>
      </c>
      <c r="D486" s="76" t="s">
        <v>1132</v>
      </c>
      <c r="E486" s="76" t="s">
        <v>1133</v>
      </c>
      <c r="F486" s="35" t="s">
        <v>1496</v>
      </c>
      <c r="G486" s="76" t="s">
        <v>589</v>
      </c>
      <c r="H486" s="78" t="n">
        <v>1766512.03430454</v>
      </c>
      <c r="I486" s="76" t="s">
        <v>1497</v>
      </c>
      <c r="J486" s="78" t="n">
        <v>1766512.03430454</v>
      </c>
      <c r="K486" s="76" t="s">
        <v>1497</v>
      </c>
      <c r="L486" s="77" t="s">
        <v>1114</v>
      </c>
    </row>
    <row r="487" customFormat="false" ht="15" hidden="false" customHeight="false" outlineLevel="0" collapsed="false">
      <c r="A487" s="76" t="s">
        <v>1495</v>
      </c>
      <c r="B487" s="76" t="s">
        <v>67</v>
      </c>
      <c r="C487" s="76" t="s">
        <v>1485</v>
      </c>
      <c r="D487" s="76" t="s">
        <v>1132</v>
      </c>
      <c r="E487" s="76" t="s">
        <v>1133</v>
      </c>
      <c r="F487" s="35" t="s">
        <v>1496</v>
      </c>
      <c r="G487" s="76" t="s">
        <v>590</v>
      </c>
      <c r="H487" s="78" t="n">
        <v>5</v>
      </c>
      <c r="I487" s="76" t="s">
        <v>1418</v>
      </c>
      <c r="J487" s="76" t="n">
        <v>5</v>
      </c>
      <c r="K487" s="76" t="s">
        <v>1418</v>
      </c>
      <c r="L487" s="77" t="s">
        <v>1114</v>
      </c>
    </row>
    <row r="488" customFormat="false" ht="15" hidden="false" customHeight="false" outlineLevel="0" collapsed="false">
      <c r="A488" s="76" t="s">
        <v>1495</v>
      </c>
      <c r="B488" s="76" t="s">
        <v>67</v>
      </c>
      <c r="C488" s="76" t="s">
        <v>1485</v>
      </c>
      <c r="D488" s="76" t="s">
        <v>1132</v>
      </c>
      <c r="E488" s="76" t="s">
        <v>1133</v>
      </c>
      <c r="F488" s="35" t="s">
        <v>1496</v>
      </c>
      <c r="G488" s="76" t="s">
        <v>581</v>
      </c>
      <c r="H488" s="78" t="n">
        <v>7102.60878954612</v>
      </c>
      <c r="I488" s="76" t="s">
        <v>1227</v>
      </c>
      <c r="J488" s="78" t="n">
        <v>7102.60878954612</v>
      </c>
      <c r="K488" s="76" t="s">
        <v>1227</v>
      </c>
      <c r="L488" s="77" t="s">
        <v>1114</v>
      </c>
    </row>
    <row r="489" customFormat="false" ht="15" hidden="false" customHeight="false" outlineLevel="0" collapsed="false">
      <c r="A489" s="76" t="s">
        <v>1495</v>
      </c>
      <c r="B489" s="76" t="s">
        <v>67</v>
      </c>
      <c r="C489" s="76" t="s">
        <v>1485</v>
      </c>
      <c r="D489" s="76" t="s">
        <v>1132</v>
      </c>
      <c r="E489" s="76" t="s">
        <v>1133</v>
      </c>
      <c r="F489" s="35" t="s">
        <v>1496</v>
      </c>
      <c r="G489" s="76" t="s">
        <v>583</v>
      </c>
      <c r="H489" s="78" t="n">
        <v>20276.3942884139</v>
      </c>
      <c r="I489" s="76" t="s">
        <v>1498</v>
      </c>
      <c r="J489" s="78" t="n">
        <v>20276.3942884139</v>
      </c>
      <c r="K489" s="76" t="s">
        <v>1498</v>
      </c>
      <c r="L489" s="77" t="s">
        <v>1114</v>
      </c>
    </row>
    <row r="490" customFormat="false" ht="15" hidden="false" customHeight="false" outlineLevel="0" collapsed="false">
      <c r="A490" s="76" t="s">
        <v>1495</v>
      </c>
      <c r="B490" s="76" t="s">
        <v>67</v>
      </c>
      <c r="C490" s="76" t="s">
        <v>1485</v>
      </c>
      <c r="D490" s="76" t="s">
        <v>1132</v>
      </c>
      <c r="E490" s="76" t="s">
        <v>1133</v>
      </c>
      <c r="F490" s="35" t="s">
        <v>1496</v>
      </c>
      <c r="G490" s="76" t="s">
        <v>585</v>
      </c>
      <c r="H490" s="78" t="n">
        <v>1983095.69160937</v>
      </c>
      <c r="I490" s="76" t="s">
        <v>1499</v>
      </c>
      <c r="J490" s="78" t="n">
        <v>1983095.69160937</v>
      </c>
      <c r="K490" s="76" t="s">
        <v>1499</v>
      </c>
      <c r="L490" s="77" t="s">
        <v>1114</v>
      </c>
    </row>
    <row r="491" customFormat="false" ht="15" hidden="false" customHeight="false" outlineLevel="0" collapsed="false">
      <c r="A491" s="76" t="s">
        <v>1495</v>
      </c>
      <c r="B491" s="76" t="s">
        <v>67</v>
      </c>
      <c r="C491" s="76" t="s">
        <v>1485</v>
      </c>
      <c r="D491" s="76" t="s">
        <v>1132</v>
      </c>
      <c r="E491" s="76" t="s">
        <v>1133</v>
      </c>
      <c r="F491" s="35" t="s">
        <v>1496</v>
      </c>
      <c r="G491" s="76" t="s">
        <v>587</v>
      </c>
      <c r="H491" s="78" t="n">
        <v>216583.657304831</v>
      </c>
      <c r="I491" s="76" t="s">
        <v>1500</v>
      </c>
      <c r="J491" s="78" t="n">
        <v>216583.657304831</v>
      </c>
      <c r="K491" s="76" t="s">
        <v>1500</v>
      </c>
      <c r="L491" s="77" t="s">
        <v>1114</v>
      </c>
    </row>
    <row r="492" customFormat="false" ht="15" hidden="false" customHeight="false" outlineLevel="0" collapsed="false">
      <c r="A492" s="76" t="s">
        <v>1501</v>
      </c>
      <c r="B492" s="76" t="s">
        <v>67</v>
      </c>
      <c r="C492" s="76" t="s">
        <v>1485</v>
      </c>
      <c r="D492" s="76" t="s">
        <v>1141</v>
      </c>
      <c r="E492" s="76" t="s">
        <v>1142</v>
      </c>
      <c r="F492" s="35" t="s">
        <v>1502</v>
      </c>
      <c r="G492" s="76" t="s">
        <v>419</v>
      </c>
      <c r="H492" s="76"/>
      <c r="I492" s="76" t="s">
        <v>589</v>
      </c>
      <c r="J492" s="76"/>
      <c r="K492" s="76" t="s">
        <v>589</v>
      </c>
      <c r="L492" s="77" t="s">
        <v>1114</v>
      </c>
    </row>
    <row r="493" customFormat="false" ht="15" hidden="false" customHeight="false" outlineLevel="0" collapsed="false">
      <c r="A493" s="76" t="s">
        <v>1501</v>
      </c>
      <c r="B493" s="76" t="s">
        <v>67</v>
      </c>
      <c r="C493" s="76" t="s">
        <v>1485</v>
      </c>
      <c r="D493" s="76" t="s">
        <v>1141</v>
      </c>
      <c r="E493" s="76" t="s">
        <v>1142</v>
      </c>
      <c r="F493" s="35" t="s">
        <v>1502</v>
      </c>
      <c r="G493" s="76" t="s">
        <v>589</v>
      </c>
      <c r="H493" s="78" t="n">
        <v>78618.6740691083</v>
      </c>
      <c r="I493" s="76" t="s">
        <v>1503</v>
      </c>
      <c r="J493" s="78" t="n">
        <v>78618.6740691083</v>
      </c>
      <c r="K493" s="76" t="s">
        <v>1503</v>
      </c>
      <c r="L493" s="77" t="s">
        <v>1114</v>
      </c>
    </row>
    <row r="494" customFormat="false" ht="15" hidden="false" customHeight="false" outlineLevel="0" collapsed="false">
      <c r="A494" s="76" t="s">
        <v>1501</v>
      </c>
      <c r="B494" s="76" t="s">
        <v>67</v>
      </c>
      <c r="C494" s="76" t="s">
        <v>1485</v>
      </c>
      <c r="D494" s="76" t="s">
        <v>1141</v>
      </c>
      <c r="E494" s="76" t="s">
        <v>1142</v>
      </c>
      <c r="F494" s="35" t="s">
        <v>1502</v>
      </c>
      <c r="G494" s="76" t="s">
        <v>590</v>
      </c>
      <c r="H494" s="78" t="n">
        <v>8</v>
      </c>
      <c r="I494" s="76" t="s">
        <v>1373</v>
      </c>
      <c r="J494" s="76" t="n">
        <v>8</v>
      </c>
      <c r="K494" s="76" t="s">
        <v>1373</v>
      </c>
      <c r="L494" s="77" t="s">
        <v>1114</v>
      </c>
    </row>
    <row r="495" customFormat="false" ht="15" hidden="false" customHeight="false" outlineLevel="0" collapsed="false">
      <c r="A495" s="76" t="s">
        <v>1501</v>
      </c>
      <c r="B495" s="76" t="s">
        <v>67</v>
      </c>
      <c r="C495" s="76" t="s">
        <v>1485</v>
      </c>
      <c r="D495" s="76" t="s">
        <v>1141</v>
      </c>
      <c r="E495" s="76" t="s">
        <v>1142</v>
      </c>
      <c r="F495" s="35" t="s">
        <v>1502</v>
      </c>
      <c r="G495" s="76" t="s">
        <v>581</v>
      </c>
      <c r="H495" s="78" t="n">
        <v>4473.00325800062</v>
      </c>
      <c r="I495" s="76" t="s">
        <v>1504</v>
      </c>
      <c r="J495" s="78" t="n">
        <v>4473.00325800062</v>
      </c>
      <c r="K495" s="76" t="s">
        <v>1504</v>
      </c>
      <c r="L495" s="77" t="s">
        <v>1114</v>
      </c>
    </row>
    <row r="496" customFormat="false" ht="15" hidden="false" customHeight="false" outlineLevel="0" collapsed="false">
      <c r="A496" s="76" t="s">
        <v>1501</v>
      </c>
      <c r="B496" s="76" t="s">
        <v>67</v>
      </c>
      <c r="C496" s="76" t="s">
        <v>1485</v>
      </c>
      <c r="D496" s="76" t="s">
        <v>1141</v>
      </c>
      <c r="E496" s="76" t="s">
        <v>1142</v>
      </c>
      <c r="F496" s="35" t="s">
        <v>1502</v>
      </c>
      <c r="G496" s="76" t="s">
        <v>583</v>
      </c>
      <c r="H496" s="78" t="n">
        <v>3023.97015974505</v>
      </c>
      <c r="I496" s="76" t="s">
        <v>1505</v>
      </c>
      <c r="J496" s="78" t="n">
        <v>3023.97015974505</v>
      </c>
      <c r="K496" s="76" t="s">
        <v>1505</v>
      </c>
      <c r="L496" s="77" t="s">
        <v>1114</v>
      </c>
    </row>
    <row r="497" customFormat="false" ht="15" hidden="false" customHeight="false" outlineLevel="0" collapsed="false">
      <c r="A497" s="76" t="s">
        <v>1501</v>
      </c>
      <c r="B497" s="76" t="s">
        <v>67</v>
      </c>
      <c r="C497" s="76" t="s">
        <v>1485</v>
      </c>
      <c r="D497" s="76" t="s">
        <v>1141</v>
      </c>
      <c r="E497" s="76" t="s">
        <v>1142</v>
      </c>
      <c r="F497" s="35" t="s">
        <v>1502</v>
      </c>
      <c r="G497" s="76" t="s">
        <v>585</v>
      </c>
      <c r="H497" s="78" t="n">
        <v>93408.3127680597</v>
      </c>
      <c r="I497" s="76" t="s">
        <v>1506</v>
      </c>
      <c r="J497" s="78" t="n">
        <v>93408.3127680597</v>
      </c>
      <c r="K497" s="76" t="s">
        <v>1506</v>
      </c>
      <c r="L497" s="77" t="s">
        <v>1114</v>
      </c>
    </row>
    <row r="498" customFormat="false" ht="15" hidden="false" customHeight="false" outlineLevel="0" collapsed="false">
      <c r="A498" s="76" t="s">
        <v>1501</v>
      </c>
      <c r="B498" s="76" t="s">
        <v>67</v>
      </c>
      <c r="C498" s="76" t="s">
        <v>1485</v>
      </c>
      <c r="D498" s="76" t="s">
        <v>1141</v>
      </c>
      <c r="E498" s="76" t="s">
        <v>1142</v>
      </c>
      <c r="F498" s="35" t="s">
        <v>1502</v>
      </c>
      <c r="G498" s="76" t="s">
        <v>587</v>
      </c>
      <c r="H498" s="78" t="n">
        <v>172026.986837168</v>
      </c>
      <c r="I498" s="76" t="s">
        <v>1507</v>
      </c>
      <c r="J498" s="78" t="n">
        <v>172026.986837168</v>
      </c>
      <c r="K498" s="76" t="s">
        <v>1507</v>
      </c>
      <c r="L498" s="77" t="s">
        <v>1114</v>
      </c>
    </row>
    <row r="499" customFormat="false" ht="15" hidden="false" customHeight="false" outlineLevel="0" collapsed="false">
      <c r="A499" s="76" t="s">
        <v>1508</v>
      </c>
      <c r="B499" s="76" t="s">
        <v>67</v>
      </c>
      <c r="C499" s="76" t="s">
        <v>1485</v>
      </c>
      <c r="D499" s="76" t="s">
        <v>1151</v>
      </c>
      <c r="E499" s="76" t="s">
        <v>1152</v>
      </c>
      <c r="F499" s="35" t="s">
        <v>1509</v>
      </c>
      <c r="G499" s="76" t="s">
        <v>419</v>
      </c>
      <c r="H499" s="76"/>
      <c r="I499" s="76" t="s">
        <v>589</v>
      </c>
      <c r="J499" s="76"/>
      <c r="K499" s="76" t="s">
        <v>589</v>
      </c>
      <c r="L499" s="77" t="s">
        <v>1114</v>
      </c>
    </row>
    <row r="500" customFormat="false" ht="15" hidden="false" customHeight="false" outlineLevel="0" collapsed="false">
      <c r="A500" s="76" t="s">
        <v>1508</v>
      </c>
      <c r="B500" s="76" t="s">
        <v>67</v>
      </c>
      <c r="C500" s="76" t="s">
        <v>1485</v>
      </c>
      <c r="D500" s="76" t="s">
        <v>1151</v>
      </c>
      <c r="E500" s="76" t="s">
        <v>1152</v>
      </c>
      <c r="F500" s="35" t="s">
        <v>1509</v>
      </c>
      <c r="G500" s="76" t="s">
        <v>589</v>
      </c>
      <c r="H500" s="78" t="n">
        <v>6796.05979294394</v>
      </c>
      <c r="I500" s="76" t="s">
        <v>1510</v>
      </c>
      <c r="J500" s="78" t="n">
        <v>6796.05979294394</v>
      </c>
      <c r="K500" s="76" t="s">
        <v>1510</v>
      </c>
      <c r="L500" s="77" t="s">
        <v>1114</v>
      </c>
    </row>
    <row r="501" customFormat="false" ht="15" hidden="false" customHeight="false" outlineLevel="0" collapsed="false">
      <c r="A501" s="76" t="s">
        <v>1508</v>
      </c>
      <c r="B501" s="76" t="s">
        <v>67</v>
      </c>
      <c r="C501" s="76" t="s">
        <v>1485</v>
      </c>
      <c r="D501" s="76" t="s">
        <v>1151</v>
      </c>
      <c r="E501" s="76" t="s">
        <v>1152</v>
      </c>
      <c r="F501" s="35" t="s">
        <v>1509</v>
      </c>
      <c r="G501" s="76" t="s">
        <v>590</v>
      </c>
      <c r="H501" s="78" t="n">
        <v>10</v>
      </c>
      <c r="I501" s="76" t="s">
        <v>1399</v>
      </c>
      <c r="J501" s="76" t="n">
        <v>10</v>
      </c>
      <c r="K501" s="76" t="s">
        <v>1399</v>
      </c>
      <c r="L501" s="77" t="s">
        <v>1114</v>
      </c>
    </row>
    <row r="502" customFormat="false" ht="15" hidden="false" customHeight="false" outlineLevel="0" collapsed="false">
      <c r="A502" s="76" t="s">
        <v>1508</v>
      </c>
      <c r="B502" s="76" t="s">
        <v>67</v>
      </c>
      <c r="C502" s="76" t="s">
        <v>1485</v>
      </c>
      <c r="D502" s="76" t="s">
        <v>1151</v>
      </c>
      <c r="E502" s="76" t="s">
        <v>1152</v>
      </c>
      <c r="F502" s="35" t="s">
        <v>1509</v>
      </c>
      <c r="G502" s="76" t="s">
        <v>581</v>
      </c>
      <c r="H502" s="78" t="n">
        <v>1080.20200635111</v>
      </c>
      <c r="I502" s="76" t="s">
        <v>1511</v>
      </c>
      <c r="J502" s="78" t="n">
        <v>1080.20200635111</v>
      </c>
      <c r="K502" s="76" t="s">
        <v>1511</v>
      </c>
      <c r="L502" s="77" t="s">
        <v>1114</v>
      </c>
    </row>
    <row r="503" customFormat="false" ht="15" hidden="false" customHeight="false" outlineLevel="0" collapsed="false">
      <c r="A503" s="76" t="s">
        <v>1508</v>
      </c>
      <c r="B503" s="76" t="s">
        <v>67</v>
      </c>
      <c r="C503" s="76" t="s">
        <v>1485</v>
      </c>
      <c r="D503" s="76" t="s">
        <v>1151</v>
      </c>
      <c r="E503" s="76" t="s">
        <v>1152</v>
      </c>
      <c r="F503" s="35" t="s">
        <v>1509</v>
      </c>
      <c r="G503" s="76" t="s">
        <v>583</v>
      </c>
      <c r="H503" s="78" t="n">
        <v>568.417918979486</v>
      </c>
      <c r="I503" s="76" t="s">
        <v>1512</v>
      </c>
      <c r="J503" s="78" t="n">
        <v>568.417918979486</v>
      </c>
      <c r="K503" s="76" t="s">
        <v>1512</v>
      </c>
      <c r="L503" s="77" t="s">
        <v>1114</v>
      </c>
    </row>
    <row r="504" customFormat="false" ht="15" hidden="false" customHeight="false" outlineLevel="0" collapsed="false">
      <c r="A504" s="76" t="s">
        <v>1508</v>
      </c>
      <c r="B504" s="76" t="s">
        <v>67</v>
      </c>
      <c r="C504" s="76" t="s">
        <v>1485</v>
      </c>
      <c r="D504" s="76" t="s">
        <v>1151</v>
      </c>
      <c r="E504" s="76" t="s">
        <v>1152</v>
      </c>
      <c r="F504" s="35" t="s">
        <v>1509</v>
      </c>
      <c r="G504" s="76" t="s">
        <v>585</v>
      </c>
      <c r="H504" s="78" t="n">
        <v>6624.2407621328</v>
      </c>
      <c r="I504" s="76" t="s">
        <v>1513</v>
      </c>
      <c r="J504" s="78" t="n">
        <v>6624.2407621328</v>
      </c>
      <c r="K504" s="76" t="s">
        <v>1513</v>
      </c>
      <c r="L504" s="77" t="s">
        <v>1114</v>
      </c>
    </row>
    <row r="505" customFormat="false" ht="15" hidden="false" customHeight="false" outlineLevel="0" collapsed="false">
      <c r="A505" s="76" t="s">
        <v>1508</v>
      </c>
      <c r="B505" s="76" t="s">
        <v>67</v>
      </c>
      <c r="C505" s="76" t="s">
        <v>1485</v>
      </c>
      <c r="D505" s="76" t="s">
        <v>1151</v>
      </c>
      <c r="E505" s="76" t="s">
        <v>1152</v>
      </c>
      <c r="F505" s="35" t="s">
        <v>1509</v>
      </c>
      <c r="G505" s="76" t="s">
        <v>587</v>
      </c>
      <c r="H505" s="78" t="n">
        <v>13420.3005550767</v>
      </c>
      <c r="I505" s="76" t="s">
        <v>1514</v>
      </c>
      <c r="J505" s="78" t="n">
        <v>13420.3005550767</v>
      </c>
      <c r="K505" s="76" t="s">
        <v>1514</v>
      </c>
      <c r="L505" s="77" t="s">
        <v>1114</v>
      </c>
    </row>
    <row r="506" customFormat="false" ht="15" hidden="false" customHeight="false" outlineLevel="0" collapsed="false">
      <c r="A506" s="76" t="s">
        <v>1515</v>
      </c>
      <c r="B506" s="76" t="s">
        <v>67</v>
      </c>
      <c r="C506" s="76" t="s">
        <v>1485</v>
      </c>
      <c r="D506" s="76" t="s">
        <v>1161</v>
      </c>
      <c r="E506" s="76" t="s">
        <v>1162</v>
      </c>
      <c r="F506" s="35" t="s">
        <v>1516</v>
      </c>
      <c r="G506" s="76" t="s">
        <v>419</v>
      </c>
      <c r="H506" s="76"/>
      <c r="I506" s="76" t="s">
        <v>589</v>
      </c>
      <c r="J506" s="76"/>
      <c r="K506" s="76" t="s">
        <v>589</v>
      </c>
      <c r="L506" s="77" t="s">
        <v>1114</v>
      </c>
    </row>
    <row r="507" customFormat="false" ht="15" hidden="false" customHeight="false" outlineLevel="0" collapsed="false">
      <c r="A507" s="76" t="s">
        <v>1515</v>
      </c>
      <c r="B507" s="76" t="s">
        <v>67</v>
      </c>
      <c r="C507" s="76" t="s">
        <v>1485</v>
      </c>
      <c r="D507" s="76" t="s">
        <v>1161</v>
      </c>
      <c r="E507" s="76" t="s">
        <v>1162</v>
      </c>
      <c r="F507" s="35" t="s">
        <v>1516</v>
      </c>
      <c r="G507" s="76" t="s">
        <v>589</v>
      </c>
      <c r="H507" s="78" t="n">
        <v>67397.2658857034</v>
      </c>
      <c r="I507" s="76" t="s">
        <v>1517</v>
      </c>
      <c r="J507" s="78" t="n">
        <v>67397.2658857034</v>
      </c>
      <c r="K507" s="76" t="s">
        <v>1517</v>
      </c>
      <c r="L507" s="77" t="s">
        <v>1114</v>
      </c>
    </row>
    <row r="508" customFormat="false" ht="15" hidden="false" customHeight="false" outlineLevel="0" collapsed="false">
      <c r="A508" s="76" t="s">
        <v>1515</v>
      </c>
      <c r="B508" s="76" t="s">
        <v>67</v>
      </c>
      <c r="C508" s="76" t="s">
        <v>1485</v>
      </c>
      <c r="D508" s="76" t="s">
        <v>1161</v>
      </c>
      <c r="E508" s="76" t="s">
        <v>1162</v>
      </c>
      <c r="F508" s="35" t="s">
        <v>1516</v>
      </c>
      <c r="G508" s="76" t="s">
        <v>590</v>
      </c>
      <c r="H508" s="78" t="n">
        <v>20</v>
      </c>
      <c r="I508" s="76" t="s">
        <v>1350</v>
      </c>
      <c r="J508" s="76" t="n">
        <v>20</v>
      </c>
      <c r="K508" s="76" t="s">
        <v>1350</v>
      </c>
      <c r="L508" s="77" t="s">
        <v>1114</v>
      </c>
    </row>
    <row r="509" customFormat="false" ht="15" hidden="false" customHeight="false" outlineLevel="0" collapsed="false">
      <c r="A509" s="76" t="s">
        <v>1515</v>
      </c>
      <c r="B509" s="76" t="s">
        <v>67</v>
      </c>
      <c r="C509" s="76" t="s">
        <v>1485</v>
      </c>
      <c r="D509" s="76" t="s">
        <v>1161</v>
      </c>
      <c r="E509" s="76" t="s">
        <v>1162</v>
      </c>
      <c r="F509" s="35" t="s">
        <v>1516</v>
      </c>
      <c r="G509" s="76" t="s">
        <v>581</v>
      </c>
      <c r="H509" s="78" t="n">
        <v>1739.87915394928</v>
      </c>
      <c r="I509" s="76" t="s">
        <v>1518</v>
      </c>
      <c r="J509" s="78" t="n">
        <v>1739.87915394928</v>
      </c>
      <c r="K509" s="76" t="s">
        <v>1518</v>
      </c>
      <c r="L509" s="77" t="s">
        <v>1114</v>
      </c>
    </row>
    <row r="510" customFormat="false" ht="15" hidden="false" customHeight="false" outlineLevel="0" collapsed="false">
      <c r="A510" s="76" t="s">
        <v>1515</v>
      </c>
      <c r="B510" s="76" t="s">
        <v>67</v>
      </c>
      <c r="C510" s="76" t="s">
        <v>1485</v>
      </c>
      <c r="D510" s="76" t="s">
        <v>1161</v>
      </c>
      <c r="E510" s="76" t="s">
        <v>1162</v>
      </c>
      <c r="F510" s="35" t="s">
        <v>1516</v>
      </c>
      <c r="G510" s="76" t="s">
        <v>583</v>
      </c>
      <c r="H510" s="78" t="n">
        <v>1347.13406342647</v>
      </c>
      <c r="I510" s="76" t="s">
        <v>1519</v>
      </c>
      <c r="J510" s="78" t="n">
        <v>1347.13406342647</v>
      </c>
      <c r="K510" s="76" t="s">
        <v>1519</v>
      </c>
      <c r="L510" s="77" t="s">
        <v>1114</v>
      </c>
    </row>
    <row r="511" customFormat="false" ht="15" hidden="false" customHeight="false" outlineLevel="0" collapsed="false">
      <c r="A511" s="76" t="s">
        <v>1515</v>
      </c>
      <c r="B511" s="76" t="s">
        <v>67</v>
      </c>
      <c r="C511" s="76" t="s">
        <v>1485</v>
      </c>
      <c r="D511" s="76" t="s">
        <v>1161</v>
      </c>
      <c r="E511" s="76" t="s">
        <v>1162</v>
      </c>
      <c r="F511" s="35" t="s">
        <v>1516</v>
      </c>
      <c r="G511" s="76" t="s">
        <v>585</v>
      </c>
      <c r="H511" s="78" t="n">
        <v>117570.996947826</v>
      </c>
      <c r="I511" s="76" t="s">
        <v>1520</v>
      </c>
      <c r="J511" s="78" t="n">
        <v>117570.996947826</v>
      </c>
      <c r="K511" s="76" t="s">
        <v>1520</v>
      </c>
      <c r="L511" s="77" t="s">
        <v>1114</v>
      </c>
    </row>
    <row r="512" customFormat="false" ht="15" hidden="false" customHeight="false" outlineLevel="0" collapsed="false">
      <c r="A512" s="76" t="s">
        <v>1515</v>
      </c>
      <c r="B512" s="76" t="s">
        <v>67</v>
      </c>
      <c r="C512" s="76" t="s">
        <v>1485</v>
      </c>
      <c r="D512" s="76" t="s">
        <v>1161</v>
      </c>
      <c r="E512" s="76" t="s">
        <v>1162</v>
      </c>
      <c r="F512" s="35" t="s">
        <v>1516</v>
      </c>
      <c r="G512" s="76" t="s">
        <v>587</v>
      </c>
      <c r="H512" s="78" t="n">
        <v>184968.262833529</v>
      </c>
      <c r="I512" s="76" t="s">
        <v>1521</v>
      </c>
      <c r="J512" s="78" t="n">
        <v>184968.262833529</v>
      </c>
      <c r="K512" s="76" t="s">
        <v>1521</v>
      </c>
      <c r="L512" s="77" t="s">
        <v>1114</v>
      </c>
    </row>
    <row r="513" customFormat="false" ht="15" hidden="false" customHeight="false" outlineLevel="0" collapsed="false">
      <c r="A513" s="76" t="s">
        <v>1522</v>
      </c>
      <c r="B513" s="76" t="s">
        <v>67</v>
      </c>
      <c r="C513" s="76" t="s">
        <v>1485</v>
      </c>
      <c r="D513" s="76" t="s">
        <v>1180</v>
      </c>
      <c r="E513" s="76" t="s">
        <v>1152</v>
      </c>
      <c r="F513" s="35" t="s">
        <v>1523</v>
      </c>
      <c r="G513" s="76" t="s">
        <v>419</v>
      </c>
      <c r="H513" s="76"/>
      <c r="I513" s="76" t="s">
        <v>589</v>
      </c>
      <c r="J513" s="76"/>
      <c r="K513" s="76" t="s">
        <v>589</v>
      </c>
      <c r="L513" s="77" t="s">
        <v>1114</v>
      </c>
    </row>
    <row r="514" customFormat="false" ht="15" hidden="false" customHeight="false" outlineLevel="0" collapsed="false">
      <c r="A514" s="76" t="s">
        <v>1522</v>
      </c>
      <c r="B514" s="76" t="s">
        <v>67</v>
      </c>
      <c r="C514" s="76" t="s">
        <v>1485</v>
      </c>
      <c r="D514" s="76" t="s">
        <v>1180</v>
      </c>
      <c r="E514" s="76" t="s">
        <v>1152</v>
      </c>
      <c r="F514" s="35" t="s">
        <v>1523</v>
      </c>
      <c r="G514" s="76" t="s">
        <v>589</v>
      </c>
      <c r="H514" s="78" t="n">
        <v>131825.67476613</v>
      </c>
      <c r="I514" s="76" t="s">
        <v>1524</v>
      </c>
      <c r="J514" s="78" t="n">
        <v>131825.67476613</v>
      </c>
      <c r="K514" s="76" t="s">
        <v>1524</v>
      </c>
      <c r="L514" s="77" t="s">
        <v>1114</v>
      </c>
    </row>
    <row r="515" customFormat="false" ht="15" hidden="false" customHeight="false" outlineLevel="0" collapsed="false">
      <c r="A515" s="76" t="s">
        <v>1522</v>
      </c>
      <c r="B515" s="76" t="s">
        <v>67</v>
      </c>
      <c r="C515" s="76" t="s">
        <v>1485</v>
      </c>
      <c r="D515" s="76" t="s">
        <v>1180</v>
      </c>
      <c r="E515" s="76" t="s">
        <v>1152</v>
      </c>
      <c r="F515" s="35" t="s">
        <v>1523</v>
      </c>
      <c r="G515" s="76" t="s">
        <v>590</v>
      </c>
      <c r="H515" s="78" t="n">
        <v>28</v>
      </c>
      <c r="I515" s="76" t="s">
        <v>1525</v>
      </c>
      <c r="J515" s="76" t="n">
        <v>28</v>
      </c>
      <c r="K515" s="76" t="s">
        <v>1525</v>
      </c>
      <c r="L515" s="77" t="s">
        <v>1114</v>
      </c>
    </row>
    <row r="516" customFormat="false" ht="15" hidden="false" customHeight="false" outlineLevel="0" collapsed="false">
      <c r="A516" s="76" t="s">
        <v>1522</v>
      </c>
      <c r="B516" s="76" t="s">
        <v>67</v>
      </c>
      <c r="C516" s="76" t="s">
        <v>1485</v>
      </c>
      <c r="D516" s="76" t="s">
        <v>1180</v>
      </c>
      <c r="E516" s="76" t="s">
        <v>1152</v>
      </c>
      <c r="F516" s="35" t="s">
        <v>1523</v>
      </c>
      <c r="G516" s="76" t="s">
        <v>581</v>
      </c>
      <c r="H516" s="78" t="n">
        <v>2995.96493525182</v>
      </c>
      <c r="I516" s="76" t="s">
        <v>1526</v>
      </c>
      <c r="J516" s="78" t="n">
        <v>2995.96493525182</v>
      </c>
      <c r="K516" s="76" t="s">
        <v>1526</v>
      </c>
      <c r="L516" s="77" t="s">
        <v>1114</v>
      </c>
    </row>
    <row r="517" customFormat="false" ht="15" hidden="false" customHeight="false" outlineLevel="0" collapsed="false">
      <c r="A517" s="76" t="s">
        <v>1522</v>
      </c>
      <c r="B517" s="76" t="s">
        <v>67</v>
      </c>
      <c r="C517" s="76" t="s">
        <v>1485</v>
      </c>
      <c r="D517" s="76" t="s">
        <v>1180</v>
      </c>
      <c r="E517" s="76" t="s">
        <v>1152</v>
      </c>
      <c r="F517" s="35" t="s">
        <v>1523</v>
      </c>
      <c r="G517" s="76" t="s">
        <v>583</v>
      </c>
      <c r="H517" s="78" t="n">
        <v>3245.61910362087</v>
      </c>
      <c r="I517" s="76" t="s">
        <v>1527</v>
      </c>
      <c r="J517" s="78" t="n">
        <v>3245.61910362087</v>
      </c>
      <c r="K517" s="76" t="s">
        <v>1527</v>
      </c>
      <c r="L517" s="77" t="s">
        <v>1114</v>
      </c>
    </row>
    <row r="518" customFormat="false" ht="15" hidden="false" customHeight="false" outlineLevel="0" collapsed="false">
      <c r="A518" s="76" t="s">
        <v>1522</v>
      </c>
      <c r="B518" s="76" t="s">
        <v>67</v>
      </c>
      <c r="C518" s="76" t="s">
        <v>1485</v>
      </c>
      <c r="D518" s="76" t="s">
        <v>1180</v>
      </c>
      <c r="E518" s="76" t="s">
        <v>1152</v>
      </c>
      <c r="F518" s="35" t="s">
        <v>1523</v>
      </c>
      <c r="G518" s="76" t="s">
        <v>585</v>
      </c>
      <c r="H518" s="78" t="n">
        <v>642353.693582742</v>
      </c>
      <c r="I518" s="76" t="s">
        <v>1528</v>
      </c>
      <c r="J518" s="78" t="n">
        <v>642353.693582742</v>
      </c>
      <c r="K518" s="76" t="s">
        <v>1528</v>
      </c>
      <c r="L518" s="77" t="s">
        <v>1114</v>
      </c>
    </row>
    <row r="519" customFormat="false" ht="15" hidden="false" customHeight="false" outlineLevel="0" collapsed="false">
      <c r="A519" s="76" t="s">
        <v>1522</v>
      </c>
      <c r="B519" s="76" t="s">
        <v>67</v>
      </c>
      <c r="C519" s="76" t="s">
        <v>1485</v>
      </c>
      <c r="D519" s="76" t="s">
        <v>1180</v>
      </c>
      <c r="E519" s="76" t="s">
        <v>1152</v>
      </c>
      <c r="F519" s="35" t="s">
        <v>1523</v>
      </c>
      <c r="G519" s="76" t="s">
        <v>587</v>
      </c>
      <c r="H519" s="78" t="n">
        <v>510528.018816612</v>
      </c>
      <c r="I519" s="76" t="s">
        <v>1529</v>
      </c>
      <c r="J519" s="78" t="n">
        <v>510528.018816612</v>
      </c>
      <c r="K519" s="76" t="s">
        <v>1529</v>
      </c>
      <c r="L519" s="77" t="s">
        <v>1114</v>
      </c>
    </row>
    <row r="520" customFormat="false" ht="15" hidden="false" customHeight="false" outlineLevel="0" collapsed="false">
      <c r="A520" s="76" t="s">
        <v>1530</v>
      </c>
      <c r="B520" s="76" t="s">
        <v>67</v>
      </c>
      <c r="C520" s="76" t="s">
        <v>1485</v>
      </c>
      <c r="D520" s="76" t="s">
        <v>1189</v>
      </c>
      <c r="E520" s="76" t="s">
        <v>1125</v>
      </c>
      <c r="F520" s="35" t="s">
        <v>1531</v>
      </c>
      <c r="G520" s="76" t="s">
        <v>419</v>
      </c>
      <c r="H520" s="76"/>
      <c r="I520" s="76" t="s">
        <v>589</v>
      </c>
      <c r="J520" s="76"/>
      <c r="K520" s="76" t="s">
        <v>589</v>
      </c>
      <c r="L520" s="77" t="s">
        <v>1114</v>
      </c>
    </row>
    <row r="521" customFormat="false" ht="15" hidden="false" customHeight="false" outlineLevel="0" collapsed="false">
      <c r="A521" s="76" t="s">
        <v>1530</v>
      </c>
      <c r="B521" s="76" t="s">
        <v>67</v>
      </c>
      <c r="C521" s="76" t="s">
        <v>1485</v>
      </c>
      <c r="D521" s="76" t="s">
        <v>1189</v>
      </c>
      <c r="E521" s="76" t="s">
        <v>1125</v>
      </c>
      <c r="F521" s="35" t="s">
        <v>1531</v>
      </c>
      <c r="G521" s="76" t="s">
        <v>589</v>
      </c>
      <c r="H521" s="78" t="n">
        <v>47995.7326631782</v>
      </c>
      <c r="I521" s="76" t="s">
        <v>1532</v>
      </c>
      <c r="J521" s="78" t="n">
        <v>47995.7326631782</v>
      </c>
      <c r="K521" s="76" t="s">
        <v>1532</v>
      </c>
      <c r="L521" s="77" t="s">
        <v>1114</v>
      </c>
    </row>
    <row r="522" customFormat="false" ht="15" hidden="false" customHeight="false" outlineLevel="0" collapsed="false">
      <c r="A522" s="76" t="s">
        <v>1530</v>
      </c>
      <c r="B522" s="76" t="s">
        <v>67</v>
      </c>
      <c r="C522" s="76" t="s">
        <v>1485</v>
      </c>
      <c r="D522" s="76" t="s">
        <v>1189</v>
      </c>
      <c r="E522" s="76" t="s">
        <v>1125</v>
      </c>
      <c r="F522" s="35" t="s">
        <v>1531</v>
      </c>
      <c r="G522" s="76" t="s">
        <v>590</v>
      </c>
      <c r="H522" s="78" t="n">
        <v>10</v>
      </c>
      <c r="I522" s="76" t="s">
        <v>1399</v>
      </c>
      <c r="J522" s="76" t="n">
        <v>10</v>
      </c>
      <c r="K522" s="76" t="s">
        <v>1399</v>
      </c>
      <c r="L522" s="77" t="s">
        <v>1114</v>
      </c>
    </row>
    <row r="523" customFormat="false" ht="15" hidden="false" customHeight="false" outlineLevel="0" collapsed="false">
      <c r="A523" s="76" t="s">
        <v>1530</v>
      </c>
      <c r="B523" s="76" t="s">
        <v>67</v>
      </c>
      <c r="C523" s="76" t="s">
        <v>1485</v>
      </c>
      <c r="D523" s="76" t="s">
        <v>1189</v>
      </c>
      <c r="E523" s="76" t="s">
        <v>1125</v>
      </c>
      <c r="F523" s="35" t="s">
        <v>1531</v>
      </c>
      <c r="G523" s="76" t="s">
        <v>581</v>
      </c>
      <c r="H523" s="78" t="n">
        <v>2573.42758651178</v>
      </c>
      <c r="I523" s="76" t="s">
        <v>1533</v>
      </c>
      <c r="J523" s="78" t="n">
        <v>2573.42758651178</v>
      </c>
      <c r="K523" s="76" t="s">
        <v>1533</v>
      </c>
      <c r="L523" s="77" t="s">
        <v>1114</v>
      </c>
    </row>
    <row r="524" customFormat="false" ht="15" hidden="false" customHeight="false" outlineLevel="0" collapsed="false">
      <c r="A524" s="76" t="s">
        <v>1530</v>
      </c>
      <c r="B524" s="76" t="s">
        <v>67</v>
      </c>
      <c r="C524" s="76" t="s">
        <v>1485</v>
      </c>
      <c r="D524" s="76" t="s">
        <v>1189</v>
      </c>
      <c r="E524" s="76" t="s">
        <v>1125</v>
      </c>
      <c r="F524" s="35" t="s">
        <v>1531</v>
      </c>
      <c r="G524" s="76" t="s">
        <v>583</v>
      </c>
      <c r="H524" s="78" t="n">
        <v>1189.35681014864</v>
      </c>
      <c r="I524" s="76" t="s">
        <v>1534</v>
      </c>
      <c r="J524" s="78" t="n">
        <v>1189.35681014864</v>
      </c>
      <c r="K524" s="76" t="s">
        <v>1534</v>
      </c>
      <c r="L524" s="77" t="s">
        <v>1114</v>
      </c>
    </row>
    <row r="525" customFormat="false" ht="15" hidden="false" customHeight="false" outlineLevel="0" collapsed="false">
      <c r="A525" s="76" t="s">
        <v>1530</v>
      </c>
      <c r="B525" s="76" t="s">
        <v>67</v>
      </c>
      <c r="C525" s="76" t="s">
        <v>1485</v>
      </c>
      <c r="D525" s="76" t="s">
        <v>1189</v>
      </c>
      <c r="E525" s="76" t="s">
        <v>1125</v>
      </c>
      <c r="F525" s="35" t="s">
        <v>1531</v>
      </c>
      <c r="G525" s="76" t="s">
        <v>585</v>
      </c>
      <c r="H525" s="78" t="n">
        <v>29811.3103814133</v>
      </c>
      <c r="I525" s="76" t="s">
        <v>1535</v>
      </c>
      <c r="J525" s="78" t="n">
        <v>29811.3103814134</v>
      </c>
      <c r="K525" s="76" t="s">
        <v>1535</v>
      </c>
      <c r="L525" s="77" t="s">
        <v>1114</v>
      </c>
    </row>
    <row r="526" customFormat="false" ht="15" hidden="false" customHeight="false" outlineLevel="0" collapsed="false">
      <c r="A526" s="76" t="s">
        <v>1530</v>
      </c>
      <c r="B526" s="76" t="s">
        <v>67</v>
      </c>
      <c r="C526" s="76" t="s">
        <v>1485</v>
      </c>
      <c r="D526" s="76" t="s">
        <v>1189</v>
      </c>
      <c r="E526" s="76" t="s">
        <v>1125</v>
      </c>
      <c r="F526" s="35" t="s">
        <v>1531</v>
      </c>
      <c r="G526" s="76" t="s">
        <v>587</v>
      </c>
      <c r="H526" s="78" t="n">
        <v>77807.0430445915</v>
      </c>
      <c r="I526" s="76" t="s">
        <v>1536</v>
      </c>
      <c r="J526" s="78" t="n">
        <v>77807.0430445916</v>
      </c>
      <c r="K526" s="76" t="s">
        <v>1536</v>
      </c>
      <c r="L526" s="77" t="s">
        <v>1114</v>
      </c>
    </row>
    <row r="527" customFormat="false" ht="15" hidden="false" customHeight="false" outlineLevel="0" collapsed="false">
      <c r="A527" s="76" t="s">
        <v>1537</v>
      </c>
      <c r="B527" s="76" t="s">
        <v>67</v>
      </c>
      <c r="C527" s="76" t="s">
        <v>1485</v>
      </c>
      <c r="D527" s="76" t="s">
        <v>1198</v>
      </c>
      <c r="E527" s="76" t="s">
        <v>1162</v>
      </c>
      <c r="F527" s="35" t="s">
        <v>1538</v>
      </c>
      <c r="G527" s="76" t="s">
        <v>419</v>
      </c>
      <c r="H527" s="76"/>
      <c r="I527" s="76" t="s">
        <v>589</v>
      </c>
      <c r="J527" s="76"/>
      <c r="K527" s="76" t="s">
        <v>589</v>
      </c>
      <c r="L527" s="77" t="s">
        <v>1114</v>
      </c>
    </row>
    <row r="528" customFormat="false" ht="15" hidden="false" customHeight="false" outlineLevel="0" collapsed="false">
      <c r="A528" s="76" t="s">
        <v>1537</v>
      </c>
      <c r="B528" s="76" t="s">
        <v>67</v>
      </c>
      <c r="C528" s="76" t="s">
        <v>1485</v>
      </c>
      <c r="D528" s="76" t="s">
        <v>1198</v>
      </c>
      <c r="E528" s="76" t="s">
        <v>1162</v>
      </c>
      <c r="F528" s="35" t="s">
        <v>1538</v>
      </c>
      <c r="G528" s="76" t="s">
        <v>589</v>
      </c>
      <c r="H528" s="78" t="n">
        <v>344691.416186984</v>
      </c>
      <c r="I528" s="76" t="s">
        <v>1539</v>
      </c>
      <c r="J528" s="78" t="n">
        <v>344691.416186983</v>
      </c>
      <c r="K528" s="76" t="s">
        <v>1539</v>
      </c>
      <c r="L528" s="77" t="s">
        <v>1114</v>
      </c>
    </row>
    <row r="529" customFormat="false" ht="15" hidden="false" customHeight="false" outlineLevel="0" collapsed="false">
      <c r="A529" s="76" t="s">
        <v>1537</v>
      </c>
      <c r="B529" s="76" t="s">
        <v>67</v>
      </c>
      <c r="C529" s="76" t="s">
        <v>1485</v>
      </c>
      <c r="D529" s="76" t="s">
        <v>1198</v>
      </c>
      <c r="E529" s="76" t="s">
        <v>1162</v>
      </c>
      <c r="F529" s="35" t="s">
        <v>1538</v>
      </c>
      <c r="G529" s="76" t="s">
        <v>590</v>
      </c>
      <c r="H529" s="78" t="n">
        <v>11</v>
      </c>
      <c r="I529" s="76" t="s">
        <v>1540</v>
      </c>
      <c r="J529" s="76" t="n">
        <v>11</v>
      </c>
      <c r="K529" s="76" t="s">
        <v>1540</v>
      </c>
      <c r="L529" s="77" t="s">
        <v>1114</v>
      </c>
    </row>
    <row r="530" customFormat="false" ht="15" hidden="false" customHeight="false" outlineLevel="0" collapsed="false">
      <c r="A530" s="76" t="s">
        <v>1537</v>
      </c>
      <c r="B530" s="76" t="s">
        <v>67</v>
      </c>
      <c r="C530" s="76" t="s">
        <v>1485</v>
      </c>
      <c r="D530" s="76" t="s">
        <v>1198</v>
      </c>
      <c r="E530" s="76" t="s">
        <v>1162</v>
      </c>
      <c r="F530" s="35" t="s">
        <v>1538</v>
      </c>
      <c r="G530" s="76" t="s">
        <v>581</v>
      </c>
      <c r="H530" s="78" t="n">
        <v>7748.10143973479</v>
      </c>
      <c r="I530" s="76" t="s">
        <v>1541</v>
      </c>
      <c r="J530" s="78" t="n">
        <v>7748.10143973479</v>
      </c>
      <c r="K530" s="76" t="s">
        <v>1541</v>
      </c>
      <c r="L530" s="77" t="s">
        <v>1114</v>
      </c>
    </row>
    <row r="531" customFormat="false" ht="15" hidden="false" customHeight="false" outlineLevel="0" collapsed="false">
      <c r="A531" s="76" t="s">
        <v>1537</v>
      </c>
      <c r="B531" s="76" t="s">
        <v>67</v>
      </c>
      <c r="C531" s="76" t="s">
        <v>1485</v>
      </c>
      <c r="D531" s="76" t="s">
        <v>1198</v>
      </c>
      <c r="E531" s="76" t="s">
        <v>1162</v>
      </c>
      <c r="F531" s="35" t="s">
        <v>1538</v>
      </c>
      <c r="G531" s="76" t="s">
        <v>583</v>
      </c>
      <c r="H531" s="78" t="n">
        <v>3255.81144340947</v>
      </c>
      <c r="I531" s="76" t="s">
        <v>1542</v>
      </c>
      <c r="J531" s="78" t="n">
        <v>3255.81144340946</v>
      </c>
      <c r="K531" s="76" t="s">
        <v>1542</v>
      </c>
      <c r="L531" s="77" t="s">
        <v>1114</v>
      </c>
    </row>
    <row r="532" customFormat="false" ht="15" hidden="false" customHeight="false" outlineLevel="0" collapsed="false">
      <c r="A532" s="76" t="s">
        <v>1537</v>
      </c>
      <c r="B532" s="76" t="s">
        <v>67</v>
      </c>
      <c r="C532" s="76" t="s">
        <v>1485</v>
      </c>
      <c r="D532" s="76" t="s">
        <v>1198</v>
      </c>
      <c r="E532" s="76" t="s">
        <v>1162</v>
      </c>
      <c r="F532" s="35" t="s">
        <v>1538</v>
      </c>
      <c r="G532" s="76" t="s">
        <v>585</v>
      </c>
      <c r="H532" s="78" t="n">
        <v>138749.390044992</v>
      </c>
      <c r="I532" s="76" t="s">
        <v>1543</v>
      </c>
      <c r="J532" s="78" t="n">
        <v>138749.390044992</v>
      </c>
      <c r="K532" s="76" t="s">
        <v>1543</v>
      </c>
      <c r="L532" s="77" t="s">
        <v>1114</v>
      </c>
    </row>
    <row r="533" customFormat="false" ht="15" hidden="false" customHeight="false" outlineLevel="0" collapsed="false">
      <c r="A533" s="76" t="s">
        <v>1537</v>
      </c>
      <c r="B533" s="76" t="s">
        <v>67</v>
      </c>
      <c r="C533" s="76" t="s">
        <v>1485</v>
      </c>
      <c r="D533" s="76" t="s">
        <v>1198</v>
      </c>
      <c r="E533" s="76" t="s">
        <v>1162</v>
      </c>
      <c r="F533" s="35" t="s">
        <v>1538</v>
      </c>
      <c r="G533" s="76" t="s">
        <v>587</v>
      </c>
      <c r="H533" s="78" t="n">
        <v>483440.806231976</v>
      </c>
      <c r="I533" s="76" t="s">
        <v>1544</v>
      </c>
      <c r="J533" s="78" t="n">
        <v>483440.806231975</v>
      </c>
      <c r="K533" s="76" t="s">
        <v>1544</v>
      </c>
      <c r="L533" s="77" t="s">
        <v>1114</v>
      </c>
    </row>
    <row r="534" customFormat="false" ht="15" hidden="false" customHeight="false" outlineLevel="0" collapsed="false">
      <c r="A534" s="76" t="s">
        <v>1545</v>
      </c>
      <c r="B534" s="76" t="s">
        <v>72</v>
      </c>
      <c r="C534" s="76" t="s">
        <v>73</v>
      </c>
      <c r="D534" s="76" t="s">
        <v>1111</v>
      </c>
      <c r="E534" s="76" t="s">
        <v>1112</v>
      </c>
      <c r="F534" s="35" t="s">
        <v>1546</v>
      </c>
      <c r="G534" s="76" t="s">
        <v>419</v>
      </c>
      <c r="H534" s="76"/>
      <c r="I534" s="76" t="s">
        <v>1547</v>
      </c>
      <c r="J534" s="76"/>
      <c r="K534" s="76" t="s">
        <v>1547</v>
      </c>
      <c r="L534" s="77" t="s">
        <v>1114</v>
      </c>
    </row>
    <row r="535" customFormat="false" ht="15" hidden="false" customHeight="false" outlineLevel="0" collapsed="false">
      <c r="A535" s="76" t="s">
        <v>1545</v>
      </c>
      <c r="B535" s="76" t="s">
        <v>72</v>
      </c>
      <c r="C535" s="76" t="s">
        <v>73</v>
      </c>
      <c r="D535" s="76" t="s">
        <v>1111</v>
      </c>
      <c r="E535" s="76" t="s">
        <v>1112</v>
      </c>
      <c r="F535" s="35" t="s">
        <v>1546</v>
      </c>
      <c r="G535" s="76" t="s">
        <v>627</v>
      </c>
      <c r="H535" s="78" t="n">
        <v>178478.575481682</v>
      </c>
      <c r="I535" s="76" t="s">
        <v>1548</v>
      </c>
      <c r="J535" s="78" t="n">
        <v>178478.575481682</v>
      </c>
      <c r="K535" s="76" t="s">
        <v>1548</v>
      </c>
      <c r="L535" s="77" t="s">
        <v>1114</v>
      </c>
    </row>
    <row r="536" customFormat="false" ht="15" hidden="false" customHeight="false" outlineLevel="0" collapsed="false">
      <c r="A536" s="76" t="s">
        <v>1545</v>
      </c>
      <c r="B536" s="76" t="s">
        <v>72</v>
      </c>
      <c r="C536" s="76" t="s">
        <v>73</v>
      </c>
      <c r="D536" s="76" t="s">
        <v>1111</v>
      </c>
      <c r="E536" s="76" t="s">
        <v>1112</v>
      </c>
      <c r="F536" s="35" t="s">
        <v>1546</v>
      </c>
      <c r="G536" s="76" t="s">
        <v>619</v>
      </c>
      <c r="H536" s="76" t="n">
        <v>216000</v>
      </c>
      <c r="I536" s="76" t="s">
        <v>1549</v>
      </c>
      <c r="J536" s="76" t="n">
        <v>216000</v>
      </c>
      <c r="K536" s="76" t="s">
        <v>1549</v>
      </c>
      <c r="L536" s="77" t="s">
        <v>1114</v>
      </c>
    </row>
    <row r="537" customFormat="false" ht="15" hidden="false" customHeight="false" outlineLevel="0" collapsed="false">
      <c r="A537" s="76" t="s">
        <v>1545</v>
      </c>
      <c r="B537" s="76" t="s">
        <v>72</v>
      </c>
      <c r="C537" s="76" t="s">
        <v>73</v>
      </c>
      <c r="D537" s="76" t="s">
        <v>1111</v>
      </c>
      <c r="E537" s="76" t="s">
        <v>1112</v>
      </c>
      <c r="F537" s="35" t="s">
        <v>1546</v>
      </c>
      <c r="G537" s="76" t="s">
        <v>629</v>
      </c>
      <c r="H537" s="78" t="n">
        <v>148632.453202425</v>
      </c>
      <c r="I537" s="76" t="s">
        <v>1550</v>
      </c>
      <c r="J537" s="78" t="n">
        <v>148632.453202425</v>
      </c>
      <c r="K537" s="76" t="s">
        <v>1550</v>
      </c>
      <c r="L537" s="77" t="s">
        <v>1114</v>
      </c>
    </row>
    <row r="538" customFormat="false" ht="15" hidden="false" customHeight="false" outlineLevel="0" collapsed="false">
      <c r="A538" s="76" t="s">
        <v>1545</v>
      </c>
      <c r="B538" s="76" t="s">
        <v>72</v>
      </c>
      <c r="C538" s="76" t="s">
        <v>73</v>
      </c>
      <c r="D538" s="76" t="s">
        <v>1111</v>
      </c>
      <c r="E538" s="76" t="s">
        <v>1112</v>
      </c>
      <c r="F538" s="35" t="s">
        <v>1546</v>
      </c>
      <c r="G538" s="76" t="s">
        <v>623</v>
      </c>
      <c r="H538" s="78" t="n">
        <v>426648.046998165</v>
      </c>
      <c r="I538" s="76" t="s">
        <v>1551</v>
      </c>
      <c r="J538" s="78" t="n">
        <v>426648.046998165</v>
      </c>
      <c r="K538" s="76" t="s">
        <v>1551</v>
      </c>
      <c r="L538" s="77" t="s">
        <v>1114</v>
      </c>
    </row>
    <row r="539" customFormat="false" ht="15" hidden="false" customHeight="false" outlineLevel="0" collapsed="false">
      <c r="A539" s="76" t="s">
        <v>1545</v>
      </c>
      <c r="B539" s="76" t="s">
        <v>72</v>
      </c>
      <c r="C539" s="76" t="s">
        <v>73</v>
      </c>
      <c r="D539" s="76" t="s">
        <v>1111</v>
      </c>
      <c r="E539" s="76" t="s">
        <v>1112</v>
      </c>
      <c r="F539" s="35" t="s">
        <v>1546</v>
      </c>
      <c r="G539" s="76" t="s">
        <v>432</v>
      </c>
      <c r="H539" s="78" t="n">
        <v>35000</v>
      </c>
      <c r="I539" s="76" t="s">
        <v>1159</v>
      </c>
      <c r="J539" s="76" t="n">
        <v>35000</v>
      </c>
      <c r="K539" s="76" t="s">
        <v>1159</v>
      </c>
      <c r="L539" s="77" t="s">
        <v>1114</v>
      </c>
    </row>
    <row r="540" customFormat="false" ht="15" hidden="false" customHeight="false" outlineLevel="0" collapsed="false">
      <c r="A540" s="76" t="s">
        <v>1545</v>
      </c>
      <c r="B540" s="76" t="s">
        <v>72</v>
      </c>
      <c r="C540" s="76" t="s">
        <v>73</v>
      </c>
      <c r="D540" s="76" t="s">
        <v>1111</v>
      </c>
      <c r="E540" s="76" t="s">
        <v>1112</v>
      </c>
      <c r="F540" s="35" t="s">
        <v>1546</v>
      </c>
      <c r="G540" s="76" t="s">
        <v>434</v>
      </c>
      <c r="H540" s="78" t="n">
        <v>3</v>
      </c>
      <c r="I540" s="76" t="s">
        <v>1122</v>
      </c>
      <c r="J540" s="76" t="n">
        <v>3</v>
      </c>
      <c r="K540" s="76" t="s">
        <v>1122</v>
      </c>
      <c r="L540" s="77" t="s">
        <v>1114</v>
      </c>
    </row>
    <row r="541" customFormat="false" ht="15" hidden="false" customHeight="false" outlineLevel="0" collapsed="false">
      <c r="A541" s="76" t="s">
        <v>1552</v>
      </c>
      <c r="B541" s="76" t="s">
        <v>72</v>
      </c>
      <c r="C541" s="76" t="s">
        <v>73</v>
      </c>
      <c r="D541" s="76" t="s">
        <v>1124</v>
      </c>
      <c r="E541" s="76" t="s">
        <v>1125</v>
      </c>
      <c r="F541" s="35" t="s">
        <v>1553</v>
      </c>
      <c r="G541" s="76" t="s">
        <v>419</v>
      </c>
      <c r="H541" s="76"/>
      <c r="I541" s="76" t="s">
        <v>1554</v>
      </c>
      <c r="J541" s="76"/>
      <c r="K541" s="76" t="s">
        <v>1554</v>
      </c>
      <c r="L541" s="77" t="s">
        <v>1114</v>
      </c>
    </row>
    <row r="542" customFormat="false" ht="15" hidden="false" customHeight="false" outlineLevel="0" collapsed="false">
      <c r="A542" s="76" t="s">
        <v>1552</v>
      </c>
      <c r="B542" s="76" t="s">
        <v>72</v>
      </c>
      <c r="C542" s="76" t="s">
        <v>73</v>
      </c>
      <c r="D542" s="76" t="s">
        <v>1124</v>
      </c>
      <c r="E542" s="76" t="s">
        <v>1125</v>
      </c>
      <c r="F542" s="35" t="s">
        <v>1553</v>
      </c>
      <c r="G542" s="76" t="s">
        <v>627</v>
      </c>
      <c r="H542" s="78" t="n">
        <v>2872.81756189482</v>
      </c>
      <c r="I542" s="76" t="s">
        <v>1555</v>
      </c>
      <c r="J542" s="78" t="n">
        <v>2872.81756189482</v>
      </c>
      <c r="K542" s="76" t="s">
        <v>1555</v>
      </c>
      <c r="L542" s="77" t="s">
        <v>1114</v>
      </c>
    </row>
    <row r="543" customFormat="false" ht="15" hidden="false" customHeight="false" outlineLevel="0" collapsed="false">
      <c r="A543" s="76" t="s">
        <v>1552</v>
      </c>
      <c r="B543" s="76" t="s">
        <v>72</v>
      </c>
      <c r="C543" s="76" t="s">
        <v>73</v>
      </c>
      <c r="D543" s="76" t="s">
        <v>1124</v>
      </c>
      <c r="E543" s="76" t="s">
        <v>1125</v>
      </c>
      <c r="F543" s="35" t="s">
        <v>1553</v>
      </c>
      <c r="G543" s="76" t="s">
        <v>619</v>
      </c>
      <c r="H543" s="76" t="n">
        <v>6000</v>
      </c>
      <c r="I543" s="76" t="s">
        <v>1185</v>
      </c>
      <c r="J543" s="76" t="n">
        <v>6000</v>
      </c>
      <c r="K543" s="76" t="s">
        <v>1185</v>
      </c>
      <c r="L543" s="77" t="s">
        <v>1114</v>
      </c>
    </row>
    <row r="544" customFormat="false" ht="15" hidden="false" customHeight="false" outlineLevel="0" collapsed="false">
      <c r="A544" s="76" t="s">
        <v>1552</v>
      </c>
      <c r="B544" s="76" t="s">
        <v>72</v>
      </c>
      <c r="C544" s="76" t="s">
        <v>73</v>
      </c>
      <c r="D544" s="76" t="s">
        <v>1124</v>
      </c>
      <c r="E544" s="76" t="s">
        <v>1125</v>
      </c>
      <c r="F544" s="35" t="s">
        <v>1553</v>
      </c>
      <c r="G544" s="76" t="s">
        <v>629</v>
      </c>
      <c r="H544" s="78" t="n">
        <v>1986.85668346318</v>
      </c>
      <c r="I544" s="76" t="s">
        <v>1556</v>
      </c>
      <c r="J544" s="78" t="n">
        <v>1986.85668346318</v>
      </c>
      <c r="K544" s="76" t="s">
        <v>1556</v>
      </c>
      <c r="L544" s="77" t="s">
        <v>1114</v>
      </c>
    </row>
    <row r="545" customFormat="false" ht="15" hidden="false" customHeight="false" outlineLevel="0" collapsed="false">
      <c r="A545" s="76" t="s">
        <v>1552</v>
      </c>
      <c r="B545" s="76" t="s">
        <v>72</v>
      </c>
      <c r="C545" s="76" t="s">
        <v>73</v>
      </c>
      <c r="D545" s="76" t="s">
        <v>1124</v>
      </c>
      <c r="E545" s="76" t="s">
        <v>1125</v>
      </c>
      <c r="F545" s="35" t="s">
        <v>1553</v>
      </c>
      <c r="G545" s="76" t="s">
        <v>623</v>
      </c>
      <c r="H545" s="76" t="n">
        <v>100000</v>
      </c>
      <c r="I545" s="76" t="s">
        <v>1557</v>
      </c>
      <c r="J545" s="76" t="n">
        <v>100000</v>
      </c>
      <c r="K545" s="76" t="s">
        <v>1557</v>
      </c>
      <c r="L545" s="77" t="s">
        <v>1114</v>
      </c>
    </row>
    <row r="546" customFormat="false" ht="15" hidden="false" customHeight="false" outlineLevel="0" collapsed="false">
      <c r="A546" s="76" t="s">
        <v>1552</v>
      </c>
      <c r="B546" s="76" t="s">
        <v>72</v>
      </c>
      <c r="C546" s="76" t="s">
        <v>73</v>
      </c>
      <c r="D546" s="76" t="s">
        <v>1124</v>
      </c>
      <c r="E546" s="76" t="s">
        <v>1125</v>
      </c>
      <c r="F546" s="35" t="s">
        <v>1553</v>
      </c>
      <c r="G546" s="76" t="s">
        <v>432</v>
      </c>
      <c r="H546" s="78" t="n">
        <v>0</v>
      </c>
      <c r="I546" s="76" t="s">
        <v>1130</v>
      </c>
      <c r="J546" s="76" t="n">
        <v>0</v>
      </c>
      <c r="K546" s="76" t="s">
        <v>1130</v>
      </c>
      <c r="L546" s="77" t="s">
        <v>1114</v>
      </c>
    </row>
    <row r="547" customFormat="false" ht="15" hidden="false" customHeight="false" outlineLevel="0" collapsed="false">
      <c r="A547" s="76" t="s">
        <v>1552</v>
      </c>
      <c r="B547" s="76" t="s">
        <v>72</v>
      </c>
      <c r="C547" s="76" t="s">
        <v>73</v>
      </c>
      <c r="D547" s="76" t="s">
        <v>1124</v>
      </c>
      <c r="E547" s="76" t="s">
        <v>1125</v>
      </c>
      <c r="F547" s="35" t="s">
        <v>1553</v>
      </c>
      <c r="G547" s="76" t="s">
        <v>434</v>
      </c>
      <c r="H547" s="78" t="n">
        <v>3</v>
      </c>
      <c r="I547" s="76" t="s">
        <v>1122</v>
      </c>
      <c r="J547" s="76" t="n">
        <v>3</v>
      </c>
      <c r="K547" s="76" t="s">
        <v>1122</v>
      </c>
      <c r="L547" s="77" t="s">
        <v>1114</v>
      </c>
    </row>
    <row r="548" customFormat="false" ht="15" hidden="false" customHeight="false" outlineLevel="0" collapsed="false">
      <c r="A548" s="76" t="s">
        <v>1558</v>
      </c>
      <c r="B548" s="76" t="s">
        <v>72</v>
      </c>
      <c r="C548" s="76" t="s">
        <v>73</v>
      </c>
      <c r="D548" s="76" t="s">
        <v>1132</v>
      </c>
      <c r="E548" s="76" t="s">
        <v>1133</v>
      </c>
      <c r="F548" s="35" t="s">
        <v>1559</v>
      </c>
      <c r="G548" s="76" t="s">
        <v>419</v>
      </c>
      <c r="H548" s="76"/>
      <c r="I548" s="76" t="s">
        <v>1560</v>
      </c>
      <c r="J548" s="76"/>
      <c r="K548" s="76" t="s">
        <v>1560</v>
      </c>
      <c r="L548" s="77" t="s">
        <v>1114</v>
      </c>
    </row>
    <row r="549" customFormat="false" ht="15" hidden="false" customHeight="false" outlineLevel="0" collapsed="false">
      <c r="A549" s="76" t="s">
        <v>1558</v>
      </c>
      <c r="B549" s="76" t="s">
        <v>72</v>
      </c>
      <c r="C549" s="76" t="s">
        <v>73</v>
      </c>
      <c r="D549" s="76" t="s">
        <v>1132</v>
      </c>
      <c r="E549" s="76" t="s">
        <v>1133</v>
      </c>
      <c r="F549" s="35" t="s">
        <v>1559</v>
      </c>
      <c r="G549" s="76" t="s">
        <v>627</v>
      </c>
      <c r="H549" s="78" t="n">
        <v>5743491.17291328</v>
      </c>
      <c r="I549" s="76" t="s">
        <v>1561</v>
      </c>
      <c r="J549" s="78" t="n">
        <v>5743491.17291328</v>
      </c>
      <c r="K549" s="76" t="s">
        <v>1561</v>
      </c>
      <c r="L549" s="77" t="s">
        <v>1114</v>
      </c>
    </row>
    <row r="550" customFormat="false" ht="15" hidden="false" customHeight="false" outlineLevel="0" collapsed="false">
      <c r="A550" s="76" t="s">
        <v>1558</v>
      </c>
      <c r="B550" s="76" t="s">
        <v>72</v>
      </c>
      <c r="C550" s="76" t="s">
        <v>73</v>
      </c>
      <c r="D550" s="76" t="s">
        <v>1132</v>
      </c>
      <c r="E550" s="76" t="s">
        <v>1133</v>
      </c>
      <c r="F550" s="35" t="s">
        <v>1559</v>
      </c>
      <c r="G550" s="76" t="s">
        <v>619</v>
      </c>
      <c r="H550" s="76" t="n">
        <v>1800000</v>
      </c>
      <c r="I550" s="76" t="s">
        <v>1562</v>
      </c>
      <c r="J550" s="76" t="n">
        <v>1800000</v>
      </c>
      <c r="K550" s="76" t="s">
        <v>1562</v>
      </c>
      <c r="L550" s="77" t="s">
        <v>1114</v>
      </c>
    </row>
    <row r="551" customFormat="false" ht="15" hidden="false" customHeight="false" outlineLevel="0" collapsed="false">
      <c r="A551" s="76" t="s">
        <v>1558</v>
      </c>
      <c r="B551" s="76" t="s">
        <v>72</v>
      </c>
      <c r="C551" s="76" t="s">
        <v>73</v>
      </c>
      <c r="D551" s="76" t="s">
        <v>1132</v>
      </c>
      <c r="E551" s="76" t="s">
        <v>1133</v>
      </c>
      <c r="F551" s="35" t="s">
        <v>1559</v>
      </c>
      <c r="G551" s="76" t="s">
        <v>629</v>
      </c>
      <c r="H551" s="78" t="n">
        <v>1449086.72617601</v>
      </c>
      <c r="I551" s="76" t="s">
        <v>1563</v>
      </c>
      <c r="J551" s="78" t="n">
        <v>1449086.72617601</v>
      </c>
      <c r="K551" s="76" t="s">
        <v>1563</v>
      </c>
      <c r="L551" s="77" t="s">
        <v>1114</v>
      </c>
    </row>
    <row r="552" customFormat="false" ht="15" hidden="false" customHeight="false" outlineLevel="0" collapsed="false">
      <c r="A552" s="76" t="s">
        <v>1558</v>
      </c>
      <c r="B552" s="76" t="s">
        <v>72</v>
      </c>
      <c r="C552" s="76" t="s">
        <v>73</v>
      </c>
      <c r="D552" s="76" t="s">
        <v>1132</v>
      </c>
      <c r="E552" s="76" t="s">
        <v>1133</v>
      </c>
      <c r="F552" s="35" t="s">
        <v>1559</v>
      </c>
      <c r="G552" s="76" t="s">
        <v>623</v>
      </c>
      <c r="H552" s="78" t="n">
        <v>5743491.17291326</v>
      </c>
      <c r="I552" s="76" t="s">
        <v>1561</v>
      </c>
      <c r="J552" s="78" t="n">
        <v>5743491.17291326</v>
      </c>
      <c r="K552" s="76" t="s">
        <v>1561</v>
      </c>
      <c r="L552" s="77" t="s">
        <v>1114</v>
      </c>
    </row>
    <row r="553" customFormat="false" ht="15" hidden="false" customHeight="false" outlineLevel="0" collapsed="false">
      <c r="A553" s="76" t="s">
        <v>1558</v>
      </c>
      <c r="B553" s="76" t="s">
        <v>72</v>
      </c>
      <c r="C553" s="76" t="s">
        <v>73</v>
      </c>
      <c r="D553" s="76" t="s">
        <v>1132</v>
      </c>
      <c r="E553" s="76" t="s">
        <v>1133</v>
      </c>
      <c r="F553" s="35" t="s">
        <v>1559</v>
      </c>
      <c r="G553" s="76" t="s">
        <v>432</v>
      </c>
      <c r="H553" s="78" t="n">
        <v>300000</v>
      </c>
      <c r="I553" s="76" t="s">
        <v>1213</v>
      </c>
      <c r="J553" s="76" t="n">
        <v>300000</v>
      </c>
      <c r="K553" s="76" t="s">
        <v>1213</v>
      </c>
      <c r="L553" s="77" t="s">
        <v>1114</v>
      </c>
    </row>
    <row r="554" customFormat="false" ht="15" hidden="false" customHeight="false" outlineLevel="0" collapsed="false">
      <c r="A554" s="76" t="s">
        <v>1558</v>
      </c>
      <c r="B554" s="76" t="s">
        <v>72</v>
      </c>
      <c r="C554" s="76" t="s">
        <v>73</v>
      </c>
      <c r="D554" s="76" t="s">
        <v>1132</v>
      </c>
      <c r="E554" s="76" t="s">
        <v>1133</v>
      </c>
      <c r="F554" s="35" t="s">
        <v>1559</v>
      </c>
      <c r="G554" s="76" t="s">
        <v>434</v>
      </c>
      <c r="H554" s="78" t="n">
        <v>3</v>
      </c>
      <c r="I554" s="76" t="s">
        <v>1122</v>
      </c>
      <c r="J554" s="76" t="n">
        <v>3</v>
      </c>
      <c r="K554" s="76" t="s">
        <v>1122</v>
      </c>
      <c r="L554" s="77" t="s">
        <v>1114</v>
      </c>
    </row>
    <row r="555" customFormat="false" ht="15" hidden="false" customHeight="false" outlineLevel="0" collapsed="false">
      <c r="A555" s="76" t="s">
        <v>1564</v>
      </c>
      <c r="B555" s="76" t="s">
        <v>72</v>
      </c>
      <c r="C555" s="76" t="s">
        <v>73</v>
      </c>
      <c r="D555" s="76" t="s">
        <v>1141</v>
      </c>
      <c r="E555" s="76" t="s">
        <v>1142</v>
      </c>
      <c r="F555" s="35" t="s">
        <v>1565</v>
      </c>
      <c r="G555" s="76" t="s">
        <v>419</v>
      </c>
      <c r="H555" s="76"/>
      <c r="I555" s="76" t="s">
        <v>1566</v>
      </c>
      <c r="J555" s="76"/>
      <c r="K555" s="76" t="s">
        <v>1566</v>
      </c>
      <c r="L555" s="77" t="s">
        <v>1114</v>
      </c>
    </row>
    <row r="556" customFormat="false" ht="15" hidden="false" customHeight="false" outlineLevel="0" collapsed="false">
      <c r="A556" s="76" t="s">
        <v>1564</v>
      </c>
      <c r="B556" s="76" t="s">
        <v>72</v>
      </c>
      <c r="C556" s="76" t="s">
        <v>73</v>
      </c>
      <c r="D556" s="76" t="s">
        <v>1141</v>
      </c>
      <c r="E556" s="76" t="s">
        <v>1142</v>
      </c>
      <c r="F556" s="35" t="s">
        <v>1565</v>
      </c>
      <c r="G556" s="76" t="s">
        <v>627</v>
      </c>
      <c r="H556" s="78" t="n">
        <v>291993.361486976</v>
      </c>
      <c r="I556" s="76" t="s">
        <v>1567</v>
      </c>
      <c r="J556" s="78" t="n">
        <v>291993.361486976</v>
      </c>
      <c r="K556" s="76" t="s">
        <v>1567</v>
      </c>
      <c r="L556" s="77" t="s">
        <v>1114</v>
      </c>
    </row>
    <row r="557" customFormat="false" ht="15" hidden="false" customHeight="false" outlineLevel="0" collapsed="false">
      <c r="A557" s="76" t="s">
        <v>1564</v>
      </c>
      <c r="B557" s="76" t="s">
        <v>72</v>
      </c>
      <c r="C557" s="76" t="s">
        <v>73</v>
      </c>
      <c r="D557" s="76" t="s">
        <v>1141</v>
      </c>
      <c r="E557" s="76" t="s">
        <v>1142</v>
      </c>
      <c r="F557" s="35" t="s">
        <v>1565</v>
      </c>
      <c r="G557" s="76" t="s">
        <v>619</v>
      </c>
      <c r="H557" s="76" t="n">
        <v>225000</v>
      </c>
      <c r="I557" s="76" t="s">
        <v>1118</v>
      </c>
      <c r="J557" s="76" t="n">
        <v>225000</v>
      </c>
      <c r="K557" s="76" t="s">
        <v>1118</v>
      </c>
      <c r="L557" s="77" t="s">
        <v>1114</v>
      </c>
    </row>
    <row r="558" customFormat="false" ht="15" hidden="false" customHeight="false" outlineLevel="0" collapsed="false">
      <c r="A558" s="76" t="s">
        <v>1564</v>
      </c>
      <c r="B558" s="76" t="s">
        <v>72</v>
      </c>
      <c r="C558" s="76" t="s">
        <v>73</v>
      </c>
      <c r="D558" s="76" t="s">
        <v>1141</v>
      </c>
      <c r="E558" s="76" t="s">
        <v>1142</v>
      </c>
      <c r="F558" s="35" t="s">
        <v>1565</v>
      </c>
      <c r="G558" s="76" t="s">
        <v>629</v>
      </c>
      <c r="H558" s="78" t="n">
        <v>25241.1344345254</v>
      </c>
      <c r="I558" s="76" t="s">
        <v>1568</v>
      </c>
      <c r="J558" s="78" t="n">
        <v>25241.1344345254</v>
      </c>
      <c r="K558" s="76" t="s">
        <v>1568</v>
      </c>
      <c r="L558" s="77" t="s">
        <v>1114</v>
      </c>
    </row>
    <row r="559" customFormat="false" ht="15" hidden="false" customHeight="false" outlineLevel="0" collapsed="false">
      <c r="A559" s="76" t="s">
        <v>1564</v>
      </c>
      <c r="B559" s="76" t="s">
        <v>72</v>
      </c>
      <c r="C559" s="76" t="s">
        <v>73</v>
      </c>
      <c r="D559" s="76" t="s">
        <v>1141</v>
      </c>
      <c r="E559" s="76" t="s">
        <v>1142</v>
      </c>
      <c r="F559" s="35" t="s">
        <v>1565</v>
      </c>
      <c r="G559" s="76" t="s">
        <v>623</v>
      </c>
      <c r="H559" s="78" t="n">
        <v>344730.881243</v>
      </c>
      <c r="I559" s="76" t="s">
        <v>1569</v>
      </c>
      <c r="J559" s="78" t="n">
        <v>344730.881243</v>
      </c>
      <c r="K559" s="76" t="s">
        <v>1569</v>
      </c>
      <c r="L559" s="77" t="s">
        <v>1114</v>
      </c>
    </row>
    <row r="560" customFormat="false" ht="15" hidden="false" customHeight="false" outlineLevel="0" collapsed="false">
      <c r="A560" s="76" t="s">
        <v>1564</v>
      </c>
      <c r="B560" s="76" t="s">
        <v>72</v>
      </c>
      <c r="C560" s="76" t="s">
        <v>73</v>
      </c>
      <c r="D560" s="76" t="s">
        <v>1141</v>
      </c>
      <c r="E560" s="76" t="s">
        <v>1142</v>
      </c>
      <c r="F560" s="35" t="s">
        <v>1565</v>
      </c>
      <c r="G560" s="76" t="s">
        <v>432</v>
      </c>
      <c r="H560" s="78" t="n">
        <v>261000</v>
      </c>
      <c r="I560" s="76" t="s">
        <v>1570</v>
      </c>
      <c r="J560" s="76" t="n">
        <v>261000</v>
      </c>
      <c r="K560" s="76" t="s">
        <v>1570</v>
      </c>
      <c r="L560" s="77" t="s">
        <v>1114</v>
      </c>
    </row>
    <row r="561" customFormat="false" ht="15" hidden="false" customHeight="false" outlineLevel="0" collapsed="false">
      <c r="A561" s="76" t="s">
        <v>1564</v>
      </c>
      <c r="B561" s="76" t="s">
        <v>72</v>
      </c>
      <c r="C561" s="76" t="s">
        <v>73</v>
      </c>
      <c r="D561" s="76" t="s">
        <v>1141</v>
      </c>
      <c r="E561" s="76" t="s">
        <v>1142</v>
      </c>
      <c r="F561" s="35" t="s">
        <v>1565</v>
      </c>
      <c r="G561" s="76" t="s">
        <v>434</v>
      </c>
      <c r="H561" s="78" t="n">
        <v>3</v>
      </c>
      <c r="I561" s="76" t="s">
        <v>1122</v>
      </c>
      <c r="J561" s="76" t="n">
        <v>3</v>
      </c>
      <c r="K561" s="76" t="s">
        <v>1122</v>
      </c>
      <c r="L561" s="77" t="s">
        <v>1114</v>
      </c>
    </row>
    <row r="562" customFormat="false" ht="15" hidden="false" customHeight="false" outlineLevel="0" collapsed="false">
      <c r="A562" s="76" t="s">
        <v>1571</v>
      </c>
      <c r="B562" s="76" t="s">
        <v>72</v>
      </c>
      <c r="C562" s="76" t="s">
        <v>73</v>
      </c>
      <c r="D562" s="76" t="s">
        <v>1151</v>
      </c>
      <c r="E562" s="76" t="s">
        <v>1152</v>
      </c>
      <c r="F562" s="35" t="s">
        <v>1572</v>
      </c>
      <c r="G562" s="76" t="s">
        <v>419</v>
      </c>
      <c r="H562" s="76"/>
      <c r="I562" s="76" t="s">
        <v>1547</v>
      </c>
      <c r="J562" s="76"/>
      <c r="K562" s="76" t="s">
        <v>1547</v>
      </c>
      <c r="L562" s="77" t="s">
        <v>1114</v>
      </c>
    </row>
    <row r="563" customFormat="false" ht="15" hidden="false" customHeight="false" outlineLevel="0" collapsed="false">
      <c r="A563" s="76" t="s">
        <v>1571</v>
      </c>
      <c r="B563" s="76" t="s">
        <v>72</v>
      </c>
      <c r="C563" s="76" t="s">
        <v>73</v>
      </c>
      <c r="D563" s="76" t="s">
        <v>1151</v>
      </c>
      <c r="E563" s="76" t="s">
        <v>1152</v>
      </c>
      <c r="F563" s="35" t="s">
        <v>1572</v>
      </c>
      <c r="G563" s="76" t="s">
        <v>627</v>
      </c>
      <c r="H563" s="78" t="n">
        <v>279467.36042264</v>
      </c>
      <c r="I563" s="76" t="s">
        <v>1573</v>
      </c>
      <c r="J563" s="78" t="n">
        <v>279467.36042264</v>
      </c>
      <c r="K563" s="76" t="s">
        <v>1573</v>
      </c>
      <c r="L563" s="77" t="s">
        <v>1114</v>
      </c>
    </row>
    <row r="564" customFormat="false" ht="15" hidden="false" customHeight="false" outlineLevel="0" collapsed="false">
      <c r="A564" s="76" t="s">
        <v>1571</v>
      </c>
      <c r="B564" s="76" t="s">
        <v>72</v>
      </c>
      <c r="C564" s="76" t="s">
        <v>73</v>
      </c>
      <c r="D564" s="76" t="s">
        <v>1151</v>
      </c>
      <c r="E564" s="76" t="s">
        <v>1152</v>
      </c>
      <c r="F564" s="35" t="s">
        <v>1572</v>
      </c>
      <c r="G564" s="76" t="s">
        <v>619</v>
      </c>
      <c r="H564" s="76" t="n">
        <v>216000</v>
      </c>
      <c r="I564" s="76" t="s">
        <v>1549</v>
      </c>
      <c r="J564" s="76" t="n">
        <v>216000</v>
      </c>
      <c r="K564" s="76" t="s">
        <v>1549</v>
      </c>
      <c r="L564" s="77" t="s">
        <v>1114</v>
      </c>
    </row>
    <row r="565" customFormat="false" ht="15" hidden="false" customHeight="false" outlineLevel="0" collapsed="false">
      <c r="A565" s="76" t="s">
        <v>1571</v>
      </c>
      <c r="B565" s="76" t="s">
        <v>72</v>
      </c>
      <c r="C565" s="76" t="s">
        <v>73</v>
      </c>
      <c r="D565" s="76" t="s">
        <v>1151</v>
      </c>
      <c r="E565" s="76" t="s">
        <v>1152</v>
      </c>
      <c r="F565" s="35" t="s">
        <v>1572</v>
      </c>
      <c r="G565" s="76" t="s">
        <v>629</v>
      </c>
      <c r="H565" s="78" t="n">
        <v>-62147.5893348731</v>
      </c>
      <c r="I565" s="76" t="s">
        <v>1574</v>
      </c>
      <c r="J565" s="78" t="n">
        <v>-62147.589334873</v>
      </c>
      <c r="K565" s="76" t="s">
        <v>1574</v>
      </c>
      <c r="L565" s="77" t="s">
        <v>1114</v>
      </c>
    </row>
    <row r="566" customFormat="false" ht="15" hidden="false" customHeight="false" outlineLevel="0" collapsed="false">
      <c r="A566" s="76" t="s">
        <v>1571</v>
      </c>
      <c r="B566" s="76" t="s">
        <v>72</v>
      </c>
      <c r="C566" s="76" t="s">
        <v>73</v>
      </c>
      <c r="D566" s="76" t="s">
        <v>1151</v>
      </c>
      <c r="E566" s="76" t="s">
        <v>1152</v>
      </c>
      <c r="F566" s="35" t="s">
        <v>1572</v>
      </c>
      <c r="G566" s="76" t="s">
        <v>623</v>
      </c>
      <c r="H566" s="78" t="n">
        <v>121899.441999476</v>
      </c>
      <c r="I566" s="76" t="s">
        <v>1575</v>
      </c>
      <c r="J566" s="78" t="n">
        <v>121899.441999476</v>
      </c>
      <c r="K566" s="76" t="s">
        <v>1575</v>
      </c>
      <c r="L566" s="77" t="s">
        <v>1114</v>
      </c>
    </row>
    <row r="567" customFormat="false" ht="15" hidden="false" customHeight="false" outlineLevel="0" collapsed="false">
      <c r="A567" s="76" t="s">
        <v>1571</v>
      </c>
      <c r="B567" s="76" t="s">
        <v>72</v>
      </c>
      <c r="C567" s="76" t="s">
        <v>73</v>
      </c>
      <c r="D567" s="76" t="s">
        <v>1151</v>
      </c>
      <c r="E567" s="76" t="s">
        <v>1152</v>
      </c>
      <c r="F567" s="35" t="s">
        <v>1572</v>
      </c>
      <c r="G567" s="76" t="s">
        <v>432</v>
      </c>
      <c r="H567" s="78" t="n">
        <v>300000</v>
      </c>
      <c r="I567" s="76" t="s">
        <v>1213</v>
      </c>
      <c r="J567" s="76" t="n">
        <v>300000</v>
      </c>
      <c r="K567" s="76" t="s">
        <v>1213</v>
      </c>
      <c r="L567" s="77" t="s">
        <v>1114</v>
      </c>
    </row>
    <row r="568" customFormat="false" ht="15" hidden="false" customHeight="false" outlineLevel="0" collapsed="false">
      <c r="A568" s="76" t="s">
        <v>1571</v>
      </c>
      <c r="B568" s="76" t="s">
        <v>72</v>
      </c>
      <c r="C568" s="76" t="s">
        <v>73</v>
      </c>
      <c r="D568" s="76" t="s">
        <v>1151</v>
      </c>
      <c r="E568" s="76" t="s">
        <v>1152</v>
      </c>
      <c r="F568" s="35" t="s">
        <v>1572</v>
      </c>
      <c r="G568" s="76" t="s">
        <v>434</v>
      </c>
      <c r="H568" s="78" t="n">
        <v>3</v>
      </c>
      <c r="I568" s="76" t="s">
        <v>1122</v>
      </c>
      <c r="J568" s="76" t="n">
        <v>3</v>
      </c>
      <c r="K568" s="76" t="s">
        <v>1122</v>
      </c>
      <c r="L568" s="77" t="s">
        <v>1114</v>
      </c>
    </row>
    <row r="569" customFormat="false" ht="15" hidden="false" customHeight="false" outlineLevel="0" collapsed="false">
      <c r="A569" s="76" t="s">
        <v>1576</v>
      </c>
      <c r="B569" s="76" t="s">
        <v>72</v>
      </c>
      <c r="C569" s="76" t="s">
        <v>73</v>
      </c>
      <c r="D569" s="76" t="s">
        <v>1161</v>
      </c>
      <c r="E569" s="76" t="s">
        <v>1162</v>
      </c>
      <c r="F569" s="35" t="s">
        <v>1577</v>
      </c>
      <c r="G569" s="76" t="s">
        <v>419</v>
      </c>
      <c r="H569" s="76"/>
      <c r="I569" s="76" t="s">
        <v>1547</v>
      </c>
      <c r="J569" s="76"/>
      <c r="K569" s="76" t="s">
        <v>1547</v>
      </c>
      <c r="L569" s="77" t="s">
        <v>1114</v>
      </c>
    </row>
    <row r="570" customFormat="false" ht="15" hidden="false" customHeight="false" outlineLevel="0" collapsed="false">
      <c r="A570" s="76" t="s">
        <v>1576</v>
      </c>
      <c r="B570" s="76" t="s">
        <v>72</v>
      </c>
      <c r="C570" s="76" t="s">
        <v>73</v>
      </c>
      <c r="D570" s="76" t="s">
        <v>1161</v>
      </c>
      <c r="E570" s="76" t="s">
        <v>1162</v>
      </c>
      <c r="F570" s="35" t="s">
        <v>1577</v>
      </c>
      <c r="G570" s="76" t="s">
        <v>627</v>
      </c>
      <c r="H570" s="78" t="n">
        <v>426648.046998165</v>
      </c>
      <c r="I570" s="76" t="s">
        <v>1551</v>
      </c>
      <c r="J570" s="78" t="n">
        <v>426648.046998165</v>
      </c>
      <c r="K570" s="76" t="s">
        <v>1551</v>
      </c>
      <c r="L570" s="77" t="s">
        <v>1114</v>
      </c>
    </row>
    <row r="571" customFormat="false" ht="15" hidden="false" customHeight="false" outlineLevel="0" collapsed="false">
      <c r="A571" s="76" t="s">
        <v>1576</v>
      </c>
      <c r="B571" s="76" t="s">
        <v>72</v>
      </c>
      <c r="C571" s="76" t="s">
        <v>73</v>
      </c>
      <c r="D571" s="76" t="s">
        <v>1161</v>
      </c>
      <c r="E571" s="76" t="s">
        <v>1162</v>
      </c>
      <c r="F571" s="35" t="s">
        <v>1577</v>
      </c>
      <c r="G571" s="76" t="s">
        <v>619</v>
      </c>
      <c r="H571" s="76" t="n">
        <v>216000</v>
      </c>
      <c r="I571" s="76" t="s">
        <v>1549</v>
      </c>
      <c r="J571" s="76" t="n">
        <v>216000</v>
      </c>
      <c r="K571" s="76" t="s">
        <v>1549</v>
      </c>
      <c r="L571" s="77" t="s">
        <v>1114</v>
      </c>
    </row>
    <row r="572" customFormat="false" ht="15" hidden="false" customHeight="false" outlineLevel="0" collapsed="false">
      <c r="A572" s="76" t="s">
        <v>1576</v>
      </c>
      <c r="B572" s="76" t="s">
        <v>72</v>
      </c>
      <c r="C572" s="76" t="s">
        <v>73</v>
      </c>
      <c r="D572" s="76" t="s">
        <v>1161</v>
      </c>
      <c r="E572" s="76" t="s">
        <v>1162</v>
      </c>
      <c r="F572" s="35" t="s">
        <v>1577</v>
      </c>
      <c r="G572" s="76" t="s">
        <v>629</v>
      </c>
      <c r="H572" s="76" t="n">
        <v>35000</v>
      </c>
      <c r="I572" s="76" t="s">
        <v>1157</v>
      </c>
      <c r="J572" s="76" t="n">
        <v>35000</v>
      </c>
      <c r="K572" s="76" t="s">
        <v>1157</v>
      </c>
      <c r="L572" s="77" t="s">
        <v>1114</v>
      </c>
    </row>
    <row r="573" customFormat="false" ht="15" hidden="false" customHeight="false" outlineLevel="0" collapsed="false">
      <c r="A573" s="76" t="s">
        <v>1576</v>
      </c>
      <c r="B573" s="76" t="s">
        <v>72</v>
      </c>
      <c r="C573" s="76" t="s">
        <v>73</v>
      </c>
      <c r="D573" s="76" t="s">
        <v>1161</v>
      </c>
      <c r="E573" s="76" t="s">
        <v>1162</v>
      </c>
      <c r="F573" s="35" t="s">
        <v>1577</v>
      </c>
      <c r="G573" s="76" t="s">
        <v>623</v>
      </c>
      <c r="H573" s="78" t="n">
        <v>426648.046998165</v>
      </c>
      <c r="I573" s="76" t="s">
        <v>1551</v>
      </c>
      <c r="J573" s="78" t="n">
        <v>426648.046998165</v>
      </c>
      <c r="K573" s="76" t="s">
        <v>1551</v>
      </c>
      <c r="L573" s="77" t="s">
        <v>1114</v>
      </c>
    </row>
    <row r="574" customFormat="false" ht="15" hidden="false" customHeight="false" outlineLevel="0" collapsed="false">
      <c r="A574" s="76" t="s">
        <v>1576</v>
      </c>
      <c r="B574" s="76" t="s">
        <v>72</v>
      </c>
      <c r="C574" s="76" t="s">
        <v>73</v>
      </c>
      <c r="D574" s="76" t="s">
        <v>1161</v>
      </c>
      <c r="E574" s="76" t="s">
        <v>1162</v>
      </c>
      <c r="F574" s="35" t="s">
        <v>1577</v>
      </c>
      <c r="G574" s="76" t="s">
        <v>432</v>
      </c>
      <c r="H574" s="78" t="n">
        <v>350000</v>
      </c>
      <c r="I574" s="76" t="s">
        <v>1578</v>
      </c>
      <c r="J574" s="76" t="n">
        <v>350000</v>
      </c>
      <c r="K574" s="76" t="s">
        <v>1578</v>
      </c>
      <c r="L574" s="77" t="s">
        <v>1114</v>
      </c>
    </row>
    <row r="575" customFormat="false" ht="15" hidden="false" customHeight="false" outlineLevel="0" collapsed="false">
      <c r="A575" s="76" t="s">
        <v>1576</v>
      </c>
      <c r="B575" s="76" t="s">
        <v>72</v>
      </c>
      <c r="C575" s="76" t="s">
        <v>73</v>
      </c>
      <c r="D575" s="76" t="s">
        <v>1161</v>
      </c>
      <c r="E575" s="76" t="s">
        <v>1162</v>
      </c>
      <c r="F575" s="35" t="s">
        <v>1577</v>
      </c>
      <c r="G575" s="76" t="s">
        <v>434</v>
      </c>
      <c r="H575" s="78" t="n">
        <v>3</v>
      </c>
      <c r="I575" s="76" t="s">
        <v>1122</v>
      </c>
      <c r="J575" s="76" t="n">
        <v>3</v>
      </c>
      <c r="K575" s="76" t="s">
        <v>1122</v>
      </c>
      <c r="L575" s="77" t="s">
        <v>1114</v>
      </c>
    </row>
    <row r="576" customFormat="false" ht="15" hidden="false" customHeight="false" outlineLevel="0" collapsed="false">
      <c r="A576" s="76" t="s">
        <v>1579</v>
      </c>
      <c r="B576" s="76" t="s">
        <v>72</v>
      </c>
      <c r="C576" s="76" t="s">
        <v>73</v>
      </c>
      <c r="D576" s="76" t="s">
        <v>1180</v>
      </c>
      <c r="E576" s="76" t="s">
        <v>1152</v>
      </c>
      <c r="F576" s="35" t="s">
        <v>1580</v>
      </c>
      <c r="G576" s="76" t="s">
        <v>419</v>
      </c>
      <c r="H576" s="76"/>
      <c r="I576" s="76" t="s">
        <v>1581</v>
      </c>
      <c r="J576" s="76"/>
      <c r="K576" s="76" t="s">
        <v>1581</v>
      </c>
      <c r="L576" s="77" t="s">
        <v>1114</v>
      </c>
    </row>
    <row r="577" customFormat="false" ht="15" hidden="false" customHeight="false" outlineLevel="0" collapsed="false">
      <c r="A577" s="76" t="s">
        <v>1579</v>
      </c>
      <c r="B577" s="76" t="s">
        <v>72</v>
      </c>
      <c r="C577" s="76" t="s">
        <v>73</v>
      </c>
      <c r="D577" s="76" t="s">
        <v>1180</v>
      </c>
      <c r="E577" s="76" t="s">
        <v>1152</v>
      </c>
      <c r="F577" s="35" t="s">
        <v>1580</v>
      </c>
      <c r="G577" s="76" t="s">
        <v>627</v>
      </c>
      <c r="H577" s="78" t="n">
        <v>631279.060419705</v>
      </c>
      <c r="I577" s="76" t="s">
        <v>1582</v>
      </c>
      <c r="J577" s="78" t="n">
        <v>631279.060419705</v>
      </c>
      <c r="K577" s="76" t="s">
        <v>1582</v>
      </c>
      <c r="L577" s="77" t="s">
        <v>1114</v>
      </c>
    </row>
    <row r="578" customFormat="false" ht="15" hidden="false" customHeight="false" outlineLevel="0" collapsed="false">
      <c r="A578" s="76" t="s">
        <v>1579</v>
      </c>
      <c r="B578" s="76" t="s">
        <v>72</v>
      </c>
      <c r="C578" s="76" t="s">
        <v>73</v>
      </c>
      <c r="D578" s="76" t="s">
        <v>1180</v>
      </c>
      <c r="E578" s="76" t="s">
        <v>1152</v>
      </c>
      <c r="F578" s="35" t="s">
        <v>1580</v>
      </c>
      <c r="G578" s="76" t="s">
        <v>619</v>
      </c>
      <c r="H578" s="76" t="n">
        <v>989400</v>
      </c>
      <c r="I578" s="76" t="s">
        <v>1583</v>
      </c>
      <c r="J578" s="76" t="n">
        <v>989400</v>
      </c>
      <c r="K578" s="76" t="s">
        <v>1583</v>
      </c>
      <c r="L578" s="77" t="s">
        <v>1114</v>
      </c>
    </row>
    <row r="579" customFormat="false" ht="15" hidden="false" customHeight="false" outlineLevel="0" collapsed="false">
      <c r="A579" s="76" t="s">
        <v>1579</v>
      </c>
      <c r="B579" s="76" t="s">
        <v>72</v>
      </c>
      <c r="C579" s="76" t="s">
        <v>73</v>
      </c>
      <c r="D579" s="76" t="s">
        <v>1180</v>
      </c>
      <c r="E579" s="76" t="s">
        <v>1152</v>
      </c>
      <c r="F579" s="35" t="s">
        <v>1580</v>
      </c>
      <c r="G579" s="76" t="s">
        <v>629</v>
      </c>
      <c r="H579" s="78" t="n">
        <v>110381.985330115</v>
      </c>
      <c r="I579" s="76" t="s">
        <v>1584</v>
      </c>
      <c r="J579" s="78" t="n">
        <v>110381.985330115</v>
      </c>
      <c r="K579" s="76" t="s">
        <v>1584</v>
      </c>
      <c r="L579" s="77" t="s">
        <v>1114</v>
      </c>
    </row>
    <row r="580" customFormat="false" ht="15" hidden="false" customHeight="false" outlineLevel="0" collapsed="false">
      <c r="A580" s="76" t="s">
        <v>1579</v>
      </c>
      <c r="B580" s="76" t="s">
        <v>72</v>
      </c>
      <c r="C580" s="76" t="s">
        <v>73</v>
      </c>
      <c r="D580" s="76" t="s">
        <v>1180</v>
      </c>
      <c r="E580" s="76" t="s">
        <v>1152</v>
      </c>
      <c r="F580" s="35" t="s">
        <v>1580</v>
      </c>
      <c r="G580" s="76" t="s">
        <v>623</v>
      </c>
      <c r="H580" s="78" t="n">
        <v>771382.535619565</v>
      </c>
      <c r="I580" s="76" t="s">
        <v>1585</v>
      </c>
      <c r="J580" s="78" t="n">
        <v>771382.535619565</v>
      </c>
      <c r="K580" s="76" t="s">
        <v>1585</v>
      </c>
      <c r="L580" s="77" t="s">
        <v>1114</v>
      </c>
    </row>
    <row r="581" customFormat="false" ht="15" hidden="false" customHeight="false" outlineLevel="0" collapsed="false">
      <c r="A581" s="76" t="s">
        <v>1579</v>
      </c>
      <c r="B581" s="76" t="s">
        <v>72</v>
      </c>
      <c r="C581" s="76" t="s">
        <v>73</v>
      </c>
      <c r="D581" s="76" t="s">
        <v>1180</v>
      </c>
      <c r="E581" s="76" t="s">
        <v>1152</v>
      </c>
      <c r="F581" s="35" t="s">
        <v>1580</v>
      </c>
      <c r="G581" s="76" t="s">
        <v>432</v>
      </c>
      <c r="H581" s="78" t="n">
        <v>74000</v>
      </c>
      <c r="I581" s="76" t="s">
        <v>1586</v>
      </c>
      <c r="J581" s="76" t="n">
        <v>74000</v>
      </c>
      <c r="K581" s="76" t="s">
        <v>1586</v>
      </c>
      <c r="L581" s="77" t="s">
        <v>1114</v>
      </c>
    </row>
    <row r="582" customFormat="false" ht="15" hidden="false" customHeight="false" outlineLevel="0" collapsed="false">
      <c r="A582" s="76" t="s">
        <v>1579</v>
      </c>
      <c r="B582" s="76" t="s">
        <v>72</v>
      </c>
      <c r="C582" s="76" t="s">
        <v>73</v>
      </c>
      <c r="D582" s="76" t="s">
        <v>1180</v>
      </c>
      <c r="E582" s="76" t="s">
        <v>1152</v>
      </c>
      <c r="F582" s="35" t="s">
        <v>1580</v>
      </c>
      <c r="G582" s="76" t="s">
        <v>434</v>
      </c>
      <c r="H582" s="78" t="n">
        <v>3</v>
      </c>
      <c r="I582" s="76" t="s">
        <v>1122</v>
      </c>
      <c r="J582" s="76" t="n">
        <v>3</v>
      </c>
      <c r="K582" s="76" t="s">
        <v>1122</v>
      </c>
      <c r="L582" s="77" t="s">
        <v>1114</v>
      </c>
    </row>
    <row r="583" customFormat="false" ht="15" hidden="false" customHeight="false" outlineLevel="0" collapsed="false">
      <c r="A583" s="76" t="s">
        <v>1587</v>
      </c>
      <c r="B583" s="76" t="s">
        <v>72</v>
      </c>
      <c r="C583" s="76" t="s">
        <v>73</v>
      </c>
      <c r="D583" s="76" t="s">
        <v>1189</v>
      </c>
      <c r="E583" s="76" t="s">
        <v>1125</v>
      </c>
      <c r="F583" s="35" t="s">
        <v>1588</v>
      </c>
      <c r="G583" s="76" t="s">
        <v>419</v>
      </c>
      <c r="H583" s="76"/>
      <c r="I583" s="76" t="s">
        <v>1589</v>
      </c>
      <c r="J583" s="76"/>
      <c r="K583" s="76" t="s">
        <v>1589</v>
      </c>
      <c r="L583" s="77" t="s">
        <v>1114</v>
      </c>
    </row>
    <row r="584" customFormat="false" ht="15" hidden="false" customHeight="false" outlineLevel="0" collapsed="false">
      <c r="A584" s="76" t="s">
        <v>1587</v>
      </c>
      <c r="B584" s="76" t="s">
        <v>72</v>
      </c>
      <c r="C584" s="76" t="s">
        <v>73</v>
      </c>
      <c r="D584" s="76" t="s">
        <v>1189</v>
      </c>
      <c r="E584" s="76" t="s">
        <v>1125</v>
      </c>
      <c r="F584" s="35" t="s">
        <v>1588</v>
      </c>
      <c r="G584" s="76" t="s">
        <v>627</v>
      </c>
      <c r="H584" s="78" t="n">
        <v>997927.078625663</v>
      </c>
      <c r="I584" s="76" t="s">
        <v>1590</v>
      </c>
      <c r="J584" s="78" t="n">
        <v>997927.078625663</v>
      </c>
      <c r="K584" s="76" t="s">
        <v>1590</v>
      </c>
      <c r="L584" s="77" t="s">
        <v>1114</v>
      </c>
    </row>
    <row r="585" customFormat="false" ht="15" hidden="false" customHeight="false" outlineLevel="0" collapsed="false">
      <c r="A585" s="76" t="s">
        <v>1587</v>
      </c>
      <c r="B585" s="76" t="s">
        <v>72</v>
      </c>
      <c r="C585" s="76" t="s">
        <v>73</v>
      </c>
      <c r="D585" s="76" t="s">
        <v>1189</v>
      </c>
      <c r="E585" s="76" t="s">
        <v>1125</v>
      </c>
      <c r="F585" s="35" t="s">
        <v>1588</v>
      </c>
      <c r="G585" s="76" t="s">
        <v>619</v>
      </c>
      <c r="H585" s="76" t="n">
        <v>931200</v>
      </c>
      <c r="I585" s="76" t="s">
        <v>1591</v>
      </c>
      <c r="J585" s="76" t="n">
        <v>931200</v>
      </c>
      <c r="K585" s="76" t="s">
        <v>1591</v>
      </c>
      <c r="L585" s="77" t="s">
        <v>1114</v>
      </c>
    </row>
    <row r="586" customFormat="false" ht="15" hidden="false" customHeight="false" outlineLevel="0" collapsed="false">
      <c r="A586" s="76" t="s">
        <v>1587</v>
      </c>
      <c r="B586" s="76" t="s">
        <v>72</v>
      </c>
      <c r="C586" s="76" t="s">
        <v>73</v>
      </c>
      <c r="D586" s="76" t="s">
        <v>1189</v>
      </c>
      <c r="E586" s="76" t="s">
        <v>1125</v>
      </c>
      <c r="F586" s="35" t="s">
        <v>1588</v>
      </c>
      <c r="G586" s="76" t="s">
        <v>629</v>
      </c>
      <c r="H586" s="78" t="n">
        <v>1174277.66527377</v>
      </c>
      <c r="I586" s="76" t="s">
        <v>1592</v>
      </c>
      <c r="J586" s="78" t="n">
        <v>1174277.66527377</v>
      </c>
      <c r="K586" s="76" t="s">
        <v>1592</v>
      </c>
      <c r="L586" s="77" t="s">
        <v>1114</v>
      </c>
    </row>
    <row r="587" customFormat="false" ht="15" hidden="false" customHeight="false" outlineLevel="0" collapsed="false">
      <c r="A587" s="76" t="s">
        <v>1587</v>
      </c>
      <c r="B587" s="76" t="s">
        <v>72</v>
      </c>
      <c r="C587" s="76" t="s">
        <v>73</v>
      </c>
      <c r="D587" s="76" t="s">
        <v>1189</v>
      </c>
      <c r="E587" s="76" t="s">
        <v>1125</v>
      </c>
      <c r="F587" s="35" t="s">
        <v>1588</v>
      </c>
      <c r="G587" s="76" t="s">
        <v>623</v>
      </c>
      <c r="H587" s="78" t="n">
        <v>1655956.6680362</v>
      </c>
      <c r="I587" s="76" t="s">
        <v>1593</v>
      </c>
      <c r="J587" s="78" t="n">
        <v>1655956.6680362</v>
      </c>
      <c r="K587" s="76" t="s">
        <v>1593</v>
      </c>
      <c r="L587" s="77" t="s">
        <v>1114</v>
      </c>
    </row>
    <row r="588" customFormat="false" ht="15" hidden="false" customHeight="false" outlineLevel="0" collapsed="false">
      <c r="A588" s="76" t="s">
        <v>1587</v>
      </c>
      <c r="B588" s="76" t="s">
        <v>72</v>
      </c>
      <c r="C588" s="76" t="s">
        <v>73</v>
      </c>
      <c r="D588" s="76" t="s">
        <v>1189</v>
      </c>
      <c r="E588" s="76" t="s">
        <v>1125</v>
      </c>
      <c r="F588" s="35" t="s">
        <v>1588</v>
      </c>
      <c r="G588" s="76" t="s">
        <v>432</v>
      </c>
      <c r="H588" s="78" t="n">
        <v>66000</v>
      </c>
      <c r="I588" s="76" t="s">
        <v>1594</v>
      </c>
      <c r="J588" s="76" t="n">
        <v>66000</v>
      </c>
      <c r="K588" s="76" t="s">
        <v>1594</v>
      </c>
      <c r="L588" s="77" t="s">
        <v>1114</v>
      </c>
    </row>
    <row r="589" customFormat="false" ht="15" hidden="false" customHeight="false" outlineLevel="0" collapsed="false">
      <c r="A589" s="76" t="s">
        <v>1587</v>
      </c>
      <c r="B589" s="76" t="s">
        <v>72</v>
      </c>
      <c r="C589" s="76" t="s">
        <v>73</v>
      </c>
      <c r="D589" s="76" t="s">
        <v>1189</v>
      </c>
      <c r="E589" s="76" t="s">
        <v>1125</v>
      </c>
      <c r="F589" s="35" t="s">
        <v>1588</v>
      </c>
      <c r="G589" s="76" t="s">
        <v>434</v>
      </c>
      <c r="H589" s="78" t="n">
        <v>3</v>
      </c>
      <c r="I589" s="76" t="s">
        <v>1122</v>
      </c>
      <c r="J589" s="76" t="n">
        <v>3</v>
      </c>
      <c r="K589" s="76" t="s">
        <v>1122</v>
      </c>
      <c r="L589" s="77" t="s">
        <v>1114</v>
      </c>
    </row>
    <row r="590" customFormat="false" ht="15" hidden="false" customHeight="false" outlineLevel="0" collapsed="false">
      <c r="A590" s="76" t="s">
        <v>1595</v>
      </c>
      <c r="B590" s="76" t="s">
        <v>72</v>
      </c>
      <c r="C590" s="76" t="s">
        <v>73</v>
      </c>
      <c r="D590" s="76" t="s">
        <v>1198</v>
      </c>
      <c r="E590" s="76" t="s">
        <v>1162</v>
      </c>
      <c r="F590" s="35" t="s">
        <v>1596</v>
      </c>
      <c r="G590" s="76" t="s">
        <v>419</v>
      </c>
      <c r="H590" s="76"/>
      <c r="I590" s="76" t="s">
        <v>1597</v>
      </c>
      <c r="J590" s="76"/>
      <c r="K590" s="76" t="s">
        <v>1597</v>
      </c>
      <c r="L590" s="77" t="s">
        <v>1114</v>
      </c>
    </row>
    <row r="591" customFormat="false" ht="15" hidden="false" customHeight="false" outlineLevel="0" collapsed="false">
      <c r="A591" s="76" t="s">
        <v>1595</v>
      </c>
      <c r="B591" s="76" t="s">
        <v>72</v>
      </c>
      <c r="C591" s="76" t="s">
        <v>73</v>
      </c>
      <c r="D591" s="76" t="s">
        <v>1198</v>
      </c>
      <c r="E591" s="76" t="s">
        <v>1162</v>
      </c>
      <c r="F591" s="35" t="s">
        <v>1596</v>
      </c>
      <c r="G591" s="76" t="s">
        <v>627</v>
      </c>
      <c r="H591" s="78" t="n">
        <v>1765635.16313236</v>
      </c>
      <c r="I591" s="76" t="s">
        <v>1598</v>
      </c>
      <c r="J591" s="78" t="n">
        <v>1765635.16313236</v>
      </c>
      <c r="K591" s="76" t="s">
        <v>1598</v>
      </c>
      <c r="L591" s="77" t="s">
        <v>1114</v>
      </c>
    </row>
    <row r="592" customFormat="false" ht="15" hidden="false" customHeight="false" outlineLevel="0" collapsed="false">
      <c r="A592" s="76" t="s">
        <v>1595</v>
      </c>
      <c r="B592" s="76" t="s">
        <v>72</v>
      </c>
      <c r="C592" s="76" t="s">
        <v>73</v>
      </c>
      <c r="D592" s="76" t="s">
        <v>1198</v>
      </c>
      <c r="E592" s="76" t="s">
        <v>1162</v>
      </c>
      <c r="F592" s="35" t="s">
        <v>1596</v>
      </c>
      <c r="G592" s="76" t="s">
        <v>619</v>
      </c>
      <c r="H592" s="76" t="n">
        <v>1490400</v>
      </c>
      <c r="I592" s="76" t="s">
        <v>1599</v>
      </c>
      <c r="J592" s="76" t="n">
        <v>1490400</v>
      </c>
      <c r="K592" s="76" t="s">
        <v>1599</v>
      </c>
      <c r="L592" s="77" t="s">
        <v>1114</v>
      </c>
    </row>
    <row r="593" customFormat="false" ht="15" hidden="false" customHeight="false" outlineLevel="0" collapsed="false">
      <c r="A593" s="76" t="s">
        <v>1595</v>
      </c>
      <c r="B593" s="76" t="s">
        <v>72</v>
      </c>
      <c r="C593" s="76" t="s">
        <v>73</v>
      </c>
      <c r="D593" s="76" t="s">
        <v>1198</v>
      </c>
      <c r="E593" s="76" t="s">
        <v>1162</v>
      </c>
      <c r="F593" s="35" t="s">
        <v>1596</v>
      </c>
      <c r="G593" s="76" t="s">
        <v>629</v>
      </c>
      <c r="H593" s="78" t="n">
        <v>461843.987427436</v>
      </c>
      <c r="I593" s="76" t="s">
        <v>1600</v>
      </c>
      <c r="J593" s="78" t="n">
        <v>461843.987427436</v>
      </c>
      <c r="K593" s="76" t="s">
        <v>1600</v>
      </c>
      <c r="L593" s="77" t="s">
        <v>1114</v>
      </c>
    </row>
    <row r="594" customFormat="false" ht="15" hidden="false" customHeight="false" outlineLevel="0" collapsed="false">
      <c r="A594" s="76" t="s">
        <v>1595</v>
      </c>
      <c r="B594" s="76" t="s">
        <v>72</v>
      </c>
      <c r="C594" s="76" t="s">
        <v>73</v>
      </c>
      <c r="D594" s="76" t="s">
        <v>1198</v>
      </c>
      <c r="E594" s="76" t="s">
        <v>1162</v>
      </c>
      <c r="F594" s="35" t="s">
        <v>1596</v>
      </c>
      <c r="G594" s="76" t="s">
        <v>623</v>
      </c>
      <c r="H594" s="78" t="n">
        <v>1843669.87462323</v>
      </c>
      <c r="I594" s="76" t="s">
        <v>1601</v>
      </c>
      <c r="J594" s="78" t="n">
        <v>1843669.87462323</v>
      </c>
      <c r="K594" s="76" t="s">
        <v>1601</v>
      </c>
      <c r="L594" s="77" t="s">
        <v>1114</v>
      </c>
    </row>
    <row r="595" customFormat="false" ht="15" hidden="false" customHeight="false" outlineLevel="0" collapsed="false">
      <c r="A595" s="76" t="s">
        <v>1595</v>
      </c>
      <c r="B595" s="76" t="s">
        <v>72</v>
      </c>
      <c r="C595" s="76" t="s">
        <v>73</v>
      </c>
      <c r="D595" s="76" t="s">
        <v>1198</v>
      </c>
      <c r="E595" s="76" t="s">
        <v>1162</v>
      </c>
      <c r="F595" s="35" t="s">
        <v>1596</v>
      </c>
      <c r="G595" s="76" t="s">
        <v>432</v>
      </c>
      <c r="H595" s="78" t="n">
        <v>260000</v>
      </c>
      <c r="I595" s="76" t="s">
        <v>1602</v>
      </c>
      <c r="J595" s="76" t="n">
        <v>260000</v>
      </c>
      <c r="K595" s="76" t="s">
        <v>1602</v>
      </c>
      <c r="L595" s="77" t="s">
        <v>1114</v>
      </c>
    </row>
    <row r="596" customFormat="false" ht="15" hidden="false" customHeight="false" outlineLevel="0" collapsed="false">
      <c r="A596" s="76" t="s">
        <v>1595</v>
      </c>
      <c r="B596" s="76" t="s">
        <v>72</v>
      </c>
      <c r="C596" s="76" t="s">
        <v>73</v>
      </c>
      <c r="D596" s="76" t="s">
        <v>1198</v>
      </c>
      <c r="E596" s="76" t="s">
        <v>1162</v>
      </c>
      <c r="F596" s="35" t="s">
        <v>1596</v>
      </c>
      <c r="G596" s="76" t="s">
        <v>434</v>
      </c>
      <c r="H596" s="78" t="n">
        <v>3</v>
      </c>
      <c r="I596" s="76" t="s">
        <v>1122</v>
      </c>
      <c r="J596" s="76" t="n">
        <v>3</v>
      </c>
      <c r="K596" s="76" t="s">
        <v>1122</v>
      </c>
      <c r="L596" s="77" t="s">
        <v>1114</v>
      </c>
    </row>
    <row r="597" customFormat="false" ht="15" hidden="false" customHeight="false" outlineLevel="0" collapsed="false">
      <c r="A597" s="76" t="s">
        <v>1603</v>
      </c>
      <c r="B597" s="76" t="s">
        <v>77</v>
      </c>
      <c r="C597" s="76" t="s">
        <v>79</v>
      </c>
      <c r="D597" s="76" t="s">
        <v>1111</v>
      </c>
      <c r="E597" s="76" t="s">
        <v>1112</v>
      </c>
      <c r="F597" s="35" t="s">
        <v>1604</v>
      </c>
      <c r="G597" s="76" t="s">
        <v>419</v>
      </c>
      <c r="H597" s="76"/>
      <c r="I597" s="76" t="s">
        <v>652</v>
      </c>
      <c r="J597" s="76"/>
      <c r="K597" s="76" t="s">
        <v>652</v>
      </c>
      <c r="L597" s="77" t="s">
        <v>1114</v>
      </c>
    </row>
    <row r="598" customFormat="false" ht="15" hidden="false" customHeight="false" outlineLevel="0" collapsed="false">
      <c r="A598" s="76" t="s">
        <v>1603</v>
      </c>
      <c r="B598" s="76" t="s">
        <v>77</v>
      </c>
      <c r="C598" s="76" t="s">
        <v>79</v>
      </c>
      <c r="D598" s="76" t="s">
        <v>1111</v>
      </c>
      <c r="E598" s="76" t="s">
        <v>1112</v>
      </c>
      <c r="F598" s="35" t="s">
        <v>1604</v>
      </c>
      <c r="G598" s="76" t="s">
        <v>652</v>
      </c>
      <c r="H598" s="78" t="n">
        <v>372.250796843964</v>
      </c>
      <c r="I598" s="76" t="s">
        <v>1605</v>
      </c>
      <c r="J598" s="78" t="n">
        <v>372.250796843964</v>
      </c>
      <c r="K598" s="76" t="s">
        <v>1605</v>
      </c>
      <c r="L598" s="77" t="s">
        <v>1114</v>
      </c>
    </row>
    <row r="599" customFormat="false" ht="15" hidden="false" customHeight="false" outlineLevel="0" collapsed="false">
      <c r="A599" s="76" t="s">
        <v>1603</v>
      </c>
      <c r="B599" s="76" t="s">
        <v>77</v>
      </c>
      <c r="C599" s="76" t="s">
        <v>79</v>
      </c>
      <c r="D599" s="76" t="s">
        <v>1111</v>
      </c>
      <c r="E599" s="76" t="s">
        <v>1112</v>
      </c>
      <c r="F599" s="35" t="s">
        <v>1604</v>
      </c>
      <c r="G599" s="76" t="s">
        <v>654</v>
      </c>
      <c r="H599" s="76" t="n">
        <v>15000</v>
      </c>
      <c r="I599" s="76" t="s">
        <v>1606</v>
      </c>
      <c r="J599" s="76" t="n">
        <v>15000</v>
      </c>
      <c r="K599" s="76" t="s">
        <v>1606</v>
      </c>
      <c r="L599" s="77" t="s">
        <v>1114</v>
      </c>
    </row>
    <row r="600" customFormat="false" ht="15" hidden="false" customHeight="false" outlineLevel="0" collapsed="false">
      <c r="A600" s="76" t="s">
        <v>1603</v>
      </c>
      <c r="B600" s="76" t="s">
        <v>77</v>
      </c>
      <c r="C600" s="76" t="s">
        <v>79</v>
      </c>
      <c r="D600" s="76" t="s">
        <v>1111</v>
      </c>
      <c r="E600" s="76" t="s">
        <v>1112</v>
      </c>
      <c r="F600" s="35" t="s">
        <v>1604</v>
      </c>
      <c r="G600" s="76" t="s">
        <v>655</v>
      </c>
      <c r="H600" s="78" t="n">
        <v>15918.12</v>
      </c>
      <c r="I600" s="76" t="s">
        <v>1607</v>
      </c>
      <c r="J600" s="78" t="n">
        <v>15918.12</v>
      </c>
      <c r="K600" s="76" t="s">
        <v>1607</v>
      </c>
      <c r="L600" s="77" t="s">
        <v>1114</v>
      </c>
    </row>
    <row r="601" customFormat="false" ht="15" hidden="false" customHeight="false" outlineLevel="0" collapsed="false">
      <c r="A601" s="76" t="s">
        <v>1603</v>
      </c>
      <c r="B601" s="76" t="s">
        <v>77</v>
      </c>
      <c r="C601" s="76" t="s">
        <v>79</v>
      </c>
      <c r="D601" s="76" t="s">
        <v>1111</v>
      </c>
      <c r="E601" s="76" t="s">
        <v>1112</v>
      </c>
      <c r="F601" s="35" t="s">
        <v>1604</v>
      </c>
      <c r="G601" s="76" t="s">
        <v>657</v>
      </c>
      <c r="H601" s="78" t="n">
        <v>15918.12</v>
      </c>
      <c r="I601" s="76" t="s">
        <v>1607</v>
      </c>
      <c r="J601" s="78" t="n">
        <v>15918.12</v>
      </c>
      <c r="K601" s="76" t="s">
        <v>1607</v>
      </c>
      <c r="L601" s="77" t="s">
        <v>1114</v>
      </c>
    </row>
    <row r="602" customFormat="false" ht="15" hidden="false" customHeight="false" outlineLevel="0" collapsed="false">
      <c r="A602" s="76" t="s">
        <v>1603</v>
      </c>
      <c r="B602" s="76" t="s">
        <v>77</v>
      </c>
      <c r="C602" s="76" t="s">
        <v>79</v>
      </c>
      <c r="D602" s="76" t="s">
        <v>1111</v>
      </c>
      <c r="E602" s="76" t="s">
        <v>1112</v>
      </c>
      <c r="F602" s="35" t="s">
        <v>1604</v>
      </c>
      <c r="G602" s="76" t="s">
        <v>637</v>
      </c>
      <c r="H602" s="76" t="n">
        <v>2000</v>
      </c>
      <c r="I602" s="76" t="s">
        <v>1359</v>
      </c>
      <c r="J602" s="76" t="n">
        <v>2000</v>
      </c>
      <c r="K602" s="76" t="s">
        <v>1359</v>
      </c>
      <c r="L602" s="77" t="s">
        <v>1114</v>
      </c>
    </row>
    <row r="603" customFormat="false" ht="15" hidden="false" customHeight="false" outlineLevel="0" collapsed="false">
      <c r="A603" s="76" t="s">
        <v>1603</v>
      </c>
      <c r="B603" s="76" t="s">
        <v>77</v>
      </c>
      <c r="C603" s="76" t="s">
        <v>79</v>
      </c>
      <c r="D603" s="76" t="s">
        <v>1111</v>
      </c>
      <c r="E603" s="76" t="s">
        <v>1112</v>
      </c>
      <c r="F603" s="35" t="s">
        <v>1604</v>
      </c>
      <c r="G603" s="76" t="s">
        <v>660</v>
      </c>
      <c r="H603" s="76"/>
      <c r="I603" s="76" t="s">
        <v>1608</v>
      </c>
      <c r="J603" s="78" t="n">
        <v>0.02</v>
      </c>
      <c r="K603" s="76" t="s">
        <v>1608</v>
      </c>
      <c r="L603" s="77" t="s">
        <v>1114</v>
      </c>
    </row>
    <row r="604" customFormat="false" ht="15" hidden="false" customHeight="false" outlineLevel="0" collapsed="false">
      <c r="A604" s="76" t="s">
        <v>1603</v>
      </c>
      <c r="B604" s="76" t="s">
        <v>77</v>
      </c>
      <c r="C604" s="76" t="s">
        <v>79</v>
      </c>
      <c r="D604" s="76" t="s">
        <v>1111</v>
      </c>
      <c r="E604" s="76" t="s">
        <v>1112</v>
      </c>
      <c r="F604" s="35" t="s">
        <v>1604</v>
      </c>
      <c r="G604" s="76" t="s">
        <v>661</v>
      </c>
      <c r="H604" s="78" t="n">
        <v>15000</v>
      </c>
      <c r="I604" s="76" t="s">
        <v>1609</v>
      </c>
      <c r="J604" s="76" t="n">
        <v>15000</v>
      </c>
      <c r="K604" s="76" t="s">
        <v>1609</v>
      </c>
      <c r="L604" s="77" t="s">
        <v>1114</v>
      </c>
    </row>
    <row r="605" customFormat="false" ht="15" hidden="false" customHeight="false" outlineLevel="0" collapsed="false">
      <c r="A605" s="76" t="s">
        <v>1603</v>
      </c>
      <c r="B605" s="76" t="s">
        <v>77</v>
      </c>
      <c r="C605" s="76" t="s">
        <v>79</v>
      </c>
      <c r="D605" s="76" t="s">
        <v>1111</v>
      </c>
      <c r="E605" s="76" t="s">
        <v>1112</v>
      </c>
      <c r="F605" s="35" t="s">
        <v>1604</v>
      </c>
      <c r="G605" s="76" t="s">
        <v>434</v>
      </c>
      <c r="H605" s="78" t="n">
        <v>3</v>
      </c>
      <c r="I605" s="76" t="s">
        <v>1122</v>
      </c>
      <c r="J605" s="76" t="n">
        <v>3</v>
      </c>
      <c r="K605" s="76" t="s">
        <v>1122</v>
      </c>
      <c r="L605" s="77" t="s">
        <v>1114</v>
      </c>
    </row>
    <row r="606" customFormat="false" ht="15" hidden="false" customHeight="false" outlineLevel="0" collapsed="false">
      <c r="A606" s="76" t="s">
        <v>1610</v>
      </c>
      <c r="B606" s="76" t="s">
        <v>77</v>
      </c>
      <c r="C606" s="76" t="s">
        <v>79</v>
      </c>
      <c r="D606" s="76" t="s">
        <v>1124</v>
      </c>
      <c r="E606" s="76" t="s">
        <v>1125</v>
      </c>
      <c r="F606" s="35" t="s">
        <v>1611</v>
      </c>
      <c r="G606" s="76" t="s">
        <v>419</v>
      </c>
      <c r="H606" s="76"/>
      <c r="I606" s="76" t="s">
        <v>652</v>
      </c>
      <c r="J606" s="76"/>
      <c r="K606" s="76" t="s">
        <v>652</v>
      </c>
      <c r="L606" s="77" t="s">
        <v>1114</v>
      </c>
    </row>
    <row r="607" customFormat="false" ht="15" hidden="false" customHeight="false" outlineLevel="0" collapsed="false">
      <c r="A607" s="76" t="s">
        <v>1610</v>
      </c>
      <c r="B607" s="76" t="s">
        <v>77</v>
      </c>
      <c r="C607" s="76" t="s">
        <v>79</v>
      </c>
      <c r="D607" s="76" t="s">
        <v>1124</v>
      </c>
      <c r="E607" s="76" t="s">
        <v>1125</v>
      </c>
      <c r="F607" s="35" t="s">
        <v>1611</v>
      </c>
      <c r="G607" s="76" t="s">
        <v>652</v>
      </c>
      <c r="H607" s="76" t="n">
        <v>0</v>
      </c>
      <c r="I607" s="76" t="s">
        <v>1127</v>
      </c>
      <c r="J607" s="76" t="n">
        <v>0</v>
      </c>
      <c r="K607" s="76" t="s">
        <v>1127</v>
      </c>
      <c r="L607" s="77" t="s">
        <v>1114</v>
      </c>
    </row>
    <row r="608" customFormat="false" ht="15" hidden="false" customHeight="false" outlineLevel="0" collapsed="false">
      <c r="A608" s="76" t="s">
        <v>1610</v>
      </c>
      <c r="B608" s="76" t="s">
        <v>77</v>
      </c>
      <c r="C608" s="76" t="s">
        <v>79</v>
      </c>
      <c r="D608" s="76" t="s">
        <v>1124</v>
      </c>
      <c r="E608" s="76" t="s">
        <v>1125</v>
      </c>
      <c r="F608" s="35" t="s">
        <v>1611</v>
      </c>
      <c r="G608" s="76" t="s">
        <v>654</v>
      </c>
      <c r="H608" s="76" t="n">
        <v>500</v>
      </c>
      <c r="I608" s="76" t="s">
        <v>1612</v>
      </c>
      <c r="J608" s="76" t="n">
        <v>500</v>
      </c>
      <c r="K608" s="76" t="s">
        <v>1612</v>
      </c>
      <c r="L608" s="77" t="s">
        <v>1114</v>
      </c>
    </row>
    <row r="609" customFormat="false" ht="15" hidden="false" customHeight="false" outlineLevel="0" collapsed="false">
      <c r="A609" s="76" t="s">
        <v>1610</v>
      </c>
      <c r="B609" s="76" t="s">
        <v>77</v>
      </c>
      <c r="C609" s="76" t="s">
        <v>79</v>
      </c>
      <c r="D609" s="76" t="s">
        <v>1124</v>
      </c>
      <c r="E609" s="76" t="s">
        <v>1125</v>
      </c>
      <c r="F609" s="35" t="s">
        <v>1611</v>
      </c>
      <c r="G609" s="76" t="s">
        <v>655</v>
      </c>
      <c r="H609" s="76"/>
      <c r="I609" s="76"/>
      <c r="J609" s="76"/>
      <c r="K609" s="76"/>
      <c r="L609" s="77" t="s">
        <v>1114</v>
      </c>
    </row>
    <row r="610" customFormat="false" ht="15" hidden="false" customHeight="false" outlineLevel="0" collapsed="false">
      <c r="A610" s="76" t="s">
        <v>1610</v>
      </c>
      <c r="B610" s="76" t="s">
        <v>77</v>
      </c>
      <c r="C610" s="76" t="s">
        <v>79</v>
      </c>
      <c r="D610" s="76" t="s">
        <v>1124</v>
      </c>
      <c r="E610" s="76" t="s">
        <v>1125</v>
      </c>
      <c r="F610" s="35" t="s">
        <v>1611</v>
      </c>
      <c r="G610" s="76" t="s">
        <v>657</v>
      </c>
      <c r="H610" s="76"/>
      <c r="I610" s="76"/>
      <c r="J610" s="76"/>
      <c r="K610" s="76"/>
      <c r="L610" s="77" t="s">
        <v>1114</v>
      </c>
    </row>
    <row r="611" customFormat="false" ht="15" hidden="false" customHeight="false" outlineLevel="0" collapsed="false">
      <c r="A611" s="76" t="s">
        <v>1610</v>
      </c>
      <c r="B611" s="76" t="s">
        <v>77</v>
      </c>
      <c r="C611" s="76" t="s">
        <v>79</v>
      </c>
      <c r="D611" s="76" t="s">
        <v>1124</v>
      </c>
      <c r="E611" s="76" t="s">
        <v>1125</v>
      </c>
      <c r="F611" s="35" t="s">
        <v>1611</v>
      </c>
      <c r="G611" s="76" t="s">
        <v>637</v>
      </c>
      <c r="H611" s="76" t="n">
        <v>200000</v>
      </c>
      <c r="I611" s="76" t="s">
        <v>1164</v>
      </c>
      <c r="J611" s="76" t="n">
        <v>200000</v>
      </c>
      <c r="K611" s="76" t="s">
        <v>1164</v>
      </c>
      <c r="L611" s="77" t="s">
        <v>1114</v>
      </c>
    </row>
    <row r="612" customFormat="false" ht="15" hidden="false" customHeight="false" outlineLevel="0" collapsed="false">
      <c r="A612" s="76" t="s">
        <v>1610</v>
      </c>
      <c r="B612" s="76" t="s">
        <v>77</v>
      </c>
      <c r="C612" s="76" t="s">
        <v>79</v>
      </c>
      <c r="D612" s="76" t="s">
        <v>1124</v>
      </c>
      <c r="E612" s="76" t="s">
        <v>1125</v>
      </c>
      <c r="F612" s="35" t="s">
        <v>1611</v>
      </c>
      <c r="G612" s="76" t="s">
        <v>660</v>
      </c>
      <c r="H612" s="76"/>
      <c r="I612" s="76"/>
      <c r="J612" s="76"/>
      <c r="K612" s="76"/>
      <c r="L612" s="77" t="s">
        <v>1114</v>
      </c>
    </row>
    <row r="613" customFormat="false" ht="15" hidden="false" customHeight="false" outlineLevel="0" collapsed="false">
      <c r="A613" s="76" t="s">
        <v>1610</v>
      </c>
      <c r="B613" s="76" t="s">
        <v>77</v>
      </c>
      <c r="C613" s="76" t="s">
        <v>79</v>
      </c>
      <c r="D613" s="76" t="s">
        <v>1124</v>
      </c>
      <c r="E613" s="76" t="s">
        <v>1125</v>
      </c>
      <c r="F613" s="35" t="s">
        <v>1611</v>
      </c>
      <c r="G613" s="76" t="s">
        <v>661</v>
      </c>
      <c r="H613" s="78" t="n">
        <v>500</v>
      </c>
      <c r="I613" s="76" t="s">
        <v>1302</v>
      </c>
      <c r="J613" s="76" t="n">
        <v>500</v>
      </c>
      <c r="K613" s="76" t="s">
        <v>1302</v>
      </c>
      <c r="L613" s="77" t="s">
        <v>1114</v>
      </c>
    </row>
    <row r="614" customFormat="false" ht="15" hidden="false" customHeight="false" outlineLevel="0" collapsed="false">
      <c r="A614" s="76" t="s">
        <v>1610</v>
      </c>
      <c r="B614" s="76" t="s">
        <v>77</v>
      </c>
      <c r="C614" s="76" t="s">
        <v>79</v>
      </c>
      <c r="D614" s="76" t="s">
        <v>1124</v>
      </c>
      <c r="E614" s="76" t="s">
        <v>1125</v>
      </c>
      <c r="F614" s="35" t="s">
        <v>1611</v>
      </c>
      <c r="G614" s="76" t="s">
        <v>434</v>
      </c>
      <c r="H614" s="78" t="n">
        <v>1</v>
      </c>
      <c r="I614" s="76" t="s">
        <v>1297</v>
      </c>
      <c r="J614" s="76" t="n">
        <v>1</v>
      </c>
      <c r="K614" s="76" t="s">
        <v>1297</v>
      </c>
      <c r="L614" s="77" t="s">
        <v>1114</v>
      </c>
    </row>
    <row r="615" customFormat="false" ht="15" hidden="false" customHeight="false" outlineLevel="0" collapsed="false">
      <c r="A615" s="76" t="s">
        <v>1613</v>
      </c>
      <c r="B615" s="76" t="s">
        <v>77</v>
      </c>
      <c r="C615" s="76" t="s">
        <v>79</v>
      </c>
      <c r="D615" s="76" t="s">
        <v>1132</v>
      </c>
      <c r="E615" s="76" t="s">
        <v>1133</v>
      </c>
      <c r="F615" s="35" t="s">
        <v>1614</v>
      </c>
      <c r="G615" s="76" t="s">
        <v>419</v>
      </c>
      <c r="H615" s="76"/>
      <c r="I615" s="76" t="s">
        <v>652</v>
      </c>
      <c r="J615" s="76"/>
      <c r="K615" s="76" t="s">
        <v>652</v>
      </c>
      <c r="L615" s="77" t="s">
        <v>1114</v>
      </c>
    </row>
    <row r="616" customFormat="false" ht="15" hidden="false" customHeight="false" outlineLevel="0" collapsed="false">
      <c r="A616" s="76" t="s">
        <v>1613</v>
      </c>
      <c r="B616" s="76" t="s">
        <v>77</v>
      </c>
      <c r="C616" s="76" t="s">
        <v>79</v>
      </c>
      <c r="D616" s="76" t="s">
        <v>1132</v>
      </c>
      <c r="E616" s="76" t="s">
        <v>1133</v>
      </c>
      <c r="F616" s="35" t="s">
        <v>1614</v>
      </c>
      <c r="G616" s="76" t="s">
        <v>652</v>
      </c>
      <c r="H616" s="78" t="n">
        <v>1200.04594321073</v>
      </c>
      <c r="I616" s="76" t="s">
        <v>1615</v>
      </c>
      <c r="J616" s="78" t="n">
        <v>1200.04594321073</v>
      </c>
      <c r="K616" s="76" t="s">
        <v>1615</v>
      </c>
      <c r="L616" s="77" t="s">
        <v>1114</v>
      </c>
    </row>
    <row r="617" customFormat="false" ht="15" hidden="false" customHeight="false" outlineLevel="0" collapsed="false">
      <c r="A617" s="76" t="s">
        <v>1613</v>
      </c>
      <c r="B617" s="76" t="s">
        <v>77</v>
      </c>
      <c r="C617" s="76" t="s">
        <v>79</v>
      </c>
      <c r="D617" s="76" t="s">
        <v>1132</v>
      </c>
      <c r="E617" s="76" t="s">
        <v>1133</v>
      </c>
      <c r="F617" s="35" t="s">
        <v>1614</v>
      </c>
      <c r="G617" s="76" t="s">
        <v>654</v>
      </c>
      <c r="H617" s="76" t="n">
        <v>500000</v>
      </c>
      <c r="I617" s="76" t="s">
        <v>1616</v>
      </c>
      <c r="J617" s="76" t="n">
        <v>500000</v>
      </c>
      <c r="K617" s="76" t="s">
        <v>1616</v>
      </c>
      <c r="L617" s="77" t="s">
        <v>1114</v>
      </c>
    </row>
    <row r="618" customFormat="false" ht="15" hidden="false" customHeight="false" outlineLevel="0" collapsed="false">
      <c r="A618" s="76" t="s">
        <v>1613</v>
      </c>
      <c r="B618" s="76" t="s">
        <v>77</v>
      </c>
      <c r="C618" s="76" t="s">
        <v>79</v>
      </c>
      <c r="D618" s="76" t="s">
        <v>1132</v>
      </c>
      <c r="E618" s="76" t="s">
        <v>1133</v>
      </c>
      <c r="F618" s="35" t="s">
        <v>1614</v>
      </c>
      <c r="G618" s="76" t="s">
        <v>655</v>
      </c>
      <c r="H618" s="78" t="n">
        <v>1403396.85235131</v>
      </c>
      <c r="I618" s="76" t="s">
        <v>1617</v>
      </c>
      <c r="J618" s="78" t="n">
        <v>1403396.85235131</v>
      </c>
      <c r="K618" s="76" t="s">
        <v>1617</v>
      </c>
      <c r="L618" s="77" t="s">
        <v>1114</v>
      </c>
    </row>
    <row r="619" customFormat="false" ht="15" hidden="false" customHeight="false" outlineLevel="0" collapsed="false">
      <c r="A619" s="76" t="s">
        <v>1613</v>
      </c>
      <c r="B619" s="76" t="s">
        <v>77</v>
      </c>
      <c r="C619" s="76" t="s">
        <v>79</v>
      </c>
      <c r="D619" s="76" t="s">
        <v>1132</v>
      </c>
      <c r="E619" s="76" t="s">
        <v>1133</v>
      </c>
      <c r="F619" s="35" t="s">
        <v>1614</v>
      </c>
      <c r="G619" s="76" t="s">
        <v>657</v>
      </c>
      <c r="H619" s="78" t="n">
        <v>1403396.85235131</v>
      </c>
      <c r="I619" s="76" t="s">
        <v>1617</v>
      </c>
      <c r="J619" s="78" t="n">
        <v>1403396.85235131</v>
      </c>
      <c r="K619" s="76" t="s">
        <v>1617</v>
      </c>
      <c r="L619" s="77" t="s">
        <v>1114</v>
      </c>
    </row>
    <row r="620" customFormat="false" ht="15" hidden="false" customHeight="false" outlineLevel="0" collapsed="false">
      <c r="A620" s="76" t="s">
        <v>1613</v>
      </c>
      <c r="B620" s="76" t="s">
        <v>77</v>
      </c>
      <c r="C620" s="76" t="s">
        <v>79</v>
      </c>
      <c r="D620" s="76" t="s">
        <v>1132</v>
      </c>
      <c r="E620" s="76" t="s">
        <v>1133</v>
      </c>
      <c r="F620" s="35" t="s">
        <v>1614</v>
      </c>
      <c r="G620" s="76" t="s">
        <v>637</v>
      </c>
      <c r="H620" s="76" t="n">
        <v>0</v>
      </c>
      <c r="I620" s="76" t="s">
        <v>1127</v>
      </c>
      <c r="J620" s="76" t="n">
        <v>0</v>
      </c>
      <c r="K620" s="76" t="s">
        <v>1127</v>
      </c>
      <c r="L620" s="77" t="s">
        <v>1114</v>
      </c>
    </row>
    <row r="621" customFormat="false" ht="15" hidden="false" customHeight="false" outlineLevel="0" collapsed="false">
      <c r="A621" s="76" t="s">
        <v>1613</v>
      </c>
      <c r="B621" s="76" t="s">
        <v>77</v>
      </c>
      <c r="C621" s="76" t="s">
        <v>79</v>
      </c>
      <c r="D621" s="76" t="s">
        <v>1132</v>
      </c>
      <c r="E621" s="76" t="s">
        <v>1133</v>
      </c>
      <c r="F621" s="35" t="s">
        <v>1614</v>
      </c>
      <c r="G621" s="76" t="s">
        <v>660</v>
      </c>
      <c r="H621" s="76"/>
      <c r="I621" s="76" t="s">
        <v>1618</v>
      </c>
      <c r="J621" s="78" t="n">
        <v>0.035</v>
      </c>
      <c r="K621" s="76" t="s">
        <v>1618</v>
      </c>
      <c r="L621" s="77" t="s">
        <v>1114</v>
      </c>
    </row>
    <row r="622" customFormat="false" ht="15" hidden="false" customHeight="false" outlineLevel="0" collapsed="false">
      <c r="A622" s="76" t="s">
        <v>1613</v>
      </c>
      <c r="B622" s="76" t="s">
        <v>77</v>
      </c>
      <c r="C622" s="76" t="s">
        <v>79</v>
      </c>
      <c r="D622" s="76" t="s">
        <v>1132</v>
      </c>
      <c r="E622" s="76" t="s">
        <v>1133</v>
      </c>
      <c r="F622" s="35" t="s">
        <v>1614</v>
      </c>
      <c r="G622" s="76" t="s">
        <v>661</v>
      </c>
      <c r="H622" s="78" t="n">
        <v>500000</v>
      </c>
      <c r="I622" s="76" t="s">
        <v>1619</v>
      </c>
      <c r="J622" s="76" t="n">
        <v>500000</v>
      </c>
      <c r="K622" s="76" t="s">
        <v>1619</v>
      </c>
      <c r="L622" s="77" t="s">
        <v>1114</v>
      </c>
    </row>
    <row r="623" customFormat="false" ht="15" hidden="false" customHeight="false" outlineLevel="0" collapsed="false">
      <c r="A623" s="76" t="s">
        <v>1613</v>
      </c>
      <c r="B623" s="76" t="s">
        <v>77</v>
      </c>
      <c r="C623" s="76" t="s">
        <v>79</v>
      </c>
      <c r="D623" s="76" t="s">
        <v>1132</v>
      </c>
      <c r="E623" s="76" t="s">
        <v>1133</v>
      </c>
      <c r="F623" s="35" t="s">
        <v>1614</v>
      </c>
      <c r="G623" s="76" t="s">
        <v>434</v>
      </c>
      <c r="H623" s="78" t="n">
        <v>30</v>
      </c>
      <c r="I623" s="76" t="s">
        <v>1620</v>
      </c>
      <c r="J623" s="76" t="n">
        <v>30</v>
      </c>
      <c r="K623" s="76" t="s">
        <v>1620</v>
      </c>
      <c r="L623" s="77" t="s">
        <v>1114</v>
      </c>
    </row>
    <row r="624" customFormat="false" ht="15" hidden="false" customHeight="false" outlineLevel="0" collapsed="false">
      <c r="A624" s="76" t="s">
        <v>1621</v>
      </c>
      <c r="B624" s="76" t="s">
        <v>77</v>
      </c>
      <c r="C624" s="76" t="s">
        <v>79</v>
      </c>
      <c r="D624" s="76" t="s">
        <v>1141</v>
      </c>
      <c r="E624" s="76" t="s">
        <v>1142</v>
      </c>
      <c r="F624" s="35" t="s">
        <v>1622</v>
      </c>
      <c r="G624" s="76" t="s">
        <v>419</v>
      </c>
      <c r="H624" s="76"/>
      <c r="I624" s="76" t="s">
        <v>652</v>
      </c>
      <c r="J624" s="76"/>
      <c r="K624" s="76" t="s">
        <v>652</v>
      </c>
      <c r="L624" s="77" t="s">
        <v>1114</v>
      </c>
    </row>
    <row r="625" customFormat="false" ht="15" hidden="false" customHeight="false" outlineLevel="0" collapsed="false">
      <c r="A625" s="76" t="s">
        <v>1621</v>
      </c>
      <c r="B625" s="76" t="s">
        <v>77</v>
      </c>
      <c r="C625" s="76" t="s">
        <v>79</v>
      </c>
      <c r="D625" s="76" t="s">
        <v>1141</v>
      </c>
      <c r="E625" s="76" t="s">
        <v>1142</v>
      </c>
      <c r="F625" s="35" t="s">
        <v>1622</v>
      </c>
      <c r="G625" s="76" t="s">
        <v>652</v>
      </c>
      <c r="H625" s="78" t="n">
        <v>896.026776962037</v>
      </c>
      <c r="I625" s="76" t="s">
        <v>1623</v>
      </c>
      <c r="J625" s="78" t="n">
        <v>896.026776962037</v>
      </c>
      <c r="K625" s="76" t="s">
        <v>1623</v>
      </c>
      <c r="L625" s="77" t="s">
        <v>1114</v>
      </c>
    </row>
    <row r="626" customFormat="false" ht="15" hidden="false" customHeight="false" outlineLevel="0" collapsed="false">
      <c r="A626" s="76" t="s">
        <v>1621</v>
      </c>
      <c r="B626" s="76" t="s">
        <v>77</v>
      </c>
      <c r="C626" s="76" t="s">
        <v>79</v>
      </c>
      <c r="D626" s="76" t="s">
        <v>1141</v>
      </c>
      <c r="E626" s="76" t="s">
        <v>1142</v>
      </c>
      <c r="F626" s="35" t="s">
        <v>1622</v>
      </c>
      <c r="G626" s="76" t="s">
        <v>654</v>
      </c>
      <c r="H626" s="76" t="n">
        <v>83500</v>
      </c>
      <c r="I626" s="76" t="s">
        <v>1624</v>
      </c>
      <c r="J626" s="76" t="n">
        <v>83500</v>
      </c>
      <c r="K626" s="76" t="s">
        <v>1624</v>
      </c>
      <c r="L626" s="77" t="s">
        <v>1114</v>
      </c>
    </row>
    <row r="627" customFormat="false" ht="15" hidden="false" customHeight="false" outlineLevel="0" collapsed="false">
      <c r="A627" s="76" t="s">
        <v>1621</v>
      </c>
      <c r="B627" s="76" t="s">
        <v>77</v>
      </c>
      <c r="C627" s="76" t="s">
        <v>79</v>
      </c>
      <c r="D627" s="76" t="s">
        <v>1141</v>
      </c>
      <c r="E627" s="76" t="s">
        <v>1142</v>
      </c>
      <c r="F627" s="35" t="s">
        <v>1622</v>
      </c>
      <c r="G627" s="76" t="s">
        <v>655</v>
      </c>
      <c r="H627" s="78" t="n">
        <v>95630.3242280038</v>
      </c>
      <c r="I627" s="76" t="s">
        <v>1625</v>
      </c>
      <c r="J627" s="78" t="n">
        <v>95630.3242280038</v>
      </c>
      <c r="K627" s="76" t="s">
        <v>1625</v>
      </c>
      <c r="L627" s="77" t="s">
        <v>1114</v>
      </c>
    </row>
    <row r="628" customFormat="false" ht="15" hidden="false" customHeight="false" outlineLevel="0" collapsed="false">
      <c r="A628" s="76" t="s">
        <v>1621</v>
      </c>
      <c r="B628" s="76" t="s">
        <v>77</v>
      </c>
      <c r="C628" s="76" t="s">
        <v>79</v>
      </c>
      <c r="D628" s="76" t="s">
        <v>1141</v>
      </c>
      <c r="E628" s="76" t="s">
        <v>1142</v>
      </c>
      <c r="F628" s="35" t="s">
        <v>1622</v>
      </c>
      <c r="G628" s="76" t="s">
        <v>657</v>
      </c>
      <c r="H628" s="78" t="n">
        <v>95630.3242280038</v>
      </c>
      <c r="I628" s="76" t="s">
        <v>1625</v>
      </c>
      <c r="J628" s="78" t="n">
        <v>95630.3242280038</v>
      </c>
      <c r="K628" s="76" t="s">
        <v>1625</v>
      </c>
      <c r="L628" s="77" t="s">
        <v>1114</v>
      </c>
    </row>
    <row r="629" customFormat="false" ht="15" hidden="false" customHeight="false" outlineLevel="0" collapsed="false">
      <c r="A629" s="76" t="s">
        <v>1621</v>
      </c>
      <c r="B629" s="76" t="s">
        <v>77</v>
      </c>
      <c r="C629" s="76" t="s">
        <v>79</v>
      </c>
      <c r="D629" s="76" t="s">
        <v>1141</v>
      </c>
      <c r="E629" s="76" t="s">
        <v>1142</v>
      </c>
      <c r="F629" s="35" t="s">
        <v>1622</v>
      </c>
      <c r="G629" s="76" t="s">
        <v>637</v>
      </c>
      <c r="H629" s="76" t="n">
        <v>34000</v>
      </c>
      <c r="I629" s="76" t="s">
        <v>1626</v>
      </c>
      <c r="J629" s="76" t="n">
        <v>34000</v>
      </c>
      <c r="K629" s="76" t="s">
        <v>1626</v>
      </c>
      <c r="L629" s="77" t="s">
        <v>1114</v>
      </c>
    </row>
    <row r="630" customFormat="false" ht="15" hidden="false" customHeight="false" outlineLevel="0" collapsed="false">
      <c r="A630" s="76" t="s">
        <v>1621</v>
      </c>
      <c r="B630" s="76" t="s">
        <v>77</v>
      </c>
      <c r="C630" s="76" t="s">
        <v>79</v>
      </c>
      <c r="D630" s="76" t="s">
        <v>1141</v>
      </c>
      <c r="E630" s="76" t="s">
        <v>1142</v>
      </c>
      <c r="F630" s="35" t="s">
        <v>1622</v>
      </c>
      <c r="G630" s="76" t="s">
        <v>660</v>
      </c>
      <c r="H630" s="76"/>
      <c r="I630" s="76" t="s">
        <v>1627</v>
      </c>
      <c r="J630" s="78" t="n">
        <v>0.0275</v>
      </c>
      <c r="K630" s="76" t="s">
        <v>1627</v>
      </c>
      <c r="L630" s="77" t="s">
        <v>1114</v>
      </c>
    </row>
    <row r="631" customFormat="false" ht="15" hidden="false" customHeight="false" outlineLevel="0" collapsed="false">
      <c r="A631" s="76" t="s">
        <v>1621</v>
      </c>
      <c r="B631" s="76" t="s">
        <v>77</v>
      </c>
      <c r="C631" s="76" t="s">
        <v>79</v>
      </c>
      <c r="D631" s="76" t="s">
        <v>1141</v>
      </c>
      <c r="E631" s="76" t="s">
        <v>1142</v>
      </c>
      <c r="F631" s="35" t="s">
        <v>1622</v>
      </c>
      <c r="G631" s="76" t="s">
        <v>661</v>
      </c>
      <c r="H631" s="78" t="n">
        <v>83500</v>
      </c>
      <c r="I631" s="76" t="s">
        <v>1628</v>
      </c>
      <c r="J631" s="76" t="n">
        <v>83500</v>
      </c>
      <c r="K631" s="76" t="s">
        <v>1628</v>
      </c>
      <c r="L631" s="77" t="s">
        <v>1114</v>
      </c>
    </row>
    <row r="632" customFormat="false" ht="15" hidden="false" customHeight="false" outlineLevel="0" collapsed="false">
      <c r="A632" s="76" t="s">
        <v>1621</v>
      </c>
      <c r="B632" s="76" t="s">
        <v>77</v>
      </c>
      <c r="C632" s="76" t="s">
        <v>79</v>
      </c>
      <c r="D632" s="76" t="s">
        <v>1141</v>
      </c>
      <c r="E632" s="76" t="s">
        <v>1142</v>
      </c>
      <c r="F632" s="35" t="s">
        <v>1622</v>
      </c>
      <c r="G632" s="76" t="s">
        <v>434</v>
      </c>
      <c r="H632" s="78" t="n">
        <v>5</v>
      </c>
      <c r="I632" s="76" t="s">
        <v>1418</v>
      </c>
      <c r="J632" s="76" t="n">
        <v>5</v>
      </c>
      <c r="K632" s="76" t="s">
        <v>1418</v>
      </c>
      <c r="L632" s="77" t="s">
        <v>1114</v>
      </c>
    </row>
    <row r="633" customFormat="false" ht="15" hidden="false" customHeight="false" outlineLevel="0" collapsed="false">
      <c r="A633" s="76" t="s">
        <v>1629</v>
      </c>
      <c r="B633" s="76" t="s">
        <v>77</v>
      </c>
      <c r="C633" s="76" t="s">
        <v>79</v>
      </c>
      <c r="D633" s="76" t="s">
        <v>1151</v>
      </c>
      <c r="E633" s="76" t="s">
        <v>1152</v>
      </c>
      <c r="F633" s="35" t="s">
        <v>1630</v>
      </c>
      <c r="G633" s="76" t="s">
        <v>419</v>
      </c>
      <c r="H633" s="76"/>
      <c r="I633" s="76" t="s">
        <v>652</v>
      </c>
      <c r="J633" s="76"/>
      <c r="K633" s="76" t="s">
        <v>652</v>
      </c>
      <c r="L633" s="77" t="s">
        <v>1114</v>
      </c>
    </row>
    <row r="634" customFormat="false" ht="15" hidden="false" customHeight="false" outlineLevel="0" collapsed="false">
      <c r="A634" s="76" t="s">
        <v>1629</v>
      </c>
      <c r="B634" s="76" t="s">
        <v>77</v>
      </c>
      <c r="C634" s="76" t="s">
        <v>79</v>
      </c>
      <c r="D634" s="76" t="s">
        <v>1151</v>
      </c>
      <c r="E634" s="76" t="s">
        <v>1152</v>
      </c>
      <c r="F634" s="35" t="s">
        <v>1630</v>
      </c>
      <c r="G634" s="76" t="s">
        <v>652</v>
      </c>
      <c r="H634" s="78" t="n">
        <v>386.614444444445</v>
      </c>
      <c r="I634" s="76" t="s">
        <v>1631</v>
      </c>
      <c r="J634" s="78" t="n">
        <v>386.614444444445</v>
      </c>
      <c r="K634" s="76" t="s">
        <v>1631</v>
      </c>
      <c r="L634" s="77" t="s">
        <v>1114</v>
      </c>
    </row>
    <row r="635" customFormat="false" ht="15" hidden="false" customHeight="false" outlineLevel="0" collapsed="false">
      <c r="A635" s="76" t="s">
        <v>1629</v>
      </c>
      <c r="B635" s="76" t="s">
        <v>77</v>
      </c>
      <c r="C635" s="76" t="s">
        <v>79</v>
      </c>
      <c r="D635" s="76" t="s">
        <v>1151</v>
      </c>
      <c r="E635" s="76" t="s">
        <v>1152</v>
      </c>
      <c r="F635" s="35" t="s">
        <v>1630</v>
      </c>
      <c r="G635" s="76" t="s">
        <v>654</v>
      </c>
      <c r="H635" s="76" t="n">
        <v>15000</v>
      </c>
      <c r="I635" s="76" t="s">
        <v>1606</v>
      </c>
      <c r="J635" s="76" t="n">
        <v>15000</v>
      </c>
      <c r="K635" s="76" t="s">
        <v>1606</v>
      </c>
      <c r="L635" s="77" t="s">
        <v>1114</v>
      </c>
    </row>
    <row r="636" customFormat="false" ht="15" hidden="false" customHeight="false" outlineLevel="0" collapsed="false">
      <c r="A636" s="76" t="s">
        <v>1629</v>
      </c>
      <c r="B636" s="76" t="s">
        <v>77</v>
      </c>
      <c r="C636" s="76" t="s">
        <v>79</v>
      </c>
      <c r="D636" s="76" t="s">
        <v>1151</v>
      </c>
      <c r="E636" s="76" t="s">
        <v>1152</v>
      </c>
      <c r="F636" s="35" t="s">
        <v>1630</v>
      </c>
      <c r="G636" s="76" t="s">
        <v>655</v>
      </c>
      <c r="H636" s="78" t="n">
        <v>15918.12</v>
      </c>
      <c r="I636" s="76" t="s">
        <v>1607</v>
      </c>
      <c r="J636" s="78" t="n">
        <v>15918.12</v>
      </c>
      <c r="K636" s="76" t="s">
        <v>1607</v>
      </c>
      <c r="L636" s="77" t="s">
        <v>1114</v>
      </c>
    </row>
    <row r="637" customFormat="false" ht="15" hidden="false" customHeight="false" outlineLevel="0" collapsed="false">
      <c r="A637" s="76" t="s">
        <v>1629</v>
      </c>
      <c r="B637" s="76" t="s">
        <v>77</v>
      </c>
      <c r="C637" s="76" t="s">
        <v>79</v>
      </c>
      <c r="D637" s="76" t="s">
        <v>1151</v>
      </c>
      <c r="E637" s="76" t="s">
        <v>1152</v>
      </c>
      <c r="F637" s="35" t="s">
        <v>1630</v>
      </c>
      <c r="G637" s="76" t="s">
        <v>657</v>
      </c>
      <c r="H637" s="78" t="n">
        <v>15918.12</v>
      </c>
      <c r="I637" s="76" t="s">
        <v>1607</v>
      </c>
      <c r="J637" s="78" t="n">
        <v>15918.12</v>
      </c>
      <c r="K637" s="76" t="s">
        <v>1607</v>
      </c>
      <c r="L637" s="77" t="s">
        <v>1114</v>
      </c>
    </row>
    <row r="638" customFormat="false" ht="15" hidden="false" customHeight="false" outlineLevel="0" collapsed="false">
      <c r="A638" s="76" t="s">
        <v>1629</v>
      </c>
      <c r="B638" s="76" t="s">
        <v>77</v>
      </c>
      <c r="C638" s="76" t="s">
        <v>79</v>
      </c>
      <c r="D638" s="76" t="s">
        <v>1151</v>
      </c>
      <c r="E638" s="76" t="s">
        <v>1152</v>
      </c>
      <c r="F638" s="35" t="s">
        <v>1630</v>
      </c>
      <c r="G638" s="76" t="s">
        <v>637</v>
      </c>
      <c r="H638" s="76" t="n">
        <v>2000</v>
      </c>
      <c r="I638" s="76" t="s">
        <v>1359</v>
      </c>
      <c r="J638" s="76" t="n">
        <v>2000</v>
      </c>
      <c r="K638" s="76" t="s">
        <v>1359</v>
      </c>
      <c r="L638" s="77" t="s">
        <v>1114</v>
      </c>
    </row>
    <row r="639" customFormat="false" ht="15" hidden="false" customHeight="false" outlineLevel="0" collapsed="false">
      <c r="A639" s="76" t="s">
        <v>1629</v>
      </c>
      <c r="B639" s="76" t="s">
        <v>77</v>
      </c>
      <c r="C639" s="76" t="s">
        <v>79</v>
      </c>
      <c r="D639" s="76" t="s">
        <v>1151</v>
      </c>
      <c r="E639" s="76" t="s">
        <v>1152</v>
      </c>
      <c r="F639" s="35" t="s">
        <v>1630</v>
      </c>
      <c r="G639" s="76" t="s">
        <v>660</v>
      </c>
      <c r="H639" s="76"/>
      <c r="I639" s="76" t="s">
        <v>1608</v>
      </c>
      <c r="J639" s="78" t="n">
        <v>0.02</v>
      </c>
      <c r="K639" s="76" t="s">
        <v>1608</v>
      </c>
      <c r="L639" s="77" t="s">
        <v>1114</v>
      </c>
    </row>
    <row r="640" customFormat="false" ht="15" hidden="false" customHeight="false" outlineLevel="0" collapsed="false">
      <c r="A640" s="76" t="s">
        <v>1629</v>
      </c>
      <c r="B640" s="76" t="s">
        <v>77</v>
      </c>
      <c r="C640" s="76" t="s">
        <v>79</v>
      </c>
      <c r="D640" s="76" t="s">
        <v>1151</v>
      </c>
      <c r="E640" s="76" t="s">
        <v>1152</v>
      </c>
      <c r="F640" s="35" t="s">
        <v>1630</v>
      </c>
      <c r="G640" s="76" t="s">
        <v>661</v>
      </c>
      <c r="H640" s="78" t="n">
        <v>15000</v>
      </c>
      <c r="I640" s="76" t="s">
        <v>1609</v>
      </c>
      <c r="J640" s="76" t="n">
        <v>15000</v>
      </c>
      <c r="K640" s="76" t="s">
        <v>1609</v>
      </c>
      <c r="L640" s="77" t="s">
        <v>1114</v>
      </c>
    </row>
    <row r="641" customFormat="false" ht="15" hidden="false" customHeight="false" outlineLevel="0" collapsed="false">
      <c r="A641" s="76" t="s">
        <v>1629</v>
      </c>
      <c r="B641" s="76" t="s">
        <v>77</v>
      </c>
      <c r="C641" s="76" t="s">
        <v>79</v>
      </c>
      <c r="D641" s="76" t="s">
        <v>1151</v>
      </c>
      <c r="E641" s="76" t="s">
        <v>1152</v>
      </c>
      <c r="F641" s="35" t="s">
        <v>1630</v>
      </c>
      <c r="G641" s="76" t="s">
        <v>434</v>
      </c>
      <c r="H641" s="78" t="n">
        <v>3</v>
      </c>
      <c r="I641" s="76" t="s">
        <v>1122</v>
      </c>
      <c r="J641" s="76" t="n">
        <v>3</v>
      </c>
      <c r="K641" s="76" t="s">
        <v>1122</v>
      </c>
      <c r="L641" s="77" t="s">
        <v>1114</v>
      </c>
    </row>
    <row r="642" customFormat="false" ht="15" hidden="false" customHeight="false" outlineLevel="0" collapsed="false">
      <c r="A642" s="76" t="s">
        <v>1632</v>
      </c>
      <c r="B642" s="76" t="s">
        <v>77</v>
      </c>
      <c r="C642" s="76" t="s">
        <v>79</v>
      </c>
      <c r="D642" s="76" t="s">
        <v>1161</v>
      </c>
      <c r="E642" s="76" t="s">
        <v>1162</v>
      </c>
      <c r="F642" s="35" t="s">
        <v>1633</v>
      </c>
      <c r="G642" s="76" t="s">
        <v>419</v>
      </c>
      <c r="H642" s="76"/>
      <c r="I642" s="76" t="s">
        <v>652</v>
      </c>
      <c r="J642" s="76"/>
      <c r="K642" s="76" t="s">
        <v>652</v>
      </c>
      <c r="L642" s="77" t="s">
        <v>1114</v>
      </c>
    </row>
    <row r="643" customFormat="false" ht="15" hidden="false" customHeight="false" outlineLevel="0" collapsed="false">
      <c r="A643" s="76" t="s">
        <v>1632</v>
      </c>
      <c r="B643" s="76" t="s">
        <v>77</v>
      </c>
      <c r="C643" s="76" t="s">
        <v>79</v>
      </c>
      <c r="D643" s="76" t="s">
        <v>1161</v>
      </c>
      <c r="E643" s="76" t="s">
        <v>1162</v>
      </c>
      <c r="F643" s="35" t="s">
        <v>1633</v>
      </c>
      <c r="G643" s="76" t="s">
        <v>652</v>
      </c>
      <c r="H643" s="78" t="n">
        <v>47.8641290084067</v>
      </c>
      <c r="I643" s="76" t="s">
        <v>1634</v>
      </c>
      <c r="J643" s="78" t="n">
        <v>47.8641290084067</v>
      </c>
      <c r="K643" s="76" t="s">
        <v>1634</v>
      </c>
      <c r="L643" s="77" t="s">
        <v>1114</v>
      </c>
    </row>
    <row r="644" customFormat="false" ht="15" hidden="false" customHeight="false" outlineLevel="0" collapsed="false">
      <c r="A644" s="76" t="s">
        <v>1632</v>
      </c>
      <c r="B644" s="76" t="s">
        <v>77</v>
      </c>
      <c r="C644" s="76" t="s">
        <v>79</v>
      </c>
      <c r="D644" s="76" t="s">
        <v>1161</v>
      </c>
      <c r="E644" s="76" t="s">
        <v>1162</v>
      </c>
      <c r="F644" s="35" t="s">
        <v>1633</v>
      </c>
      <c r="G644" s="76" t="s">
        <v>654</v>
      </c>
      <c r="H644" s="76" t="n">
        <v>15000</v>
      </c>
      <c r="I644" s="76" t="s">
        <v>1606</v>
      </c>
      <c r="J644" s="76" t="n">
        <v>15000</v>
      </c>
      <c r="K644" s="76" t="s">
        <v>1606</v>
      </c>
      <c r="L644" s="77" t="s">
        <v>1114</v>
      </c>
    </row>
    <row r="645" customFormat="false" ht="15" hidden="false" customHeight="false" outlineLevel="0" collapsed="false">
      <c r="A645" s="76" t="s">
        <v>1632</v>
      </c>
      <c r="B645" s="76" t="s">
        <v>77</v>
      </c>
      <c r="C645" s="76" t="s">
        <v>79</v>
      </c>
      <c r="D645" s="76" t="s">
        <v>1161</v>
      </c>
      <c r="E645" s="76" t="s">
        <v>1162</v>
      </c>
      <c r="F645" s="35" t="s">
        <v>1633</v>
      </c>
      <c r="G645" s="76" t="s">
        <v>655</v>
      </c>
      <c r="H645" s="78" t="n">
        <v>16630.768125</v>
      </c>
      <c r="I645" s="76" t="s">
        <v>1635</v>
      </c>
      <c r="J645" s="78" t="n">
        <v>16630.768125</v>
      </c>
      <c r="K645" s="76" t="s">
        <v>1635</v>
      </c>
      <c r="L645" s="77" t="s">
        <v>1114</v>
      </c>
    </row>
    <row r="646" customFormat="false" ht="15" hidden="false" customHeight="false" outlineLevel="0" collapsed="false">
      <c r="A646" s="76" t="s">
        <v>1632</v>
      </c>
      <c r="B646" s="76" t="s">
        <v>77</v>
      </c>
      <c r="C646" s="76" t="s">
        <v>79</v>
      </c>
      <c r="D646" s="76" t="s">
        <v>1161</v>
      </c>
      <c r="E646" s="76" t="s">
        <v>1162</v>
      </c>
      <c r="F646" s="35" t="s">
        <v>1633</v>
      </c>
      <c r="G646" s="76" t="s">
        <v>657</v>
      </c>
      <c r="H646" s="78" t="n">
        <v>16630.768125</v>
      </c>
      <c r="I646" s="76" t="s">
        <v>1635</v>
      </c>
      <c r="J646" s="78" t="n">
        <v>16630.768125</v>
      </c>
      <c r="K646" s="76" t="s">
        <v>1635</v>
      </c>
      <c r="L646" s="77" t="s">
        <v>1114</v>
      </c>
    </row>
    <row r="647" customFormat="false" ht="15" hidden="false" customHeight="false" outlineLevel="0" collapsed="false">
      <c r="A647" s="76" t="s">
        <v>1632</v>
      </c>
      <c r="B647" s="76" t="s">
        <v>77</v>
      </c>
      <c r="C647" s="76" t="s">
        <v>79</v>
      </c>
      <c r="D647" s="76" t="s">
        <v>1161</v>
      </c>
      <c r="E647" s="76" t="s">
        <v>1162</v>
      </c>
      <c r="F647" s="35" t="s">
        <v>1633</v>
      </c>
      <c r="G647" s="76" t="s">
        <v>637</v>
      </c>
      <c r="H647" s="76" t="n">
        <v>14000</v>
      </c>
      <c r="I647" s="76" t="s">
        <v>1636</v>
      </c>
      <c r="J647" s="76" t="n">
        <v>14000</v>
      </c>
      <c r="K647" s="76" t="s">
        <v>1636</v>
      </c>
      <c r="L647" s="77" t="s">
        <v>1114</v>
      </c>
    </row>
    <row r="648" customFormat="false" ht="15" hidden="false" customHeight="false" outlineLevel="0" collapsed="false">
      <c r="A648" s="76" t="s">
        <v>1632</v>
      </c>
      <c r="B648" s="76" t="s">
        <v>77</v>
      </c>
      <c r="C648" s="76" t="s">
        <v>79</v>
      </c>
      <c r="D648" s="76" t="s">
        <v>1161</v>
      </c>
      <c r="E648" s="76" t="s">
        <v>1162</v>
      </c>
      <c r="F648" s="35" t="s">
        <v>1633</v>
      </c>
      <c r="G648" s="76" t="s">
        <v>660</v>
      </c>
      <c r="H648" s="76"/>
      <c r="I648" s="76" t="s">
        <v>1618</v>
      </c>
      <c r="J648" s="78" t="n">
        <v>0.035</v>
      </c>
      <c r="K648" s="76" t="s">
        <v>1618</v>
      </c>
      <c r="L648" s="77" t="s">
        <v>1114</v>
      </c>
    </row>
    <row r="649" customFormat="false" ht="15" hidden="false" customHeight="false" outlineLevel="0" collapsed="false">
      <c r="A649" s="76" t="s">
        <v>1632</v>
      </c>
      <c r="B649" s="76" t="s">
        <v>77</v>
      </c>
      <c r="C649" s="76" t="s">
        <v>79</v>
      </c>
      <c r="D649" s="76" t="s">
        <v>1161</v>
      </c>
      <c r="E649" s="76" t="s">
        <v>1162</v>
      </c>
      <c r="F649" s="35" t="s">
        <v>1633</v>
      </c>
      <c r="G649" s="76" t="s">
        <v>661</v>
      </c>
      <c r="H649" s="78" t="n">
        <v>15000</v>
      </c>
      <c r="I649" s="76" t="s">
        <v>1609</v>
      </c>
      <c r="J649" s="76" t="n">
        <v>15000</v>
      </c>
      <c r="K649" s="76" t="s">
        <v>1609</v>
      </c>
      <c r="L649" s="77" t="s">
        <v>1114</v>
      </c>
    </row>
    <row r="650" customFormat="false" ht="15" hidden="false" customHeight="false" outlineLevel="0" collapsed="false">
      <c r="A650" s="76" t="s">
        <v>1632</v>
      </c>
      <c r="B650" s="76" t="s">
        <v>77</v>
      </c>
      <c r="C650" s="76" t="s">
        <v>79</v>
      </c>
      <c r="D650" s="76" t="s">
        <v>1161</v>
      </c>
      <c r="E650" s="76" t="s">
        <v>1162</v>
      </c>
      <c r="F650" s="35" t="s">
        <v>1633</v>
      </c>
      <c r="G650" s="76" t="s">
        <v>434</v>
      </c>
      <c r="H650" s="78" t="n">
        <v>3</v>
      </c>
      <c r="I650" s="76" t="s">
        <v>1122</v>
      </c>
      <c r="J650" s="76" t="n">
        <v>3</v>
      </c>
      <c r="K650" s="76" t="s">
        <v>1122</v>
      </c>
      <c r="L650" s="77" t="s">
        <v>1114</v>
      </c>
    </row>
    <row r="651" customFormat="false" ht="15" hidden="false" customHeight="false" outlineLevel="0" collapsed="false">
      <c r="A651" s="76" t="s">
        <v>1637</v>
      </c>
      <c r="B651" s="76" t="s">
        <v>77</v>
      </c>
      <c r="C651" s="76" t="s">
        <v>79</v>
      </c>
      <c r="D651" s="76" t="s">
        <v>1170</v>
      </c>
      <c r="E651" s="76" t="s">
        <v>1171</v>
      </c>
      <c r="F651" s="35" t="s">
        <v>1638</v>
      </c>
      <c r="G651" s="76" t="s">
        <v>419</v>
      </c>
      <c r="H651" s="76"/>
      <c r="I651" s="76" t="s">
        <v>652</v>
      </c>
      <c r="J651" s="76"/>
      <c r="K651" s="76" t="s">
        <v>652</v>
      </c>
      <c r="L651" s="77" t="s">
        <v>1114</v>
      </c>
    </row>
    <row r="652" customFormat="false" ht="15" hidden="false" customHeight="false" outlineLevel="0" collapsed="false">
      <c r="A652" s="76" t="s">
        <v>1637</v>
      </c>
      <c r="B652" s="76" t="s">
        <v>77</v>
      </c>
      <c r="C652" s="76" t="s">
        <v>79</v>
      </c>
      <c r="D652" s="76" t="s">
        <v>1170</v>
      </c>
      <c r="E652" s="76" t="s">
        <v>1171</v>
      </c>
      <c r="F652" s="35" t="s">
        <v>1638</v>
      </c>
      <c r="G652" s="76" t="s">
        <v>652</v>
      </c>
      <c r="H652" s="78" t="n">
        <v>85.1539551246133</v>
      </c>
      <c r="I652" s="76" t="s">
        <v>1639</v>
      </c>
      <c r="J652" s="78" t="n">
        <v>85.1539551246133</v>
      </c>
      <c r="K652" s="76" t="s">
        <v>1639</v>
      </c>
      <c r="L652" s="77" t="s">
        <v>1114</v>
      </c>
    </row>
    <row r="653" customFormat="false" ht="15" hidden="false" customHeight="false" outlineLevel="0" collapsed="false">
      <c r="A653" s="76" t="s">
        <v>1637</v>
      </c>
      <c r="B653" s="76" t="s">
        <v>77</v>
      </c>
      <c r="C653" s="76" t="s">
        <v>79</v>
      </c>
      <c r="D653" s="76" t="s">
        <v>1170</v>
      </c>
      <c r="E653" s="76" t="s">
        <v>1171</v>
      </c>
      <c r="F653" s="35" t="s">
        <v>1638</v>
      </c>
      <c r="G653" s="76" t="s">
        <v>654</v>
      </c>
      <c r="H653" s="76" t="n">
        <v>15000</v>
      </c>
      <c r="I653" s="76" t="s">
        <v>1606</v>
      </c>
      <c r="J653" s="76" t="n">
        <v>15000</v>
      </c>
      <c r="K653" s="76" t="s">
        <v>1606</v>
      </c>
      <c r="L653" s="77" t="s">
        <v>1114</v>
      </c>
    </row>
    <row r="654" customFormat="false" ht="15" hidden="false" customHeight="false" outlineLevel="0" collapsed="false">
      <c r="A654" s="76" t="s">
        <v>1637</v>
      </c>
      <c r="B654" s="76" t="s">
        <v>77</v>
      </c>
      <c r="C654" s="76" t="s">
        <v>79</v>
      </c>
      <c r="D654" s="76" t="s">
        <v>1170</v>
      </c>
      <c r="E654" s="76" t="s">
        <v>1171</v>
      </c>
      <c r="F654" s="35" t="s">
        <v>1638</v>
      </c>
      <c r="G654" s="76" t="s">
        <v>655</v>
      </c>
      <c r="H654" s="76"/>
      <c r="I654" s="76"/>
      <c r="J654" s="76"/>
      <c r="K654" s="76"/>
      <c r="L654" s="77" t="s">
        <v>1114</v>
      </c>
    </row>
    <row r="655" customFormat="false" ht="15" hidden="false" customHeight="false" outlineLevel="0" collapsed="false">
      <c r="A655" s="76" t="s">
        <v>1637</v>
      </c>
      <c r="B655" s="76" t="s">
        <v>77</v>
      </c>
      <c r="C655" s="76" t="s">
        <v>79</v>
      </c>
      <c r="D655" s="76" t="s">
        <v>1170</v>
      </c>
      <c r="E655" s="76" t="s">
        <v>1171</v>
      </c>
      <c r="F655" s="35" t="s">
        <v>1638</v>
      </c>
      <c r="G655" s="76" t="s">
        <v>657</v>
      </c>
      <c r="H655" s="76"/>
      <c r="I655" s="76"/>
      <c r="J655" s="76"/>
      <c r="K655" s="76"/>
      <c r="L655" s="77" t="s">
        <v>1114</v>
      </c>
    </row>
    <row r="656" customFormat="false" ht="15" hidden="false" customHeight="false" outlineLevel="0" collapsed="false">
      <c r="A656" s="76" t="s">
        <v>1637</v>
      </c>
      <c r="B656" s="76" t="s">
        <v>77</v>
      </c>
      <c r="C656" s="76" t="s">
        <v>79</v>
      </c>
      <c r="D656" s="76" t="s">
        <v>1170</v>
      </c>
      <c r="E656" s="76" t="s">
        <v>1171</v>
      </c>
      <c r="F656" s="35" t="s">
        <v>1638</v>
      </c>
      <c r="G656" s="76" t="s">
        <v>637</v>
      </c>
      <c r="H656" s="76" t="n">
        <v>2000</v>
      </c>
      <c r="I656" s="76" t="s">
        <v>1359</v>
      </c>
      <c r="J656" s="76" t="n">
        <v>2000</v>
      </c>
      <c r="K656" s="76" t="s">
        <v>1359</v>
      </c>
      <c r="L656" s="77" t="s">
        <v>1114</v>
      </c>
    </row>
    <row r="657" customFormat="false" ht="15" hidden="false" customHeight="false" outlineLevel="0" collapsed="false">
      <c r="A657" s="76" t="s">
        <v>1637</v>
      </c>
      <c r="B657" s="76" t="s">
        <v>77</v>
      </c>
      <c r="C657" s="76" t="s">
        <v>79</v>
      </c>
      <c r="D657" s="76" t="s">
        <v>1170</v>
      </c>
      <c r="E657" s="76" t="s">
        <v>1171</v>
      </c>
      <c r="F657" s="35" t="s">
        <v>1638</v>
      </c>
      <c r="G657" s="76" t="s">
        <v>660</v>
      </c>
      <c r="H657" s="76"/>
      <c r="I657" s="76"/>
      <c r="J657" s="76"/>
      <c r="K657" s="76"/>
      <c r="L657" s="77" t="s">
        <v>1114</v>
      </c>
    </row>
    <row r="658" customFormat="false" ht="15" hidden="false" customHeight="false" outlineLevel="0" collapsed="false">
      <c r="A658" s="76" t="s">
        <v>1637</v>
      </c>
      <c r="B658" s="76" t="s">
        <v>77</v>
      </c>
      <c r="C658" s="76" t="s">
        <v>79</v>
      </c>
      <c r="D658" s="76" t="s">
        <v>1170</v>
      </c>
      <c r="E658" s="76" t="s">
        <v>1171</v>
      </c>
      <c r="F658" s="35" t="s">
        <v>1638</v>
      </c>
      <c r="G658" s="76" t="s">
        <v>661</v>
      </c>
      <c r="H658" s="78" t="n">
        <v>15000</v>
      </c>
      <c r="I658" s="76" t="s">
        <v>1609</v>
      </c>
      <c r="J658" s="76" t="n">
        <v>15000</v>
      </c>
      <c r="K658" s="76" t="s">
        <v>1609</v>
      </c>
      <c r="L658" s="77" t="s">
        <v>1114</v>
      </c>
    </row>
    <row r="659" customFormat="false" ht="15" hidden="false" customHeight="false" outlineLevel="0" collapsed="false">
      <c r="A659" s="76" t="s">
        <v>1637</v>
      </c>
      <c r="B659" s="76" t="s">
        <v>77</v>
      </c>
      <c r="C659" s="76" t="s">
        <v>79</v>
      </c>
      <c r="D659" s="76" t="s">
        <v>1170</v>
      </c>
      <c r="E659" s="76" t="s">
        <v>1171</v>
      </c>
      <c r="F659" s="35" t="s">
        <v>1638</v>
      </c>
      <c r="G659" s="76" t="s">
        <v>434</v>
      </c>
      <c r="H659" s="78" t="n">
        <v>10</v>
      </c>
      <c r="I659" s="76" t="s">
        <v>1399</v>
      </c>
      <c r="J659" s="76" t="n">
        <v>10</v>
      </c>
      <c r="K659" s="76" t="s">
        <v>1399</v>
      </c>
      <c r="L659" s="77" t="s">
        <v>1114</v>
      </c>
    </row>
    <row r="660" customFormat="false" ht="15" hidden="false" customHeight="false" outlineLevel="0" collapsed="false">
      <c r="A660" s="76" t="s">
        <v>1640</v>
      </c>
      <c r="B660" s="76" t="s">
        <v>77</v>
      </c>
      <c r="C660" s="76" t="s">
        <v>79</v>
      </c>
      <c r="D660" s="76" t="s">
        <v>1180</v>
      </c>
      <c r="E660" s="76" t="s">
        <v>1152</v>
      </c>
      <c r="F660" s="35" t="s">
        <v>1641</v>
      </c>
      <c r="G660" s="76" t="s">
        <v>419</v>
      </c>
      <c r="H660" s="76"/>
      <c r="I660" s="76" t="s">
        <v>652</v>
      </c>
      <c r="J660" s="76"/>
      <c r="K660" s="76" t="s">
        <v>652</v>
      </c>
      <c r="L660" s="77" t="s">
        <v>1114</v>
      </c>
    </row>
    <row r="661" customFormat="false" ht="15" hidden="false" customHeight="false" outlineLevel="0" collapsed="false">
      <c r="A661" s="76" t="s">
        <v>1640</v>
      </c>
      <c r="B661" s="76" t="s">
        <v>77</v>
      </c>
      <c r="C661" s="76" t="s">
        <v>79</v>
      </c>
      <c r="D661" s="76" t="s">
        <v>1180</v>
      </c>
      <c r="E661" s="76" t="s">
        <v>1152</v>
      </c>
      <c r="F661" s="35" t="s">
        <v>1641</v>
      </c>
      <c r="G661" s="76" t="s">
        <v>652</v>
      </c>
      <c r="H661" s="78" t="n">
        <v>192.471181076849</v>
      </c>
      <c r="I661" s="76" t="s">
        <v>1642</v>
      </c>
      <c r="J661" s="78" t="n">
        <v>192.471181076849</v>
      </c>
      <c r="K661" s="76" t="s">
        <v>1642</v>
      </c>
      <c r="L661" s="77" t="s">
        <v>1114</v>
      </c>
    </row>
    <row r="662" customFormat="false" ht="15" hidden="false" customHeight="false" outlineLevel="0" collapsed="false">
      <c r="A662" s="76" t="s">
        <v>1640</v>
      </c>
      <c r="B662" s="76" t="s">
        <v>77</v>
      </c>
      <c r="C662" s="76" t="s">
        <v>79</v>
      </c>
      <c r="D662" s="76" t="s">
        <v>1180</v>
      </c>
      <c r="E662" s="76" t="s">
        <v>1152</v>
      </c>
      <c r="F662" s="35" t="s">
        <v>1641</v>
      </c>
      <c r="G662" s="76" t="s">
        <v>654</v>
      </c>
      <c r="H662" s="76" t="n">
        <v>144000</v>
      </c>
      <c r="I662" s="76" t="s">
        <v>1194</v>
      </c>
      <c r="J662" s="76" t="n">
        <v>144000</v>
      </c>
      <c r="K662" s="76" t="s">
        <v>1194</v>
      </c>
      <c r="L662" s="77" t="s">
        <v>1114</v>
      </c>
    </row>
    <row r="663" customFormat="false" ht="15" hidden="false" customHeight="false" outlineLevel="0" collapsed="false">
      <c r="A663" s="76" t="s">
        <v>1640</v>
      </c>
      <c r="B663" s="76" t="s">
        <v>77</v>
      </c>
      <c r="C663" s="76" t="s">
        <v>79</v>
      </c>
      <c r="D663" s="76" t="s">
        <v>1180</v>
      </c>
      <c r="E663" s="76" t="s">
        <v>1152</v>
      </c>
      <c r="F663" s="35" t="s">
        <v>1641</v>
      </c>
      <c r="G663" s="76" t="s">
        <v>655</v>
      </c>
      <c r="H663" s="78" t="n">
        <v>193805.040718675</v>
      </c>
      <c r="I663" s="76" t="s">
        <v>1643</v>
      </c>
      <c r="J663" s="78" t="n">
        <v>193805.040718675</v>
      </c>
      <c r="K663" s="76" t="s">
        <v>1643</v>
      </c>
      <c r="L663" s="77" t="s">
        <v>1114</v>
      </c>
    </row>
    <row r="664" customFormat="false" ht="15" hidden="false" customHeight="false" outlineLevel="0" collapsed="false">
      <c r="A664" s="76" t="s">
        <v>1640</v>
      </c>
      <c r="B664" s="76" t="s">
        <v>77</v>
      </c>
      <c r="C664" s="76" t="s">
        <v>79</v>
      </c>
      <c r="D664" s="76" t="s">
        <v>1180</v>
      </c>
      <c r="E664" s="76" t="s">
        <v>1152</v>
      </c>
      <c r="F664" s="35" t="s">
        <v>1641</v>
      </c>
      <c r="G664" s="76" t="s">
        <v>657</v>
      </c>
      <c r="H664" s="78" t="n">
        <v>193805.040718675</v>
      </c>
      <c r="I664" s="76" t="s">
        <v>1643</v>
      </c>
      <c r="J664" s="78" t="n">
        <v>193805.040718675</v>
      </c>
      <c r="K664" s="76" t="s">
        <v>1643</v>
      </c>
      <c r="L664" s="77" t="s">
        <v>1114</v>
      </c>
    </row>
    <row r="665" customFormat="false" ht="15" hidden="false" customHeight="false" outlineLevel="0" collapsed="false">
      <c r="A665" s="76" t="s">
        <v>1640</v>
      </c>
      <c r="B665" s="76" t="s">
        <v>77</v>
      </c>
      <c r="C665" s="76" t="s">
        <v>79</v>
      </c>
      <c r="D665" s="76" t="s">
        <v>1180</v>
      </c>
      <c r="E665" s="76" t="s">
        <v>1152</v>
      </c>
      <c r="F665" s="35" t="s">
        <v>1641</v>
      </c>
      <c r="G665" s="76" t="s">
        <v>637</v>
      </c>
      <c r="H665" s="76" t="n">
        <v>53000</v>
      </c>
      <c r="I665" s="76" t="s">
        <v>1644</v>
      </c>
      <c r="J665" s="76" t="n">
        <v>53000</v>
      </c>
      <c r="K665" s="76" t="s">
        <v>1644</v>
      </c>
      <c r="L665" s="77" t="s">
        <v>1114</v>
      </c>
    </row>
    <row r="666" customFormat="false" ht="15" hidden="false" customHeight="false" outlineLevel="0" collapsed="false">
      <c r="A666" s="76" t="s">
        <v>1640</v>
      </c>
      <c r="B666" s="76" t="s">
        <v>77</v>
      </c>
      <c r="C666" s="76" t="s">
        <v>79</v>
      </c>
      <c r="D666" s="76" t="s">
        <v>1180</v>
      </c>
      <c r="E666" s="76" t="s">
        <v>1152</v>
      </c>
      <c r="F666" s="35" t="s">
        <v>1641</v>
      </c>
      <c r="G666" s="76" t="s">
        <v>660</v>
      </c>
      <c r="H666" s="76"/>
      <c r="I666" s="76" t="s">
        <v>1608</v>
      </c>
      <c r="J666" s="78" t="n">
        <v>0.02</v>
      </c>
      <c r="K666" s="76" t="s">
        <v>1608</v>
      </c>
      <c r="L666" s="77" t="s">
        <v>1114</v>
      </c>
    </row>
    <row r="667" customFormat="false" ht="15" hidden="false" customHeight="false" outlineLevel="0" collapsed="false">
      <c r="A667" s="76" t="s">
        <v>1640</v>
      </c>
      <c r="B667" s="76" t="s">
        <v>77</v>
      </c>
      <c r="C667" s="76" t="s">
        <v>79</v>
      </c>
      <c r="D667" s="76" t="s">
        <v>1180</v>
      </c>
      <c r="E667" s="76" t="s">
        <v>1152</v>
      </c>
      <c r="F667" s="35" t="s">
        <v>1641</v>
      </c>
      <c r="G667" s="76" t="s">
        <v>661</v>
      </c>
      <c r="H667" s="78" t="n">
        <v>144000</v>
      </c>
      <c r="I667" s="76" t="s">
        <v>1645</v>
      </c>
      <c r="J667" s="76" t="n">
        <v>144000</v>
      </c>
      <c r="K667" s="76" t="s">
        <v>1645</v>
      </c>
      <c r="L667" s="77" t="s">
        <v>1114</v>
      </c>
    </row>
    <row r="668" customFormat="false" ht="15" hidden="false" customHeight="false" outlineLevel="0" collapsed="false">
      <c r="A668" s="76" t="s">
        <v>1640</v>
      </c>
      <c r="B668" s="76" t="s">
        <v>77</v>
      </c>
      <c r="C668" s="76" t="s">
        <v>79</v>
      </c>
      <c r="D668" s="76" t="s">
        <v>1180</v>
      </c>
      <c r="E668" s="76" t="s">
        <v>1152</v>
      </c>
      <c r="F668" s="35" t="s">
        <v>1641</v>
      </c>
      <c r="G668" s="76" t="s">
        <v>434</v>
      </c>
      <c r="H668" s="78" t="n">
        <v>15</v>
      </c>
      <c r="I668" s="76" t="s">
        <v>1646</v>
      </c>
      <c r="J668" s="76" t="n">
        <v>15</v>
      </c>
      <c r="K668" s="76" t="s">
        <v>1646</v>
      </c>
      <c r="L668" s="77" t="s">
        <v>1114</v>
      </c>
    </row>
    <row r="669" customFormat="false" ht="15" hidden="false" customHeight="false" outlineLevel="0" collapsed="false">
      <c r="A669" s="76" t="s">
        <v>1647</v>
      </c>
      <c r="B669" s="76" t="s">
        <v>77</v>
      </c>
      <c r="C669" s="76" t="s">
        <v>79</v>
      </c>
      <c r="D669" s="76" t="s">
        <v>1189</v>
      </c>
      <c r="E669" s="76" t="s">
        <v>1125</v>
      </c>
      <c r="F669" s="35" t="s">
        <v>1648</v>
      </c>
      <c r="G669" s="76" t="s">
        <v>419</v>
      </c>
      <c r="H669" s="76"/>
      <c r="I669" s="76" t="s">
        <v>652</v>
      </c>
      <c r="J669" s="76"/>
      <c r="K669" s="76" t="s">
        <v>652</v>
      </c>
      <c r="L669" s="77" t="s">
        <v>1114</v>
      </c>
    </row>
    <row r="670" customFormat="false" ht="15" hidden="false" customHeight="false" outlineLevel="0" collapsed="false">
      <c r="A670" s="76" t="s">
        <v>1647</v>
      </c>
      <c r="B670" s="76" t="s">
        <v>77</v>
      </c>
      <c r="C670" s="76" t="s">
        <v>79</v>
      </c>
      <c r="D670" s="76" t="s">
        <v>1189</v>
      </c>
      <c r="E670" s="76" t="s">
        <v>1125</v>
      </c>
      <c r="F670" s="35" t="s">
        <v>1648</v>
      </c>
      <c r="G670" s="76" t="s">
        <v>652</v>
      </c>
      <c r="H670" s="78" t="n">
        <v>142.703823280362</v>
      </c>
      <c r="I670" s="76" t="s">
        <v>1649</v>
      </c>
      <c r="J670" s="78" t="n">
        <v>142.703823280362</v>
      </c>
      <c r="K670" s="76" t="s">
        <v>1649</v>
      </c>
      <c r="L670" s="77" t="s">
        <v>1114</v>
      </c>
    </row>
    <row r="671" customFormat="false" ht="15" hidden="false" customHeight="false" outlineLevel="0" collapsed="false">
      <c r="A671" s="76" t="s">
        <v>1647</v>
      </c>
      <c r="B671" s="76" t="s">
        <v>77</v>
      </c>
      <c r="C671" s="76" t="s">
        <v>79</v>
      </c>
      <c r="D671" s="76" t="s">
        <v>1189</v>
      </c>
      <c r="E671" s="76" t="s">
        <v>1125</v>
      </c>
      <c r="F671" s="35" t="s">
        <v>1648</v>
      </c>
      <c r="G671" s="76" t="s">
        <v>654</v>
      </c>
      <c r="H671" s="76" t="n">
        <v>283500</v>
      </c>
      <c r="I671" s="76" t="s">
        <v>1650</v>
      </c>
      <c r="J671" s="76" t="n">
        <v>283500</v>
      </c>
      <c r="K671" s="76" t="s">
        <v>1650</v>
      </c>
      <c r="L671" s="77" t="s">
        <v>1114</v>
      </c>
    </row>
    <row r="672" customFormat="false" ht="15" hidden="false" customHeight="false" outlineLevel="0" collapsed="false">
      <c r="A672" s="76" t="s">
        <v>1647</v>
      </c>
      <c r="B672" s="76" t="s">
        <v>77</v>
      </c>
      <c r="C672" s="76" t="s">
        <v>79</v>
      </c>
      <c r="D672" s="76" t="s">
        <v>1189</v>
      </c>
      <c r="E672" s="76" t="s">
        <v>1125</v>
      </c>
      <c r="F672" s="35" t="s">
        <v>1648</v>
      </c>
      <c r="G672" s="76" t="s">
        <v>655</v>
      </c>
      <c r="H672" s="76"/>
      <c r="I672" s="76"/>
      <c r="J672" s="76"/>
      <c r="K672" s="76"/>
      <c r="L672" s="77" t="s">
        <v>1114</v>
      </c>
    </row>
    <row r="673" customFormat="false" ht="15" hidden="false" customHeight="false" outlineLevel="0" collapsed="false">
      <c r="A673" s="76" t="s">
        <v>1647</v>
      </c>
      <c r="B673" s="76" t="s">
        <v>77</v>
      </c>
      <c r="C673" s="76" t="s">
        <v>79</v>
      </c>
      <c r="D673" s="76" t="s">
        <v>1189</v>
      </c>
      <c r="E673" s="76" t="s">
        <v>1125</v>
      </c>
      <c r="F673" s="35" t="s">
        <v>1648</v>
      </c>
      <c r="G673" s="76" t="s">
        <v>657</v>
      </c>
      <c r="H673" s="76"/>
      <c r="I673" s="76"/>
      <c r="J673" s="76"/>
      <c r="K673" s="76"/>
      <c r="L673" s="77" t="s">
        <v>1114</v>
      </c>
    </row>
    <row r="674" customFormat="false" ht="15" hidden="false" customHeight="false" outlineLevel="0" collapsed="false">
      <c r="A674" s="76" t="s">
        <v>1647</v>
      </c>
      <c r="B674" s="76" t="s">
        <v>77</v>
      </c>
      <c r="C674" s="76" t="s">
        <v>79</v>
      </c>
      <c r="D674" s="76" t="s">
        <v>1189</v>
      </c>
      <c r="E674" s="76" t="s">
        <v>1125</v>
      </c>
      <c r="F674" s="35" t="s">
        <v>1648</v>
      </c>
      <c r="G674" s="76" t="s">
        <v>637</v>
      </c>
      <c r="H674" s="76" t="n">
        <v>72500</v>
      </c>
      <c r="I674" s="76" t="s">
        <v>1651</v>
      </c>
      <c r="J674" s="76" t="n">
        <v>72500</v>
      </c>
      <c r="K674" s="76" t="s">
        <v>1651</v>
      </c>
      <c r="L674" s="77" t="s">
        <v>1114</v>
      </c>
    </row>
    <row r="675" customFormat="false" ht="15" hidden="false" customHeight="false" outlineLevel="0" collapsed="false">
      <c r="A675" s="76" t="s">
        <v>1647</v>
      </c>
      <c r="B675" s="76" t="s">
        <v>77</v>
      </c>
      <c r="C675" s="76" t="s">
        <v>79</v>
      </c>
      <c r="D675" s="76" t="s">
        <v>1189</v>
      </c>
      <c r="E675" s="76" t="s">
        <v>1125</v>
      </c>
      <c r="F675" s="35" t="s">
        <v>1648</v>
      </c>
      <c r="G675" s="76" t="s">
        <v>660</v>
      </c>
      <c r="H675" s="76"/>
      <c r="I675" s="76"/>
      <c r="J675" s="76"/>
      <c r="K675" s="76"/>
      <c r="L675" s="77" t="s">
        <v>1114</v>
      </c>
    </row>
    <row r="676" customFormat="false" ht="15" hidden="false" customHeight="false" outlineLevel="0" collapsed="false">
      <c r="A676" s="76" t="s">
        <v>1647</v>
      </c>
      <c r="B676" s="76" t="s">
        <v>77</v>
      </c>
      <c r="C676" s="76" t="s">
        <v>79</v>
      </c>
      <c r="D676" s="76" t="s">
        <v>1189</v>
      </c>
      <c r="E676" s="76" t="s">
        <v>1125</v>
      </c>
      <c r="F676" s="35" t="s">
        <v>1648</v>
      </c>
      <c r="G676" s="76" t="s">
        <v>661</v>
      </c>
      <c r="H676" s="78" t="n">
        <v>283500</v>
      </c>
      <c r="I676" s="76" t="s">
        <v>1652</v>
      </c>
      <c r="J676" s="76" t="n">
        <v>283500</v>
      </c>
      <c r="K676" s="76" t="s">
        <v>1652</v>
      </c>
      <c r="L676" s="77" t="s">
        <v>1114</v>
      </c>
    </row>
    <row r="677" customFormat="false" ht="15" hidden="false" customHeight="false" outlineLevel="0" collapsed="false">
      <c r="A677" s="76" t="s">
        <v>1647</v>
      </c>
      <c r="B677" s="76" t="s">
        <v>77</v>
      </c>
      <c r="C677" s="76" t="s">
        <v>79</v>
      </c>
      <c r="D677" s="76" t="s">
        <v>1189</v>
      </c>
      <c r="E677" s="76" t="s">
        <v>1125</v>
      </c>
      <c r="F677" s="35" t="s">
        <v>1648</v>
      </c>
      <c r="G677" s="76" t="s">
        <v>434</v>
      </c>
      <c r="H677" s="78" t="n">
        <v>17</v>
      </c>
      <c r="I677" s="76" t="s">
        <v>1363</v>
      </c>
      <c r="J677" s="76" t="n">
        <v>17</v>
      </c>
      <c r="K677" s="76" t="s">
        <v>1363</v>
      </c>
      <c r="L677" s="77" t="s">
        <v>1114</v>
      </c>
    </row>
    <row r="678" customFormat="false" ht="15" hidden="false" customHeight="false" outlineLevel="0" collapsed="false">
      <c r="A678" s="76" t="s">
        <v>1653</v>
      </c>
      <c r="B678" s="76" t="s">
        <v>77</v>
      </c>
      <c r="C678" s="76" t="s">
        <v>79</v>
      </c>
      <c r="D678" s="76" t="s">
        <v>1198</v>
      </c>
      <c r="E678" s="76" t="s">
        <v>1162</v>
      </c>
      <c r="F678" s="35" t="s">
        <v>1654</v>
      </c>
      <c r="G678" s="76" t="s">
        <v>419</v>
      </c>
      <c r="H678" s="76"/>
      <c r="I678" s="76" t="s">
        <v>652</v>
      </c>
      <c r="J678" s="76"/>
      <c r="K678" s="76" t="s">
        <v>652</v>
      </c>
      <c r="L678" s="77" t="s">
        <v>1114</v>
      </c>
    </row>
    <row r="679" customFormat="false" ht="15" hidden="false" customHeight="false" outlineLevel="0" collapsed="false">
      <c r="A679" s="76" t="s">
        <v>1653</v>
      </c>
      <c r="B679" s="76" t="s">
        <v>77</v>
      </c>
      <c r="C679" s="76" t="s">
        <v>79</v>
      </c>
      <c r="D679" s="76" t="s">
        <v>1198</v>
      </c>
      <c r="E679" s="76" t="s">
        <v>1162</v>
      </c>
      <c r="F679" s="35" t="s">
        <v>1654</v>
      </c>
      <c r="G679" s="76" t="s">
        <v>652</v>
      </c>
      <c r="H679" s="76" t="n">
        <v>0</v>
      </c>
      <c r="I679" s="76" t="s">
        <v>1127</v>
      </c>
      <c r="J679" s="76" t="n">
        <v>0</v>
      </c>
      <c r="K679" s="76" t="s">
        <v>1127</v>
      </c>
      <c r="L679" s="77" t="s">
        <v>1114</v>
      </c>
    </row>
    <row r="680" customFormat="false" ht="15" hidden="false" customHeight="false" outlineLevel="0" collapsed="false">
      <c r="A680" s="76" t="s">
        <v>1653</v>
      </c>
      <c r="B680" s="76" t="s">
        <v>77</v>
      </c>
      <c r="C680" s="76" t="s">
        <v>79</v>
      </c>
      <c r="D680" s="76" t="s">
        <v>1198</v>
      </c>
      <c r="E680" s="76" t="s">
        <v>1162</v>
      </c>
      <c r="F680" s="35" t="s">
        <v>1654</v>
      </c>
      <c r="G680" s="76" t="s">
        <v>654</v>
      </c>
      <c r="H680" s="76" t="n">
        <v>365500</v>
      </c>
      <c r="I680" s="76" t="s">
        <v>1655</v>
      </c>
      <c r="J680" s="76" t="n">
        <v>365500</v>
      </c>
      <c r="K680" s="76" t="s">
        <v>1655</v>
      </c>
      <c r="L680" s="77" t="s">
        <v>1114</v>
      </c>
    </row>
    <row r="681" customFormat="false" ht="15" hidden="false" customHeight="false" outlineLevel="0" collapsed="false">
      <c r="A681" s="76" t="s">
        <v>1653</v>
      </c>
      <c r="B681" s="76" t="s">
        <v>77</v>
      </c>
      <c r="C681" s="76" t="s">
        <v>79</v>
      </c>
      <c r="D681" s="76" t="s">
        <v>1198</v>
      </c>
      <c r="E681" s="76" t="s">
        <v>1162</v>
      </c>
      <c r="F681" s="35" t="s">
        <v>1654</v>
      </c>
      <c r="G681" s="76" t="s">
        <v>655</v>
      </c>
      <c r="H681" s="78" t="n">
        <v>991191.400066483</v>
      </c>
      <c r="I681" s="76" t="s">
        <v>1656</v>
      </c>
      <c r="J681" s="78" t="n">
        <v>991191.400066483</v>
      </c>
      <c r="K681" s="76" t="s">
        <v>1656</v>
      </c>
      <c r="L681" s="77" t="s">
        <v>1114</v>
      </c>
    </row>
    <row r="682" customFormat="false" ht="15" hidden="false" customHeight="false" outlineLevel="0" collapsed="false">
      <c r="A682" s="76" t="s">
        <v>1653</v>
      </c>
      <c r="B682" s="76" t="s">
        <v>77</v>
      </c>
      <c r="C682" s="76" t="s">
        <v>79</v>
      </c>
      <c r="D682" s="76" t="s">
        <v>1198</v>
      </c>
      <c r="E682" s="76" t="s">
        <v>1162</v>
      </c>
      <c r="F682" s="35" t="s">
        <v>1654</v>
      </c>
      <c r="G682" s="76" t="s">
        <v>657</v>
      </c>
      <c r="H682" s="78" t="n">
        <v>991191.400066483</v>
      </c>
      <c r="I682" s="76" t="s">
        <v>1656</v>
      </c>
      <c r="J682" s="78" t="n">
        <v>991191.400066483</v>
      </c>
      <c r="K682" s="76" t="s">
        <v>1656</v>
      </c>
      <c r="L682" s="77" t="s">
        <v>1114</v>
      </c>
    </row>
    <row r="683" customFormat="false" ht="15" hidden="false" customHeight="false" outlineLevel="0" collapsed="false">
      <c r="A683" s="76" t="s">
        <v>1653</v>
      </c>
      <c r="B683" s="76" t="s">
        <v>77</v>
      </c>
      <c r="C683" s="76" t="s">
        <v>79</v>
      </c>
      <c r="D683" s="76" t="s">
        <v>1198</v>
      </c>
      <c r="E683" s="76" t="s">
        <v>1162</v>
      </c>
      <c r="F683" s="35" t="s">
        <v>1654</v>
      </c>
      <c r="G683" s="76" t="s">
        <v>637</v>
      </c>
      <c r="H683" s="76" t="n">
        <v>143000</v>
      </c>
      <c r="I683" s="76" t="s">
        <v>1657</v>
      </c>
      <c r="J683" s="76" t="n">
        <v>143000</v>
      </c>
      <c r="K683" s="76" t="s">
        <v>1657</v>
      </c>
      <c r="L683" s="77" t="s">
        <v>1114</v>
      </c>
    </row>
    <row r="684" customFormat="false" ht="15" hidden="false" customHeight="false" outlineLevel="0" collapsed="false">
      <c r="A684" s="76" t="s">
        <v>1653</v>
      </c>
      <c r="B684" s="76" t="s">
        <v>77</v>
      </c>
      <c r="C684" s="76" t="s">
        <v>79</v>
      </c>
      <c r="D684" s="76" t="s">
        <v>1198</v>
      </c>
      <c r="E684" s="76" t="s">
        <v>1162</v>
      </c>
      <c r="F684" s="35" t="s">
        <v>1654</v>
      </c>
      <c r="G684" s="76" t="s">
        <v>660</v>
      </c>
      <c r="H684" s="76"/>
      <c r="I684" s="76" t="s">
        <v>1618</v>
      </c>
      <c r="J684" s="78" t="n">
        <v>0.035</v>
      </c>
      <c r="K684" s="76" t="s">
        <v>1618</v>
      </c>
      <c r="L684" s="77" t="s">
        <v>1114</v>
      </c>
    </row>
    <row r="685" customFormat="false" ht="15" hidden="false" customHeight="false" outlineLevel="0" collapsed="false">
      <c r="A685" s="76" t="s">
        <v>1653</v>
      </c>
      <c r="B685" s="76" t="s">
        <v>77</v>
      </c>
      <c r="C685" s="76" t="s">
        <v>79</v>
      </c>
      <c r="D685" s="76" t="s">
        <v>1198</v>
      </c>
      <c r="E685" s="76" t="s">
        <v>1162</v>
      </c>
      <c r="F685" s="35" t="s">
        <v>1654</v>
      </c>
      <c r="G685" s="76" t="s">
        <v>661</v>
      </c>
      <c r="H685" s="78" t="n">
        <v>365500</v>
      </c>
      <c r="I685" s="76" t="s">
        <v>1658</v>
      </c>
      <c r="J685" s="76" t="n">
        <v>365500</v>
      </c>
      <c r="K685" s="76" t="s">
        <v>1658</v>
      </c>
      <c r="L685" s="77" t="s">
        <v>1114</v>
      </c>
    </row>
    <row r="686" customFormat="false" ht="15" hidden="false" customHeight="false" outlineLevel="0" collapsed="false">
      <c r="A686" s="76" t="s">
        <v>1653</v>
      </c>
      <c r="B686" s="76" t="s">
        <v>77</v>
      </c>
      <c r="C686" s="76" t="s">
        <v>79</v>
      </c>
      <c r="D686" s="76" t="s">
        <v>1198</v>
      </c>
      <c r="E686" s="76" t="s">
        <v>1162</v>
      </c>
      <c r="F686" s="35" t="s">
        <v>1654</v>
      </c>
      <c r="G686" s="76" t="s">
        <v>434</v>
      </c>
      <c r="H686" s="78" t="n">
        <v>29</v>
      </c>
      <c r="I686" s="76" t="s">
        <v>1659</v>
      </c>
      <c r="J686" s="76" t="n">
        <v>29</v>
      </c>
      <c r="K686" s="76" t="s">
        <v>1659</v>
      </c>
      <c r="L686" s="77" t="s">
        <v>1114</v>
      </c>
    </row>
    <row r="687" customFormat="false" ht="15" hidden="false" customHeight="false" outlineLevel="0" collapsed="false">
      <c r="A687" s="76" t="s">
        <v>1660</v>
      </c>
      <c r="B687" s="76" t="s">
        <v>83</v>
      </c>
      <c r="C687" s="76" t="s">
        <v>84</v>
      </c>
      <c r="D687" s="76" t="s">
        <v>1111</v>
      </c>
      <c r="E687" s="76" t="s">
        <v>1112</v>
      </c>
      <c r="F687" s="35" t="s">
        <v>1661</v>
      </c>
      <c r="G687" s="76" t="s">
        <v>419</v>
      </c>
      <c r="H687" s="76"/>
      <c r="I687" s="76" t="s">
        <v>673</v>
      </c>
      <c r="J687" s="76"/>
      <c r="K687" s="76" t="s">
        <v>673</v>
      </c>
      <c r="L687" s="77" t="s">
        <v>1114</v>
      </c>
    </row>
    <row r="688" customFormat="false" ht="15" hidden="false" customHeight="false" outlineLevel="0" collapsed="false">
      <c r="A688" s="76" t="s">
        <v>1660</v>
      </c>
      <c r="B688" s="76" t="s">
        <v>83</v>
      </c>
      <c r="C688" s="76" t="s">
        <v>84</v>
      </c>
      <c r="D688" s="76" t="s">
        <v>1111</v>
      </c>
      <c r="E688" s="76" t="s">
        <v>1112</v>
      </c>
      <c r="F688" s="35" t="s">
        <v>1661</v>
      </c>
      <c r="G688" s="76" t="s">
        <v>673</v>
      </c>
      <c r="H688" s="78" t="n">
        <v>83723.961538511</v>
      </c>
      <c r="I688" s="76" t="s">
        <v>1662</v>
      </c>
      <c r="J688" s="78" t="n">
        <v>83723.961538511</v>
      </c>
      <c r="K688" s="76" t="s">
        <v>1662</v>
      </c>
      <c r="L688" s="77" t="s">
        <v>1114</v>
      </c>
    </row>
    <row r="689" customFormat="false" ht="15" hidden="false" customHeight="false" outlineLevel="0" collapsed="false">
      <c r="A689" s="76" t="s">
        <v>1660</v>
      </c>
      <c r="B689" s="76" t="s">
        <v>83</v>
      </c>
      <c r="C689" s="76" t="s">
        <v>84</v>
      </c>
      <c r="D689" s="76" t="s">
        <v>1111</v>
      </c>
      <c r="E689" s="76" t="s">
        <v>1112</v>
      </c>
      <c r="F689" s="35" t="s">
        <v>1661</v>
      </c>
      <c r="G689" s="76" t="s">
        <v>675</v>
      </c>
      <c r="H689" s="76" t="n">
        <v>53000</v>
      </c>
      <c r="I689" s="76" t="s">
        <v>1644</v>
      </c>
      <c r="J689" s="76" t="n">
        <v>53000</v>
      </c>
      <c r="K689" s="76" t="s">
        <v>1644</v>
      </c>
      <c r="L689" s="77" t="s">
        <v>1114</v>
      </c>
    </row>
    <row r="690" customFormat="false" ht="15" hidden="false" customHeight="false" outlineLevel="0" collapsed="false">
      <c r="A690" s="76" t="s">
        <v>1660</v>
      </c>
      <c r="B690" s="76" t="s">
        <v>83</v>
      </c>
      <c r="C690" s="76" t="s">
        <v>84</v>
      </c>
      <c r="D690" s="76" t="s">
        <v>1111</v>
      </c>
      <c r="E690" s="76" t="s">
        <v>1112</v>
      </c>
      <c r="F690" s="35" t="s">
        <v>1661</v>
      </c>
      <c r="G690" s="76" t="s">
        <v>681</v>
      </c>
      <c r="H690" s="78" t="n">
        <v>30723.961538511</v>
      </c>
      <c r="I690" s="76" t="s">
        <v>1663</v>
      </c>
      <c r="J690" s="78" t="n">
        <v>30723.961538511</v>
      </c>
      <c r="K690" s="76" t="s">
        <v>1663</v>
      </c>
      <c r="L690" s="77" t="s">
        <v>1114</v>
      </c>
    </row>
    <row r="691" customFormat="false" ht="15" hidden="false" customHeight="false" outlineLevel="0" collapsed="false">
      <c r="A691" s="76" t="s">
        <v>1660</v>
      </c>
      <c r="B691" s="76" t="s">
        <v>83</v>
      </c>
      <c r="C691" s="76" t="s">
        <v>84</v>
      </c>
      <c r="D691" s="76" t="s">
        <v>1111</v>
      </c>
      <c r="E691" s="76" t="s">
        <v>1112</v>
      </c>
      <c r="F691" s="35" t="s">
        <v>1661</v>
      </c>
      <c r="G691" s="76" t="s">
        <v>682</v>
      </c>
      <c r="H691" s="78" t="n">
        <v>56343.8260096595</v>
      </c>
      <c r="I691" s="76" t="s">
        <v>1664</v>
      </c>
      <c r="J691" s="78" t="n">
        <v>56343.8260096595</v>
      </c>
      <c r="K691" s="76" t="s">
        <v>1664</v>
      </c>
      <c r="L691" s="77" t="s">
        <v>1114</v>
      </c>
    </row>
    <row r="692" customFormat="false" ht="15" hidden="false" customHeight="false" outlineLevel="0" collapsed="false">
      <c r="A692" s="76" t="s">
        <v>1660</v>
      </c>
      <c r="B692" s="76" t="s">
        <v>83</v>
      </c>
      <c r="C692" s="76" t="s">
        <v>84</v>
      </c>
      <c r="D692" s="76" t="s">
        <v>1111</v>
      </c>
      <c r="E692" s="76" t="s">
        <v>1112</v>
      </c>
      <c r="F692" s="35" t="s">
        <v>1661</v>
      </c>
      <c r="G692" s="76" t="s">
        <v>684</v>
      </c>
      <c r="H692" s="78" t="n">
        <v>56343.8260096595</v>
      </c>
      <c r="I692" s="76" t="s">
        <v>1664</v>
      </c>
      <c r="J692" s="78" t="n">
        <v>56343.8260096595</v>
      </c>
      <c r="K692" s="76" t="s">
        <v>1664</v>
      </c>
      <c r="L692" s="77" t="s">
        <v>1114</v>
      </c>
    </row>
    <row r="693" customFormat="false" ht="15" hidden="false" customHeight="false" outlineLevel="0" collapsed="false">
      <c r="A693" s="76" t="s">
        <v>1660</v>
      </c>
      <c r="B693" s="76" t="s">
        <v>83</v>
      </c>
      <c r="C693" s="76" t="s">
        <v>84</v>
      </c>
      <c r="D693" s="76" t="s">
        <v>1111</v>
      </c>
      <c r="E693" s="76" t="s">
        <v>1112</v>
      </c>
      <c r="F693" s="35" t="s">
        <v>1661</v>
      </c>
      <c r="G693" s="76" t="s">
        <v>685</v>
      </c>
      <c r="H693" s="78" t="n">
        <v>56344</v>
      </c>
      <c r="I693" s="76" t="s">
        <v>1665</v>
      </c>
      <c r="J693" s="76" t="n">
        <v>56344</v>
      </c>
      <c r="K693" s="76" t="s">
        <v>1665</v>
      </c>
      <c r="L693" s="77" t="s">
        <v>1114</v>
      </c>
    </row>
    <row r="694" customFormat="false" ht="15" hidden="false" customHeight="false" outlineLevel="0" collapsed="false">
      <c r="A694" s="76" t="s">
        <v>1660</v>
      </c>
      <c r="B694" s="76" t="s">
        <v>83</v>
      </c>
      <c r="C694" s="76" t="s">
        <v>84</v>
      </c>
      <c r="D694" s="76" t="s">
        <v>1111</v>
      </c>
      <c r="E694" s="76" t="s">
        <v>1112</v>
      </c>
      <c r="F694" s="35" t="s">
        <v>1661</v>
      </c>
      <c r="G694" s="76" t="s">
        <v>434</v>
      </c>
      <c r="H694" s="78" t="n">
        <v>20</v>
      </c>
      <c r="I694" s="76" t="s">
        <v>1350</v>
      </c>
      <c r="J694" s="76" t="n">
        <v>20</v>
      </c>
      <c r="K694" s="76" t="s">
        <v>1350</v>
      </c>
      <c r="L694" s="77" t="s">
        <v>1114</v>
      </c>
    </row>
    <row r="695" customFormat="false" ht="15" hidden="false" customHeight="false" outlineLevel="0" collapsed="false">
      <c r="A695" s="76" t="s">
        <v>1666</v>
      </c>
      <c r="B695" s="76" t="s">
        <v>83</v>
      </c>
      <c r="C695" s="76" t="s">
        <v>84</v>
      </c>
      <c r="D695" s="76" t="s">
        <v>1124</v>
      </c>
      <c r="E695" s="76" t="s">
        <v>1125</v>
      </c>
      <c r="F695" s="35" t="s">
        <v>1667</v>
      </c>
      <c r="G695" s="76" t="s">
        <v>419</v>
      </c>
      <c r="H695" s="76"/>
      <c r="I695" s="76" t="s">
        <v>673</v>
      </c>
      <c r="J695" s="76"/>
      <c r="K695" s="76" t="s">
        <v>673</v>
      </c>
      <c r="L695" s="77" t="s">
        <v>1114</v>
      </c>
    </row>
    <row r="696" customFormat="false" ht="15" hidden="false" customHeight="false" outlineLevel="0" collapsed="false">
      <c r="A696" s="76" t="s">
        <v>1666</v>
      </c>
      <c r="B696" s="76" t="s">
        <v>83</v>
      </c>
      <c r="C696" s="76" t="s">
        <v>84</v>
      </c>
      <c r="D696" s="76" t="s">
        <v>1124</v>
      </c>
      <c r="E696" s="76" t="s">
        <v>1125</v>
      </c>
      <c r="F696" s="35" t="s">
        <v>1667</v>
      </c>
      <c r="G696" s="76" t="s">
        <v>673</v>
      </c>
      <c r="H696" s="76" t="n">
        <v>0</v>
      </c>
      <c r="I696" s="76" t="s">
        <v>1127</v>
      </c>
      <c r="J696" s="76" t="n">
        <v>0</v>
      </c>
      <c r="K696" s="76" t="s">
        <v>1127</v>
      </c>
      <c r="L696" s="77" t="s">
        <v>1114</v>
      </c>
    </row>
    <row r="697" customFormat="false" ht="15" hidden="false" customHeight="false" outlineLevel="0" collapsed="false">
      <c r="A697" s="76" t="s">
        <v>1666</v>
      </c>
      <c r="B697" s="76" t="s">
        <v>83</v>
      </c>
      <c r="C697" s="76" t="s">
        <v>84</v>
      </c>
      <c r="D697" s="76" t="s">
        <v>1124</v>
      </c>
      <c r="E697" s="76" t="s">
        <v>1125</v>
      </c>
      <c r="F697" s="35" t="s">
        <v>1667</v>
      </c>
      <c r="G697" s="76" t="s">
        <v>675</v>
      </c>
      <c r="H697" s="76" t="n">
        <v>0</v>
      </c>
      <c r="I697" s="76" t="s">
        <v>1127</v>
      </c>
      <c r="J697" s="76" t="n">
        <v>0</v>
      </c>
      <c r="K697" s="76" t="s">
        <v>1127</v>
      </c>
      <c r="L697" s="77" t="s">
        <v>1114</v>
      </c>
    </row>
    <row r="698" customFormat="false" ht="15" hidden="false" customHeight="false" outlineLevel="0" collapsed="false">
      <c r="A698" s="76" t="s">
        <v>1666</v>
      </c>
      <c r="B698" s="76" t="s">
        <v>83</v>
      </c>
      <c r="C698" s="76" t="s">
        <v>84</v>
      </c>
      <c r="D698" s="76" t="s">
        <v>1124</v>
      </c>
      <c r="E698" s="76" t="s">
        <v>1125</v>
      </c>
      <c r="F698" s="35" t="s">
        <v>1667</v>
      </c>
      <c r="G698" s="76" t="s">
        <v>681</v>
      </c>
      <c r="H698" s="76" t="n">
        <v>0</v>
      </c>
      <c r="I698" s="76" t="s">
        <v>1127</v>
      </c>
      <c r="J698" s="76" t="n">
        <v>0</v>
      </c>
      <c r="K698" s="76" t="s">
        <v>1127</v>
      </c>
      <c r="L698" s="77" t="s">
        <v>1114</v>
      </c>
    </row>
    <row r="699" customFormat="false" ht="15" hidden="false" customHeight="false" outlineLevel="0" collapsed="false">
      <c r="A699" s="76" t="s">
        <v>1666</v>
      </c>
      <c r="B699" s="76" t="s">
        <v>83</v>
      </c>
      <c r="C699" s="76" t="s">
        <v>84</v>
      </c>
      <c r="D699" s="76" t="s">
        <v>1124</v>
      </c>
      <c r="E699" s="76" t="s">
        <v>1125</v>
      </c>
      <c r="F699" s="35" t="s">
        <v>1667</v>
      </c>
      <c r="G699" s="76" t="s">
        <v>682</v>
      </c>
      <c r="H699" s="76"/>
      <c r="I699" s="76"/>
      <c r="J699" s="76"/>
      <c r="K699" s="76"/>
      <c r="L699" s="77" t="s">
        <v>1114</v>
      </c>
    </row>
    <row r="700" customFormat="false" ht="15" hidden="false" customHeight="false" outlineLevel="0" collapsed="false">
      <c r="A700" s="76" t="s">
        <v>1666</v>
      </c>
      <c r="B700" s="76" t="s">
        <v>83</v>
      </c>
      <c r="C700" s="76" t="s">
        <v>84</v>
      </c>
      <c r="D700" s="76" t="s">
        <v>1124</v>
      </c>
      <c r="E700" s="76" t="s">
        <v>1125</v>
      </c>
      <c r="F700" s="35" t="s">
        <v>1667</v>
      </c>
      <c r="G700" s="76" t="s">
        <v>684</v>
      </c>
      <c r="H700" s="76"/>
      <c r="I700" s="76"/>
      <c r="J700" s="76"/>
      <c r="K700" s="76"/>
      <c r="L700" s="77" t="s">
        <v>1114</v>
      </c>
    </row>
    <row r="701" customFormat="false" ht="15" hidden="false" customHeight="false" outlineLevel="0" collapsed="false">
      <c r="A701" s="76" t="s">
        <v>1666</v>
      </c>
      <c r="B701" s="76" t="s">
        <v>83</v>
      </c>
      <c r="C701" s="76" t="s">
        <v>84</v>
      </c>
      <c r="D701" s="76" t="s">
        <v>1124</v>
      </c>
      <c r="E701" s="76" t="s">
        <v>1125</v>
      </c>
      <c r="F701" s="35" t="s">
        <v>1667</v>
      </c>
      <c r="G701" s="76" t="s">
        <v>685</v>
      </c>
      <c r="H701" s="78" t="n">
        <v>0</v>
      </c>
      <c r="I701" s="76" t="s">
        <v>1130</v>
      </c>
      <c r="J701" s="76" t="n">
        <v>0</v>
      </c>
      <c r="K701" s="76" t="s">
        <v>1130</v>
      </c>
      <c r="L701" s="77" t="s">
        <v>1114</v>
      </c>
    </row>
    <row r="702" customFormat="false" ht="15" hidden="false" customHeight="false" outlineLevel="0" collapsed="false">
      <c r="A702" s="76" t="s">
        <v>1666</v>
      </c>
      <c r="B702" s="76" t="s">
        <v>83</v>
      </c>
      <c r="C702" s="76" t="s">
        <v>84</v>
      </c>
      <c r="D702" s="76" t="s">
        <v>1124</v>
      </c>
      <c r="E702" s="76" t="s">
        <v>1125</v>
      </c>
      <c r="F702" s="35" t="s">
        <v>1667</v>
      </c>
      <c r="G702" s="76" t="s">
        <v>434</v>
      </c>
      <c r="H702" s="78" t="n">
        <v>1</v>
      </c>
      <c r="I702" s="76" t="s">
        <v>1297</v>
      </c>
      <c r="J702" s="76" t="n">
        <v>1</v>
      </c>
      <c r="K702" s="76" t="s">
        <v>1297</v>
      </c>
      <c r="L702" s="77" t="s">
        <v>1114</v>
      </c>
    </row>
    <row r="703" customFormat="false" ht="15" hidden="false" customHeight="false" outlineLevel="0" collapsed="false">
      <c r="A703" s="76" t="s">
        <v>1668</v>
      </c>
      <c r="B703" s="76" t="s">
        <v>83</v>
      </c>
      <c r="C703" s="76" t="s">
        <v>84</v>
      </c>
      <c r="D703" s="76" t="s">
        <v>1132</v>
      </c>
      <c r="E703" s="76" t="s">
        <v>1133</v>
      </c>
      <c r="F703" s="35" t="s">
        <v>1669</v>
      </c>
      <c r="G703" s="76" t="s">
        <v>419</v>
      </c>
      <c r="H703" s="76"/>
      <c r="I703" s="76" t="s">
        <v>673</v>
      </c>
      <c r="J703" s="76"/>
      <c r="K703" s="76" t="s">
        <v>673</v>
      </c>
      <c r="L703" s="77" t="s">
        <v>1114</v>
      </c>
    </row>
    <row r="704" customFormat="false" ht="15" hidden="false" customHeight="false" outlineLevel="0" collapsed="false">
      <c r="A704" s="76" t="s">
        <v>1668</v>
      </c>
      <c r="B704" s="76" t="s">
        <v>83</v>
      </c>
      <c r="C704" s="76" t="s">
        <v>84</v>
      </c>
      <c r="D704" s="76" t="s">
        <v>1132</v>
      </c>
      <c r="E704" s="76" t="s">
        <v>1133</v>
      </c>
      <c r="F704" s="35" t="s">
        <v>1669</v>
      </c>
      <c r="G704" s="76" t="s">
        <v>673</v>
      </c>
      <c r="H704" s="78" t="n">
        <v>14008142.3363927</v>
      </c>
      <c r="I704" s="76" t="s">
        <v>1670</v>
      </c>
      <c r="J704" s="78" t="n">
        <v>14008142.3363927</v>
      </c>
      <c r="K704" s="76" t="s">
        <v>1670</v>
      </c>
      <c r="L704" s="77" t="s">
        <v>1114</v>
      </c>
    </row>
    <row r="705" customFormat="false" ht="15" hidden="false" customHeight="false" outlineLevel="0" collapsed="false">
      <c r="A705" s="76" t="s">
        <v>1668</v>
      </c>
      <c r="B705" s="76" t="s">
        <v>83</v>
      </c>
      <c r="C705" s="76" t="s">
        <v>84</v>
      </c>
      <c r="D705" s="76" t="s">
        <v>1132</v>
      </c>
      <c r="E705" s="76" t="s">
        <v>1133</v>
      </c>
      <c r="F705" s="35" t="s">
        <v>1669</v>
      </c>
      <c r="G705" s="76" t="s">
        <v>675</v>
      </c>
      <c r="H705" s="76" t="n">
        <v>1640000</v>
      </c>
      <c r="I705" s="76" t="s">
        <v>1671</v>
      </c>
      <c r="J705" s="76" t="n">
        <v>1640000</v>
      </c>
      <c r="K705" s="76" t="s">
        <v>1671</v>
      </c>
      <c r="L705" s="77" t="s">
        <v>1114</v>
      </c>
    </row>
    <row r="706" customFormat="false" ht="15" hidden="false" customHeight="false" outlineLevel="0" collapsed="false">
      <c r="A706" s="76" t="s">
        <v>1668</v>
      </c>
      <c r="B706" s="76" t="s">
        <v>83</v>
      </c>
      <c r="C706" s="76" t="s">
        <v>84</v>
      </c>
      <c r="D706" s="76" t="s">
        <v>1132</v>
      </c>
      <c r="E706" s="76" t="s">
        <v>1133</v>
      </c>
      <c r="F706" s="35" t="s">
        <v>1669</v>
      </c>
      <c r="G706" s="76" t="s">
        <v>681</v>
      </c>
      <c r="H706" s="78" t="n">
        <v>12368142.3363927</v>
      </c>
      <c r="I706" s="76" t="s">
        <v>1672</v>
      </c>
      <c r="J706" s="78" t="n">
        <v>12368142.3363927</v>
      </c>
      <c r="K706" s="76" t="s">
        <v>1672</v>
      </c>
      <c r="L706" s="77" t="s">
        <v>1114</v>
      </c>
    </row>
    <row r="707" customFormat="false" ht="15" hidden="false" customHeight="false" outlineLevel="0" collapsed="false">
      <c r="A707" s="76" t="s">
        <v>1668</v>
      </c>
      <c r="B707" s="76" t="s">
        <v>83</v>
      </c>
      <c r="C707" s="76" t="s">
        <v>84</v>
      </c>
      <c r="D707" s="76" t="s">
        <v>1132</v>
      </c>
      <c r="E707" s="76" t="s">
        <v>1133</v>
      </c>
      <c r="F707" s="35" t="s">
        <v>1669</v>
      </c>
      <c r="G707" s="76" t="s">
        <v>682</v>
      </c>
      <c r="H707" s="78" t="n">
        <v>3538071.08472379</v>
      </c>
      <c r="I707" s="76" t="s">
        <v>1673</v>
      </c>
      <c r="J707" s="78" t="n">
        <v>3538071.08472379</v>
      </c>
      <c r="K707" s="76" t="s">
        <v>1673</v>
      </c>
      <c r="L707" s="77" t="s">
        <v>1114</v>
      </c>
    </row>
    <row r="708" customFormat="false" ht="15" hidden="false" customHeight="false" outlineLevel="0" collapsed="false">
      <c r="A708" s="76" t="s">
        <v>1668</v>
      </c>
      <c r="B708" s="76" t="s">
        <v>83</v>
      </c>
      <c r="C708" s="76" t="s">
        <v>84</v>
      </c>
      <c r="D708" s="76" t="s">
        <v>1132</v>
      </c>
      <c r="E708" s="76" t="s">
        <v>1133</v>
      </c>
      <c r="F708" s="35" t="s">
        <v>1669</v>
      </c>
      <c r="G708" s="76" t="s">
        <v>684</v>
      </c>
      <c r="H708" s="78" t="n">
        <v>3538071.08472379</v>
      </c>
      <c r="I708" s="76" t="s">
        <v>1673</v>
      </c>
      <c r="J708" s="78" t="n">
        <v>3538071.08472379</v>
      </c>
      <c r="K708" s="76" t="s">
        <v>1673</v>
      </c>
      <c r="L708" s="77" t="s">
        <v>1114</v>
      </c>
    </row>
    <row r="709" customFormat="false" ht="15" hidden="false" customHeight="false" outlineLevel="0" collapsed="false">
      <c r="A709" s="76" t="s">
        <v>1668</v>
      </c>
      <c r="B709" s="76" t="s">
        <v>83</v>
      </c>
      <c r="C709" s="76" t="s">
        <v>84</v>
      </c>
      <c r="D709" s="76" t="s">
        <v>1132</v>
      </c>
      <c r="E709" s="76" t="s">
        <v>1133</v>
      </c>
      <c r="F709" s="35" t="s">
        <v>1669</v>
      </c>
      <c r="G709" s="76" t="s">
        <v>685</v>
      </c>
      <c r="H709" s="78" t="n">
        <v>3538071</v>
      </c>
      <c r="I709" s="76" t="s">
        <v>1674</v>
      </c>
      <c r="J709" s="76" t="n">
        <v>3538071</v>
      </c>
      <c r="K709" s="76" t="s">
        <v>1674</v>
      </c>
      <c r="L709" s="77" t="s">
        <v>1114</v>
      </c>
    </row>
    <row r="710" customFormat="false" ht="15" hidden="false" customHeight="false" outlineLevel="0" collapsed="false">
      <c r="A710" s="76" t="s">
        <v>1668</v>
      </c>
      <c r="B710" s="76" t="s">
        <v>83</v>
      </c>
      <c r="C710" s="76" t="s">
        <v>84</v>
      </c>
      <c r="D710" s="76" t="s">
        <v>1132</v>
      </c>
      <c r="E710" s="76" t="s">
        <v>1133</v>
      </c>
      <c r="F710" s="35" t="s">
        <v>1669</v>
      </c>
      <c r="G710" s="76" t="s">
        <v>434</v>
      </c>
      <c r="H710" s="78" t="n">
        <v>40</v>
      </c>
      <c r="I710" s="76" t="s">
        <v>1675</v>
      </c>
      <c r="J710" s="76" t="n">
        <v>40</v>
      </c>
      <c r="K710" s="76" t="s">
        <v>1675</v>
      </c>
      <c r="L710" s="77" t="s">
        <v>1114</v>
      </c>
    </row>
    <row r="711" customFormat="false" ht="15" hidden="false" customHeight="false" outlineLevel="0" collapsed="false">
      <c r="A711" s="76" t="s">
        <v>1676</v>
      </c>
      <c r="B711" s="76" t="s">
        <v>83</v>
      </c>
      <c r="C711" s="76" t="s">
        <v>84</v>
      </c>
      <c r="D711" s="76" t="s">
        <v>1141</v>
      </c>
      <c r="E711" s="76" t="s">
        <v>1142</v>
      </c>
      <c r="F711" s="35" t="s">
        <v>1677</v>
      </c>
      <c r="G711" s="76" t="s">
        <v>419</v>
      </c>
      <c r="H711" s="76"/>
      <c r="I711" s="76" t="s">
        <v>673</v>
      </c>
      <c r="J711" s="76"/>
      <c r="K711" s="76" t="s">
        <v>673</v>
      </c>
      <c r="L711" s="77" t="s">
        <v>1114</v>
      </c>
    </row>
    <row r="712" customFormat="false" ht="15" hidden="false" customHeight="false" outlineLevel="0" collapsed="false">
      <c r="A712" s="76" t="s">
        <v>1676</v>
      </c>
      <c r="B712" s="76" t="s">
        <v>83</v>
      </c>
      <c r="C712" s="76" t="s">
        <v>84</v>
      </c>
      <c r="D712" s="76" t="s">
        <v>1141</v>
      </c>
      <c r="E712" s="76" t="s">
        <v>1142</v>
      </c>
      <c r="F712" s="35" t="s">
        <v>1677</v>
      </c>
      <c r="G712" s="76" t="s">
        <v>673</v>
      </c>
      <c r="H712" s="78" t="n">
        <v>5206992.12545038</v>
      </c>
      <c r="I712" s="76" t="s">
        <v>1678</v>
      </c>
      <c r="J712" s="78" t="n">
        <v>5206992.12545038</v>
      </c>
      <c r="K712" s="76" t="s">
        <v>1678</v>
      </c>
      <c r="L712" s="77" t="s">
        <v>1114</v>
      </c>
    </row>
    <row r="713" customFormat="false" ht="15" hidden="false" customHeight="false" outlineLevel="0" collapsed="false">
      <c r="A713" s="76" t="s">
        <v>1676</v>
      </c>
      <c r="B713" s="76" t="s">
        <v>83</v>
      </c>
      <c r="C713" s="76" t="s">
        <v>84</v>
      </c>
      <c r="D713" s="76" t="s">
        <v>1141</v>
      </c>
      <c r="E713" s="76" t="s">
        <v>1142</v>
      </c>
      <c r="F713" s="35" t="s">
        <v>1677</v>
      </c>
      <c r="G713" s="76" t="s">
        <v>675</v>
      </c>
      <c r="H713" s="76" t="n">
        <v>1318900</v>
      </c>
      <c r="I713" s="76" t="s">
        <v>1679</v>
      </c>
      <c r="J713" s="76" t="n">
        <v>1318900</v>
      </c>
      <c r="K713" s="76" t="s">
        <v>1679</v>
      </c>
      <c r="L713" s="77" t="s">
        <v>1114</v>
      </c>
    </row>
    <row r="714" customFormat="false" ht="15" hidden="false" customHeight="false" outlineLevel="0" collapsed="false">
      <c r="A714" s="76" t="s">
        <v>1676</v>
      </c>
      <c r="B714" s="76" t="s">
        <v>83</v>
      </c>
      <c r="C714" s="76" t="s">
        <v>84</v>
      </c>
      <c r="D714" s="76" t="s">
        <v>1141</v>
      </c>
      <c r="E714" s="76" t="s">
        <v>1142</v>
      </c>
      <c r="F714" s="35" t="s">
        <v>1677</v>
      </c>
      <c r="G714" s="76" t="s">
        <v>681</v>
      </c>
      <c r="H714" s="78" t="n">
        <v>3888092.12545038</v>
      </c>
      <c r="I714" s="76" t="s">
        <v>1680</v>
      </c>
      <c r="J714" s="78" t="n">
        <v>3888092.12545038</v>
      </c>
      <c r="K714" s="76" t="s">
        <v>1680</v>
      </c>
      <c r="L714" s="77" t="s">
        <v>1114</v>
      </c>
    </row>
    <row r="715" customFormat="false" ht="15" hidden="false" customHeight="false" outlineLevel="0" collapsed="false">
      <c r="A715" s="76" t="s">
        <v>1676</v>
      </c>
      <c r="B715" s="76" t="s">
        <v>83</v>
      </c>
      <c r="C715" s="76" t="s">
        <v>84</v>
      </c>
      <c r="D715" s="76" t="s">
        <v>1141</v>
      </c>
      <c r="E715" s="76" t="s">
        <v>1142</v>
      </c>
      <c r="F715" s="35" t="s">
        <v>1677</v>
      </c>
      <c r="G715" s="76" t="s">
        <v>682</v>
      </c>
      <c r="H715" s="78" t="n">
        <v>1960834.86856952</v>
      </c>
      <c r="I715" s="76" t="s">
        <v>1681</v>
      </c>
      <c r="J715" s="78" t="n">
        <v>1960834.86856952</v>
      </c>
      <c r="K715" s="76" t="s">
        <v>1681</v>
      </c>
      <c r="L715" s="77" t="s">
        <v>1114</v>
      </c>
    </row>
    <row r="716" customFormat="false" ht="15" hidden="false" customHeight="false" outlineLevel="0" collapsed="false">
      <c r="A716" s="76" t="s">
        <v>1676</v>
      </c>
      <c r="B716" s="76" t="s">
        <v>83</v>
      </c>
      <c r="C716" s="76" t="s">
        <v>84</v>
      </c>
      <c r="D716" s="76" t="s">
        <v>1141</v>
      </c>
      <c r="E716" s="76" t="s">
        <v>1142</v>
      </c>
      <c r="F716" s="35" t="s">
        <v>1677</v>
      </c>
      <c r="G716" s="76" t="s">
        <v>684</v>
      </c>
      <c r="H716" s="78" t="n">
        <v>1960834.86856952</v>
      </c>
      <c r="I716" s="76" t="s">
        <v>1681</v>
      </c>
      <c r="J716" s="78" t="n">
        <v>1960834.86856952</v>
      </c>
      <c r="K716" s="76" t="s">
        <v>1681</v>
      </c>
      <c r="L716" s="77" t="s">
        <v>1114</v>
      </c>
    </row>
    <row r="717" customFormat="false" ht="15" hidden="false" customHeight="false" outlineLevel="0" collapsed="false">
      <c r="A717" s="76" t="s">
        <v>1676</v>
      </c>
      <c r="B717" s="76" t="s">
        <v>83</v>
      </c>
      <c r="C717" s="76" t="s">
        <v>84</v>
      </c>
      <c r="D717" s="76" t="s">
        <v>1141</v>
      </c>
      <c r="E717" s="76" t="s">
        <v>1142</v>
      </c>
      <c r="F717" s="35" t="s">
        <v>1677</v>
      </c>
      <c r="G717" s="76" t="s">
        <v>685</v>
      </c>
      <c r="H717" s="78" t="n">
        <v>1960835</v>
      </c>
      <c r="I717" s="76" t="s">
        <v>1682</v>
      </c>
      <c r="J717" s="76" t="n">
        <v>1960835</v>
      </c>
      <c r="K717" s="76" t="s">
        <v>1682</v>
      </c>
      <c r="L717" s="77" t="s">
        <v>1114</v>
      </c>
    </row>
    <row r="718" customFormat="false" ht="15" hidden="false" customHeight="false" outlineLevel="0" collapsed="false">
      <c r="A718" s="76" t="s">
        <v>1676</v>
      </c>
      <c r="B718" s="76" t="s">
        <v>83</v>
      </c>
      <c r="C718" s="76" t="s">
        <v>84</v>
      </c>
      <c r="D718" s="76" t="s">
        <v>1141</v>
      </c>
      <c r="E718" s="76" t="s">
        <v>1142</v>
      </c>
      <c r="F718" s="35" t="s">
        <v>1677</v>
      </c>
      <c r="G718" s="76" t="s">
        <v>434</v>
      </c>
      <c r="H718" s="78" t="n">
        <v>36</v>
      </c>
      <c r="I718" s="76" t="s">
        <v>1683</v>
      </c>
      <c r="J718" s="76" t="n">
        <v>36</v>
      </c>
      <c r="K718" s="76" t="s">
        <v>1683</v>
      </c>
      <c r="L718" s="77" t="s">
        <v>1114</v>
      </c>
    </row>
    <row r="719" customFormat="false" ht="15" hidden="false" customHeight="false" outlineLevel="0" collapsed="false">
      <c r="A719" s="76" t="s">
        <v>1684</v>
      </c>
      <c r="B719" s="76" t="s">
        <v>83</v>
      </c>
      <c r="C719" s="76" t="s">
        <v>84</v>
      </c>
      <c r="D719" s="76" t="s">
        <v>1151</v>
      </c>
      <c r="E719" s="76" t="s">
        <v>1152</v>
      </c>
      <c r="F719" s="35" t="s">
        <v>1685</v>
      </c>
      <c r="G719" s="76" t="s">
        <v>419</v>
      </c>
      <c r="H719" s="76"/>
      <c r="I719" s="76" t="s">
        <v>673</v>
      </c>
      <c r="J719" s="76"/>
      <c r="K719" s="76" t="s">
        <v>673</v>
      </c>
      <c r="L719" s="77" t="s">
        <v>1114</v>
      </c>
    </row>
    <row r="720" customFormat="false" ht="15" hidden="false" customHeight="false" outlineLevel="0" collapsed="false">
      <c r="A720" s="76" t="s">
        <v>1684</v>
      </c>
      <c r="B720" s="76" t="s">
        <v>83</v>
      </c>
      <c r="C720" s="76" t="s">
        <v>84</v>
      </c>
      <c r="D720" s="76" t="s">
        <v>1151</v>
      </c>
      <c r="E720" s="76" t="s">
        <v>1152</v>
      </c>
      <c r="F720" s="35" t="s">
        <v>1685</v>
      </c>
      <c r="G720" s="76" t="s">
        <v>673</v>
      </c>
      <c r="H720" s="76" t="n">
        <v>53000</v>
      </c>
      <c r="I720" s="76" t="s">
        <v>1644</v>
      </c>
      <c r="J720" s="76" t="n">
        <v>53000</v>
      </c>
      <c r="K720" s="76" t="s">
        <v>1644</v>
      </c>
      <c r="L720" s="77" t="s">
        <v>1114</v>
      </c>
    </row>
    <row r="721" customFormat="false" ht="15" hidden="false" customHeight="false" outlineLevel="0" collapsed="false">
      <c r="A721" s="76" t="s">
        <v>1684</v>
      </c>
      <c r="B721" s="76" t="s">
        <v>83</v>
      </c>
      <c r="C721" s="76" t="s">
        <v>84</v>
      </c>
      <c r="D721" s="76" t="s">
        <v>1151</v>
      </c>
      <c r="E721" s="76" t="s">
        <v>1152</v>
      </c>
      <c r="F721" s="35" t="s">
        <v>1685</v>
      </c>
      <c r="G721" s="76" t="s">
        <v>675</v>
      </c>
      <c r="H721" s="76" t="n">
        <v>53000</v>
      </c>
      <c r="I721" s="76" t="s">
        <v>1644</v>
      </c>
      <c r="J721" s="76" t="n">
        <v>53000</v>
      </c>
      <c r="K721" s="76" t="s">
        <v>1644</v>
      </c>
      <c r="L721" s="77" t="s">
        <v>1114</v>
      </c>
    </row>
    <row r="722" customFormat="false" ht="15" hidden="false" customHeight="false" outlineLevel="0" collapsed="false">
      <c r="A722" s="76" t="s">
        <v>1684</v>
      </c>
      <c r="B722" s="76" t="s">
        <v>83</v>
      </c>
      <c r="C722" s="76" t="s">
        <v>84</v>
      </c>
      <c r="D722" s="76" t="s">
        <v>1151</v>
      </c>
      <c r="E722" s="76" t="s">
        <v>1152</v>
      </c>
      <c r="F722" s="35" t="s">
        <v>1685</v>
      </c>
      <c r="G722" s="76" t="s">
        <v>681</v>
      </c>
      <c r="H722" s="76" t="n">
        <v>0</v>
      </c>
      <c r="I722" s="76" t="s">
        <v>1127</v>
      </c>
      <c r="J722" s="76" t="n">
        <v>0</v>
      </c>
      <c r="K722" s="76" t="s">
        <v>1127</v>
      </c>
      <c r="L722" s="77" t="s">
        <v>1114</v>
      </c>
    </row>
    <row r="723" customFormat="false" ht="15" hidden="false" customHeight="false" outlineLevel="0" collapsed="false">
      <c r="A723" s="76" t="s">
        <v>1684</v>
      </c>
      <c r="B723" s="76" t="s">
        <v>83</v>
      </c>
      <c r="C723" s="76" t="s">
        <v>84</v>
      </c>
      <c r="D723" s="76" t="s">
        <v>1151</v>
      </c>
      <c r="E723" s="76" t="s">
        <v>1152</v>
      </c>
      <c r="F723" s="35" t="s">
        <v>1685</v>
      </c>
      <c r="G723" s="76" t="s">
        <v>682</v>
      </c>
      <c r="H723" s="78" t="n">
        <v>35667.480654727</v>
      </c>
      <c r="I723" s="76" t="s">
        <v>1686</v>
      </c>
      <c r="J723" s="78" t="n">
        <v>35667.480654727</v>
      </c>
      <c r="K723" s="76" t="s">
        <v>1686</v>
      </c>
      <c r="L723" s="77" t="s">
        <v>1114</v>
      </c>
    </row>
    <row r="724" customFormat="false" ht="15" hidden="false" customHeight="false" outlineLevel="0" collapsed="false">
      <c r="A724" s="76" t="s">
        <v>1684</v>
      </c>
      <c r="B724" s="76" t="s">
        <v>83</v>
      </c>
      <c r="C724" s="76" t="s">
        <v>84</v>
      </c>
      <c r="D724" s="76" t="s">
        <v>1151</v>
      </c>
      <c r="E724" s="76" t="s">
        <v>1152</v>
      </c>
      <c r="F724" s="35" t="s">
        <v>1685</v>
      </c>
      <c r="G724" s="76" t="s">
        <v>684</v>
      </c>
      <c r="H724" s="78" t="n">
        <v>35667.480654727</v>
      </c>
      <c r="I724" s="76" t="s">
        <v>1686</v>
      </c>
      <c r="J724" s="78" t="n">
        <v>35667.480654727</v>
      </c>
      <c r="K724" s="76" t="s">
        <v>1686</v>
      </c>
      <c r="L724" s="77" t="s">
        <v>1114</v>
      </c>
    </row>
    <row r="725" customFormat="false" ht="15" hidden="false" customHeight="false" outlineLevel="0" collapsed="false">
      <c r="A725" s="76" t="s">
        <v>1684</v>
      </c>
      <c r="B725" s="76" t="s">
        <v>83</v>
      </c>
      <c r="C725" s="76" t="s">
        <v>84</v>
      </c>
      <c r="D725" s="76" t="s">
        <v>1151</v>
      </c>
      <c r="E725" s="76" t="s">
        <v>1152</v>
      </c>
      <c r="F725" s="35" t="s">
        <v>1685</v>
      </c>
      <c r="G725" s="76" t="s">
        <v>685</v>
      </c>
      <c r="H725" s="78" t="n">
        <v>35667</v>
      </c>
      <c r="I725" s="76" t="s">
        <v>1687</v>
      </c>
      <c r="J725" s="76" t="n">
        <v>35667</v>
      </c>
      <c r="K725" s="76" t="s">
        <v>1687</v>
      </c>
      <c r="L725" s="77" t="s">
        <v>1114</v>
      </c>
    </row>
    <row r="726" customFormat="false" ht="15" hidden="false" customHeight="false" outlineLevel="0" collapsed="false">
      <c r="A726" s="76" t="s">
        <v>1684</v>
      </c>
      <c r="B726" s="76" t="s">
        <v>83</v>
      </c>
      <c r="C726" s="76" t="s">
        <v>84</v>
      </c>
      <c r="D726" s="76" t="s">
        <v>1151</v>
      </c>
      <c r="E726" s="76" t="s">
        <v>1152</v>
      </c>
      <c r="F726" s="35" t="s">
        <v>1685</v>
      </c>
      <c r="G726" s="76" t="s">
        <v>434</v>
      </c>
      <c r="H726" s="78" t="n">
        <v>20</v>
      </c>
      <c r="I726" s="76" t="s">
        <v>1350</v>
      </c>
      <c r="J726" s="76" t="n">
        <v>20</v>
      </c>
      <c r="K726" s="76" t="s">
        <v>1350</v>
      </c>
      <c r="L726" s="77" t="s">
        <v>1114</v>
      </c>
    </row>
    <row r="727" customFormat="false" ht="15" hidden="false" customHeight="false" outlineLevel="0" collapsed="false">
      <c r="A727" s="76" t="s">
        <v>1688</v>
      </c>
      <c r="B727" s="76" t="s">
        <v>83</v>
      </c>
      <c r="C727" s="76" t="s">
        <v>84</v>
      </c>
      <c r="D727" s="76" t="s">
        <v>1170</v>
      </c>
      <c r="E727" s="76" t="s">
        <v>1171</v>
      </c>
      <c r="F727" s="35" t="s">
        <v>1689</v>
      </c>
      <c r="G727" s="76" t="s">
        <v>419</v>
      </c>
      <c r="H727" s="76"/>
      <c r="I727" s="76" t="s">
        <v>673</v>
      </c>
      <c r="J727" s="76"/>
      <c r="K727" s="76" t="s">
        <v>673</v>
      </c>
      <c r="L727" s="77" t="s">
        <v>1114</v>
      </c>
    </row>
    <row r="728" customFormat="false" ht="15" hidden="false" customHeight="false" outlineLevel="0" collapsed="false">
      <c r="A728" s="76" t="s">
        <v>1688</v>
      </c>
      <c r="B728" s="76" t="s">
        <v>83</v>
      </c>
      <c r="C728" s="76" t="s">
        <v>84</v>
      </c>
      <c r="D728" s="76" t="s">
        <v>1170</v>
      </c>
      <c r="E728" s="76" t="s">
        <v>1171</v>
      </c>
      <c r="F728" s="35" t="s">
        <v>1689</v>
      </c>
      <c r="G728" s="76" t="s">
        <v>673</v>
      </c>
      <c r="H728" s="78" t="n">
        <v>10955.6157151671</v>
      </c>
      <c r="I728" s="76" t="s">
        <v>1690</v>
      </c>
      <c r="J728" s="78" t="n">
        <v>10955.6157151671</v>
      </c>
      <c r="K728" s="76" t="s">
        <v>1690</v>
      </c>
      <c r="L728" s="77" t="s">
        <v>1114</v>
      </c>
    </row>
    <row r="729" customFormat="false" ht="15" hidden="false" customHeight="false" outlineLevel="0" collapsed="false">
      <c r="A729" s="76" t="s">
        <v>1688</v>
      </c>
      <c r="B729" s="76" t="s">
        <v>83</v>
      </c>
      <c r="C729" s="76" t="s">
        <v>84</v>
      </c>
      <c r="D729" s="76" t="s">
        <v>1170</v>
      </c>
      <c r="E729" s="76" t="s">
        <v>1171</v>
      </c>
      <c r="F729" s="35" t="s">
        <v>1689</v>
      </c>
      <c r="G729" s="76" t="s">
        <v>675</v>
      </c>
      <c r="H729" s="76" t="n">
        <v>5000</v>
      </c>
      <c r="I729" s="76" t="s">
        <v>1294</v>
      </c>
      <c r="J729" s="76" t="n">
        <v>5000</v>
      </c>
      <c r="K729" s="76" t="s">
        <v>1294</v>
      </c>
      <c r="L729" s="77" t="s">
        <v>1114</v>
      </c>
    </row>
    <row r="730" customFormat="false" ht="15" hidden="false" customHeight="false" outlineLevel="0" collapsed="false">
      <c r="A730" s="76" t="s">
        <v>1688</v>
      </c>
      <c r="B730" s="76" t="s">
        <v>83</v>
      </c>
      <c r="C730" s="76" t="s">
        <v>84</v>
      </c>
      <c r="D730" s="76" t="s">
        <v>1170</v>
      </c>
      <c r="E730" s="76" t="s">
        <v>1171</v>
      </c>
      <c r="F730" s="35" t="s">
        <v>1689</v>
      </c>
      <c r="G730" s="76" t="s">
        <v>681</v>
      </c>
      <c r="H730" s="78" t="n">
        <v>5955.6157151671</v>
      </c>
      <c r="I730" s="76" t="s">
        <v>1691</v>
      </c>
      <c r="J730" s="78" t="n">
        <v>5955.6157151671</v>
      </c>
      <c r="K730" s="76" t="s">
        <v>1691</v>
      </c>
      <c r="L730" s="77" t="s">
        <v>1114</v>
      </c>
    </row>
    <row r="731" customFormat="false" ht="15" hidden="false" customHeight="false" outlineLevel="0" collapsed="false">
      <c r="A731" s="76" t="s">
        <v>1688</v>
      </c>
      <c r="B731" s="76" t="s">
        <v>83</v>
      </c>
      <c r="C731" s="76" t="s">
        <v>84</v>
      </c>
      <c r="D731" s="76" t="s">
        <v>1170</v>
      </c>
      <c r="E731" s="76" t="s">
        <v>1171</v>
      </c>
      <c r="F731" s="35" t="s">
        <v>1689</v>
      </c>
      <c r="G731" s="76" t="s">
        <v>682</v>
      </c>
      <c r="H731" s="76"/>
      <c r="I731" s="76"/>
      <c r="J731" s="76"/>
      <c r="K731" s="76"/>
      <c r="L731" s="77" t="s">
        <v>1114</v>
      </c>
    </row>
    <row r="732" customFormat="false" ht="15" hidden="false" customHeight="false" outlineLevel="0" collapsed="false">
      <c r="A732" s="76" t="s">
        <v>1688</v>
      </c>
      <c r="B732" s="76" t="s">
        <v>83</v>
      </c>
      <c r="C732" s="76" t="s">
        <v>84</v>
      </c>
      <c r="D732" s="76" t="s">
        <v>1170</v>
      </c>
      <c r="E732" s="76" t="s">
        <v>1171</v>
      </c>
      <c r="F732" s="35" t="s">
        <v>1689</v>
      </c>
      <c r="G732" s="76" t="s">
        <v>684</v>
      </c>
      <c r="H732" s="76"/>
      <c r="I732" s="76"/>
      <c r="J732" s="76"/>
      <c r="K732" s="76"/>
      <c r="L732" s="77" t="s">
        <v>1114</v>
      </c>
    </row>
    <row r="733" customFormat="false" ht="15" hidden="false" customHeight="false" outlineLevel="0" collapsed="false">
      <c r="A733" s="76" t="s">
        <v>1688</v>
      </c>
      <c r="B733" s="76" t="s">
        <v>83</v>
      </c>
      <c r="C733" s="76" t="s">
        <v>84</v>
      </c>
      <c r="D733" s="76" t="s">
        <v>1170</v>
      </c>
      <c r="E733" s="76" t="s">
        <v>1171</v>
      </c>
      <c r="F733" s="35" t="s">
        <v>1689</v>
      </c>
      <c r="G733" s="76" t="s">
        <v>685</v>
      </c>
      <c r="H733" s="78" t="n">
        <v>10956</v>
      </c>
      <c r="I733" s="76" t="s">
        <v>1692</v>
      </c>
      <c r="J733" s="76" t="n">
        <v>10956</v>
      </c>
      <c r="K733" s="76" t="s">
        <v>1692</v>
      </c>
      <c r="L733" s="77" t="s">
        <v>1114</v>
      </c>
    </row>
    <row r="734" customFormat="false" ht="15" hidden="false" customHeight="false" outlineLevel="0" collapsed="false">
      <c r="A734" s="76" t="s">
        <v>1688</v>
      </c>
      <c r="B734" s="76" t="s">
        <v>83</v>
      </c>
      <c r="C734" s="76" t="s">
        <v>84</v>
      </c>
      <c r="D734" s="76" t="s">
        <v>1170</v>
      </c>
      <c r="E734" s="76" t="s">
        <v>1171</v>
      </c>
      <c r="F734" s="35" t="s">
        <v>1689</v>
      </c>
      <c r="G734" s="76" t="s">
        <v>434</v>
      </c>
      <c r="H734" s="78" t="n">
        <v>20</v>
      </c>
      <c r="I734" s="76" t="s">
        <v>1350</v>
      </c>
      <c r="J734" s="76" t="n">
        <v>20</v>
      </c>
      <c r="K734" s="76" t="s">
        <v>1350</v>
      </c>
      <c r="L734" s="77" t="s">
        <v>1114</v>
      </c>
    </row>
    <row r="735" customFormat="false" ht="15" hidden="false" customHeight="false" outlineLevel="0" collapsed="false">
      <c r="A735" s="76" t="s">
        <v>1693</v>
      </c>
      <c r="B735" s="76" t="s">
        <v>83</v>
      </c>
      <c r="C735" s="76" t="s">
        <v>84</v>
      </c>
      <c r="D735" s="76" t="s">
        <v>1180</v>
      </c>
      <c r="E735" s="76" t="s">
        <v>1152</v>
      </c>
      <c r="F735" s="35" t="s">
        <v>1694</v>
      </c>
      <c r="G735" s="76" t="s">
        <v>419</v>
      </c>
      <c r="H735" s="76"/>
      <c r="I735" s="76" t="s">
        <v>673</v>
      </c>
      <c r="J735" s="76"/>
      <c r="K735" s="76" t="s">
        <v>673</v>
      </c>
      <c r="L735" s="77" t="s">
        <v>1114</v>
      </c>
    </row>
    <row r="736" customFormat="false" ht="15" hidden="false" customHeight="false" outlineLevel="0" collapsed="false">
      <c r="A736" s="76" t="s">
        <v>1693</v>
      </c>
      <c r="B736" s="76" t="s">
        <v>83</v>
      </c>
      <c r="C736" s="76" t="s">
        <v>84</v>
      </c>
      <c r="D736" s="76" t="s">
        <v>1180</v>
      </c>
      <c r="E736" s="76" t="s">
        <v>1152</v>
      </c>
      <c r="F736" s="35" t="s">
        <v>1694</v>
      </c>
      <c r="G736" s="76" t="s">
        <v>673</v>
      </c>
      <c r="H736" s="78" t="n">
        <v>462218.033042635</v>
      </c>
      <c r="I736" s="76" t="s">
        <v>1695</v>
      </c>
      <c r="J736" s="78" t="n">
        <v>462218.033042635</v>
      </c>
      <c r="K736" s="76" t="s">
        <v>1695</v>
      </c>
      <c r="L736" s="77" t="s">
        <v>1114</v>
      </c>
    </row>
    <row r="737" customFormat="false" ht="15" hidden="false" customHeight="false" outlineLevel="0" collapsed="false">
      <c r="A737" s="76" t="s">
        <v>1693</v>
      </c>
      <c r="B737" s="76" t="s">
        <v>83</v>
      </c>
      <c r="C737" s="76" t="s">
        <v>84</v>
      </c>
      <c r="D737" s="76" t="s">
        <v>1180</v>
      </c>
      <c r="E737" s="76" t="s">
        <v>1152</v>
      </c>
      <c r="F737" s="35" t="s">
        <v>1694</v>
      </c>
      <c r="G737" s="76" t="s">
        <v>675</v>
      </c>
      <c r="H737" s="76" t="n">
        <v>370600</v>
      </c>
      <c r="I737" s="76" t="s">
        <v>1696</v>
      </c>
      <c r="J737" s="76" t="n">
        <v>370600</v>
      </c>
      <c r="K737" s="76" t="s">
        <v>1696</v>
      </c>
      <c r="L737" s="77" t="s">
        <v>1114</v>
      </c>
    </row>
    <row r="738" customFormat="false" ht="15" hidden="false" customHeight="false" outlineLevel="0" collapsed="false">
      <c r="A738" s="76" t="s">
        <v>1693</v>
      </c>
      <c r="B738" s="76" t="s">
        <v>83</v>
      </c>
      <c r="C738" s="76" t="s">
        <v>84</v>
      </c>
      <c r="D738" s="76" t="s">
        <v>1180</v>
      </c>
      <c r="E738" s="76" t="s">
        <v>1152</v>
      </c>
      <c r="F738" s="35" t="s">
        <v>1694</v>
      </c>
      <c r="G738" s="76" t="s">
        <v>681</v>
      </c>
      <c r="H738" s="78" t="n">
        <v>91618.0330426348</v>
      </c>
      <c r="I738" s="76" t="s">
        <v>1697</v>
      </c>
      <c r="J738" s="78" t="n">
        <v>91618.0330426348</v>
      </c>
      <c r="K738" s="76" t="s">
        <v>1697</v>
      </c>
      <c r="L738" s="77" t="s">
        <v>1114</v>
      </c>
    </row>
    <row r="739" customFormat="false" ht="15" hidden="false" customHeight="false" outlineLevel="0" collapsed="false">
      <c r="A739" s="76" t="s">
        <v>1693</v>
      </c>
      <c r="B739" s="76" t="s">
        <v>83</v>
      </c>
      <c r="C739" s="76" t="s">
        <v>84</v>
      </c>
      <c r="D739" s="76" t="s">
        <v>1180</v>
      </c>
      <c r="E739" s="76" t="s">
        <v>1152</v>
      </c>
      <c r="F739" s="35" t="s">
        <v>1694</v>
      </c>
      <c r="G739" s="76" t="s">
        <v>682</v>
      </c>
      <c r="H739" s="78" t="n">
        <v>364455.764684894</v>
      </c>
      <c r="I739" s="76" t="s">
        <v>1698</v>
      </c>
      <c r="J739" s="78" t="n">
        <v>364455.764684894</v>
      </c>
      <c r="K739" s="76" t="s">
        <v>1698</v>
      </c>
      <c r="L739" s="77" t="s">
        <v>1114</v>
      </c>
    </row>
    <row r="740" customFormat="false" ht="15" hidden="false" customHeight="false" outlineLevel="0" collapsed="false">
      <c r="A740" s="76" t="s">
        <v>1693</v>
      </c>
      <c r="B740" s="76" t="s">
        <v>83</v>
      </c>
      <c r="C740" s="76" t="s">
        <v>84</v>
      </c>
      <c r="D740" s="76" t="s">
        <v>1180</v>
      </c>
      <c r="E740" s="76" t="s">
        <v>1152</v>
      </c>
      <c r="F740" s="35" t="s">
        <v>1694</v>
      </c>
      <c r="G740" s="76" t="s">
        <v>684</v>
      </c>
      <c r="H740" s="78" t="n">
        <v>364455.764684894</v>
      </c>
      <c r="I740" s="76" t="s">
        <v>1698</v>
      </c>
      <c r="J740" s="78" t="n">
        <v>364455.764684894</v>
      </c>
      <c r="K740" s="76" t="s">
        <v>1698</v>
      </c>
      <c r="L740" s="77" t="s">
        <v>1114</v>
      </c>
    </row>
    <row r="741" customFormat="false" ht="15" hidden="false" customHeight="false" outlineLevel="0" collapsed="false">
      <c r="A741" s="76" t="s">
        <v>1693</v>
      </c>
      <c r="B741" s="76" t="s">
        <v>83</v>
      </c>
      <c r="C741" s="76" t="s">
        <v>84</v>
      </c>
      <c r="D741" s="76" t="s">
        <v>1180</v>
      </c>
      <c r="E741" s="76" t="s">
        <v>1152</v>
      </c>
      <c r="F741" s="35" t="s">
        <v>1694</v>
      </c>
      <c r="G741" s="76" t="s">
        <v>685</v>
      </c>
      <c r="H741" s="78" t="n">
        <v>364456</v>
      </c>
      <c r="I741" s="76" t="s">
        <v>1699</v>
      </c>
      <c r="J741" s="76" t="n">
        <v>364456</v>
      </c>
      <c r="K741" s="76" t="s">
        <v>1699</v>
      </c>
      <c r="L741" s="77" t="s">
        <v>1114</v>
      </c>
    </row>
    <row r="742" customFormat="false" ht="15" hidden="false" customHeight="false" outlineLevel="0" collapsed="false">
      <c r="A742" s="76" t="s">
        <v>1693</v>
      </c>
      <c r="B742" s="76" t="s">
        <v>83</v>
      </c>
      <c r="C742" s="76" t="s">
        <v>84</v>
      </c>
      <c r="D742" s="76" t="s">
        <v>1180</v>
      </c>
      <c r="E742" s="76" t="s">
        <v>1152</v>
      </c>
      <c r="F742" s="35" t="s">
        <v>1694</v>
      </c>
      <c r="G742" s="76" t="s">
        <v>434</v>
      </c>
      <c r="H742" s="78" t="n">
        <v>12</v>
      </c>
      <c r="I742" s="76" t="s">
        <v>1700</v>
      </c>
      <c r="J742" s="76" t="n">
        <v>12</v>
      </c>
      <c r="K742" s="76" t="s">
        <v>1700</v>
      </c>
      <c r="L742" s="77" t="s">
        <v>1114</v>
      </c>
    </row>
    <row r="743" customFormat="false" ht="15" hidden="false" customHeight="false" outlineLevel="0" collapsed="false">
      <c r="A743" s="76" t="s">
        <v>1701</v>
      </c>
      <c r="B743" s="76" t="s">
        <v>83</v>
      </c>
      <c r="C743" s="76" t="s">
        <v>84</v>
      </c>
      <c r="D743" s="76" t="s">
        <v>1189</v>
      </c>
      <c r="E743" s="76" t="s">
        <v>1125</v>
      </c>
      <c r="F743" s="35" t="s">
        <v>1702</v>
      </c>
      <c r="G743" s="76" t="s">
        <v>419</v>
      </c>
      <c r="H743" s="76"/>
      <c r="I743" s="76" t="s">
        <v>673</v>
      </c>
      <c r="J743" s="76"/>
      <c r="K743" s="76" t="s">
        <v>673</v>
      </c>
      <c r="L743" s="77" t="s">
        <v>1114</v>
      </c>
    </row>
    <row r="744" customFormat="false" ht="15" hidden="false" customHeight="false" outlineLevel="0" collapsed="false">
      <c r="A744" s="76" t="s">
        <v>1701</v>
      </c>
      <c r="B744" s="76" t="s">
        <v>83</v>
      </c>
      <c r="C744" s="76" t="s">
        <v>84</v>
      </c>
      <c r="D744" s="76" t="s">
        <v>1189</v>
      </c>
      <c r="E744" s="76" t="s">
        <v>1125</v>
      </c>
      <c r="F744" s="35" t="s">
        <v>1702</v>
      </c>
      <c r="G744" s="76" t="s">
        <v>673</v>
      </c>
      <c r="H744" s="78" t="n">
        <v>254134.765203853</v>
      </c>
      <c r="I744" s="76" t="s">
        <v>1703</v>
      </c>
      <c r="J744" s="78" t="n">
        <v>254134.765203853</v>
      </c>
      <c r="K744" s="76" t="s">
        <v>1703</v>
      </c>
      <c r="L744" s="77" t="s">
        <v>1114</v>
      </c>
    </row>
    <row r="745" customFormat="false" ht="15" hidden="false" customHeight="false" outlineLevel="0" collapsed="false">
      <c r="A745" s="76" t="s">
        <v>1701</v>
      </c>
      <c r="B745" s="76" t="s">
        <v>83</v>
      </c>
      <c r="C745" s="76" t="s">
        <v>84</v>
      </c>
      <c r="D745" s="76" t="s">
        <v>1189</v>
      </c>
      <c r="E745" s="76" t="s">
        <v>1125</v>
      </c>
      <c r="F745" s="35" t="s">
        <v>1702</v>
      </c>
      <c r="G745" s="76" t="s">
        <v>675</v>
      </c>
      <c r="H745" s="76" t="n">
        <v>157800</v>
      </c>
      <c r="I745" s="76" t="s">
        <v>1704</v>
      </c>
      <c r="J745" s="76" t="n">
        <v>157800</v>
      </c>
      <c r="K745" s="76" t="s">
        <v>1704</v>
      </c>
      <c r="L745" s="77" t="s">
        <v>1114</v>
      </c>
    </row>
    <row r="746" customFormat="false" ht="15" hidden="false" customHeight="false" outlineLevel="0" collapsed="false">
      <c r="A746" s="76" t="s">
        <v>1701</v>
      </c>
      <c r="B746" s="76" t="s">
        <v>83</v>
      </c>
      <c r="C746" s="76" t="s">
        <v>84</v>
      </c>
      <c r="D746" s="76" t="s">
        <v>1189</v>
      </c>
      <c r="E746" s="76" t="s">
        <v>1125</v>
      </c>
      <c r="F746" s="35" t="s">
        <v>1702</v>
      </c>
      <c r="G746" s="76" t="s">
        <v>681</v>
      </c>
      <c r="H746" s="78" t="n">
        <v>96334.7652038531</v>
      </c>
      <c r="I746" s="76" t="s">
        <v>1705</v>
      </c>
      <c r="J746" s="78" t="n">
        <v>96334.7652038531</v>
      </c>
      <c r="K746" s="76" t="s">
        <v>1705</v>
      </c>
      <c r="L746" s="77" t="s">
        <v>1114</v>
      </c>
    </row>
    <row r="747" customFormat="false" ht="15" hidden="false" customHeight="false" outlineLevel="0" collapsed="false">
      <c r="A747" s="76" t="s">
        <v>1701</v>
      </c>
      <c r="B747" s="76" t="s">
        <v>83</v>
      </c>
      <c r="C747" s="76" t="s">
        <v>84</v>
      </c>
      <c r="D747" s="76" t="s">
        <v>1189</v>
      </c>
      <c r="E747" s="76" t="s">
        <v>1125</v>
      </c>
      <c r="F747" s="35" t="s">
        <v>1702</v>
      </c>
      <c r="G747" s="76" t="s">
        <v>682</v>
      </c>
      <c r="H747" s="76"/>
      <c r="I747" s="76"/>
      <c r="J747" s="76"/>
      <c r="K747" s="76"/>
      <c r="L747" s="77" t="s">
        <v>1114</v>
      </c>
    </row>
    <row r="748" customFormat="false" ht="15" hidden="false" customHeight="false" outlineLevel="0" collapsed="false">
      <c r="A748" s="76" t="s">
        <v>1701</v>
      </c>
      <c r="B748" s="76" t="s">
        <v>83</v>
      </c>
      <c r="C748" s="76" t="s">
        <v>84</v>
      </c>
      <c r="D748" s="76" t="s">
        <v>1189</v>
      </c>
      <c r="E748" s="76" t="s">
        <v>1125</v>
      </c>
      <c r="F748" s="35" t="s">
        <v>1702</v>
      </c>
      <c r="G748" s="76" t="s">
        <v>684</v>
      </c>
      <c r="H748" s="76"/>
      <c r="I748" s="76"/>
      <c r="J748" s="76"/>
      <c r="K748" s="76"/>
      <c r="L748" s="77" t="s">
        <v>1114</v>
      </c>
    </row>
    <row r="749" customFormat="false" ht="15" hidden="false" customHeight="false" outlineLevel="0" collapsed="false">
      <c r="A749" s="76" t="s">
        <v>1701</v>
      </c>
      <c r="B749" s="76" t="s">
        <v>83</v>
      </c>
      <c r="C749" s="76" t="s">
        <v>84</v>
      </c>
      <c r="D749" s="76" t="s">
        <v>1189</v>
      </c>
      <c r="E749" s="76" t="s">
        <v>1125</v>
      </c>
      <c r="F749" s="35" t="s">
        <v>1702</v>
      </c>
      <c r="G749" s="76" t="s">
        <v>685</v>
      </c>
      <c r="H749" s="78" t="n">
        <v>254135</v>
      </c>
      <c r="I749" s="76" t="s">
        <v>1706</v>
      </c>
      <c r="J749" s="76" t="n">
        <v>254135</v>
      </c>
      <c r="K749" s="76" t="s">
        <v>1706</v>
      </c>
      <c r="L749" s="77" t="s">
        <v>1114</v>
      </c>
    </row>
    <row r="750" customFormat="false" ht="15" hidden="false" customHeight="false" outlineLevel="0" collapsed="false">
      <c r="A750" s="76" t="s">
        <v>1701</v>
      </c>
      <c r="B750" s="76" t="s">
        <v>83</v>
      </c>
      <c r="C750" s="76" t="s">
        <v>84</v>
      </c>
      <c r="D750" s="76" t="s">
        <v>1189</v>
      </c>
      <c r="E750" s="76" t="s">
        <v>1125</v>
      </c>
      <c r="F750" s="35" t="s">
        <v>1702</v>
      </c>
      <c r="G750" s="76" t="s">
        <v>434</v>
      </c>
      <c r="H750" s="78" t="n">
        <v>18</v>
      </c>
      <c r="I750" s="76" t="s">
        <v>1707</v>
      </c>
      <c r="J750" s="76" t="n">
        <v>18</v>
      </c>
      <c r="K750" s="76" t="s">
        <v>1707</v>
      </c>
      <c r="L750" s="77" t="s">
        <v>1114</v>
      </c>
    </row>
    <row r="751" customFormat="false" ht="15" hidden="false" customHeight="false" outlineLevel="0" collapsed="false">
      <c r="A751" s="76" t="s">
        <v>1708</v>
      </c>
      <c r="B751" s="76" t="s">
        <v>83</v>
      </c>
      <c r="C751" s="76" t="s">
        <v>84</v>
      </c>
      <c r="D751" s="76" t="s">
        <v>1198</v>
      </c>
      <c r="E751" s="76" t="s">
        <v>1162</v>
      </c>
      <c r="F751" s="35" t="s">
        <v>1709</v>
      </c>
      <c r="G751" s="76" t="s">
        <v>419</v>
      </c>
      <c r="H751" s="76"/>
      <c r="I751" s="76" t="s">
        <v>673</v>
      </c>
      <c r="J751" s="76"/>
      <c r="K751" s="76" t="s">
        <v>673</v>
      </c>
      <c r="L751" s="77" t="s">
        <v>1114</v>
      </c>
    </row>
    <row r="752" customFormat="false" ht="15" hidden="false" customHeight="false" outlineLevel="0" collapsed="false">
      <c r="A752" s="76" t="s">
        <v>1708</v>
      </c>
      <c r="B752" s="76" t="s">
        <v>83</v>
      </c>
      <c r="C752" s="76" t="s">
        <v>84</v>
      </c>
      <c r="D752" s="76" t="s">
        <v>1198</v>
      </c>
      <c r="E752" s="76" t="s">
        <v>1162</v>
      </c>
      <c r="F752" s="35" t="s">
        <v>1709</v>
      </c>
      <c r="G752" s="76" t="s">
        <v>673</v>
      </c>
      <c r="H752" s="78" t="n">
        <v>1285434.17904925</v>
      </c>
      <c r="I752" s="76" t="s">
        <v>1710</v>
      </c>
      <c r="J752" s="78" t="n">
        <v>1285434.17904925</v>
      </c>
      <c r="K752" s="76" t="s">
        <v>1710</v>
      </c>
      <c r="L752" s="77" t="s">
        <v>1114</v>
      </c>
    </row>
    <row r="753" customFormat="false" ht="15" hidden="false" customHeight="false" outlineLevel="0" collapsed="false">
      <c r="A753" s="76" t="s">
        <v>1708</v>
      </c>
      <c r="B753" s="76" t="s">
        <v>83</v>
      </c>
      <c r="C753" s="76" t="s">
        <v>84</v>
      </c>
      <c r="D753" s="76" t="s">
        <v>1198</v>
      </c>
      <c r="E753" s="76" t="s">
        <v>1162</v>
      </c>
      <c r="F753" s="35" t="s">
        <v>1709</v>
      </c>
      <c r="G753" s="76" t="s">
        <v>675</v>
      </c>
      <c r="H753" s="76" t="n">
        <v>763200</v>
      </c>
      <c r="I753" s="76" t="s">
        <v>1711</v>
      </c>
      <c r="J753" s="76" t="n">
        <v>763200</v>
      </c>
      <c r="K753" s="76" t="s">
        <v>1711</v>
      </c>
      <c r="L753" s="77" t="s">
        <v>1114</v>
      </c>
    </row>
    <row r="754" customFormat="false" ht="15" hidden="false" customHeight="false" outlineLevel="0" collapsed="false">
      <c r="A754" s="76" t="s">
        <v>1708</v>
      </c>
      <c r="B754" s="76" t="s">
        <v>83</v>
      </c>
      <c r="C754" s="76" t="s">
        <v>84</v>
      </c>
      <c r="D754" s="76" t="s">
        <v>1198</v>
      </c>
      <c r="E754" s="76" t="s">
        <v>1162</v>
      </c>
      <c r="F754" s="35" t="s">
        <v>1709</v>
      </c>
      <c r="G754" s="76" t="s">
        <v>681</v>
      </c>
      <c r="H754" s="78" t="n">
        <v>522234.179049254</v>
      </c>
      <c r="I754" s="76" t="s">
        <v>1712</v>
      </c>
      <c r="J754" s="78" t="n">
        <v>522234.179049254</v>
      </c>
      <c r="K754" s="76" t="s">
        <v>1712</v>
      </c>
      <c r="L754" s="77" t="s">
        <v>1114</v>
      </c>
    </row>
    <row r="755" customFormat="false" ht="15" hidden="false" customHeight="false" outlineLevel="0" collapsed="false">
      <c r="A755" s="76" t="s">
        <v>1708</v>
      </c>
      <c r="B755" s="76" t="s">
        <v>83</v>
      </c>
      <c r="C755" s="76" t="s">
        <v>84</v>
      </c>
      <c r="D755" s="76" t="s">
        <v>1198</v>
      </c>
      <c r="E755" s="76" t="s">
        <v>1162</v>
      </c>
      <c r="F755" s="35" t="s">
        <v>1709</v>
      </c>
      <c r="G755" s="76" t="s">
        <v>682</v>
      </c>
      <c r="H755" s="78" t="n">
        <v>692027.809449882</v>
      </c>
      <c r="I755" s="76" t="s">
        <v>1713</v>
      </c>
      <c r="J755" s="78" t="n">
        <v>692027.809449882</v>
      </c>
      <c r="K755" s="76" t="s">
        <v>1713</v>
      </c>
      <c r="L755" s="77" t="s">
        <v>1114</v>
      </c>
    </row>
    <row r="756" customFormat="false" ht="15" hidden="false" customHeight="false" outlineLevel="0" collapsed="false">
      <c r="A756" s="76" t="s">
        <v>1708</v>
      </c>
      <c r="B756" s="76" t="s">
        <v>83</v>
      </c>
      <c r="C756" s="76" t="s">
        <v>84</v>
      </c>
      <c r="D756" s="76" t="s">
        <v>1198</v>
      </c>
      <c r="E756" s="76" t="s">
        <v>1162</v>
      </c>
      <c r="F756" s="35" t="s">
        <v>1709</v>
      </c>
      <c r="G756" s="76" t="s">
        <v>684</v>
      </c>
      <c r="H756" s="78" t="n">
        <v>692027.809449882</v>
      </c>
      <c r="I756" s="76" t="s">
        <v>1713</v>
      </c>
      <c r="J756" s="78" t="n">
        <v>692027.809449882</v>
      </c>
      <c r="K756" s="76" t="s">
        <v>1713</v>
      </c>
      <c r="L756" s="77" t="s">
        <v>1114</v>
      </c>
    </row>
    <row r="757" customFormat="false" ht="15" hidden="false" customHeight="false" outlineLevel="0" collapsed="false">
      <c r="A757" s="76" t="s">
        <v>1708</v>
      </c>
      <c r="B757" s="76" t="s">
        <v>83</v>
      </c>
      <c r="C757" s="76" t="s">
        <v>84</v>
      </c>
      <c r="D757" s="76" t="s">
        <v>1198</v>
      </c>
      <c r="E757" s="76" t="s">
        <v>1162</v>
      </c>
      <c r="F757" s="35" t="s">
        <v>1709</v>
      </c>
      <c r="G757" s="76" t="s">
        <v>685</v>
      </c>
      <c r="H757" s="78" t="n">
        <v>692028</v>
      </c>
      <c r="I757" s="76" t="s">
        <v>1714</v>
      </c>
      <c r="J757" s="76" t="n">
        <v>692028</v>
      </c>
      <c r="K757" s="76" t="s">
        <v>1714</v>
      </c>
      <c r="L757" s="77" t="s">
        <v>1114</v>
      </c>
    </row>
    <row r="758" customFormat="false" ht="15" hidden="false" customHeight="false" outlineLevel="0" collapsed="false">
      <c r="A758" s="76" t="s">
        <v>1708</v>
      </c>
      <c r="B758" s="76" t="s">
        <v>83</v>
      </c>
      <c r="C758" s="76" t="s">
        <v>84</v>
      </c>
      <c r="D758" s="76" t="s">
        <v>1198</v>
      </c>
      <c r="E758" s="76" t="s">
        <v>1162</v>
      </c>
      <c r="F758" s="35" t="s">
        <v>1709</v>
      </c>
      <c r="G758" s="76" t="s">
        <v>434</v>
      </c>
      <c r="H758" s="78" t="n">
        <v>18</v>
      </c>
      <c r="I758" s="76" t="s">
        <v>1707</v>
      </c>
      <c r="J758" s="76" t="n">
        <v>18</v>
      </c>
      <c r="K758" s="76" t="s">
        <v>1707</v>
      </c>
      <c r="L758" s="77" t="s">
        <v>1114</v>
      </c>
    </row>
    <row r="759" customFormat="false" ht="15" hidden="false" customHeight="false" outlineLevel="0" collapsed="false">
      <c r="A759" s="76" t="s">
        <v>1715</v>
      </c>
      <c r="B759" s="76" t="s">
        <v>88</v>
      </c>
      <c r="C759" s="76" t="s">
        <v>1716</v>
      </c>
      <c r="D759" s="76" t="s">
        <v>1111</v>
      </c>
      <c r="E759" s="76" t="s">
        <v>1112</v>
      </c>
      <c r="F759" s="35" t="s">
        <v>1717</v>
      </c>
      <c r="G759" s="76" t="s">
        <v>419</v>
      </c>
      <c r="H759" s="76"/>
      <c r="I759" s="76" t="s">
        <v>673</v>
      </c>
      <c r="J759" s="76"/>
      <c r="K759" s="76" t="s">
        <v>673</v>
      </c>
      <c r="L759" s="77" t="s">
        <v>1114</v>
      </c>
    </row>
    <row r="760" customFormat="false" ht="15" hidden="false" customHeight="false" outlineLevel="0" collapsed="false">
      <c r="A760" s="76" t="s">
        <v>1715</v>
      </c>
      <c r="B760" s="76" t="s">
        <v>88</v>
      </c>
      <c r="C760" s="76" t="s">
        <v>1716</v>
      </c>
      <c r="D760" s="76" t="s">
        <v>1111</v>
      </c>
      <c r="E760" s="76" t="s">
        <v>1112</v>
      </c>
      <c r="F760" s="35" t="s">
        <v>1717</v>
      </c>
      <c r="G760" s="76" t="s">
        <v>422</v>
      </c>
      <c r="H760" s="78" t="n">
        <v>18009.4350550692</v>
      </c>
      <c r="I760" s="76" t="s">
        <v>1718</v>
      </c>
      <c r="J760" s="78" t="n">
        <v>18009.4350550692</v>
      </c>
      <c r="K760" s="76" t="s">
        <v>1718</v>
      </c>
      <c r="L760" s="77" t="s">
        <v>1114</v>
      </c>
    </row>
    <row r="761" customFormat="false" ht="15" hidden="false" customHeight="false" outlineLevel="0" collapsed="false">
      <c r="A761" s="76" t="s">
        <v>1715</v>
      </c>
      <c r="B761" s="76" t="s">
        <v>88</v>
      </c>
      <c r="C761" s="76" t="s">
        <v>1716</v>
      </c>
      <c r="D761" s="76" t="s">
        <v>1111</v>
      </c>
      <c r="E761" s="76" t="s">
        <v>1112</v>
      </c>
      <c r="F761" s="35" t="s">
        <v>1717</v>
      </c>
      <c r="G761" s="76" t="s">
        <v>714</v>
      </c>
      <c r="H761" s="76"/>
      <c r="I761" s="76"/>
      <c r="J761" s="76"/>
      <c r="K761" s="76"/>
      <c r="L761" s="77" t="s">
        <v>1114</v>
      </c>
    </row>
    <row r="762" customFormat="false" ht="15" hidden="false" customHeight="false" outlineLevel="0" collapsed="false">
      <c r="A762" s="76" t="s">
        <v>1715</v>
      </c>
      <c r="B762" s="76" t="s">
        <v>88</v>
      </c>
      <c r="C762" s="76" t="s">
        <v>1716</v>
      </c>
      <c r="D762" s="76" t="s">
        <v>1111</v>
      </c>
      <c r="E762" s="76" t="s">
        <v>1112</v>
      </c>
      <c r="F762" s="35" t="s">
        <v>1717</v>
      </c>
      <c r="G762" s="76" t="s">
        <v>716</v>
      </c>
      <c r="H762" s="76"/>
      <c r="I762" s="76"/>
      <c r="J762" s="76"/>
      <c r="K762" s="76"/>
      <c r="L762" s="77" t="s">
        <v>1114</v>
      </c>
    </row>
    <row r="763" customFormat="false" ht="15" hidden="false" customHeight="false" outlineLevel="0" collapsed="false">
      <c r="A763" s="76" t="s">
        <v>1715</v>
      </c>
      <c r="B763" s="76" t="s">
        <v>88</v>
      </c>
      <c r="C763" s="76" t="s">
        <v>1716</v>
      </c>
      <c r="D763" s="76" t="s">
        <v>1111</v>
      </c>
      <c r="E763" s="76" t="s">
        <v>1112</v>
      </c>
      <c r="F763" s="35" t="s">
        <v>1717</v>
      </c>
      <c r="G763" s="76" t="s">
        <v>717</v>
      </c>
      <c r="H763" s="78" t="n">
        <v>3206.99220588572</v>
      </c>
      <c r="I763" s="76" t="s">
        <v>1719</v>
      </c>
      <c r="J763" s="78" t="n">
        <v>3206.99220588572</v>
      </c>
      <c r="K763" s="76" t="s">
        <v>1719</v>
      </c>
      <c r="L763" s="77" t="s">
        <v>1114</v>
      </c>
    </row>
    <row r="764" customFormat="false" ht="15" hidden="false" customHeight="false" outlineLevel="0" collapsed="false">
      <c r="A764" s="76" t="s">
        <v>1715</v>
      </c>
      <c r="B764" s="76" t="s">
        <v>88</v>
      </c>
      <c r="C764" s="76" t="s">
        <v>1716</v>
      </c>
      <c r="D764" s="76" t="s">
        <v>1111</v>
      </c>
      <c r="E764" s="76" t="s">
        <v>1112</v>
      </c>
      <c r="F764" s="35" t="s">
        <v>1717</v>
      </c>
      <c r="G764" s="76" t="s">
        <v>718</v>
      </c>
      <c r="H764" s="78" t="n">
        <v>18009.4350550692</v>
      </c>
      <c r="I764" s="76" t="s">
        <v>1718</v>
      </c>
      <c r="J764" s="78" t="n">
        <v>18009.4350550692</v>
      </c>
      <c r="K764" s="76" t="s">
        <v>1718</v>
      </c>
      <c r="L764" s="77" t="s">
        <v>1114</v>
      </c>
    </row>
    <row r="765" customFormat="false" ht="15" hidden="false" customHeight="false" outlineLevel="0" collapsed="false">
      <c r="A765" s="76" t="s">
        <v>1715</v>
      </c>
      <c r="B765" s="76" t="s">
        <v>88</v>
      </c>
      <c r="C765" s="76" t="s">
        <v>1716</v>
      </c>
      <c r="D765" s="76" t="s">
        <v>1111</v>
      </c>
      <c r="E765" s="76" t="s">
        <v>1112</v>
      </c>
      <c r="F765" s="35" t="s">
        <v>1717</v>
      </c>
      <c r="G765" s="76" t="s">
        <v>702</v>
      </c>
      <c r="H765" s="78" t="n">
        <v>14802.4428491834</v>
      </c>
      <c r="I765" s="76" t="s">
        <v>1720</v>
      </c>
      <c r="J765" s="78" t="n">
        <v>14802.4428491834</v>
      </c>
      <c r="K765" s="76" t="s">
        <v>1720</v>
      </c>
      <c r="L765" s="77" t="s">
        <v>1114</v>
      </c>
    </row>
    <row r="766" customFormat="false" ht="15" hidden="false" customHeight="false" outlineLevel="0" collapsed="false">
      <c r="A766" s="76" t="s">
        <v>1715</v>
      </c>
      <c r="B766" s="76" t="s">
        <v>88</v>
      </c>
      <c r="C766" s="76" t="s">
        <v>1716</v>
      </c>
      <c r="D766" s="76" t="s">
        <v>1111</v>
      </c>
      <c r="E766" s="76" t="s">
        <v>1112</v>
      </c>
      <c r="F766" s="35" t="s">
        <v>1717</v>
      </c>
      <c r="G766" s="76" t="s">
        <v>682</v>
      </c>
      <c r="H766" s="76"/>
      <c r="I766" s="76"/>
      <c r="J766" s="76"/>
      <c r="K766" s="76"/>
      <c r="L766" s="77" t="s">
        <v>1114</v>
      </c>
    </row>
    <row r="767" customFormat="false" ht="15" hidden="false" customHeight="false" outlineLevel="0" collapsed="false">
      <c r="A767" s="76" t="s">
        <v>1715</v>
      </c>
      <c r="B767" s="76" t="s">
        <v>88</v>
      </c>
      <c r="C767" s="76" t="s">
        <v>1716</v>
      </c>
      <c r="D767" s="76" t="s">
        <v>1111</v>
      </c>
      <c r="E767" s="76" t="s">
        <v>1112</v>
      </c>
      <c r="F767" s="35" t="s">
        <v>1717</v>
      </c>
      <c r="G767" s="76" t="s">
        <v>720</v>
      </c>
      <c r="H767" s="76"/>
      <c r="I767" s="76"/>
      <c r="J767" s="76"/>
      <c r="K767" s="76"/>
      <c r="L767" s="77" t="s">
        <v>1114</v>
      </c>
    </row>
    <row r="768" customFormat="false" ht="15" hidden="false" customHeight="false" outlineLevel="0" collapsed="false">
      <c r="A768" s="76" t="s">
        <v>1715</v>
      </c>
      <c r="B768" s="76" t="s">
        <v>88</v>
      </c>
      <c r="C768" s="76" t="s">
        <v>1716</v>
      </c>
      <c r="D768" s="76" t="s">
        <v>1111</v>
      </c>
      <c r="E768" s="76" t="s">
        <v>1112</v>
      </c>
      <c r="F768" s="35" t="s">
        <v>1717</v>
      </c>
      <c r="G768" s="76" t="s">
        <v>685</v>
      </c>
      <c r="H768" s="78" t="n">
        <v>13381</v>
      </c>
      <c r="I768" s="76" t="s">
        <v>1721</v>
      </c>
      <c r="J768" s="76" t="n">
        <v>13381</v>
      </c>
      <c r="K768" s="76" t="s">
        <v>1721</v>
      </c>
      <c r="L768" s="77" t="s">
        <v>1114</v>
      </c>
    </row>
    <row r="769" customFormat="false" ht="15" hidden="false" customHeight="false" outlineLevel="0" collapsed="false">
      <c r="A769" s="76" t="s">
        <v>1715</v>
      </c>
      <c r="B769" s="76" t="s">
        <v>88</v>
      </c>
      <c r="C769" s="76" t="s">
        <v>1716</v>
      </c>
      <c r="D769" s="76" t="s">
        <v>1111</v>
      </c>
      <c r="E769" s="76" t="s">
        <v>1112</v>
      </c>
      <c r="F769" s="35" t="s">
        <v>1717</v>
      </c>
      <c r="G769" s="76" t="s">
        <v>434</v>
      </c>
      <c r="H769" s="78" t="n">
        <v>15</v>
      </c>
      <c r="I769" s="76" t="s">
        <v>1646</v>
      </c>
      <c r="J769" s="76" t="n">
        <v>15</v>
      </c>
      <c r="K769" s="76" t="s">
        <v>1646</v>
      </c>
      <c r="L769" s="77" t="s">
        <v>1114</v>
      </c>
    </row>
    <row r="770" customFormat="false" ht="15" hidden="false" customHeight="false" outlineLevel="0" collapsed="false">
      <c r="A770" s="76" t="s">
        <v>1722</v>
      </c>
      <c r="B770" s="76" t="s">
        <v>88</v>
      </c>
      <c r="C770" s="76" t="s">
        <v>1716</v>
      </c>
      <c r="D770" s="76" t="s">
        <v>1124</v>
      </c>
      <c r="E770" s="76" t="s">
        <v>1125</v>
      </c>
      <c r="F770" s="35" t="s">
        <v>1723</v>
      </c>
      <c r="G770" s="76" t="s">
        <v>419</v>
      </c>
      <c r="H770" s="76"/>
      <c r="I770" s="76" t="s">
        <v>673</v>
      </c>
      <c r="J770" s="76"/>
      <c r="K770" s="76" t="s">
        <v>673</v>
      </c>
      <c r="L770" s="77" t="s">
        <v>1114</v>
      </c>
    </row>
    <row r="771" customFormat="false" ht="15" hidden="false" customHeight="false" outlineLevel="0" collapsed="false">
      <c r="A771" s="76" t="s">
        <v>1722</v>
      </c>
      <c r="B771" s="76" t="s">
        <v>88</v>
      </c>
      <c r="C771" s="76" t="s">
        <v>1716</v>
      </c>
      <c r="D771" s="76" t="s">
        <v>1124</v>
      </c>
      <c r="E771" s="76" t="s">
        <v>1125</v>
      </c>
      <c r="F771" s="35" t="s">
        <v>1723</v>
      </c>
      <c r="G771" s="76" t="s">
        <v>422</v>
      </c>
      <c r="H771" s="76" t="n">
        <v>500</v>
      </c>
      <c r="I771" s="76" t="s">
        <v>1612</v>
      </c>
      <c r="J771" s="76" t="n">
        <v>500</v>
      </c>
      <c r="K771" s="76" t="s">
        <v>1612</v>
      </c>
      <c r="L771" s="77" t="s">
        <v>1114</v>
      </c>
    </row>
    <row r="772" customFormat="false" ht="15" hidden="false" customHeight="false" outlineLevel="0" collapsed="false">
      <c r="A772" s="76" t="s">
        <v>1722</v>
      </c>
      <c r="B772" s="76" t="s">
        <v>88</v>
      </c>
      <c r="C772" s="76" t="s">
        <v>1716</v>
      </c>
      <c r="D772" s="76" t="s">
        <v>1124</v>
      </c>
      <c r="E772" s="76" t="s">
        <v>1125</v>
      </c>
      <c r="F772" s="35" t="s">
        <v>1723</v>
      </c>
      <c r="G772" s="76" t="s">
        <v>714</v>
      </c>
      <c r="H772" s="76"/>
      <c r="I772" s="76"/>
      <c r="J772" s="76"/>
      <c r="K772" s="76"/>
      <c r="L772" s="77" t="s">
        <v>1114</v>
      </c>
    </row>
    <row r="773" customFormat="false" ht="15" hidden="false" customHeight="false" outlineLevel="0" collapsed="false">
      <c r="A773" s="76" t="s">
        <v>1722</v>
      </c>
      <c r="B773" s="76" t="s">
        <v>88</v>
      </c>
      <c r="C773" s="76" t="s">
        <v>1716</v>
      </c>
      <c r="D773" s="76" t="s">
        <v>1124</v>
      </c>
      <c r="E773" s="76" t="s">
        <v>1125</v>
      </c>
      <c r="F773" s="35" t="s">
        <v>1723</v>
      </c>
      <c r="G773" s="76" t="s">
        <v>716</v>
      </c>
      <c r="H773" s="76"/>
      <c r="I773" s="76"/>
      <c r="J773" s="76"/>
      <c r="K773" s="76"/>
      <c r="L773" s="77" t="s">
        <v>1114</v>
      </c>
    </row>
    <row r="774" customFormat="false" ht="15" hidden="false" customHeight="false" outlineLevel="0" collapsed="false">
      <c r="A774" s="76" t="s">
        <v>1722</v>
      </c>
      <c r="B774" s="76" t="s">
        <v>88</v>
      </c>
      <c r="C774" s="76" t="s">
        <v>1716</v>
      </c>
      <c r="D774" s="76" t="s">
        <v>1124</v>
      </c>
      <c r="E774" s="76" t="s">
        <v>1125</v>
      </c>
      <c r="F774" s="35" t="s">
        <v>1723</v>
      </c>
      <c r="G774" s="76" t="s">
        <v>717</v>
      </c>
      <c r="H774" s="76" t="n">
        <v>0</v>
      </c>
      <c r="I774" s="76" t="s">
        <v>1127</v>
      </c>
      <c r="J774" s="76" t="n">
        <v>0</v>
      </c>
      <c r="K774" s="76" t="s">
        <v>1127</v>
      </c>
      <c r="L774" s="77" t="s">
        <v>1114</v>
      </c>
    </row>
    <row r="775" customFormat="false" ht="15" hidden="false" customHeight="false" outlineLevel="0" collapsed="false">
      <c r="A775" s="76" t="s">
        <v>1722</v>
      </c>
      <c r="B775" s="76" t="s">
        <v>88</v>
      </c>
      <c r="C775" s="76" t="s">
        <v>1716</v>
      </c>
      <c r="D775" s="76" t="s">
        <v>1124</v>
      </c>
      <c r="E775" s="76" t="s">
        <v>1125</v>
      </c>
      <c r="F775" s="35" t="s">
        <v>1723</v>
      </c>
      <c r="G775" s="76" t="s">
        <v>718</v>
      </c>
      <c r="H775" s="76" t="n">
        <v>500</v>
      </c>
      <c r="I775" s="76" t="s">
        <v>1612</v>
      </c>
      <c r="J775" s="76" t="n">
        <v>500</v>
      </c>
      <c r="K775" s="76" t="s">
        <v>1612</v>
      </c>
      <c r="L775" s="77" t="s">
        <v>1114</v>
      </c>
    </row>
    <row r="776" customFormat="false" ht="15" hidden="false" customHeight="false" outlineLevel="0" collapsed="false">
      <c r="A776" s="76" t="s">
        <v>1722</v>
      </c>
      <c r="B776" s="76" t="s">
        <v>88</v>
      </c>
      <c r="C776" s="76" t="s">
        <v>1716</v>
      </c>
      <c r="D776" s="76" t="s">
        <v>1124</v>
      </c>
      <c r="E776" s="76" t="s">
        <v>1125</v>
      </c>
      <c r="F776" s="35" t="s">
        <v>1723</v>
      </c>
      <c r="G776" s="76" t="s">
        <v>702</v>
      </c>
      <c r="H776" s="76" t="n">
        <v>500</v>
      </c>
      <c r="I776" s="76" t="s">
        <v>1612</v>
      </c>
      <c r="J776" s="76" t="n">
        <v>500</v>
      </c>
      <c r="K776" s="76" t="s">
        <v>1612</v>
      </c>
      <c r="L776" s="77" t="s">
        <v>1114</v>
      </c>
    </row>
    <row r="777" customFormat="false" ht="15" hidden="false" customHeight="false" outlineLevel="0" collapsed="false">
      <c r="A777" s="76" t="s">
        <v>1722</v>
      </c>
      <c r="B777" s="76" t="s">
        <v>88</v>
      </c>
      <c r="C777" s="76" t="s">
        <v>1716</v>
      </c>
      <c r="D777" s="76" t="s">
        <v>1124</v>
      </c>
      <c r="E777" s="76" t="s">
        <v>1125</v>
      </c>
      <c r="F777" s="35" t="s">
        <v>1723</v>
      </c>
      <c r="G777" s="76" t="s">
        <v>682</v>
      </c>
      <c r="H777" s="76"/>
      <c r="I777" s="76"/>
      <c r="J777" s="76"/>
      <c r="K777" s="76"/>
      <c r="L777" s="77" t="s">
        <v>1114</v>
      </c>
    </row>
    <row r="778" customFormat="false" ht="15" hidden="false" customHeight="false" outlineLevel="0" collapsed="false">
      <c r="A778" s="76" t="s">
        <v>1722</v>
      </c>
      <c r="B778" s="76" t="s">
        <v>88</v>
      </c>
      <c r="C778" s="76" t="s">
        <v>1716</v>
      </c>
      <c r="D778" s="76" t="s">
        <v>1124</v>
      </c>
      <c r="E778" s="76" t="s">
        <v>1125</v>
      </c>
      <c r="F778" s="35" t="s">
        <v>1723</v>
      </c>
      <c r="G778" s="76" t="s">
        <v>720</v>
      </c>
      <c r="H778" s="76"/>
      <c r="I778" s="76"/>
      <c r="J778" s="76"/>
      <c r="K778" s="76"/>
      <c r="L778" s="77" t="s">
        <v>1114</v>
      </c>
    </row>
    <row r="779" customFormat="false" ht="15" hidden="false" customHeight="false" outlineLevel="0" collapsed="false">
      <c r="A779" s="76" t="s">
        <v>1722</v>
      </c>
      <c r="B779" s="76" t="s">
        <v>88</v>
      </c>
      <c r="C779" s="76" t="s">
        <v>1716</v>
      </c>
      <c r="D779" s="76" t="s">
        <v>1124</v>
      </c>
      <c r="E779" s="76" t="s">
        <v>1125</v>
      </c>
      <c r="F779" s="35" t="s">
        <v>1723</v>
      </c>
      <c r="G779" s="76" t="s">
        <v>685</v>
      </c>
      <c r="H779" s="78" t="n">
        <v>500</v>
      </c>
      <c r="I779" s="76" t="s">
        <v>1302</v>
      </c>
      <c r="J779" s="76" t="n">
        <v>500</v>
      </c>
      <c r="K779" s="76" t="s">
        <v>1302</v>
      </c>
      <c r="L779" s="77" t="s">
        <v>1114</v>
      </c>
    </row>
    <row r="780" customFormat="false" ht="15" hidden="false" customHeight="false" outlineLevel="0" collapsed="false">
      <c r="A780" s="76" t="s">
        <v>1722</v>
      </c>
      <c r="B780" s="76" t="s">
        <v>88</v>
      </c>
      <c r="C780" s="76" t="s">
        <v>1716</v>
      </c>
      <c r="D780" s="76" t="s">
        <v>1124</v>
      </c>
      <c r="E780" s="76" t="s">
        <v>1125</v>
      </c>
      <c r="F780" s="35" t="s">
        <v>1723</v>
      </c>
      <c r="G780" s="76" t="s">
        <v>434</v>
      </c>
      <c r="H780" s="78" t="n">
        <v>1</v>
      </c>
      <c r="I780" s="76" t="s">
        <v>1297</v>
      </c>
      <c r="J780" s="76" t="n">
        <v>1</v>
      </c>
      <c r="K780" s="76" t="s">
        <v>1297</v>
      </c>
      <c r="L780" s="77" t="s">
        <v>1114</v>
      </c>
    </row>
    <row r="781" customFormat="false" ht="15" hidden="false" customHeight="false" outlineLevel="0" collapsed="false">
      <c r="A781" s="76" t="s">
        <v>1724</v>
      </c>
      <c r="B781" s="76" t="s">
        <v>88</v>
      </c>
      <c r="C781" s="76" t="s">
        <v>1716</v>
      </c>
      <c r="D781" s="76" t="s">
        <v>1132</v>
      </c>
      <c r="E781" s="76" t="s">
        <v>1133</v>
      </c>
      <c r="F781" s="35" t="s">
        <v>1725</v>
      </c>
      <c r="G781" s="76" t="s">
        <v>419</v>
      </c>
      <c r="H781" s="76"/>
      <c r="I781" s="76" t="s">
        <v>1726</v>
      </c>
      <c r="J781" s="76"/>
      <c r="K781" s="76" t="s">
        <v>1726</v>
      </c>
      <c r="L781" s="77" t="s">
        <v>1114</v>
      </c>
    </row>
    <row r="782" customFormat="false" ht="15" hidden="false" customHeight="false" outlineLevel="0" collapsed="false">
      <c r="A782" s="76" t="s">
        <v>1724</v>
      </c>
      <c r="B782" s="76" t="s">
        <v>88</v>
      </c>
      <c r="C782" s="76" t="s">
        <v>1716</v>
      </c>
      <c r="D782" s="76" t="s">
        <v>1132</v>
      </c>
      <c r="E782" s="76" t="s">
        <v>1133</v>
      </c>
      <c r="F782" s="35" t="s">
        <v>1725</v>
      </c>
      <c r="G782" s="76" t="s">
        <v>422</v>
      </c>
      <c r="H782" s="78" t="n">
        <v>811289.028365074</v>
      </c>
      <c r="I782" s="76" t="s">
        <v>1727</v>
      </c>
      <c r="J782" s="78" t="n">
        <v>811289.028365074</v>
      </c>
      <c r="K782" s="76" t="s">
        <v>1727</v>
      </c>
      <c r="L782" s="77" t="s">
        <v>1114</v>
      </c>
    </row>
    <row r="783" customFormat="false" ht="15" hidden="false" customHeight="false" outlineLevel="0" collapsed="false">
      <c r="A783" s="76" t="s">
        <v>1724</v>
      </c>
      <c r="B783" s="76" t="s">
        <v>88</v>
      </c>
      <c r="C783" s="76" t="s">
        <v>1716</v>
      </c>
      <c r="D783" s="76" t="s">
        <v>1132</v>
      </c>
      <c r="E783" s="76" t="s">
        <v>1133</v>
      </c>
      <c r="F783" s="35" t="s">
        <v>1725</v>
      </c>
      <c r="G783" s="76" t="s">
        <v>714</v>
      </c>
      <c r="H783" s="78" t="n">
        <v>0.0121739130434784</v>
      </c>
      <c r="I783" s="76" t="s">
        <v>1728</v>
      </c>
      <c r="J783" s="78" t="n">
        <v>0.0121739130434784</v>
      </c>
      <c r="K783" s="76" t="s">
        <v>1728</v>
      </c>
      <c r="L783" s="77" t="s">
        <v>1114</v>
      </c>
    </row>
    <row r="784" customFormat="false" ht="15" hidden="false" customHeight="false" outlineLevel="0" collapsed="false">
      <c r="A784" s="76" t="s">
        <v>1724</v>
      </c>
      <c r="B784" s="76" t="s">
        <v>88</v>
      </c>
      <c r="C784" s="76" t="s">
        <v>1716</v>
      </c>
      <c r="D784" s="76" t="s">
        <v>1132</v>
      </c>
      <c r="E784" s="76" t="s">
        <v>1133</v>
      </c>
      <c r="F784" s="35" t="s">
        <v>1725</v>
      </c>
      <c r="G784" s="76" t="s">
        <v>716</v>
      </c>
      <c r="H784" s="76"/>
      <c r="I784" s="76" t="s">
        <v>1729</v>
      </c>
      <c r="J784" s="78" t="n">
        <v>0.0476000000000001</v>
      </c>
      <c r="K784" s="76" t="s">
        <v>1729</v>
      </c>
      <c r="L784" s="77" t="s">
        <v>1114</v>
      </c>
    </row>
    <row r="785" customFormat="false" ht="15" hidden="false" customHeight="false" outlineLevel="0" collapsed="false">
      <c r="A785" s="76" t="s">
        <v>1724</v>
      </c>
      <c r="B785" s="76" t="s">
        <v>88</v>
      </c>
      <c r="C785" s="76" t="s">
        <v>1716</v>
      </c>
      <c r="D785" s="76" t="s">
        <v>1132</v>
      </c>
      <c r="E785" s="76" t="s">
        <v>1133</v>
      </c>
      <c r="F785" s="35" t="s">
        <v>1725</v>
      </c>
      <c r="G785" s="76" t="s">
        <v>717</v>
      </c>
      <c r="H785" s="78" t="n">
        <v>168308.007328878</v>
      </c>
      <c r="I785" s="76" t="s">
        <v>1730</v>
      </c>
      <c r="J785" s="78" t="n">
        <v>168308.007328878</v>
      </c>
      <c r="K785" s="76" t="s">
        <v>1730</v>
      </c>
      <c r="L785" s="77" t="s">
        <v>1114</v>
      </c>
    </row>
    <row r="786" customFormat="false" ht="15" hidden="false" customHeight="false" outlineLevel="0" collapsed="false">
      <c r="A786" s="76" t="s">
        <v>1724</v>
      </c>
      <c r="B786" s="76" t="s">
        <v>88</v>
      </c>
      <c r="C786" s="76" t="s">
        <v>1716</v>
      </c>
      <c r="D786" s="76" t="s">
        <v>1132</v>
      </c>
      <c r="E786" s="76" t="s">
        <v>1133</v>
      </c>
      <c r="F786" s="35" t="s">
        <v>1725</v>
      </c>
      <c r="G786" s="76" t="s">
        <v>718</v>
      </c>
      <c r="H786" s="78" t="n">
        <v>3212103.97223517</v>
      </c>
      <c r="I786" s="76" t="s">
        <v>1731</v>
      </c>
      <c r="J786" s="78" t="n">
        <v>3212103.97223517</v>
      </c>
      <c r="K786" s="76" t="s">
        <v>1731</v>
      </c>
      <c r="L786" s="77" t="s">
        <v>1114</v>
      </c>
    </row>
    <row r="787" customFormat="false" ht="15" hidden="false" customHeight="false" outlineLevel="0" collapsed="false">
      <c r="A787" s="76" t="s">
        <v>1724</v>
      </c>
      <c r="B787" s="76" t="s">
        <v>88</v>
      </c>
      <c r="C787" s="76" t="s">
        <v>1716</v>
      </c>
      <c r="D787" s="76" t="s">
        <v>1132</v>
      </c>
      <c r="E787" s="76" t="s">
        <v>1133</v>
      </c>
      <c r="F787" s="35" t="s">
        <v>1725</v>
      </c>
      <c r="G787" s="76" t="s">
        <v>702</v>
      </c>
      <c r="H787" s="78" t="n">
        <v>2545728.8580671</v>
      </c>
      <c r="I787" s="76" t="s">
        <v>1732</v>
      </c>
      <c r="J787" s="78" t="n">
        <v>2545728.8580671</v>
      </c>
      <c r="K787" s="76" t="s">
        <v>1732</v>
      </c>
      <c r="L787" s="77" t="s">
        <v>1114</v>
      </c>
    </row>
    <row r="788" customFormat="false" ht="15" hidden="false" customHeight="false" outlineLevel="0" collapsed="false">
      <c r="A788" s="76" t="s">
        <v>1724</v>
      </c>
      <c r="B788" s="76" t="s">
        <v>88</v>
      </c>
      <c r="C788" s="76" t="s">
        <v>1716</v>
      </c>
      <c r="D788" s="76" t="s">
        <v>1132</v>
      </c>
      <c r="E788" s="76" t="s">
        <v>1133</v>
      </c>
      <c r="F788" s="35" t="s">
        <v>1725</v>
      </c>
      <c r="G788" s="76" t="s">
        <v>682</v>
      </c>
      <c r="H788" s="78" t="n">
        <v>811289.028365074</v>
      </c>
      <c r="I788" s="76" t="s">
        <v>1727</v>
      </c>
      <c r="J788" s="78" t="n">
        <v>811289.028365074</v>
      </c>
      <c r="K788" s="76" t="s">
        <v>1727</v>
      </c>
      <c r="L788" s="77" t="s">
        <v>1114</v>
      </c>
    </row>
    <row r="789" customFormat="false" ht="15" hidden="false" customHeight="false" outlineLevel="0" collapsed="false">
      <c r="A789" s="76" t="s">
        <v>1724</v>
      </c>
      <c r="B789" s="76" t="s">
        <v>88</v>
      </c>
      <c r="C789" s="76" t="s">
        <v>1716</v>
      </c>
      <c r="D789" s="76" t="s">
        <v>1132</v>
      </c>
      <c r="E789" s="76" t="s">
        <v>1133</v>
      </c>
      <c r="F789" s="35" t="s">
        <v>1725</v>
      </c>
      <c r="G789" s="76" t="s">
        <v>720</v>
      </c>
      <c r="H789" s="78" t="n">
        <v>7650156.77616478</v>
      </c>
      <c r="I789" s="76" t="s">
        <v>1733</v>
      </c>
      <c r="J789" s="78" t="n">
        <v>7650156.77616478</v>
      </c>
      <c r="K789" s="76" t="s">
        <v>1733</v>
      </c>
      <c r="L789" s="77" t="s">
        <v>1114</v>
      </c>
    </row>
    <row r="790" customFormat="false" ht="15" hidden="false" customHeight="false" outlineLevel="0" collapsed="false">
      <c r="A790" s="76" t="s">
        <v>1724</v>
      </c>
      <c r="B790" s="76" t="s">
        <v>88</v>
      </c>
      <c r="C790" s="76" t="s">
        <v>1716</v>
      </c>
      <c r="D790" s="76" t="s">
        <v>1132</v>
      </c>
      <c r="E790" s="76" t="s">
        <v>1133</v>
      </c>
      <c r="F790" s="35" t="s">
        <v>1725</v>
      </c>
      <c r="G790" s="76" t="s">
        <v>685</v>
      </c>
      <c r="H790" s="78" t="n">
        <v>811289</v>
      </c>
      <c r="I790" s="76" t="s">
        <v>1734</v>
      </c>
      <c r="J790" s="76" t="n">
        <v>811289</v>
      </c>
      <c r="K790" s="76" t="s">
        <v>1734</v>
      </c>
      <c r="L790" s="77" t="s">
        <v>1114</v>
      </c>
    </row>
    <row r="791" customFormat="false" ht="15" hidden="false" customHeight="false" outlineLevel="0" collapsed="false">
      <c r="A791" s="76" t="s">
        <v>1724</v>
      </c>
      <c r="B791" s="76" t="s">
        <v>88</v>
      </c>
      <c r="C791" s="76" t="s">
        <v>1716</v>
      </c>
      <c r="D791" s="76" t="s">
        <v>1132</v>
      </c>
      <c r="E791" s="76" t="s">
        <v>1133</v>
      </c>
      <c r="F791" s="35" t="s">
        <v>1725</v>
      </c>
      <c r="G791" s="76" t="s">
        <v>434</v>
      </c>
      <c r="H791" s="78" t="n">
        <v>40</v>
      </c>
      <c r="I791" s="76" t="s">
        <v>1675</v>
      </c>
      <c r="J791" s="76" t="n">
        <v>40</v>
      </c>
      <c r="K791" s="76" t="s">
        <v>1675</v>
      </c>
      <c r="L791" s="77" t="s">
        <v>1114</v>
      </c>
    </row>
    <row r="792" customFormat="false" ht="15" hidden="false" customHeight="false" outlineLevel="0" collapsed="false">
      <c r="A792" s="76" t="s">
        <v>1735</v>
      </c>
      <c r="B792" s="76" t="s">
        <v>88</v>
      </c>
      <c r="C792" s="76" t="s">
        <v>1716</v>
      </c>
      <c r="D792" s="76" t="s">
        <v>1141</v>
      </c>
      <c r="E792" s="76" t="s">
        <v>1142</v>
      </c>
      <c r="F792" s="35" t="s">
        <v>1736</v>
      </c>
      <c r="G792" s="76" t="s">
        <v>419</v>
      </c>
      <c r="H792" s="76"/>
      <c r="I792" s="76" t="s">
        <v>1726</v>
      </c>
      <c r="J792" s="76"/>
      <c r="K792" s="76" t="s">
        <v>1726</v>
      </c>
      <c r="L792" s="77" t="s">
        <v>1114</v>
      </c>
    </row>
    <row r="793" customFormat="false" ht="15" hidden="false" customHeight="false" outlineLevel="0" collapsed="false">
      <c r="A793" s="76" t="s">
        <v>1735</v>
      </c>
      <c r="B793" s="76" t="s">
        <v>88</v>
      </c>
      <c r="C793" s="76" t="s">
        <v>1716</v>
      </c>
      <c r="D793" s="76" t="s">
        <v>1141</v>
      </c>
      <c r="E793" s="76" t="s">
        <v>1142</v>
      </c>
      <c r="F793" s="35" t="s">
        <v>1736</v>
      </c>
      <c r="G793" s="76" t="s">
        <v>422</v>
      </c>
      <c r="H793" s="78" t="n">
        <v>496840.997906112</v>
      </c>
      <c r="I793" s="76" t="s">
        <v>1737</v>
      </c>
      <c r="J793" s="78" t="n">
        <v>496840.997906112</v>
      </c>
      <c r="K793" s="76" t="s">
        <v>1737</v>
      </c>
      <c r="L793" s="77" t="s">
        <v>1114</v>
      </c>
    </row>
    <row r="794" customFormat="false" ht="15" hidden="false" customHeight="false" outlineLevel="0" collapsed="false">
      <c r="A794" s="76" t="s">
        <v>1735</v>
      </c>
      <c r="B794" s="76" t="s">
        <v>88</v>
      </c>
      <c r="C794" s="76" t="s">
        <v>1716</v>
      </c>
      <c r="D794" s="76" t="s">
        <v>1141</v>
      </c>
      <c r="E794" s="76" t="s">
        <v>1142</v>
      </c>
      <c r="F794" s="35" t="s">
        <v>1736</v>
      </c>
      <c r="G794" s="76" t="s">
        <v>714</v>
      </c>
      <c r="H794" s="78" t="n">
        <v>0.00314841849148406</v>
      </c>
      <c r="I794" s="76" t="s">
        <v>1738</v>
      </c>
      <c r="J794" s="78" t="n">
        <v>0.00314841849148406</v>
      </c>
      <c r="K794" s="76" t="s">
        <v>1738</v>
      </c>
      <c r="L794" s="77" t="s">
        <v>1114</v>
      </c>
    </row>
    <row r="795" customFormat="false" ht="15" hidden="false" customHeight="false" outlineLevel="0" collapsed="false">
      <c r="A795" s="76" t="s">
        <v>1735</v>
      </c>
      <c r="B795" s="76" t="s">
        <v>88</v>
      </c>
      <c r="C795" s="76" t="s">
        <v>1716</v>
      </c>
      <c r="D795" s="76" t="s">
        <v>1141</v>
      </c>
      <c r="E795" s="76" t="s">
        <v>1142</v>
      </c>
      <c r="F795" s="35" t="s">
        <v>1736</v>
      </c>
      <c r="G795" s="76" t="s">
        <v>716</v>
      </c>
      <c r="H795" s="76"/>
      <c r="I795" s="76" t="s">
        <v>1739</v>
      </c>
      <c r="J795" s="78" t="n">
        <v>0.030735</v>
      </c>
      <c r="K795" s="76" t="s">
        <v>1739</v>
      </c>
      <c r="L795" s="77" t="s">
        <v>1114</v>
      </c>
    </row>
    <row r="796" customFormat="false" ht="15" hidden="false" customHeight="false" outlineLevel="0" collapsed="false">
      <c r="A796" s="76" t="s">
        <v>1735</v>
      </c>
      <c r="B796" s="76" t="s">
        <v>88</v>
      </c>
      <c r="C796" s="76" t="s">
        <v>1716</v>
      </c>
      <c r="D796" s="76" t="s">
        <v>1141</v>
      </c>
      <c r="E796" s="76" t="s">
        <v>1142</v>
      </c>
      <c r="F796" s="35" t="s">
        <v>1736</v>
      </c>
      <c r="G796" s="76" t="s">
        <v>717</v>
      </c>
      <c r="H796" s="78" t="n">
        <v>69787.4752225715</v>
      </c>
      <c r="I796" s="76" t="s">
        <v>1740</v>
      </c>
      <c r="J796" s="78" t="n">
        <v>69787.4752225715</v>
      </c>
      <c r="K796" s="76" t="s">
        <v>1740</v>
      </c>
      <c r="L796" s="77" t="s">
        <v>1114</v>
      </c>
    </row>
    <row r="797" customFormat="false" ht="15" hidden="false" customHeight="false" outlineLevel="0" collapsed="false">
      <c r="A797" s="76" t="s">
        <v>1735</v>
      </c>
      <c r="B797" s="76" t="s">
        <v>88</v>
      </c>
      <c r="C797" s="76" t="s">
        <v>1716</v>
      </c>
      <c r="D797" s="76" t="s">
        <v>1141</v>
      </c>
      <c r="E797" s="76" t="s">
        <v>1142</v>
      </c>
      <c r="F797" s="35" t="s">
        <v>1736</v>
      </c>
      <c r="G797" s="76" t="s">
        <v>718</v>
      </c>
      <c r="H797" s="78" t="n">
        <v>1392922.60449832</v>
      </c>
      <c r="I797" s="76" t="s">
        <v>1741</v>
      </c>
      <c r="J797" s="78" t="n">
        <v>1392922.60449832</v>
      </c>
      <c r="K797" s="76" t="s">
        <v>1741</v>
      </c>
      <c r="L797" s="77" t="s">
        <v>1114</v>
      </c>
    </row>
    <row r="798" customFormat="false" ht="15" hidden="false" customHeight="false" outlineLevel="0" collapsed="false">
      <c r="A798" s="76" t="s">
        <v>1735</v>
      </c>
      <c r="B798" s="76" t="s">
        <v>88</v>
      </c>
      <c r="C798" s="76" t="s">
        <v>1716</v>
      </c>
      <c r="D798" s="76" t="s">
        <v>1141</v>
      </c>
      <c r="E798" s="76" t="s">
        <v>1142</v>
      </c>
      <c r="F798" s="35" t="s">
        <v>1736</v>
      </c>
      <c r="G798" s="76" t="s">
        <v>702</v>
      </c>
      <c r="H798" s="78" t="n">
        <v>1197269.36300242</v>
      </c>
      <c r="I798" s="76" t="s">
        <v>1742</v>
      </c>
      <c r="J798" s="78" t="n">
        <v>1197269.36300242</v>
      </c>
      <c r="K798" s="76" t="s">
        <v>1742</v>
      </c>
      <c r="L798" s="77" t="s">
        <v>1114</v>
      </c>
    </row>
    <row r="799" customFormat="false" ht="15" hidden="false" customHeight="false" outlineLevel="0" collapsed="false">
      <c r="A799" s="76" t="s">
        <v>1735</v>
      </c>
      <c r="B799" s="76" t="s">
        <v>88</v>
      </c>
      <c r="C799" s="76" t="s">
        <v>1716</v>
      </c>
      <c r="D799" s="76" t="s">
        <v>1141</v>
      </c>
      <c r="E799" s="76" t="s">
        <v>1142</v>
      </c>
      <c r="F799" s="35" t="s">
        <v>1736</v>
      </c>
      <c r="G799" s="76" t="s">
        <v>682</v>
      </c>
      <c r="H799" s="78" t="n">
        <v>496840.997906112</v>
      </c>
      <c r="I799" s="76" t="s">
        <v>1737</v>
      </c>
      <c r="J799" s="78" t="n">
        <v>496840.997906112</v>
      </c>
      <c r="K799" s="76" t="s">
        <v>1737</v>
      </c>
      <c r="L799" s="77" t="s">
        <v>1114</v>
      </c>
    </row>
    <row r="800" customFormat="false" ht="15" hidden="false" customHeight="false" outlineLevel="0" collapsed="false">
      <c r="A800" s="76" t="s">
        <v>1735</v>
      </c>
      <c r="B800" s="76" t="s">
        <v>88</v>
      </c>
      <c r="C800" s="76" t="s">
        <v>1716</v>
      </c>
      <c r="D800" s="76" t="s">
        <v>1141</v>
      </c>
      <c r="E800" s="76" t="s">
        <v>1142</v>
      </c>
      <c r="F800" s="35" t="s">
        <v>1736</v>
      </c>
      <c r="G800" s="76" t="s">
        <v>720</v>
      </c>
      <c r="H800" s="78" t="n">
        <v>1979434.56487895</v>
      </c>
      <c r="I800" s="76" t="s">
        <v>1743</v>
      </c>
      <c r="J800" s="78" t="n">
        <v>1979434.56487895</v>
      </c>
      <c r="K800" s="76" t="s">
        <v>1743</v>
      </c>
      <c r="L800" s="77" t="s">
        <v>1114</v>
      </c>
    </row>
    <row r="801" customFormat="false" ht="15" hidden="false" customHeight="false" outlineLevel="0" collapsed="false">
      <c r="A801" s="76" t="s">
        <v>1735</v>
      </c>
      <c r="B801" s="76" t="s">
        <v>88</v>
      </c>
      <c r="C801" s="76" t="s">
        <v>1716</v>
      </c>
      <c r="D801" s="76" t="s">
        <v>1141</v>
      </c>
      <c r="E801" s="76" t="s">
        <v>1142</v>
      </c>
      <c r="F801" s="35" t="s">
        <v>1736</v>
      </c>
      <c r="G801" s="76" t="s">
        <v>685</v>
      </c>
      <c r="H801" s="78" t="n">
        <v>496841</v>
      </c>
      <c r="I801" s="76" t="s">
        <v>1744</v>
      </c>
      <c r="J801" s="76" t="n">
        <v>496841</v>
      </c>
      <c r="K801" s="76" t="s">
        <v>1744</v>
      </c>
      <c r="L801" s="77" t="s">
        <v>1114</v>
      </c>
    </row>
    <row r="802" customFormat="false" ht="15" hidden="false" customHeight="false" outlineLevel="0" collapsed="false">
      <c r="A802" s="76" t="s">
        <v>1735</v>
      </c>
      <c r="B802" s="76" t="s">
        <v>88</v>
      </c>
      <c r="C802" s="76" t="s">
        <v>1716</v>
      </c>
      <c r="D802" s="76" t="s">
        <v>1141</v>
      </c>
      <c r="E802" s="76" t="s">
        <v>1142</v>
      </c>
      <c r="F802" s="35" t="s">
        <v>1736</v>
      </c>
      <c r="G802" s="76" t="s">
        <v>434</v>
      </c>
      <c r="H802" s="78" t="n">
        <v>38</v>
      </c>
      <c r="I802" s="76" t="s">
        <v>1745</v>
      </c>
      <c r="J802" s="76" t="n">
        <v>38</v>
      </c>
      <c r="K802" s="76" t="s">
        <v>1745</v>
      </c>
      <c r="L802" s="77" t="s">
        <v>1114</v>
      </c>
    </row>
    <row r="803" customFormat="false" ht="15" hidden="false" customHeight="false" outlineLevel="0" collapsed="false">
      <c r="A803" s="76" t="s">
        <v>1746</v>
      </c>
      <c r="B803" s="76" t="s">
        <v>88</v>
      </c>
      <c r="C803" s="76" t="s">
        <v>1716</v>
      </c>
      <c r="D803" s="76" t="s">
        <v>1151</v>
      </c>
      <c r="E803" s="76" t="s">
        <v>1152</v>
      </c>
      <c r="F803" s="35" t="s">
        <v>1747</v>
      </c>
      <c r="G803" s="76" t="s">
        <v>419</v>
      </c>
      <c r="H803" s="76"/>
      <c r="I803" s="76" t="s">
        <v>1726</v>
      </c>
      <c r="J803" s="76"/>
      <c r="K803" s="76" t="s">
        <v>1726</v>
      </c>
      <c r="L803" s="77" t="s">
        <v>1114</v>
      </c>
    </row>
    <row r="804" customFormat="false" ht="15" hidden="false" customHeight="false" outlineLevel="0" collapsed="false">
      <c r="A804" s="76" t="s">
        <v>1746</v>
      </c>
      <c r="B804" s="76" t="s">
        <v>88</v>
      </c>
      <c r="C804" s="76" t="s">
        <v>1716</v>
      </c>
      <c r="D804" s="76" t="s">
        <v>1151</v>
      </c>
      <c r="E804" s="76" t="s">
        <v>1152</v>
      </c>
      <c r="F804" s="35" t="s">
        <v>1747</v>
      </c>
      <c r="G804" s="76" t="s">
        <v>422</v>
      </c>
      <c r="H804" s="78" t="n">
        <v>11508.6778107649</v>
      </c>
      <c r="I804" s="76" t="s">
        <v>1748</v>
      </c>
      <c r="J804" s="78" t="n">
        <v>11508.6778107649</v>
      </c>
      <c r="K804" s="76" t="s">
        <v>1748</v>
      </c>
      <c r="L804" s="77" t="s">
        <v>1114</v>
      </c>
    </row>
    <row r="805" customFormat="false" ht="15" hidden="false" customHeight="false" outlineLevel="0" collapsed="false">
      <c r="A805" s="76" t="s">
        <v>1746</v>
      </c>
      <c r="B805" s="76" t="s">
        <v>88</v>
      </c>
      <c r="C805" s="76" t="s">
        <v>1716</v>
      </c>
      <c r="D805" s="76" t="s">
        <v>1151</v>
      </c>
      <c r="E805" s="76" t="s">
        <v>1152</v>
      </c>
      <c r="F805" s="35" t="s">
        <v>1747</v>
      </c>
      <c r="G805" s="76" t="s">
        <v>714</v>
      </c>
      <c r="H805" s="78" t="n">
        <v>0.00941176470588245</v>
      </c>
      <c r="I805" s="76" t="s">
        <v>1749</v>
      </c>
      <c r="J805" s="78" t="n">
        <v>0.00941176470588245</v>
      </c>
      <c r="K805" s="76" t="s">
        <v>1749</v>
      </c>
      <c r="L805" s="77" t="s">
        <v>1114</v>
      </c>
    </row>
    <row r="806" customFormat="false" ht="15" hidden="false" customHeight="false" outlineLevel="0" collapsed="false">
      <c r="A806" s="76" t="s">
        <v>1746</v>
      </c>
      <c r="B806" s="76" t="s">
        <v>88</v>
      </c>
      <c r="C806" s="76" t="s">
        <v>1716</v>
      </c>
      <c r="D806" s="76" t="s">
        <v>1151</v>
      </c>
      <c r="E806" s="76" t="s">
        <v>1152</v>
      </c>
      <c r="F806" s="35" t="s">
        <v>1747</v>
      </c>
      <c r="G806" s="76" t="s">
        <v>716</v>
      </c>
      <c r="H806" s="76"/>
      <c r="I806" s="76" t="s">
        <v>1750</v>
      </c>
      <c r="J806" s="78" t="n">
        <v>0.0296000000000001</v>
      </c>
      <c r="K806" s="76" t="s">
        <v>1750</v>
      </c>
      <c r="L806" s="77" t="s">
        <v>1114</v>
      </c>
    </row>
    <row r="807" customFormat="false" ht="15" hidden="false" customHeight="false" outlineLevel="0" collapsed="false">
      <c r="A807" s="76" t="s">
        <v>1746</v>
      </c>
      <c r="B807" s="76" t="s">
        <v>88</v>
      </c>
      <c r="C807" s="76" t="s">
        <v>1716</v>
      </c>
      <c r="D807" s="76" t="s">
        <v>1151</v>
      </c>
      <c r="E807" s="76" t="s">
        <v>1152</v>
      </c>
      <c r="F807" s="35" t="s">
        <v>1747</v>
      </c>
      <c r="G807" s="76" t="s">
        <v>717</v>
      </c>
      <c r="H807" s="78" t="n">
        <v>1561.89208296236</v>
      </c>
      <c r="I807" s="76" t="s">
        <v>1751</v>
      </c>
      <c r="J807" s="78" t="n">
        <v>1561.89208296236</v>
      </c>
      <c r="K807" s="76" t="s">
        <v>1751</v>
      </c>
      <c r="L807" s="77" t="s">
        <v>1114</v>
      </c>
    </row>
    <row r="808" customFormat="false" ht="15" hidden="false" customHeight="false" outlineLevel="0" collapsed="false">
      <c r="A808" s="76" t="s">
        <v>1746</v>
      </c>
      <c r="B808" s="76" t="s">
        <v>88</v>
      </c>
      <c r="C808" s="76" t="s">
        <v>1716</v>
      </c>
      <c r="D808" s="76" t="s">
        <v>1151</v>
      </c>
      <c r="E808" s="76" t="s">
        <v>1152</v>
      </c>
      <c r="F808" s="35" t="s">
        <v>1747</v>
      </c>
      <c r="G808" s="76" t="s">
        <v>718</v>
      </c>
      <c r="H808" s="78" t="n">
        <v>15489.1650814819</v>
      </c>
      <c r="I808" s="76" t="s">
        <v>1752</v>
      </c>
      <c r="J808" s="78" t="n">
        <v>15489.1650814819</v>
      </c>
      <c r="K808" s="76" t="s">
        <v>1752</v>
      </c>
      <c r="L808" s="77" t="s">
        <v>1114</v>
      </c>
    </row>
    <row r="809" customFormat="false" ht="15" hidden="false" customHeight="false" outlineLevel="0" collapsed="false">
      <c r="A809" s="76" t="s">
        <v>1746</v>
      </c>
      <c r="B809" s="76" t="s">
        <v>88</v>
      </c>
      <c r="C809" s="76" t="s">
        <v>1716</v>
      </c>
      <c r="D809" s="76" t="s">
        <v>1151</v>
      </c>
      <c r="E809" s="76" t="s">
        <v>1152</v>
      </c>
      <c r="F809" s="35" t="s">
        <v>1747</v>
      </c>
      <c r="G809" s="76" t="s">
        <v>702</v>
      </c>
      <c r="H809" s="78" t="n">
        <v>13387.0639791438</v>
      </c>
      <c r="I809" s="76" t="s">
        <v>1753</v>
      </c>
      <c r="J809" s="78" t="n">
        <v>13387.0639791438</v>
      </c>
      <c r="K809" s="76" t="s">
        <v>1753</v>
      </c>
      <c r="L809" s="77" t="s">
        <v>1114</v>
      </c>
    </row>
    <row r="810" customFormat="false" ht="15" hidden="false" customHeight="false" outlineLevel="0" collapsed="false">
      <c r="A810" s="76" t="s">
        <v>1746</v>
      </c>
      <c r="B810" s="76" t="s">
        <v>88</v>
      </c>
      <c r="C810" s="76" t="s">
        <v>1716</v>
      </c>
      <c r="D810" s="76" t="s">
        <v>1151</v>
      </c>
      <c r="E810" s="76" t="s">
        <v>1152</v>
      </c>
      <c r="F810" s="35" t="s">
        <v>1747</v>
      </c>
      <c r="G810" s="76" t="s">
        <v>682</v>
      </c>
      <c r="H810" s="78" t="n">
        <v>11508.6778107649</v>
      </c>
      <c r="I810" s="76" t="s">
        <v>1748</v>
      </c>
      <c r="J810" s="78" t="n">
        <v>11508.6778107649</v>
      </c>
      <c r="K810" s="76" t="s">
        <v>1748</v>
      </c>
      <c r="L810" s="77" t="s">
        <v>1114</v>
      </c>
    </row>
    <row r="811" customFormat="false" ht="15" hidden="false" customHeight="false" outlineLevel="0" collapsed="false">
      <c r="A811" s="76" t="s">
        <v>1746</v>
      </c>
      <c r="B811" s="76" t="s">
        <v>88</v>
      </c>
      <c r="C811" s="76" t="s">
        <v>1716</v>
      </c>
      <c r="D811" s="76" t="s">
        <v>1151</v>
      </c>
      <c r="E811" s="76" t="s">
        <v>1152</v>
      </c>
      <c r="F811" s="35" t="s">
        <v>1747</v>
      </c>
      <c r="G811" s="76" t="s">
        <v>720</v>
      </c>
      <c r="H811" s="78" t="n">
        <v>2520.26997358723</v>
      </c>
      <c r="I811" s="76" t="s">
        <v>1754</v>
      </c>
      <c r="J811" s="78" t="n">
        <v>2520.26997358722</v>
      </c>
      <c r="K811" s="76" t="s">
        <v>1754</v>
      </c>
      <c r="L811" s="77" t="s">
        <v>1114</v>
      </c>
    </row>
    <row r="812" customFormat="false" ht="15" hidden="false" customHeight="false" outlineLevel="0" collapsed="false">
      <c r="A812" s="76" t="s">
        <v>1746</v>
      </c>
      <c r="B812" s="76" t="s">
        <v>88</v>
      </c>
      <c r="C812" s="76" t="s">
        <v>1716</v>
      </c>
      <c r="D812" s="76" t="s">
        <v>1151</v>
      </c>
      <c r="E812" s="76" t="s">
        <v>1152</v>
      </c>
      <c r="F812" s="35" t="s">
        <v>1747</v>
      </c>
      <c r="G812" s="76" t="s">
        <v>685</v>
      </c>
      <c r="H812" s="78" t="n">
        <v>11509</v>
      </c>
      <c r="I812" s="76" t="s">
        <v>1755</v>
      </c>
      <c r="J812" s="76" t="n">
        <v>11509</v>
      </c>
      <c r="K812" s="76" t="s">
        <v>1755</v>
      </c>
      <c r="L812" s="77" t="s">
        <v>1114</v>
      </c>
    </row>
    <row r="813" customFormat="false" ht="15" hidden="false" customHeight="false" outlineLevel="0" collapsed="false">
      <c r="A813" s="76" t="s">
        <v>1746</v>
      </c>
      <c r="B813" s="76" t="s">
        <v>88</v>
      </c>
      <c r="C813" s="76" t="s">
        <v>1716</v>
      </c>
      <c r="D813" s="76" t="s">
        <v>1151</v>
      </c>
      <c r="E813" s="76" t="s">
        <v>1152</v>
      </c>
      <c r="F813" s="35" t="s">
        <v>1747</v>
      </c>
      <c r="G813" s="76" t="s">
        <v>434</v>
      </c>
      <c r="H813" s="78" t="n">
        <v>15</v>
      </c>
      <c r="I813" s="76" t="s">
        <v>1646</v>
      </c>
      <c r="J813" s="76" t="n">
        <v>15</v>
      </c>
      <c r="K813" s="76" t="s">
        <v>1646</v>
      </c>
      <c r="L813" s="77" t="s">
        <v>1114</v>
      </c>
    </row>
    <row r="814" customFormat="false" ht="15" hidden="false" customHeight="false" outlineLevel="0" collapsed="false">
      <c r="A814" s="76" t="s">
        <v>1756</v>
      </c>
      <c r="B814" s="76" t="s">
        <v>88</v>
      </c>
      <c r="C814" s="76" t="s">
        <v>1716</v>
      </c>
      <c r="D814" s="76" t="s">
        <v>1161</v>
      </c>
      <c r="E814" s="76" t="s">
        <v>1162</v>
      </c>
      <c r="F814" s="35" t="s">
        <v>1757</v>
      </c>
      <c r="G814" s="76" t="s">
        <v>419</v>
      </c>
      <c r="H814" s="76"/>
      <c r="I814" s="76" t="s">
        <v>1758</v>
      </c>
      <c r="J814" s="76"/>
      <c r="K814" s="76" t="s">
        <v>1758</v>
      </c>
      <c r="L814" s="77" t="s">
        <v>1114</v>
      </c>
    </row>
    <row r="815" customFormat="false" ht="15" hidden="false" customHeight="false" outlineLevel="0" collapsed="false">
      <c r="A815" s="76" t="s">
        <v>1756</v>
      </c>
      <c r="B815" s="76" t="s">
        <v>88</v>
      </c>
      <c r="C815" s="76" t="s">
        <v>1716</v>
      </c>
      <c r="D815" s="76" t="s">
        <v>1161</v>
      </c>
      <c r="E815" s="76" t="s">
        <v>1162</v>
      </c>
      <c r="F815" s="35" t="s">
        <v>1757</v>
      </c>
      <c r="G815" s="76" t="s">
        <v>422</v>
      </c>
      <c r="H815" s="78" t="n">
        <v>16704.9931030311</v>
      </c>
      <c r="I815" s="76" t="s">
        <v>1476</v>
      </c>
      <c r="J815" s="78" t="n">
        <v>16704.9931030311</v>
      </c>
      <c r="K815" s="76" t="s">
        <v>1476</v>
      </c>
      <c r="L815" s="77" t="s">
        <v>1114</v>
      </c>
    </row>
    <row r="816" customFormat="false" ht="15" hidden="false" customHeight="false" outlineLevel="0" collapsed="false">
      <c r="A816" s="76" t="s">
        <v>1756</v>
      </c>
      <c r="B816" s="76" t="s">
        <v>88</v>
      </c>
      <c r="C816" s="76" t="s">
        <v>1716</v>
      </c>
      <c r="D816" s="76" t="s">
        <v>1161</v>
      </c>
      <c r="E816" s="76" t="s">
        <v>1162</v>
      </c>
      <c r="F816" s="35" t="s">
        <v>1757</v>
      </c>
      <c r="G816" s="76" t="s">
        <v>714</v>
      </c>
      <c r="H816" s="76"/>
      <c r="I816" s="76"/>
      <c r="J816" s="76"/>
      <c r="K816" s="76"/>
      <c r="L816" s="77" t="s">
        <v>1114</v>
      </c>
    </row>
    <row r="817" customFormat="false" ht="15" hidden="false" customHeight="false" outlineLevel="0" collapsed="false">
      <c r="A817" s="76" t="s">
        <v>1756</v>
      </c>
      <c r="B817" s="76" t="s">
        <v>88</v>
      </c>
      <c r="C817" s="76" t="s">
        <v>1716</v>
      </c>
      <c r="D817" s="76" t="s">
        <v>1161</v>
      </c>
      <c r="E817" s="76" t="s">
        <v>1162</v>
      </c>
      <c r="F817" s="35" t="s">
        <v>1757</v>
      </c>
      <c r="G817" s="76" t="s">
        <v>716</v>
      </c>
      <c r="H817" s="76"/>
      <c r="I817" s="76"/>
      <c r="J817" s="76"/>
      <c r="K817" s="76"/>
      <c r="L817" s="77" t="s">
        <v>1114</v>
      </c>
    </row>
    <row r="818" customFormat="false" ht="15" hidden="false" customHeight="false" outlineLevel="0" collapsed="false">
      <c r="A818" s="76" t="s">
        <v>1756</v>
      </c>
      <c r="B818" s="76" t="s">
        <v>88</v>
      </c>
      <c r="C818" s="76" t="s">
        <v>1716</v>
      </c>
      <c r="D818" s="76" t="s">
        <v>1161</v>
      </c>
      <c r="E818" s="76" t="s">
        <v>1162</v>
      </c>
      <c r="F818" s="35" t="s">
        <v>1757</v>
      </c>
      <c r="G818" s="76" t="s">
        <v>717</v>
      </c>
      <c r="H818" s="78" t="n">
        <v>2626.23975353215</v>
      </c>
      <c r="I818" s="76" t="s">
        <v>1759</v>
      </c>
      <c r="J818" s="78" t="n">
        <v>2626.23975353215</v>
      </c>
      <c r="K818" s="76" t="s">
        <v>1759</v>
      </c>
      <c r="L818" s="77" t="s">
        <v>1114</v>
      </c>
    </row>
    <row r="819" customFormat="false" ht="15" hidden="false" customHeight="false" outlineLevel="0" collapsed="false">
      <c r="A819" s="76" t="s">
        <v>1756</v>
      </c>
      <c r="B819" s="76" t="s">
        <v>88</v>
      </c>
      <c r="C819" s="76" t="s">
        <v>1716</v>
      </c>
      <c r="D819" s="76" t="s">
        <v>1161</v>
      </c>
      <c r="E819" s="76" t="s">
        <v>1162</v>
      </c>
      <c r="F819" s="35" t="s">
        <v>1757</v>
      </c>
      <c r="G819" s="76" t="s">
        <v>718</v>
      </c>
      <c r="H819" s="78" t="n">
        <v>16704.9931030311</v>
      </c>
      <c r="I819" s="76" t="s">
        <v>1476</v>
      </c>
      <c r="J819" s="78" t="n">
        <v>16704.9931030311</v>
      </c>
      <c r="K819" s="76" t="s">
        <v>1476</v>
      </c>
      <c r="L819" s="77" t="s">
        <v>1114</v>
      </c>
    </row>
    <row r="820" customFormat="false" ht="15" hidden="false" customHeight="false" outlineLevel="0" collapsed="false">
      <c r="A820" s="76" t="s">
        <v>1756</v>
      </c>
      <c r="B820" s="76" t="s">
        <v>88</v>
      </c>
      <c r="C820" s="76" t="s">
        <v>1716</v>
      </c>
      <c r="D820" s="76" t="s">
        <v>1161</v>
      </c>
      <c r="E820" s="76" t="s">
        <v>1162</v>
      </c>
      <c r="F820" s="35" t="s">
        <v>1757</v>
      </c>
      <c r="G820" s="76" t="s">
        <v>702</v>
      </c>
      <c r="H820" s="78" t="n">
        <v>14078.753349499</v>
      </c>
      <c r="I820" s="76" t="s">
        <v>1760</v>
      </c>
      <c r="J820" s="78" t="n">
        <v>14078.753349499</v>
      </c>
      <c r="K820" s="76" t="s">
        <v>1760</v>
      </c>
      <c r="L820" s="77" t="s">
        <v>1114</v>
      </c>
    </row>
    <row r="821" customFormat="false" ht="15" hidden="false" customHeight="false" outlineLevel="0" collapsed="false">
      <c r="A821" s="76" t="s">
        <v>1756</v>
      </c>
      <c r="B821" s="76" t="s">
        <v>88</v>
      </c>
      <c r="C821" s="76" t="s">
        <v>1716</v>
      </c>
      <c r="D821" s="76" t="s">
        <v>1161</v>
      </c>
      <c r="E821" s="76" t="s">
        <v>1162</v>
      </c>
      <c r="F821" s="35" t="s">
        <v>1757</v>
      </c>
      <c r="G821" s="76" t="s">
        <v>682</v>
      </c>
      <c r="H821" s="76"/>
      <c r="I821" s="76"/>
      <c r="J821" s="76"/>
      <c r="K821" s="76"/>
      <c r="L821" s="77" t="s">
        <v>1114</v>
      </c>
    </row>
    <row r="822" customFormat="false" ht="15" hidden="false" customHeight="false" outlineLevel="0" collapsed="false">
      <c r="A822" s="76" t="s">
        <v>1756</v>
      </c>
      <c r="B822" s="76" t="s">
        <v>88</v>
      </c>
      <c r="C822" s="76" t="s">
        <v>1716</v>
      </c>
      <c r="D822" s="76" t="s">
        <v>1161</v>
      </c>
      <c r="E822" s="76" t="s">
        <v>1162</v>
      </c>
      <c r="F822" s="35" t="s">
        <v>1757</v>
      </c>
      <c r="G822" s="76" t="s">
        <v>720</v>
      </c>
      <c r="H822" s="78" t="n">
        <v>1304.44195203803</v>
      </c>
      <c r="I822" s="76" t="s">
        <v>1761</v>
      </c>
      <c r="J822" s="78" t="n">
        <v>1304.44195203803</v>
      </c>
      <c r="K822" s="76" t="s">
        <v>1761</v>
      </c>
      <c r="L822" s="77" t="s">
        <v>1114</v>
      </c>
    </row>
    <row r="823" customFormat="false" ht="15" hidden="false" customHeight="false" outlineLevel="0" collapsed="false">
      <c r="A823" s="76" t="s">
        <v>1756</v>
      </c>
      <c r="B823" s="76" t="s">
        <v>88</v>
      </c>
      <c r="C823" s="76" t="s">
        <v>1716</v>
      </c>
      <c r="D823" s="76" t="s">
        <v>1161</v>
      </c>
      <c r="E823" s="76" t="s">
        <v>1162</v>
      </c>
      <c r="F823" s="35" t="s">
        <v>1757</v>
      </c>
      <c r="G823" s="76" t="s">
        <v>685</v>
      </c>
      <c r="H823" s="78" t="n">
        <v>9971</v>
      </c>
      <c r="I823" s="76" t="s">
        <v>1762</v>
      </c>
      <c r="J823" s="76" t="n">
        <v>9971</v>
      </c>
      <c r="K823" s="76" t="s">
        <v>1762</v>
      </c>
      <c r="L823" s="77" t="s">
        <v>1114</v>
      </c>
    </row>
    <row r="824" customFormat="false" ht="15" hidden="false" customHeight="false" outlineLevel="0" collapsed="false">
      <c r="A824" s="76" t="s">
        <v>1756</v>
      </c>
      <c r="B824" s="76" t="s">
        <v>88</v>
      </c>
      <c r="C824" s="76" t="s">
        <v>1716</v>
      </c>
      <c r="D824" s="76" t="s">
        <v>1161</v>
      </c>
      <c r="E824" s="76" t="s">
        <v>1162</v>
      </c>
      <c r="F824" s="35" t="s">
        <v>1757</v>
      </c>
      <c r="G824" s="76" t="s">
        <v>434</v>
      </c>
      <c r="H824" s="78" t="n">
        <v>15</v>
      </c>
      <c r="I824" s="76" t="s">
        <v>1646</v>
      </c>
      <c r="J824" s="76" t="n">
        <v>15</v>
      </c>
      <c r="K824" s="76" t="s">
        <v>1646</v>
      </c>
      <c r="L824" s="77" t="s">
        <v>1114</v>
      </c>
    </row>
    <row r="825" customFormat="false" ht="15" hidden="false" customHeight="false" outlineLevel="0" collapsed="false">
      <c r="A825" s="76" t="s">
        <v>1763</v>
      </c>
      <c r="B825" s="76" t="s">
        <v>88</v>
      </c>
      <c r="C825" s="76" t="s">
        <v>1716</v>
      </c>
      <c r="D825" s="76" t="s">
        <v>1170</v>
      </c>
      <c r="E825" s="76" t="s">
        <v>1171</v>
      </c>
      <c r="F825" s="35" t="s">
        <v>1764</v>
      </c>
      <c r="G825" s="76" t="s">
        <v>419</v>
      </c>
      <c r="H825" s="76"/>
      <c r="I825" s="76" t="s">
        <v>1758</v>
      </c>
      <c r="J825" s="76"/>
      <c r="K825" s="76" t="s">
        <v>1758</v>
      </c>
      <c r="L825" s="77" t="s">
        <v>1114</v>
      </c>
    </row>
    <row r="826" customFormat="false" ht="15" hidden="false" customHeight="false" outlineLevel="0" collapsed="false">
      <c r="A826" s="76" t="s">
        <v>1763</v>
      </c>
      <c r="B826" s="76" t="s">
        <v>88</v>
      </c>
      <c r="C826" s="76" t="s">
        <v>1716</v>
      </c>
      <c r="D826" s="76" t="s">
        <v>1170</v>
      </c>
      <c r="E826" s="76" t="s">
        <v>1171</v>
      </c>
      <c r="F826" s="35" t="s">
        <v>1764</v>
      </c>
      <c r="G826" s="76" t="s">
        <v>422</v>
      </c>
      <c r="H826" s="78" t="n">
        <v>17345.7728514408</v>
      </c>
      <c r="I826" s="76" t="s">
        <v>1765</v>
      </c>
      <c r="J826" s="78" t="n">
        <v>17345.7728514408</v>
      </c>
      <c r="K826" s="76" t="s">
        <v>1765</v>
      </c>
      <c r="L826" s="77" t="s">
        <v>1114</v>
      </c>
    </row>
    <row r="827" customFormat="false" ht="15" hidden="false" customHeight="false" outlineLevel="0" collapsed="false">
      <c r="A827" s="76" t="s">
        <v>1763</v>
      </c>
      <c r="B827" s="76" t="s">
        <v>88</v>
      </c>
      <c r="C827" s="76" t="s">
        <v>1716</v>
      </c>
      <c r="D827" s="76" t="s">
        <v>1170</v>
      </c>
      <c r="E827" s="76" t="s">
        <v>1171</v>
      </c>
      <c r="F827" s="35" t="s">
        <v>1764</v>
      </c>
      <c r="G827" s="76" t="s">
        <v>714</v>
      </c>
      <c r="H827" s="76"/>
      <c r="I827" s="76"/>
      <c r="J827" s="76"/>
      <c r="K827" s="76"/>
      <c r="L827" s="77" t="s">
        <v>1114</v>
      </c>
    </row>
    <row r="828" customFormat="false" ht="15" hidden="false" customHeight="false" outlineLevel="0" collapsed="false">
      <c r="A828" s="76" t="s">
        <v>1763</v>
      </c>
      <c r="B828" s="76" t="s">
        <v>88</v>
      </c>
      <c r="C828" s="76" t="s">
        <v>1716</v>
      </c>
      <c r="D828" s="76" t="s">
        <v>1170</v>
      </c>
      <c r="E828" s="76" t="s">
        <v>1171</v>
      </c>
      <c r="F828" s="35" t="s">
        <v>1764</v>
      </c>
      <c r="G828" s="76" t="s">
        <v>716</v>
      </c>
      <c r="H828" s="76"/>
      <c r="I828" s="76"/>
      <c r="J828" s="76"/>
      <c r="K828" s="76"/>
      <c r="L828" s="77" t="s">
        <v>1114</v>
      </c>
    </row>
    <row r="829" customFormat="false" ht="15" hidden="false" customHeight="false" outlineLevel="0" collapsed="false">
      <c r="A829" s="76" t="s">
        <v>1763</v>
      </c>
      <c r="B829" s="76" t="s">
        <v>88</v>
      </c>
      <c r="C829" s="76" t="s">
        <v>1716</v>
      </c>
      <c r="D829" s="76" t="s">
        <v>1170</v>
      </c>
      <c r="E829" s="76" t="s">
        <v>1171</v>
      </c>
      <c r="F829" s="35" t="s">
        <v>1764</v>
      </c>
      <c r="G829" s="76" t="s">
        <v>717</v>
      </c>
      <c r="H829" s="78" t="n">
        <v>2909.25551995317</v>
      </c>
      <c r="I829" s="76" t="s">
        <v>1766</v>
      </c>
      <c r="J829" s="78" t="n">
        <v>2909.25551995317</v>
      </c>
      <c r="K829" s="76" t="s">
        <v>1766</v>
      </c>
      <c r="L829" s="77" t="s">
        <v>1114</v>
      </c>
    </row>
    <row r="830" customFormat="false" ht="15" hidden="false" customHeight="false" outlineLevel="0" collapsed="false">
      <c r="A830" s="76" t="s">
        <v>1763</v>
      </c>
      <c r="B830" s="76" t="s">
        <v>88</v>
      </c>
      <c r="C830" s="76" t="s">
        <v>1716</v>
      </c>
      <c r="D830" s="76" t="s">
        <v>1170</v>
      </c>
      <c r="E830" s="76" t="s">
        <v>1171</v>
      </c>
      <c r="F830" s="35" t="s">
        <v>1764</v>
      </c>
      <c r="G830" s="76" t="s">
        <v>718</v>
      </c>
      <c r="H830" s="78" t="n">
        <v>17345.7728514408</v>
      </c>
      <c r="I830" s="76" t="s">
        <v>1765</v>
      </c>
      <c r="J830" s="78" t="n">
        <v>17345.7728514408</v>
      </c>
      <c r="K830" s="76" t="s">
        <v>1765</v>
      </c>
      <c r="L830" s="77" t="s">
        <v>1114</v>
      </c>
    </row>
    <row r="831" customFormat="false" ht="15" hidden="false" customHeight="false" outlineLevel="0" collapsed="false">
      <c r="A831" s="76" t="s">
        <v>1763</v>
      </c>
      <c r="B831" s="76" t="s">
        <v>88</v>
      </c>
      <c r="C831" s="76" t="s">
        <v>1716</v>
      </c>
      <c r="D831" s="76" t="s">
        <v>1170</v>
      </c>
      <c r="E831" s="76" t="s">
        <v>1171</v>
      </c>
      <c r="F831" s="35" t="s">
        <v>1764</v>
      </c>
      <c r="G831" s="76" t="s">
        <v>702</v>
      </c>
      <c r="H831" s="78" t="n">
        <v>14436.5173314876</v>
      </c>
      <c r="I831" s="76" t="s">
        <v>1767</v>
      </c>
      <c r="J831" s="78" t="n">
        <v>14436.5173314876</v>
      </c>
      <c r="K831" s="76" t="s">
        <v>1767</v>
      </c>
      <c r="L831" s="77" t="s">
        <v>1114</v>
      </c>
    </row>
    <row r="832" customFormat="false" ht="15" hidden="false" customHeight="false" outlineLevel="0" collapsed="false">
      <c r="A832" s="76" t="s">
        <v>1763</v>
      </c>
      <c r="B832" s="76" t="s">
        <v>88</v>
      </c>
      <c r="C832" s="76" t="s">
        <v>1716</v>
      </c>
      <c r="D832" s="76" t="s">
        <v>1170</v>
      </c>
      <c r="E832" s="76" t="s">
        <v>1171</v>
      </c>
      <c r="F832" s="35" t="s">
        <v>1764</v>
      </c>
      <c r="G832" s="76" t="s">
        <v>682</v>
      </c>
      <c r="H832" s="76"/>
      <c r="I832" s="76"/>
      <c r="J832" s="76"/>
      <c r="K832" s="76"/>
      <c r="L832" s="77" t="s">
        <v>1114</v>
      </c>
    </row>
    <row r="833" customFormat="false" ht="15" hidden="false" customHeight="false" outlineLevel="0" collapsed="false">
      <c r="A833" s="76" t="s">
        <v>1763</v>
      </c>
      <c r="B833" s="76" t="s">
        <v>88</v>
      </c>
      <c r="C833" s="76" t="s">
        <v>1716</v>
      </c>
      <c r="D833" s="76" t="s">
        <v>1170</v>
      </c>
      <c r="E833" s="76" t="s">
        <v>1171</v>
      </c>
      <c r="F833" s="35" t="s">
        <v>1764</v>
      </c>
      <c r="G833" s="76" t="s">
        <v>720</v>
      </c>
      <c r="H833" s="78" t="n">
        <v>663.66220362837</v>
      </c>
      <c r="I833" s="76" t="s">
        <v>1768</v>
      </c>
      <c r="J833" s="78" t="n">
        <v>663.66220362837</v>
      </c>
      <c r="K833" s="76" t="s">
        <v>1768</v>
      </c>
      <c r="L833" s="77" t="s">
        <v>1114</v>
      </c>
    </row>
    <row r="834" customFormat="false" ht="15" hidden="false" customHeight="false" outlineLevel="0" collapsed="false">
      <c r="A834" s="76" t="s">
        <v>1763</v>
      </c>
      <c r="B834" s="76" t="s">
        <v>88</v>
      </c>
      <c r="C834" s="76" t="s">
        <v>1716</v>
      </c>
      <c r="D834" s="76" t="s">
        <v>1170</v>
      </c>
      <c r="E834" s="76" t="s">
        <v>1171</v>
      </c>
      <c r="F834" s="35" t="s">
        <v>1764</v>
      </c>
      <c r="G834" s="76" t="s">
        <v>685</v>
      </c>
      <c r="H834" s="78" t="n">
        <v>17346</v>
      </c>
      <c r="I834" s="76" t="s">
        <v>1769</v>
      </c>
      <c r="J834" s="76" t="n">
        <v>17346</v>
      </c>
      <c r="K834" s="76" t="s">
        <v>1769</v>
      </c>
      <c r="L834" s="77" t="s">
        <v>1114</v>
      </c>
    </row>
    <row r="835" customFormat="false" ht="15" hidden="false" customHeight="false" outlineLevel="0" collapsed="false">
      <c r="A835" s="76" t="s">
        <v>1763</v>
      </c>
      <c r="B835" s="76" t="s">
        <v>88</v>
      </c>
      <c r="C835" s="76" t="s">
        <v>1716</v>
      </c>
      <c r="D835" s="76" t="s">
        <v>1170</v>
      </c>
      <c r="E835" s="76" t="s">
        <v>1171</v>
      </c>
      <c r="F835" s="35" t="s">
        <v>1764</v>
      </c>
      <c r="G835" s="76" t="s">
        <v>434</v>
      </c>
      <c r="H835" s="78" t="n">
        <v>15</v>
      </c>
      <c r="I835" s="76" t="s">
        <v>1646</v>
      </c>
      <c r="J835" s="76" t="n">
        <v>15</v>
      </c>
      <c r="K835" s="76" t="s">
        <v>1646</v>
      </c>
      <c r="L835" s="77" t="s">
        <v>1114</v>
      </c>
    </row>
    <row r="836" customFormat="false" ht="15" hidden="false" customHeight="false" outlineLevel="0" collapsed="false">
      <c r="A836" s="76" t="s">
        <v>1770</v>
      </c>
      <c r="B836" s="76" t="s">
        <v>88</v>
      </c>
      <c r="C836" s="76" t="s">
        <v>1716</v>
      </c>
      <c r="D836" s="76" t="s">
        <v>1180</v>
      </c>
      <c r="E836" s="76" t="s">
        <v>1152</v>
      </c>
      <c r="F836" s="35" t="s">
        <v>1771</v>
      </c>
      <c r="G836" s="76" t="s">
        <v>419</v>
      </c>
      <c r="H836" s="76"/>
      <c r="I836" s="76" t="s">
        <v>1726</v>
      </c>
      <c r="J836" s="76"/>
      <c r="K836" s="76" t="s">
        <v>1726</v>
      </c>
      <c r="L836" s="77" t="s">
        <v>1114</v>
      </c>
    </row>
    <row r="837" customFormat="false" ht="15" hidden="false" customHeight="false" outlineLevel="0" collapsed="false">
      <c r="A837" s="76" t="s">
        <v>1770</v>
      </c>
      <c r="B837" s="76" t="s">
        <v>88</v>
      </c>
      <c r="C837" s="76" t="s">
        <v>1716</v>
      </c>
      <c r="D837" s="76" t="s">
        <v>1180</v>
      </c>
      <c r="E837" s="76" t="s">
        <v>1152</v>
      </c>
      <c r="F837" s="35" t="s">
        <v>1771</v>
      </c>
      <c r="G837" s="76" t="s">
        <v>422</v>
      </c>
      <c r="H837" s="78" t="n">
        <v>59815.3009010898</v>
      </c>
      <c r="I837" s="76" t="s">
        <v>1772</v>
      </c>
      <c r="J837" s="78" t="n">
        <v>59815.3009010898</v>
      </c>
      <c r="K837" s="76" t="s">
        <v>1772</v>
      </c>
      <c r="L837" s="77" t="s">
        <v>1114</v>
      </c>
    </row>
    <row r="838" customFormat="false" ht="15" hidden="false" customHeight="false" outlineLevel="0" collapsed="false">
      <c r="A838" s="76" t="s">
        <v>1770</v>
      </c>
      <c r="B838" s="76" t="s">
        <v>88</v>
      </c>
      <c r="C838" s="76" t="s">
        <v>1716</v>
      </c>
      <c r="D838" s="76" t="s">
        <v>1180</v>
      </c>
      <c r="E838" s="76" t="s">
        <v>1152</v>
      </c>
      <c r="F838" s="35" t="s">
        <v>1771</v>
      </c>
      <c r="G838" s="76" t="s">
        <v>714</v>
      </c>
      <c r="H838" s="78" t="n">
        <v>-0.0372549019607843</v>
      </c>
      <c r="I838" s="76" t="s">
        <v>1773</v>
      </c>
      <c r="J838" s="78" t="n">
        <v>-0.0372549019607843</v>
      </c>
      <c r="K838" s="76" t="s">
        <v>1773</v>
      </c>
      <c r="L838" s="77" t="s">
        <v>1114</v>
      </c>
    </row>
    <row r="839" customFormat="false" ht="15" hidden="false" customHeight="false" outlineLevel="0" collapsed="false">
      <c r="A839" s="76" t="s">
        <v>1770</v>
      </c>
      <c r="B839" s="76" t="s">
        <v>88</v>
      </c>
      <c r="C839" s="76" t="s">
        <v>1716</v>
      </c>
      <c r="D839" s="76" t="s">
        <v>1180</v>
      </c>
      <c r="E839" s="76" t="s">
        <v>1152</v>
      </c>
      <c r="F839" s="35" t="s">
        <v>1771</v>
      </c>
      <c r="G839" s="76" t="s">
        <v>716</v>
      </c>
      <c r="H839" s="76"/>
      <c r="I839" s="76" t="s">
        <v>1774</v>
      </c>
      <c r="J839" s="78" t="n">
        <v>-0.018</v>
      </c>
      <c r="K839" s="76" t="s">
        <v>1774</v>
      </c>
      <c r="L839" s="77" t="s">
        <v>1114</v>
      </c>
    </row>
    <row r="840" customFormat="false" ht="15" hidden="false" customHeight="false" outlineLevel="0" collapsed="false">
      <c r="A840" s="76" t="s">
        <v>1770</v>
      </c>
      <c r="B840" s="76" t="s">
        <v>88</v>
      </c>
      <c r="C840" s="76" t="s">
        <v>1716</v>
      </c>
      <c r="D840" s="76" t="s">
        <v>1180</v>
      </c>
      <c r="E840" s="76" t="s">
        <v>1152</v>
      </c>
      <c r="F840" s="35" t="s">
        <v>1771</v>
      </c>
      <c r="G840" s="76" t="s">
        <v>717</v>
      </c>
      <c r="H840" s="78" t="n">
        <v>-5686.74316548356</v>
      </c>
      <c r="I840" s="76" t="s">
        <v>1775</v>
      </c>
      <c r="J840" s="78" t="n">
        <v>-5686.74316548356</v>
      </c>
      <c r="K840" s="76" t="s">
        <v>1775</v>
      </c>
      <c r="L840" s="77" t="s">
        <v>1114</v>
      </c>
    </row>
    <row r="841" customFormat="false" ht="15" hidden="false" customHeight="false" outlineLevel="0" collapsed="false">
      <c r="A841" s="76" t="s">
        <v>1770</v>
      </c>
      <c r="B841" s="76" t="s">
        <v>88</v>
      </c>
      <c r="C841" s="76" t="s">
        <v>1716</v>
      </c>
      <c r="D841" s="76" t="s">
        <v>1180</v>
      </c>
      <c r="E841" s="76" t="s">
        <v>1152</v>
      </c>
      <c r="F841" s="35" t="s">
        <v>1771</v>
      </c>
      <c r="G841" s="76" t="s">
        <v>718</v>
      </c>
      <c r="H841" s="78" t="n">
        <v>119623.995361451</v>
      </c>
      <c r="I841" s="76" t="s">
        <v>1776</v>
      </c>
      <c r="J841" s="78" t="n">
        <v>119623.995361451</v>
      </c>
      <c r="K841" s="76" t="s">
        <v>1776</v>
      </c>
      <c r="L841" s="77" t="s">
        <v>1114</v>
      </c>
    </row>
    <row r="842" customFormat="false" ht="15" hidden="false" customHeight="false" outlineLevel="0" collapsed="false">
      <c r="A842" s="76" t="s">
        <v>1770</v>
      </c>
      <c r="B842" s="76" t="s">
        <v>88</v>
      </c>
      <c r="C842" s="76" t="s">
        <v>1716</v>
      </c>
      <c r="D842" s="76" t="s">
        <v>1180</v>
      </c>
      <c r="E842" s="76" t="s">
        <v>1152</v>
      </c>
      <c r="F842" s="35" t="s">
        <v>1771</v>
      </c>
      <c r="G842" s="76" t="s">
        <v>702</v>
      </c>
      <c r="H842" s="78" t="n">
        <v>130996.853606776</v>
      </c>
      <c r="I842" s="76" t="s">
        <v>1777</v>
      </c>
      <c r="J842" s="78" t="n">
        <v>130996.853606776</v>
      </c>
      <c r="K842" s="76" t="s">
        <v>1777</v>
      </c>
      <c r="L842" s="77" t="s">
        <v>1114</v>
      </c>
    </row>
    <row r="843" customFormat="false" ht="15" hidden="false" customHeight="false" outlineLevel="0" collapsed="false">
      <c r="A843" s="76" t="s">
        <v>1770</v>
      </c>
      <c r="B843" s="76" t="s">
        <v>88</v>
      </c>
      <c r="C843" s="76" t="s">
        <v>1716</v>
      </c>
      <c r="D843" s="76" t="s">
        <v>1180</v>
      </c>
      <c r="E843" s="76" t="s">
        <v>1152</v>
      </c>
      <c r="F843" s="35" t="s">
        <v>1771</v>
      </c>
      <c r="G843" s="76" t="s">
        <v>682</v>
      </c>
      <c r="H843" s="78" t="n">
        <v>59815.3009010898</v>
      </c>
      <c r="I843" s="76" t="s">
        <v>1772</v>
      </c>
      <c r="J843" s="78" t="n">
        <v>59815.3009010898</v>
      </c>
      <c r="K843" s="76" t="s">
        <v>1772</v>
      </c>
      <c r="L843" s="77" t="s">
        <v>1114</v>
      </c>
    </row>
    <row r="844" customFormat="false" ht="15" hidden="false" customHeight="false" outlineLevel="0" collapsed="false">
      <c r="A844" s="76" t="s">
        <v>1770</v>
      </c>
      <c r="B844" s="76" t="s">
        <v>88</v>
      </c>
      <c r="C844" s="76" t="s">
        <v>1716</v>
      </c>
      <c r="D844" s="76" t="s">
        <v>1180</v>
      </c>
      <c r="E844" s="76" t="s">
        <v>1152</v>
      </c>
      <c r="F844" s="35" t="s">
        <v>1771</v>
      </c>
      <c r="G844" s="76" t="s">
        <v>720</v>
      </c>
      <c r="H844" s="78" t="n">
        <v>106276.004638549</v>
      </c>
      <c r="I844" s="76" t="s">
        <v>1778</v>
      </c>
      <c r="J844" s="78" t="n">
        <v>106276.004638549</v>
      </c>
      <c r="K844" s="76" t="s">
        <v>1778</v>
      </c>
      <c r="L844" s="77" t="s">
        <v>1114</v>
      </c>
    </row>
    <row r="845" customFormat="false" ht="15" hidden="false" customHeight="false" outlineLevel="0" collapsed="false">
      <c r="A845" s="76" t="s">
        <v>1770</v>
      </c>
      <c r="B845" s="76" t="s">
        <v>88</v>
      </c>
      <c r="C845" s="76" t="s">
        <v>1716</v>
      </c>
      <c r="D845" s="76" t="s">
        <v>1180</v>
      </c>
      <c r="E845" s="76" t="s">
        <v>1152</v>
      </c>
      <c r="F845" s="35" t="s">
        <v>1771</v>
      </c>
      <c r="G845" s="76" t="s">
        <v>685</v>
      </c>
      <c r="H845" s="78" t="n">
        <v>59815</v>
      </c>
      <c r="I845" s="76" t="s">
        <v>1779</v>
      </c>
      <c r="J845" s="76" t="n">
        <v>59815</v>
      </c>
      <c r="K845" s="76" t="s">
        <v>1779</v>
      </c>
      <c r="L845" s="77" t="s">
        <v>1114</v>
      </c>
    </row>
    <row r="846" customFormat="false" ht="15" hidden="false" customHeight="false" outlineLevel="0" collapsed="false">
      <c r="A846" s="76" t="s">
        <v>1770</v>
      </c>
      <c r="B846" s="76" t="s">
        <v>88</v>
      </c>
      <c r="C846" s="76" t="s">
        <v>1716</v>
      </c>
      <c r="D846" s="76" t="s">
        <v>1180</v>
      </c>
      <c r="E846" s="76" t="s">
        <v>1152</v>
      </c>
      <c r="F846" s="35" t="s">
        <v>1771</v>
      </c>
      <c r="G846" s="76" t="s">
        <v>434</v>
      </c>
      <c r="H846" s="78" t="n">
        <v>35</v>
      </c>
      <c r="I846" s="76" t="s">
        <v>1780</v>
      </c>
      <c r="J846" s="76" t="n">
        <v>35</v>
      </c>
      <c r="K846" s="76" t="s">
        <v>1780</v>
      </c>
      <c r="L846" s="77" t="s">
        <v>1114</v>
      </c>
    </row>
    <row r="847" customFormat="false" ht="15" hidden="false" customHeight="false" outlineLevel="0" collapsed="false">
      <c r="A847" s="76" t="s">
        <v>1781</v>
      </c>
      <c r="B847" s="76" t="s">
        <v>88</v>
      </c>
      <c r="C847" s="76" t="s">
        <v>1716</v>
      </c>
      <c r="D847" s="76" t="s">
        <v>1189</v>
      </c>
      <c r="E847" s="76" t="s">
        <v>1125</v>
      </c>
      <c r="F847" s="35" t="s">
        <v>1782</v>
      </c>
      <c r="G847" s="76" t="s">
        <v>419</v>
      </c>
      <c r="H847" s="76"/>
      <c r="I847" s="76" t="s">
        <v>1758</v>
      </c>
      <c r="J847" s="76"/>
      <c r="K847" s="76" t="s">
        <v>1758</v>
      </c>
      <c r="L847" s="77" t="s">
        <v>1114</v>
      </c>
    </row>
    <row r="848" customFormat="false" ht="15" hidden="false" customHeight="false" outlineLevel="0" collapsed="false">
      <c r="A848" s="76" t="s">
        <v>1781</v>
      </c>
      <c r="B848" s="76" t="s">
        <v>88</v>
      </c>
      <c r="C848" s="76" t="s">
        <v>1716</v>
      </c>
      <c r="D848" s="76" t="s">
        <v>1189</v>
      </c>
      <c r="E848" s="76" t="s">
        <v>1125</v>
      </c>
      <c r="F848" s="35" t="s">
        <v>1782</v>
      </c>
      <c r="G848" s="76" t="s">
        <v>422</v>
      </c>
      <c r="H848" s="78" t="n">
        <v>302286.846589174</v>
      </c>
      <c r="I848" s="76" t="s">
        <v>1783</v>
      </c>
      <c r="J848" s="78" t="n">
        <v>302286.846589174</v>
      </c>
      <c r="K848" s="76" t="s">
        <v>1783</v>
      </c>
      <c r="L848" s="77" t="s">
        <v>1114</v>
      </c>
    </row>
    <row r="849" customFormat="false" ht="15" hidden="false" customHeight="false" outlineLevel="0" collapsed="false">
      <c r="A849" s="76" t="s">
        <v>1781</v>
      </c>
      <c r="B849" s="76" t="s">
        <v>88</v>
      </c>
      <c r="C849" s="76" t="s">
        <v>1716</v>
      </c>
      <c r="D849" s="76" t="s">
        <v>1189</v>
      </c>
      <c r="E849" s="76" t="s">
        <v>1125</v>
      </c>
      <c r="F849" s="35" t="s">
        <v>1782</v>
      </c>
      <c r="G849" s="76" t="s">
        <v>714</v>
      </c>
      <c r="H849" s="76"/>
      <c r="I849" s="76"/>
      <c r="J849" s="76"/>
      <c r="K849" s="76"/>
      <c r="L849" s="77" t="s">
        <v>1114</v>
      </c>
    </row>
    <row r="850" customFormat="false" ht="15" hidden="false" customHeight="false" outlineLevel="0" collapsed="false">
      <c r="A850" s="76" t="s">
        <v>1781</v>
      </c>
      <c r="B850" s="76" t="s">
        <v>88</v>
      </c>
      <c r="C850" s="76" t="s">
        <v>1716</v>
      </c>
      <c r="D850" s="76" t="s">
        <v>1189</v>
      </c>
      <c r="E850" s="76" t="s">
        <v>1125</v>
      </c>
      <c r="F850" s="35" t="s">
        <v>1782</v>
      </c>
      <c r="G850" s="76" t="s">
        <v>716</v>
      </c>
      <c r="H850" s="76"/>
      <c r="I850" s="76"/>
      <c r="J850" s="76"/>
      <c r="K850" s="76"/>
      <c r="L850" s="77" t="s">
        <v>1114</v>
      </c>
    </row>
    <row r="851" customFormat="false" ht="15" hidden="false" customHeight="false" outlineLevel="0" collapsed="false">
      <c r="A851" s="76" t="s">
        <v>1781</v>
      </c>
      <c r="B851" s="76" t="s">
        <v>88</v>
      </c>
      <c r="C851" s="76" t="s">
        <v>1716</v>
      </c>
      <c r="D851" s="76" t="s">
        <v>1189</v>
      </c>
      <c r="E851" s="76" t="s">
        <v>1125</v>
      </c>
      <c r="F851" s="35" t="s">
        <v>1782</v>
      </c>
      <c r="G851" s="76" t="s">
        <v>717</v>
      </c>
      <c r="H851" s="78" t="n">
        <v>54294.428015692</v>
      </c>
      <c r="I851" s="76" t="s">
        <v>1784</v>
      </c>
      <c r="J851" s="78" t="n">
        <v>54294.428015692</v>
      </c>
      <c r="K851" s="76" t="s">
        <v>1784</v>
      </c>
      <c r="L851" s="77" t="s">
        <v>1114</v>
      </c>
    </row>
    <row r="852" customFormat="false" ht="15" hidden="false" customHeight="false" outlineLevel="0" collapsed="false">
      <c r="A852" s="76" t="s">
        <v>1781</v>
      </c>
      <c r="B852" s="76" t="s">
        <v>88</v>
      </c>
      <c r="C852" s="76" t="s">
        <v>1716</v>
      </c>
      <c r="D852" s="76" t="s">
        <v>1189</v>
      </c>
      <c r="E852" s="76" t="s">
        <v>1125</v>
      </c>
      <c r="F852" s="35" t="s">
        <v>1782</v>
      </c>
      <c r="G852" s="76" t="s">
        <v>718</v>
      </c>
      <c r="H852" s="78" t="n">
        <v>302286.846589174</v>
      </c>
      <c r="I852" s="76" t="s">
        <v>1783</v>
      </c>
      <c r="J852" s="78" t="n">
        <v>302286.846589174</v>
      </c>
      <c r="K852" s="76" t="s">
        <v>1783</v>
      </c>
      <c r="L852" s="77" t="s">
        <v>1114</v>
      </c>
    </row>
    <row r="853" customFormat="false" ht="15" hidden="false" customHeight="false" outlineLevel="0" collapsed="false">
      <c r="A853" s="76" t="s">
        <v>1781</v>
      </c>
      <c r="B853" s="76" t="s">
        <v>88</v>
      </c>
      <c r="C853" s="76" t="s">
        <v>1716</v>
      </c>
      <c r="D853" s="76" t="s">
        <v>1189</v>
      </c>
      <c r="E853" s="76" t="s">
        <v>1125</v>
      </c>
      <c r="F853" s="35" t="s">
        <v>1782</v>
      </c>
      <c r="G853" s="76" t="s">
        <v>702</v>
      </c>
      <c r="H853" s="78" t="n">
        <v>247992.418573482</v>
      </c>
      <c r="I853" s="76" t="s">
        <v>1785</v>
      </c>
      <c r="J853" s="78" t="n">
        <v>247992.418573482</v>
      </c>
      <c r="K853" s="76" t="s">
        <v>1785</v>
      </c>
      <c r="L853" s="77" t="s">
        <v>1114</v>
      </c>
    </row>
    <row r="854" customFormat="false" ht="15" hidden="false" customHeight="false" outlineLevel="0" collapsed="false">
      <c r="A854" s="76" t="s">
        <v>1781</v>
      </c>
      <c r="B854" s="76" t="s">
        <v>88</v>
      </c>
      <c r="C854" s="76" t="s">
        <v>1716</v>
      </c>
      <c r="D854" s="76" t="s">
        <v>1189</v>
      </c>
      <c r="E854" s="76" t="s">
        <v>1125</v>
      </c>
      <c r="F854" s="35" t="s">
        <v>1782</v>
      </c>
      <c r="G854" s="76" t="s">
        <v>682</v>
      </c>
      <c r="H854" s="76"/>
      <c r="I854" s="76"/>
      <c r="J854" s="76"/>
      <c r="K854" s="76"/>
      <c r="L854" s="77" t="s">
        <v>1114</v>
      </c>
    </row>
    <row r="855" customFormat="false" ht="15" hidden="false" customHeight="false" outlineLevel="0" collapsed="false">
      <c r="A855" s="76" t="s">
        <v>1781</v>
      </c>
      <c r="B855" s="76" t="s">
        <v>88</v>
      </c>
      <c r="C855" s="76" t="s">
        <v>1716</v>
      </c>
      <c r="D855" s="76" t="s">
        <v>1189</v>
      </c>
      <c r="E855" s="76" t="s">
        <v>1125</v>
      </c>
      <c r="F855" s="35" t="s">
        <v>1782</v>
      </c>
      <c r="G855" s="76" t="s">
        <v>720</v>
      </c>
      <c r="H855" s="78" t="n">
        <v>112938.716976069</v>
      </c>
      <c r="I855" s="76" t="s">
        <v>1786</v>
      </c>
      <c r="J855" s="78" t="n">
        <v>112938.716976069</v>
      </c>
      <c r="K855" s="76" t="s">
        <v>1786</v>
      </c>
      <c r="L855" s="77" t="s">
        <v>1114</v>
      </c>
    </row>
    <row r="856" customFormat="false" ht="15" hidden="false" customHeight="false" outlineLevel="0" collapsed="false">
      <c r="A856" s="76" t="s">
        <v>1781</v>
      </c>
      <c r="B856" s="76" t="s">
        <v>88</v>
      </c>
      <c r="C856" s="76" t="s">
        <v>1716</v>
      </c>
      <c r="D856" s="76" t="s">
        <v>1189</v>
      </c>
      <c r="E856" s="76" t="s">
        <v>1125</v>
      </c>
      <c r="F856" s="35" t="s">
        <v>1782</v>
      </c>
      <c r="G856" s="76" t="s">
        <v>685</v>
      </c>
      <c r="H856" s="78" t="n">
        <v>302287</v>
      </c>
      <c r="I856" s="76" t="s">
        <v>1787</v>
      </c>
      <c r="J856" s="76" t="n">
        <v>302287</v>
      </c>
      <c r="K856" s="76" t="s">
        <v>1787</v>
      </c>
      <c r="L856" s="77" t="s">
        <v>1114</v>
      </c>
    </row>
    <row r="857" customFormat="false" ht="15" hidden="false" customHeight="false" outlineLevel="0" collapsed="false">
      <c r="A857" s="76" t="s">
        <v>1781</v>
      </c>
      <c r="B857" s="76" t="s">
        <v>88</v>
      </c>
      <c r="C857" s="76" t="s">
        <v>1716</v>
      </c>
      <c r="D857" s="76" t="s">
        <v>1189</v>
      </c>
      <c r="E857" s="76" t="s">
        <v>1125</v>
      </c>
      <c r="F857" s="35" t="s">
        <v>1782</v>
      </c>
      <c r="G857" s="76" t="s">
        <v>434</v>
      </c>
      <c r="H857" s="78" t="n">
        <v>17</v>
      </c>
      <c r="I857" s="76" t="s">
        <v>1363</v>
      </c>
      <c r="J857" s="76" t="n">
        <v>17</v>
      </c>
      <c r="K857" s="76" t="s">
        <v>1363</v>
      </c>
      <c r="L857" s="77" t="s">
        <v>1114</v>
      </c>
    </row>
    <row r="858" customFormat="false" ht="15" hidden="false" customHeight="false" outlineLevel="0" collapsed="false">
      <c r="A858" s="76" t="s">
        <v>1788</v>
      </c>
      <c r="B858" s="76" t="s">
        <v>88</v>
      </c>
      <c r="C858" s="76" t="s">
        <v>1716</v>
      </c>
      <c r="D858" s="76" t="s">
        <v>1198</v>
      </c>
      <c r="E858" s="76" t="s">
        <v>1162</v>
      </c>
      <c r="F858" s="35" t="s">
        <v>1789</v>
      </c>
      <c r="G858" s="76" t="s">
        <v>419</v>
      </c>
      <c r="H858" s="76"/>
      <c r="I858" s="76" t="s">
        <v>1758</v>
      </c>
      <c r="J858" s="76"/>
      <c r="K858" s="76" t="s">
        <v>1758</v>
      </c>
      <c r="L858" s="77" t="s">
        <v>1114</v>
      </c>
    </row>
    <row r="859" customFormat="false" ht="15" hidden="false" customHeight="false" outlineLevel="0" collapsed="false">
      <c r="A859" s="76" t="s">
        <v>1788</v>
      </c>
      <c r="B859" s="76" t="s">
        <v>88</v>
      </c>
      <c r="C859" s="76" t="s">
        <v>1716</v>
      </c>
      <c r="D859" s="76" t="s">
        <v>1198</v>
      </c>
      <c r="E859" s="76" t="s">
        <v>1162</v>
      </c>
      <c r="F859" s="35" t="s">
        <v>1789</v>
      </c>
      <c r="G859" s="76" t="s">
        <v>422</v>
      </c>
      <c r="H859" s="78" t="n">
        <v>1162023.33462519</v>
      </c>
      <c r="I859" s="76" t="s">
        <v>1790</v>
      </c>
      <c r="J859" s="78" t="n">
        <v>1162023.33462519</v>
      </c>
      <c r="K859" s="76" t="s">
        <v>1790</v>
      </c>
      <c r="L859" s="77" t="s">
        <v>1114</v>
      </c>
    </row>
    <row r="860" customFormat="false" ht="15" hidden="false" customHeight="false" outlineLevel="0" collapsed="false">
      <c r="A860" s="76" t="s">
        <v>1788</v>
      </c>
      <c r="B860" s="76" t="s">
        <v>88</v>
      </c>
      <c r="C860" s="76" t="s">
        <v>1716</v>
      </c>
      <c r="D860" s="76" t="s">
        <v>1198</v>
      </c>
      <c r="E860" s="76" t="s">
        <v>1162</v>
      </c>
      <c r="F860" s="35" t="s">
        <v>1789</v>
      </c>
      <c r="G860" s="76" t="s">
        <v>714</v>
      </c>
      <c r="H860" s="76"/>
      <c r="I860" s="76"/>
      <c r="J860" s="76"/>
      <c r="K860" s="76"/>
      <c r="L860" s="77" t="s">
        <v>1114</v>
      </c>
    </row>
    <row r="861" customFormat="false" ht="15" hidden="false" customHeight="false" outlineLevel="0" collapsed="false">
      <c r="A861" s="76" t="s">
        <v>1788</v>
      </c>
      <c r="B861" s="76" t="s">
        <v>88</v>
      </c>
      <c r="C861" s="76" t="s">
        <v>1716</v>
      </c>
      <c r="D861" s="76" t="s">
        <v>1198</v>
      </c>
      <c r="E861" s="76" t="s">
        <v>1162</v>
      </c>
      <c r="F861" s="35" t="s">
        <v>1789</v>
      </c>
      <c r="G861" s="76" t="s">
        <v>716</v>
      </c>
      <c r="H861" s="76"/>
      <c r="I861" s="76"/>
      <c r="J861" s="76"/>
      <c r="K861" s="76"/>
      <c r="L861" s="77" t="s">
        <v>1114</v>
      </c>
    </row>
    <row r="862" customFormat="false" ht="15" hidden="false" customHeight="false" outlineLevel="0" collapsed="false">
      <c r="A862" s="76" t="s">
        <v>1788</v>
      </c>
      <c r="B862" s="76" t="s">
        <v>88</v>
      </c>
      <c r="C862" s="76" t="s">
        <v>1716</v>
      </c>
      <c r="D862" s="76" t="s">
        <v>1198</v>
      </c>
      <c r="E862" s="76" t="s">
        <v>1162</v>
      </c>
      <c r="F862" s="35" t="s">
        <v>1789</v>
      </c>
      <c r="G862" s="76" t="s">
        <v>717</v>
      </c>
      <c r="H862" s="78" t="n">
        <v>266571.667188297</v>
      </c>
      <c r="I862" s="76" t="s">
        <v>1791</v>
      </c>
      <c r="J862" s="78" t="n">
        <v>266571.667188297</v>
      </c>
      <c r="K862" s="76" t="s">
        <v>1791</v>
      </c>
      <c r="L862" s="77" t="s">
        <v>1114</v>
      </c>
    </row>
    <row r="863" customFormat="false" ht="15" hidden="false" customHeight="false" outlineLevel="0" collapsed="false">
      <c r="A863" s="76" t="s">
        <v>1788</v>
      </c>
      <c r="B863" s="76" t="s">
        <v>88</v>
      </c>
      <c r="C863" s="76" t="s">
        <v>1716</v>
      </c>
      <c r="D863" s="76" t="s">
        <v>1198</v>
      </c>
      <c r="E863" s="76" t="s">
        <v>1162</v>
      </c>
      <c r="F863" s="35" t="s">
        <v>1789</v>
      </c>
      <c r="G863" s="76" t="s">
        <v>718</v>
      </c>
      <c r="H863" s="78" t="n">
        <v>1162023.33462519</v>
      </c>
      <c r="I863" s="76" t="s">
        <v>1790</v>
      </c>
      <c r="J863" s="78" t="n">
        <v>1162023.33462519</v>
      </c>
      <c r="K863" s="76" t="s">
        <v>1790</v>
      </c>
      <c r="L863" s="77" t="s">
        <v>1114</v>
      </c>
    </row>
    <row r="864" customFormat="false" ht="15" hidden="false" customHeight="false" outlineLevel="0" collapsed="false">
      <c r="A864" s="76" t="s">
        <v>1788</v>
      </c>
      <c r="B864" s="76" t="s">
        <v>88</v>
      </c>
      <c r="C864" s="76" t="s">
        <v>1716</v>
      </c>
      <c r="D864" s="76" t="s">
        <v>1198</v>
      </c>
      <c r="E864" s="76" t="s">
        <v>1162</v>
      </c>
      <c r="F864" s="35" t="s">
        <v>1789</v>
      </c>
      <c r="G864" s="76" t="s">
        <v>702</v>
      </c>
      <c r="H864" s="78" t="n">
        <v>895451.66743689</v>
      </c>
      <c r="I864" s="76" t="s">
        <v>1792</v>
      </c>
      <c r="J864" s="78" t="n">
        <v>895451.66743689</v>
      </c>
      <c r="K864" s="76" t="s">
        <v>1792</v>
      </c>
      <c r="L864" s="77" t="s">
        <v>1114</v>
      </c>
    </row>
    <row r="865" customFormat="false" ht="15" hidden="false" customHeight="false" outlineLevel="0" collapsed="false">
      <c r="A865" s="76" t="s">
        <v>1788</v>
      </c>
      <c r="B865" s="76" t="s">
        <v>88</v>
      </c>
      <c r="C865" s="76" t="s">
        <v>1716</v>
      </c>
      <c r="D865" s="76" t="s">
        <v>1198</v>
      </c>
      <c r="E865" s="76" t="s">
        <v>1162</v>
      </c>
      <c r="F865" s="35" t="s">
        <v>1789</v>
      </c>
      <c r="G865" s="76" t="s">
        <v>682</v>
      </c>
      <c r="H865" s="76"/>
      <c r="I865" s="76"/>
      <c r="J865" s="76"/>
      <c r="K865" s="76"/>
      <c r="L865" s="77" t="s">
        <v>1114</v>
      </c>
    </row>
    <row r="866" customFormat="false" ht="15" hidden="false" customHeight="false" outlineLevel="0" collapsed="false">
      <c r="A866" s="76" t="s">
        <v>1788</v>
      </c>
      <c r="B866" s="76" t="s">
        <v>88</v>
      </c>
      <c r="C866" s="76" t="s">
        <v>1716</v>
      </c>
      <c r="D866" s="76" t="s">
        <v>1198</v>
      </c>
      <c r="E866" s="76" t="s">
        <v>1162</v>
      </c>
      <c r="F866" s="35" t="s">
        <v>1789</v>
      </c>
      <c r="G866" s="76" t="s">
        <v>720</v>
      </c>
      <c r="H866" s="78" t="n">
        <v>842960.177276227</v>
      </c>
      <c r="I866" s="76" t="s">
        <v>1793</v>
      </c>
      <c r="J866" s="78" t="n">
        <v>842960.177276227</v>
      </c>
      <c r="K866" s="76" t="s">
        <v>1793</v>
      </c>
      <c r="L866" s="77" t="s">
        <v>1114</v>
      </c>
    </row>
    <row r="867" customFormat="false" ht="15" hidden="false" customHeight="false" outlineLevel="0" collapsed="false">
      <c r="A867" s="76" t="s">
        <v>1788</v>
      </c>
      <c r="B867" s="76" t="s">
        <v>88</v>
      </c>
      <c r="C867" s="76" t="s">
        <v>1716</v>
      </c>
      <c r="D867" s="76" t="s">
        <v>1198</v>
      </c>
      <c r="E867" s="76" t="s">
        <v>1162</v>
      </c>
      <c r="F867" s="35" t="s">
        <v>1789</v>
      </c>
      <c r="G867" s="76" t="s">
        <v>685</v>
      </c>
      <c r="H867" s="78" t="n">
        <v>459013</v>
      </c>
      <c r="I867" s="76" t="s">
        <v>1794</v>
      </c>
      <c r="J867" s="76" t="n">
        <v>459013</v>
      </c>
      <c r="K867" s="76" t="s">
        <v>1794</v>
      </c>
      <c r="L867" s="77" t="s">
        <v>1114</v>
      </c>
    </row>
    <row r="868" customFormat="false" ht="15" hidden="false" customHeight="false" outlineLevel="0" collapsed="false">
      <c r="A868" s="76" t="s">
        <v>1788</v>
      </c>
      <c r="B868" s="76" t="s">
        <v>88</v>
      </c>
      <c r="C868" s="76" t="s">
        <v>1716</v>
      </c>
      <c r="D868" s="76" t="s">
        <v>1198</v>
      </c>
      <c r="E868" s="76" t="s">
        <v>1162</v>
      </c>
      <c r="F868" s="35" t="s">
        <v>1789</v>
      </c>
      <c r="G868" s="76" t="s">
        <v>434</v>
      </c>
      <c r="H868" s="78" t="n">
        <v>27</v>
      </c>
      <c r="I868" s="76" t="s">
        <v>1795</v>
      </c>
      <c r="J868" s="76" t="n">
        <v>27</v>
      </c>
      <c r="K868" s="76" t="s">
        <v>1795</v>
      </c>
      <c r="L868" s="77" t="s">
        <v>1114</v>
      </c>
    </row>
    <row r="869" customFormat="false" ht="15" hidden="false" customHeight="false" outlineLevel="0" collapsed="false">
      <c r="A869" s="76" t="s">
        <v>1796</v>
      </c>
      <c r="B869" s="76" t="s">
        <v>88</v>
      </c>
      <c r="C869" s="76" t="s">
        <v>1716</v>
      </c>
      <c r="D869" s="76" t="s">
        <v>1280</v>
      </c>
      <c r="E869" s="76" t="s">
        <v>1112</v>
      </c>
      <c r="F869" s="35" t="s">
        <v>1797</v>
      </c>
      <c r="G869" s="76" t="s">
        <v>419</v>
      </c>
      <c r="H869" s="76"/>
      <c r="I869" s="76" t="s">
        <v>707</v>
      </c>
      <c r="J869" s="76"/>
      <c r="K869" s="76" t="s">
        <v>707</v>
      </c>
      <c r="L869" s="77" t="s">
        <v>1114</v>
      </c>
    </row>
    <row r="870" customFormat="false" ht="15" hidden="false" customHeight="false" outlineLevel="0" collapsed="false">
      <c r="A870" s="76" t="s">
        <v>1796</v>
      </c>
      <c r="B870" s="76" t="s">
        <v>88</v>
      </c>
      <c r="C870" s="76" t="s">
        <v>1716</v>
      </c>
      <c r="D870" s="76" t="s">
        <v>1280</v>
      </c>
      <c r="E870" s="76" t="s">
        <v>1112</v>
      </c>
      <c r="F870" s="35" t="s">
        <v>1797</v>
      </c>
      <c r="G870" s="76" t="s">
        <v>422</v>
      </c>
      <c r="H870" s="78" t="n">
        <v>10599.8447052793</v>
      </c>
      <c r="I870" s="76" t="s">
        <v>1798</v>
      </c>
      <c r="J870" s="78" t="n">
        <v>10599.8447052793</v>
      </c>
      <c r="K870" s="76" t="s">
        <v>1798</v>
      </c>
      <c r="L870" s="77" t="s">
        <v>1114</v>
      </c>
    </row>
    <row r="871" customFormat="false" ht="15" hidden="false" customHeight="false" outlineLevel="0" collapsed="false">
      <c r="A871" s="76" t="s">
        <v>1796</v>
      </c>
      <c r="B871" s="76" t="s">
        <v>88</v>
      </c>
      <c r="C871" s="76" t="s">
        <v>1716</v>
      </c>
      <c r="D871" s="76" t="s">
        <v>1280</v>
      </c>
      <c r="E871" s="76" t="s">
        <v>1112</v>
      </c>
      <c r="F871" s="35" t="s">
        <v>1797</v>
      </c>
      <c r="G871" s="76" t="s">
        <v>714</v>
      </c>
      <c r="H871" s="78" t="n">
        <v>0.0196078431372548</v>
      </c>
      <c r="I871" s="76" t="s">
        <v>1799</v>
      </c>
      <c r="J871" s="78" t="n">
        <v>0.0196078431372548</v>
      </c>
      <c r="K871" s="76" t="s">
        <v>1799</v>
      </c>
      <c r="L871" s="77" t="s">
        <v>1114</v>
      </c>
    </row>
    <row r="872" customFormat="false" ht="15" hidden="false" customHeight="false" outlineLevel="0" collapsed="false">
      <c r="A872" s="76" t="s">
        <v>1796</v>
      </c>
      <c r="B872" s="76" t="s">
        <v>88</v>
      </c>
      <c r="C872" s="76" t="s">
        <v>1716</v>
      </c>
      <c r="D872" s="76" t="s">
        <v>1280</v>
      </c>
      <c r="E872" s="76" t="s">
        <v>1112</v>
      </c>
      <c r="F872" s="35" t="s">
        <v>1797</v>
      </c>
      <c r="G872" s="76" t="s">
        <v>716</v>
      </c>
      <c r="H872" s="76"/>
      <c r="I872" s="76" t="s">
        <v>1800</v>
      </c>
      <c r="J872" s="78" t="n">
        <v>0.04</v>
      </c>
      <c r="K872" s="76" t="s">
        <v>1800</v>
      </c>
      <c r="L872" s="77" t="s">
        <v>1114</v>
      </c>
    </row>
    <row r="873" customFormat="false" ht="15" hidden="false" customHeight="false" outlineLevel="0" collapsed="false">
      <c r="A873" s="76" t="s">
        <v>1796</v>
      </c>
      <c r="B873" s="76" t="s">
        <v>88</v>
      </c>
      <c r="C873" s="76" t="s">
        <v>1716</v>
      </c>
      <c r="D873" s="76" t="s">
        <v>1280</v>
      </c>
      <c r="E873" s="76" t="s">
        <v>1112</v>
      </c>
      <c r="F873" s="35" t="s">
        <v>1797</v>
      </c>
      <c r="G873" s="76" t="s">
        <v>717</v>
      </c>
      <c r="H873" s="78" t="n">
        <v>1176.62135980882</v>
      </c>
      <c r="I873" s="76" t="s">
        <v>1801</v>
      </c>
      <c r="J873" s="78" t="n">
        <v>1176.62135980882</v>
      </c>
      <c r="K873" s="76" t="s">
        <v>1801</v>
      </c>
      <c r="L873" s="77" t="s">
        <v>1114</v>
      </c>
    </row>
    <row r="874" customFormat="false" ht="15" hidden="false" customHeight="false" outlineLevel="0" collapsed="false">
      <c r="A874" s="76" t="s">
        <v>1796</v>
      </c>
      <c r="B874" s="76" t="s">
        <v>88</v>
      </c>
      <c r="C874" s="76" t="s">
        <v>1716</v>
      </c>
      <c r="D874" s="76" t="s">
        <v>1280</v>
      </c>
      <c r="E874" s="76" t="s">
        <v>1112</v>
      </c>
      <c r="F874" s="35" t="s">
        <v>1797</v>
      </c>
      <c r="G874" s="76" t="s">
        <v>718</v>
      </c>
      <c r="H874" s="78" t="n">
        <v>11248.64</v>
      </c>
      <c r="I874" s="76" t="s">
        <v>1802</v>
      </c>
      <c r="J874" s="78" t="n">
        <v>11248.64</v>
      </c>
      <c r="K874" s="76" t="s">
        <v>1802</v>
      </c>
      <c r="L874" s="77" t="s">
        <v>1114</v>
      </c>
    </row>
    <row r="875" customFormat="false" ht="15" hidden="false" customHeight="false" outlineLevel="0" collapsed="false">
      <c r="A875" s="76" t="s">
        <v>1796</v>
      </c>
      <c r="B875" s="76" t="s">
        <v>88</v>
      </c>
      <c r="C875" s="76" t="s">
        <v>1716</v>
      </c>
      <c r="D875" s="76" t="s">
        <v>1280</v>
      </c>
      <c r="E875" s="76" t="s">
        <v>1112</v>
      </c>
      <c r="F875" s="35" t="s">
        <v>1797</v>
      </c>
      <c r="G875" s="76" t="s">
        <v>702</v>
      </c>
      <c r="H875" s="76" t="n">
        <v>10000</v>
      </c>
      <c r="I875" s="76" t="s">
        <v>1803</v>
      </c>
      <c r="J875" s="76" t="n">
        <v>10000</v>
      </c>
      <c r="K875" s="76" t="s">
        <v>1803</v>
      </c>
      <c r="L875" s="77" t="s">
        <v>1114</v>
      </c>
    </row>
    <row r="876" customFormat="false" ht="15" hidden="false" customHeight="false" outlineLevel="0" collapsed="false">
      <c r="A876" s="76" t="s">
        <v>1796</v>
      </c>
      <c r="B876" s="76" t="s">
        <v>88</v>
      </c>
      <c r="C876" s="76" t="s">
        <v>1716</v>
      </c>
      <c r="D876" s="76" t="s">
        <v>1280</v>
      </c>
      <c r="E876" s="76" t="s">
        <v>1112</v>
      </c>
      <c r="F876" s="35" t="s">
        <v>1797</v>
      </c>
      <c r="G876" s="76" t="s">
        <v>682</v>
      </c>
      <c r="H876" s="78" t="n">
        <v>10599.8447052793</v>
      </c>
      <c r="I876" s="76" t="s">
        <v>1798</v>
      </c>
      <c r="J876" s="78" t="n">
        <v>10599.8447052793</v>
      </c>
      <c r="K876" s="76" t="s">
        <v>1798</v>
      </c>
      <c r="L876" s="77" t="s">
        <v>1114</v>
      </c>
    </row>
    <row r="877" customFormat="false" ht="15" hidden="false" customHeight="false" outlineLevel="0" collapsed="false">
      <c r="A877" s="76" t="s">
        <v>1796</v>
      </c>
      <c r="B877" s="76" t="s">
        <v>88</v>
      </c>
      <c r="C877" s="76" t="s">
        <v>1716</v>
      </c>
      <c r="D877" s="76" t="s">
        <v>1280</v>
      </c>
      <c r="E877" s="76" t="s">
        <v>1112</v>
      </c>
      <c r="F877" s="35" t="s">
        <v>1797</v>
      </c>
      <c r="G877" s="76" t="s">
        <v>720</v>
      </c>
      <c r="H877" s="76"/>
      <c r="I877" s="76"/>
      <c r="J877" s="76"/>
      <c r="K877" s="76"/>
      <c r="L877" s="77" t="s">
        <v>1114</v>
      </c>
    </row>
    <row r="878" customFormat="false" ht="15" hidden="false" customHeight="false" outlineLevel="0" collapsed="false">
      <c r="A878" s="76" t="s">
        <v>1796</v>
      </c>
      <c r="B878" s="76" t="s">
        <v>88</v>
      </c>
      <c r="C878" s="76" t="s">
        <v>1716</v>
      </c>
      <c r="D878" s="76" t="s">
        <v>1280</v>
      </c>
      <c r="E878" s="76" t="s">
        <v>1112</v>
      </c>
      <c r="F878" s="35" t="s">
        <v>1797</v>
      </c>
      <c r="G878" s="76" t="s">
        <v>685</v>
      </c>
      <c r="H878" s="78" t="n">
        <v>10600</v>
      </c>
      <c r="I878" s="76" t="s">
        <v>1804</v>
      </c>
      <c r="J878" s="76" t="n">
        <v>10600</v>
      </c>
      <c r="K878" s="76" t="s">
        <v>1804</v>
      </c>
      <c r="L878" s="77" t="s">
        <v>1114</v>
      </c>
    </row>
    <row r="879" customFormat="false" ht="15" hidden="false" customHeight="false" outlineLevel="0" collapsed="false">
      <c r="A879" s="76" t="s">
        <v>1796</v>
      </c>
      <c r="B879" s="76" t="s">
        <v>88</v>
      </c>
      <c r="C879" s="76" t="s">
        <v>1716</v>
      </c>
      <c r="D879" s="76" t="s">
        <v>1280</v>
      </c>
      <c r="E879" s="76" t="s">
        <v>1112</v>
      </c>
      <c r="F879" s="35" t="s">
        <v>1797</v>
      </c>
      <c r="G879" s="76" t="s">
        <v>434</v>
      </c>
      <c r="H879" s="78" t="n">
        <v>3</v>
      </c>
      <c r="I879" s="76" t="s">
        <v>1122</v>
      </c>
      <c r="J879" s="76" t="n">
        <v>3</v>
      </c>
      <c r="K879" s="76" t="s">
        <v>1122</v>
      </c>
      <c r="L879" s="77" t="s">
        <v>1114</v>
      </c>
    </row>
    <row r="880" customFormat="false" ht="15" hidden="false" customHeight="false" outlineLevel="0" collapsed="false">
      <c r="A880" s="76" t="s">
        <v>1805</v>
      </c>
      <c r="B880" s="76" t="s">
        <v>94</v>
      </c>
      <c r="C880" s="76" t="s">
        <v>95</v>
      </c>
      <c r="D880" s="76" t="s">
        <v>1111</v>
      </c>
      <c r="E880" s="76" t="s">
        <v>1112</v>
      </c>
      <c r="F880" s="35" t="s">
        <v>1806</v>
      </c>
      <c r="G880" s="76" t="s">
        <v>419</v>
      </c>
      <c r="H880" s="76"/>
      <c r="I880" s="76" t="s">
        <v>1807</v>
      </c>
      <c r="J880" s="76"/>
      <c r="K880" s="76" t="s">
        <v>1807</v>
      </c>
      <c r="L880" s="77" t="s">
        <v>1114</v>
      </c>
    </row>
    <row r="881" customFormat="false" ht="15" hidden="false" customHeight="false" outlineLevel="0" collapsed="false">
      <c r="A881" s="76" t="s">
        <v>1805</v>
      </c>
      <c r="B881" s="76" t="s">
        <v>94</v>
      </c>
      <c r="C881" s="76" t="s">
        <v>95</v>
      </c>
      <c r="D881" s="76" t="s">
        <v>1111</v>
      </c>
      <c r="E881" s="76" t="s">
        <v>1112</v>
      </c>
      <c r="F881" s="35" t="s">
        <v>1806</v>
      </c>
      <c r="G881" s="76" t="s">
        <v>739</v>
      </c>
      <c r="H881" s="78" t="n">
        <v>2.5</v>
      </c>
      <c r="I881" s="76" t="s">
        <v>1808</v>
      </c>
      <c r="J881" s="78" t="n">
        <v>2.5</v>
      </c>
      <c r="K881" s="76" t="s">
        <v>1808</v>
      </c>
      <c r="L881" s="77" t="s">
        <v>1114</v>
      </c>
    </row>
    <row r="882" customFormat="false" ht="15" hidden="false" customHeight="false" outlineLevel="0" collapsed="false">
      <c r="A882" s="76" t="s">
        <v>1805</v>
      </c>
      <c r="B882" s="76" t="s">
        <v>94</v>
      </c>
      <c r="C882" s="76" t="s">
        <v>95</v>
      </c>
      <c r="D882" s="76" t="s">
        <v>1111</v>
      </c>
      <c r="E882" s="76" t="s">
        <v>1112</v>
      </c>
      <c r="F882" s="35" t="s">
        <v>1806</v>
      </c>
      <c r="G882" s="76" t="s">
        <v>740</v>
      </c>
      <c r="H882" s="76" t="n">
        <v>15000</v>
      </c>
      <c r="I882" s="76" t="s">
        <v>1606</v>
      </c>
      <c r="J882" s="76" t="n">
        <v>15000</v>
      </c>
      <c r="K882" s="76" t="s">
        <v>1606</v>
      </c>
      <c r="L882" s="77" t="s">
        <v>1114</v>
      </c>
    </row>
    <row r="883" customFormat="false" ht="15" hidden="false" customHeight="false" outlineLevel="0" collapsed="false">
      <c r="A883" s="76" t="s">
        <v>1805</v>
      </c>
      <c r="B883" s="76" t="s">
        <v>94</v>
      </c>
      <c r="C883" s="76" t="s">
        <v>95</v>
      </c>
      <c r="D883" s="76" t="s">
        <v>1111</v>
      </c>
      <c r="E883" s="76" t="s">
        <v>1112</v>
      </c>
      <c r="F883" s="35" t="s">
        <v>1806</v>
      </c>
      <c r="G883" s="76" t="s">
        <v>742</v>
      </c>
      <c r="H883" s="76" t="n">
        <v>8750</v>
      </c>
      <c r="I883" s="76" t="s">
        <v>1809</v>
      </c>
      <c r="J883" s="76" t="n">
        <v>8750</v>
      </c>
      <c r="K883" s="76" t="s">
        <v>1809</v>
      </c>
      <c r="L883" s="77" t="s">
        <v>1114</v>
      </c>
    </row>
    <row r="884" customFormat="false" ht="15" hidden="false" customHeight="false" outlineLevel="0" collapsed="false">
      <c r="A884" s="76" t="s">
        <v>1805</v>
      </c>
      <c r="B884" s="76" t="s">
        <v>94</v>
      </c>
      <c r="C884" s="76" t="s">
        <v>95</v>
      </c>
      <c r="D884" s="76" t="s">
        <v>1111</v>
      </c>
      <c r="E884" s="76" t="s">
        <v>1112</v>
      </c>
      <c r="F884" s="35" t="s">
        <v>1806</v>
      </c>
      <c r="G884" s="76" t="s">
        <v>733</v>
      </c>
      <c r="H884" s="76" t="n">
        <v>15000</v>
      </c>
      <c r="I884" s="76" t="s">
        <v>1606</v>
      </c>
      <c r="J884" s="76" t="n">
        <v>15000</v>
      </c>
      <c r="K884" s="76" t="s">
        <v>1606</v>
      </c>
      <c r="L884" s="77" t="s">
        <v>1114</v>
      </c>
    </row>
    <row r="885" customFormat="false" ht="15" hidden="false" customHeight="false" outlineLevel="0" collapsed="false">
      <c r="A885" s="76" t="s">
        <v>1805</v>
      </c>
      <c r="B885" s="76" t="s">
        <v>94</v>
      </c>
      <c r="C885" s="76" t="s">
        <v>95</v>
      </c>
      <c r="D885" s="76" t="s">
        <v>1111</v>
      </c>
      <c r="E885" s="76" t="s">
        <v>1112</v>
      </c>
      <c r="F885" s="35" t="s">
        <v>1806</v>
      </c>
      <c r="G885" s="76" t="s">
        <v>737</v>
      </c>
      <c r="H885" s="76" t="n">
        <v>8750</v>
      </c>
      <c r="I885" s="76" t="s">
        <v>1809</v>
      </c>
      <c r="J885" s="76" t="n">
        <v>8750</v>
      </c>
      <c r="K885" s="76" t="s">
        <v>1809</v>
      </c>
      <c r="L885" s="77" t="s">
        <v>1114</v>
      </c>
    </row>
    <row r="886" customFormat="false" ht="15" hidden="false" customHeight="false" outlineLevel="0" collapsed="false">
      <c r="A886" s="76" t="s">
        <v>1805</v>
      </c>
      <c r="B886" s="76" t="s">
        <v>94</v>
      </c>
      <c r="C886" s="76" t="s">
        <v>95</v>
      </c>
      <c r="D886" s="76" t="s">
        <v>1111</v>
      </c>
      <c r="E886" s="76" t="s">
        <v>1112</v>
      </c>
      <c r="F886" s="35" t="s">
        <v>1806</v>
      </c>
      <c r="G886" s="76" t="s">
        <v>743</v>
      </c>
      <c r="H886" s="78" t="n">
        <v>15000</v>
      </c>
      <c r="I886" s="76" t="s">
        <v>1609</v>
      </c>
      <c r="J886" s="76" t="n">
        <v>15000</v>
      </c>
      <c r="K886" s="76" t="s">
        <v>1609</v>
      </c>
      <c r="L886" s="77" t="s">
        <v>1114</v>
      </c>
    </row>
    <row r="887" customFormat="false" ht="15" hidden="false" customHeight="false" outlineLevel="0" collapsed="false">
      <c r="A887" s="76" t="s">
        <v>1805</v>
      </c>
      <c r="B887" s="76" t="s">
        <v>94</v>
      </c>
      <c r="C887" s="76" t="s">
        <v>95</v>
      </c>
      <c r="D887" s="76" t="s">
        <v>1111</v>
      </c>
      <c r="E887" s="76" t="s">
        <v>1112</v>
      </c>
      <c r="F887" s="35" t="s">
        <v>1806</v>
      </c>
      <c r="G887" s="76" t="s">
        <v>434</v>
      </c>
      <c r="H887" s="78" t="n">
        <v>2</v>
      </c>
      <c r="I887" s="76" t="s">
        <v>869</v>
      </c>
      <c r="J887" s="76" t="n">
        <v>2</v>
      </c>
      <c r="K887" s="76" t="s">
        <v>869</v>
      </c>
      <c r="L887" s="77" t="s">
        <v>1114</v>
      </c>
    </row>
    <row r="888" customFormat="false" ht="15" hidden="false" customHeight="false" outlineLevel="0" collapsed="false">
      <c r="A888" s="76" t="s">
        <v>1810</v>
      </c>
      <c r="B888" s="76" t="s">
        <v>94</v>
      </c>
      <c r="C888" s="76" t="s">
        <v>95</v>
      </c>
      <c r="D888" s="76" t="s">
        <v>1124</v>
      </c>
      <c r="E888" s="76" t="s">
        <v>1125</v>
      </c>
      <c r="F888" s="35" t="s">
        <v>1811</v>
      </c>
      <c r="G888" s="76" t="s">
        <v>419</v>
      </c>
      <c r="H888" s="76"/>
      <c r="I888" s="76" t="s">
        <v>1807</v>
      </c>
      <c r="J888" s="76"/>
      <c r="K888" s="76" t="s">
        <v>1807</v>
      </c>
      <c r="L888" s="77" t="s">
        <v>1114</v>
      </c>
    </row>
    <row r="889" customFormat="false" ht="15" hidden="false" customHeight="false" outlineLevel="0" collapsed="false">
      <c r="A889" s="76" t="s">
        <v>1810</v>
      </c>
      <c r="B889" s="76" t="s">
        <v>94</v>
      </c>
      <c r="C889" s="76" t="s">
        <v>95</v>
      </c>
      <c r="D889" s="76" t="s">
        <v>1124</v>
      </c>
      <c r="E889" s="76" t="s">
        <v>1125</v>
      </c>
      <c r="F889" s="35" t="s">
        <v>1811</v>
      </c>
      <c r="G889" s="76" t="s">
        <v>739</v>
      </c>
      <c r="H889" s="76" t="n">
        <v>0</v>
      </c>
      <c r="I889" s="76" t="s">
        <v>1812</v>
      </c>
      <c r="J889" s="76" t="n">
        <v>0</v>
      </c>
      <c r="K889" s="76" t="s">
        <v>1812</v>
      </c>
      <c r="L889" s="77" t="s">
        <v>1114</v>
      </c>
    </row>
    <row r="890" customFormat="false" ht="15" hidden="false" customHeight="false" outlineLevel="0" collapsed="false">
      <c r="A890" s="76" t="s">
        <v>1810</v>
      </c>
      <c r="B890" s="76" t="s">
        <v>94</v>
      </c>
      <c r="C890" s="76" t="s">
        <v>95</v>
      </c>
      <c r="D890" s="76" t="s">
        <v>1124</v>
      </c>
      <c r="E890" s="76" t="s">
        <v>1125</v>
      </c>
      <c r="F890" s="35" t="s">
        <v>1811</v>
      </c>
      <c r="G890" s="76" t="s">
        <v>740</v>
      </c>
      <c r="H890" s="76" t="n">
        <v>500</v>
      </c>
      <c r="I890" s="76" t="s">
        <v>1612</v>
      </c>
      <c r="J890" s="76" t="n">
        <v>500</v>
      </c>
      <c r="K890" s="76" t="s">
        <v>1612</v>
      </c>
      <c r="L890" s="77" t="s">
        <v>1114</v>
      </c>
    </row>
    <row r="891" customFormat="false" ht="15" hidden="false" customHeight="false" outlineLevel="0" collapsed="false">
      <c r="A891" s="76" t="s">
        <v>1810</v>
      </c>
      <c r="B891" s="76" t="s">
        <v>94</v>
      </c>
      <c r="C891" s="76" t="s">
        <v>95</v>
      </c>
      <c r="D891" s="76" t="s">
        <v>1124</v>
      </c>
      <c r="E891" s="76" t="s">
        <v>1125</v>
      </c>
      <c r="F891" s="35" t="s">
        <v>1811</v>
      </c>
      <c r="G891" s="76" t="s">
        <v>742</v>
      </c>
      <c r="H891" s="76" t="n">
        <v>500</v>
      </c>
      <c r="I891" s="76" t="s">
        <v>1612</v>
      </c>
      <c r="J891" s="76" t="n">
        <v>500</v>
      </c>
      <c r="K891" s="76" t="s">
        <v>1612</v>
      </c>
      <c r="L891" s="77" t="s">
        <v>1114</v>
      </c>
    </row>
    <row r="892" customFormat="false" ht="15" hidden="false" customHeight="false" outlineLevel="0" collapsed="false">
      <c r="A892" s="76" t="s">
        <v>1810</v>
      </c>
      <c r="B892" s="76" t="s">
        <v>94</v>
      </c>
      <c r="C892" s="76" t="s">
        <v>95</v>
      </c>
      <c r="D892" s="76" t="s">
        <v>1124</v>
      </c>
      <c r="E892" s="76" t="s">
        <v>1125</v>
      </c>
      <c r="F892" s="35" t="s">
        <v>1811</v>
      </c>
      <c r="G892" s="76" t="s">
        <v>733</v>
      </c>
      <c r="H892" s="76" t="n">
        <v>500</v>
      </c>
      <c r="I892" s="76" t="s">
        <v>1612</v>
      </c>
      <c r="J892" s="76" t="n">
        <v>500</v>
      </c>
      <c r="K892" s="76" t="s">
        <v>1612</v>
      </c>
      <c r="L892" s="77" t="s">
        <v>1114</v>
      </c>
    </row>
    <row r="893" customFormat="false" ht="15" hidden="false" customHeight="false" outlineLevel="0" collapsed="false">
      <c r="A893" s="76" t="s">
        <v>1810</v>
      </c>
      <c r="B893" s="76" t="s">
        <v>94</v>
      </c>
      <c r="C893" s="76" t="s">
        <v>95</v>
      </c>
      <c r="D893" s="76" t="s">
        <v>1124</v>
      </c>
      <c r="E893" s="76" t="s">
        <v>1125</v>
      </c>
      <c r="F893" s="35" t="s">
        <v>1811</v>
      </c>
      <c r="G893" s="76" t="s">
        <v>737</v>
      </c>
      <c r="H893" s="76" t="n">
        <v>500</v>
      </c>
      <c r="I893" s="76" t="s">
        <v>1612</v>
      </c>
      <c r="J893" s="76" t="n">
        <v>500</v>
      </c>
      <c r="K893" s="76" t="s">
        <v>1612</v>
      </c>
      <c r="L893" s="77" t="s">
        <v>1114</v>
      </c>
    </row>
    <row r="894" customFormat="false" ht="15" hidden="false" customHeight="false" outlineLevel="0" collapsed="false">
      <c r="A894" s="76" t="s">
        <v>1810</v>
      </c>
      <c r="B894" s="76" t="s">
        <v>94</v>
      </c>
      <c r="C894" s="76" t="s">
        <v>95</v>
      </c>
      <c r="D894" s="76" t="s">
        <v>1124</v>
      </c>
      <c r="E894" s="76" t="s">
        <v>1125</v>
      </c>
      <c r="F894" s="35" t="s">
        <v>1811</v>
      </c>
      <c r="G894" s="76" t="s">
        <v>743</v>
      </c>
      <c r="H894" s="78" t="n">
        <v>500</v>
      </c>
      <c r="I894" s="76" t="s">
        <v>1302</v>
      </c>
      <c r="J894" s="76" t="n">
        <v>500</v>
      </c>
      <c r="K894" s="76" t="s">
        <v>1302</v>
      </c>
      <c r="L894" s="77" t="s">
        <v>1114</v>
      </c>
    </row>
    <row r="895" customFormat="false" ht="15" hidden="false" customHeight="false" outlineLevel="0" collapsed="false">
      <c r="A895" s="76" t="s">
        <v>1810</v>
      </c>
      <c r="B895" s="76" t="s">
        <v>94</v>
      </c>
      <c r="C895" s="76" t="s">
        <v>95</v>
      </c>
      <c r="D895" s="76" t="s">
        <v>1124</v>
      </c>
      <c r="E895" s="76" t="s">
        <v>1125</v>
      </c>
      <c r="F895" s="35" t="s">
        <v>1811</v>
      </c>
      <c r="G895" s="76" t="s">
        <v>434</v>
      </c>
      <c r="H895" s="78" t="n">
        <v>2</v>
      </c>
      <c r="I895" s="76" t="s">
        <v>869</v>
      </c>
      <c r="J895" s="76" t="n">
        <v>2</v>
      </c>
      <c r="K895" s="76" t="s">
        <v>869</v>
      </c>
      <c r="L895" s="77" t="s">
        <v>1114</v>
      </c>
    </row>
    <row r="896" customFormat="false" ht="15" hidden="false" customHeight="false" outlineLevel="0" collapsed="false">
      <c r="A896" s="76" t="s">
        <v>1813</v>
      </c>
      <c r="B896" s="76" t="s">
        <v>94</v>
      </c>
      <c r="C896" s="76" t="s">
        <v>95</v>
      </c>
      <c r="D896" s="76" t="s">
        <v>1132</v>
      </c>
      <c r="E896" s="76" t="s">
        <v>1133</v>
      </c>
      <c r="F896" s="35" t="s">
        <v>1814</v>
      </c>
      <c r="G896" s="76" t="s">
        <v>419</v>
      </c>
      <c r="H896" s="76"/>
      <c r="I896" s="76" t="s">
        <v>1807</v>
      </c>
      <c r="J896" s="76"/>
      <c r="K896" s="76" t="s">
        <v>1807</v>
      </c>
      <c r="L896" s="77" t="s">
        <v>1114</v>
      </c>
    </row>
    <row r="897" customFormat="false" ht="15" hidden="false" customHeight="false" outlineLevel="0" collapsed="false">
      <c r="A897" s="76" t="s">
        <v>1813</v>
      </c>
      <c r="B897" s="76" t="s">
        <v>94</v>
      </c>
      <c r="C897" s="76" t="s">
        <v>95</v>
      </c>
      <c r="D897" s="76" t="s">
        <v>1132</v>
      </c>
      <c r="E897" s="76" t="s">
        <v>1133</v>
      </c>
      <c r="F897" s="35" t="s">
        <v>1814</v>
      </c>
      <c r="G897" s="76" t="s">
        <v>739</v>
      </c>
      <c r="H897" s="76" t="n">
        <v>10</v>
      </c>
      <c r="I897" s="76" t="s">
        <v>1815</v>
      </c>
      <c r="J897" s="76" t="n">
        <v>10</v>
      </c>
      <c r="K897" s="76" t="s">
        <v>1815</v>
      </c>
      <c r="L897" s="77" t="s">
        <v>1114</v>
      </c>
    </row>
    <row r="898" customFormat="false" ht="15" hidden="false" customHeight="false" outlineLevel="0" collapsed="false">
      <c r="A898" s="76" t="s">
        <v>1813</v>
      </c>
      <c r="B898" s="76" t="s">
        <v>94</v>
      </c>
      <c r="C898" s="76" t="s">
        <v>95</v>
      </c>
      <c r="D898" s="76" t="s">
        <v>1132</v>
      </c>
      <c r="E898" s="76" t="s">
        <v>1133</v>
      </c>
      <c r="F898" s="35" t="s">
        <v>1814</v>
      </c>
      <c r="G898" s="76" t="s">
        <v>740</v>
      </c>
      <c r="H898" s="76" t="n">
        <v>120000</v>
      </c>
      <c r="I898" s="76" t="s">
        <v>1816</v>
      </c>
      <c r="J898" s="76" t="n">
        <v>120000</v>
      </c>
      <c r="K898" s="76" t="s">
        <v>1816</v>
      </c>
      <c r="L898" s="77" t="s">
        <v>1114</v>
      </c>
    </row>
    <row r="899" customFormat="false" ht="15" hidden="false" customHeight="false" outlineLevel="0" collapsed="false">
      <c r="A899" s="76" t="s">
        <v>1813</v>
      </c>
      <c r="B899" s="76" t="s">
        <v>94</v>
      </c>
      <c r="C899" s="76" t="s">
        <v>95</v>
      </c>
      <c r="D899" s="76" t="s">
        <v>1132</v>
      </c>
      <c r="E899" s="76" t="s">
        <v>1133</v>
      </c>
      <c r="F899" s="35" t="s">
        <v>1814</v>
      </c>
      <c r="G899" s="76" t="s">
        <v>742</v>
      </c>
      <c r="H899" s="76" t="n">
        <v>20000</v>
      </c>
      <c r="I899" s="76" t="s">
        <v>1166</v>
      </c>
      <c r="J899" s="76" t="n">
        <v>20000</v>
      </c>
      <c r="K899" s="76" t="s">
        <v>1166</v>
      </c>
      <c r="L899" s="77" t="s">
        <v>1114</v>
      </c>
    </row>
    <row r="900" customFormat="false" ht="15" hidden="false" customHeight="false" outlineLevel="0" collapsed="false">
      <c r="A900" s="76" t="s">
        <v>1813</v>
      </c>
      <c r="B900" s="76" t="s">
        <v>94</v>
      </c>
      <c r="C900" s="76" t="s">
        <v>95</v>
      </c>
      <c r="D900" s="76" t="s">
        <v>1132</v>
      </c>
      <c r="E900" s="76" t="s">
        <v>1133</v>
      </c>
      <c r="F900" s="35" t="s">
        <v>1814</v>
      </c>
      <c r="G900" s="76" t="s">
        <v>733</v>
      </c>
      <c r="H900" s="76" t="n">
        <v>120000</v>
      </c>
      <c r="I900" s="76" t="s">
        <v>1816</v>
      </c>
      <c r="J900" s="76" t="n">
        <v>120000</v>
      </c>
      <c r="K900" s="76" t="s">
        <v>1816</v>
      </c>
      <c r="L900" s="77" t="s">
        <v>1114</v>
      </c>
    </row>
    <row r="901" customFormat="false" ht="15" hidden="false" customHeight="false" outlineLevel="0" collapsed="false">
      <c r="A901" s="76" t="s">
        <v>1813</v>
      </c>
      <c r="B901" s="76" t="s">
        <v>94</v>
      </c>
      <c r="C901" s="76" t="s">
        <v>95</v>
      </c>
      <c r="D901" s="76" t="s">
        <v>1132</v>
      </c>
      <c r="E901" s="76" t="s">
        <v>1133</v>
      </c>
      <c r="F901" s="35" t="s">
        <v>1814</v>
      </c>
      <c r="G901" s="76" t="s">
        <v>737</v>
      </c>
      <c r="H901" s="76" t="n">
        <v>20000</v>
      </c>
      <c r="I901" s="76" t="s">
        <v>1166</v>
      </c>
      <c r="J901" s="76" t="n">
        <v>20000</v>
      </c>
      <c r="K901" s="76" t="s">
        <v>1166</v>
      </c>
      <c r="L901" s="77" t="s">
        <v>1114</v>
      </c>
    </row>
    <row r="902" customFormat="false" ht="15" hidden="false" customHeight="false" outlineLevel="0" collapsed="false">
      <c r="A902" s="76" t="s">
        <v>1813</v>
      </c>
      <c r="B902" s="76" t="s">
        <v>94</v>
      </c>
      <c r="C902" s="76" t="s">
        <v>95</v>
      </c>
      <c r="D902" s="76" t="s">
        <v>1132</v>
      </c>
      <c r="E902" s="76" t="s">
        <v>1133</v>
      </c>
      <c r="F902" s="35" t="s">
        <v>1814</v>
      </c>
      <c r="G902" s="76" t="s">
        <v>743</v>
      </c>
      <c r="H902" s="78" t="n">
        <v>120000</v>
      </c>
      <c r="I902" s="76" t="s">
        <v>1817</v>
      </c>
      <c r="J902" s="76" t="n">
        <v>120000</v>
      </c>
      <c r="K902" s="76" t="s">
        <v>1817</v>
      </c>
      <c r="L902" s="77" t="s">
        <v>1114</v>
      </c>
    </row>
    <row r="903" customFormat="false" ht="15" hidden="false" customHeight="false" outlineLevel="0" collapsed="false">
      <c r="A903" s="76" t="s">
        <v>1813</v>
      </c>
      <c r="B903" s="76" t="s">
        <v>94</v>
      </c>
      <c r="C903" s="76" t="s">
        <v>95</v>
      </c>
      <c r="D903" s="76" t="s">
        <v>1132</v>
      </c>
      <c r="E903" s="76" t="s">
        <v>1133</v>
      </c>
      <c r="F903" s="35" t="s">
        <v>1814</v>
      </c>
      <c r="G903" s="76" t="s">
        <v>434</v>
      </c>
      <c r="H903" s="78" t="n">
        <v>2</v>
      </c>
      <c r="I903" s="76" t="s">
        <v>869</v>
      </c>
      <c r="J903" s="76" t="n">
        <v>2</v>
      </c>
      <c r="K903" s="76" t="s">
        <v>869</v>
      </c>
      <c r="L903" s="77" t="s">
        <v>1114</v>
      </c>
    </row>
    <row r="904" customFormat="false" ht="15" hidden="false" customHeight="false" outlineLevel="0" collapsed="false">
      <c r="A904" s="76" t="s">
        <v>1818</v>
      </c>
      <c r="B904" s="76" t="s">
        <v>94</v>
      </c>
      <c r="C904" s="76" t="s">
        <v>95</v>
      </c>
      <c r="D904" s="76" t="s">
        <v>1141</v>
      </c>
      <c r="E904" s="76" t="s">
        <v>1142</v>
      </c>
      <c r="F904" s="35" t="s">
        <v>1819</v>
      </c>
      <c r="G904" s="76" t="s">
        <v>419</v>
      </c>
      <c r="H904" s="76"/>
      <c r="I904" s="76" t="s">
        <v>1807</v>
      </c>
      <c r="J904" s="76"/>
      <c r="K904" s="76" t="s">
        <v>1807</v>
      </c>
      <c r="L904" s="77" t="s">
        <v>1114</v>
      </c>
    </row>
    <row r="905" customFormat="false" ht="15" hidden="false" customHeight="false" outlineLevel="0" collapsed="false">
      <c r="A905" s="76" t="s">
        <v>1818</v>
      </c>
      <c r="B905" s="76" t="s">
        <v>94</v>
      </c>
      <c r="C905" s="76" t="s">
        <v>95</v>
      </c>
      <c r="D905" s="76" t="s">
        <v>1141</v>
      </c>
      <c r="E905" s="76" t="s">
        <v>1142</v>
      </c>
      <c r="F905" s="35" t="s">
        <v>1819</v>
      </c>
      <c r="G905" s="76" t="s">
        <v>739</v>
      </c>
      <c r="H905" s="78" t="n">
        <v>11.8939393939394</v>
      </c>
      <c r="I905" s="76" t="s">
        <v>1820</v>
      </c>
      <c r="J905" s="78" t="n">
        <v>11.8939393939394</v>
      </c>
      <c r="K905" s="76" t="s">
        <v>1820</v>
      </c>
      <c r="L905" s="77" t="s">
        <v>1114</v>
      </c>
    </row>
    <row r="906" customFormat="false" ht="15" hidden="false" customHeight="false" outlineLevel="0" collapsed="false">
      <c r="A906" s="76" t="s">
        <v>1818</v>
      </c>
      <c r="B906" s="76" t="s">
        <v>94</v>
      </c>
      <c r="C906" s="76" t="s">
        <v>95</v>
      </c>
      <c r="D906" s="76" t="s">
        <v>1141</v>
      </c>
      <c r="E906" s="76" t="s">
        <v>1142</v>
      </c>
      <c r="F906" s="35" t="s">
        <v>1819</v>
      </c>
      <c r="G906" s="76" t="s">
        <v>740</v>
      </c>
      <c r="H906" s="76"/>
      <c r="I906" s="76"/>
      <c r="J906" s="76"/>
      <c r="K906" s="76"/>
      <c r="L906" s="77" t="s">
        <v>1114</v>
      </c>
    </row>
    <row r="907" customFormat="false" ht="15" hidden="false" customHeight="false" outlineLevel="0" collapsed="false">
      <c r="A907" s="76" t="s">
        <v>1818</v>
      </c>
      <c r="B907" s="76" t="s">
        <v>94</v>
      </c>
      <c r="C907" s="76" t="s">
        <v>95</v>
      </c>
      <c r="D907" s="76" t="s">
        <v>1141</v>
      </c>
      <c r="E907" s="76" t="s">
        <v>1142</v>
      </c>
      <c r="F907" s="35" t="s">
        <v>1819</v>
      </c>
      <c r="G907" s="76" t="s">
        <v>742</v>
      </c>
      <c r="H907" s="76"/>
      <c r="I907" s="76"/>
      <c r="J907" s="76"/>
      <c r="K907" s="76"/>
      <c r="L907" s="77" t="s">
        <v>1114</v>
      </c>
    </row>
    <row r="908" customFormat="false" ht="15" hidden="false" customHeight="false" outlineLevel="0" collapsed="false">
      <c r="A908" s="76" t="s">
        <v>1818</v>
      </c>
      <c r="B908" s="76" t="s">
        <v>94</v>
      </c>
      <c r="C908" s="76" t="s">
        <v>95</v>
      </c>
      <c r="D908" s="76" t="s">
        <v>1141</v>
      </c>
      <c r="E908" s="76" t="s">
        <v>1142</v>
      </c>
      <c r="F908" s="35" t="s">
        <v>1819</v>
      </c>
      <c r="G908" s="76" t="s">
        <v>733</v>
      </c>
      <c r="H908" s="76" t="n">
        <v>39600</v>
      </c>
      <c r="I908" s="76" t="s">
        <v>1821</v>
      </c>
      <c r="J908" s="76" t="n">
        <v>39600</v>
      </c>
      <c r="K908" s="76" t="s">
        <v>1821</v>
      </c>
      <c r="L908" s="77" t="s">
        <v>1114</v>
      </c>
    </row>
    <row r="909" customFormat="false" ht="15" hidden="false" customHeight="false" outlineLevel="0" collapsed="false">
      <c r="A909" s="76" t="s">
        <v>1818</v>
      </c>
      <c r="B909" s="76" t="s">
        <v>94</v>
      </c>
      <c r="C909" s="76" t="s">
        <v>95</v>
      </c>
      <c r="D909" s="76" t="s">
        <v>1141</v>
      </c>
      <c r="E909" s="76" t="s">
        <v>1142</v>
      </c>
      <c r="F909" s="35" t="s">
        <v>1819</v>
      </c>
      <c r="G909" s="76" t="s">
        <v>737</v>
      </c>
      <c r="H909" s="76" t="n">
        <v>0</v>
      </c>
      <c r="I909" s="76" t="s">
        <v>1127</v>
      </c>
      <c r="J909" s="76" t="n">
        <v>0</v>
      </c>
      <c r="K909" s="76" t="s">
        <v>1127</v>
      </c>
      <c r="L909" s="77" t="s">
        <v>1114</v>
      </c>
    </row>
    <row r="910" customFormat="false" ht="15" hidden="false" customHeight="false" outlineLevel="0" collapsed="false">
      <c r="A910" s="76" t="s">
        <v>1818</v>
      </c>
      <c r="B910" s="76" t="s">
        <v>94</v>
      </c>
      <c r="C910" s="76" t="s">
        <v>95</v>
      </c>
      <c r="D910" s="76" t="s">
        <v>1141</v>
      </c>
      <c r="E910" s="76" t="s">
        <v>1142</v>
      </c>
      <c r="F910" s="35" t="s">
        <v>1819</v>
      </c>
      <c r="G910" s="76" t="s">
        <v>743</v>
      </c>
      <c r="H910" s="76"/>
      <c r="I910" s="76"/>
      <c r="J910" s="76"/>
      <c r="K910" s="76"/>
      <c r="L910" s="77" t="s">
        <v>1114</v>
      </c>
    </row>
    <row r="911" customFormat="false" ht="15" hidden="false" customHeight="false" outlineLevel="0" collapsed="false">
      <c r="A911" s="76" t="s">
        <v>1818</v>
      </c>
      <c r="B911" s="76" t="s">
        <v>94</v>
      </c>
      <c r="C911" s="76" t="s">
        <v>95</v>
      </c>
      <c r="D911" s="76" t="s">
        <v>1141</v>
      </c>
      <c r="E911" s="76" t="s">
        <v>1142</v>
      </c>
      <c r="F911" s="35" t="s">
        <v>1819</v>
      </c>
      <c r="G911" s="76" t="s">
        <v>434</v>
      </c>
      <c r="H911" s="76"/>
      <c r="I911" s="76"/>
      <c r="J911" s="76"/>
      <c r="K911" s="76"/>
      <c r="L911" s="77" t="s">
        <v>1114</v>
      </c>
    </row>
    <row r="912" customFormat="false" ht="15" hidden="false" customHeight="false" outlineLevel="0" collapsed="false">
      <c r="A912" s="76" t="s">
        <v>1822</v>
      </c>
      <c r="B912" s="76" t="s">
        <v>94</v>
      </c>
      <c r="C912" s="76" t="s">
        <v>95</v>
      </c>
      <c r="D912" s="76" t="s">
        <v>1151</v>
      </c>
      <c r="E912" s="76" t="s">
        <v>1152</v>
      </c>
      <c r="F912" s="35" t="s">
        <v>1823</v>
      </c>
      <c r="G912" s="76" t="s">
        <v>419</v>
      </c>
      <c r="H912" s="76"/>
      <c r="I912" s="76" t="s">
        <v>1807</v>
      </c>
      <c r="J912" s="76"/>
      <c r="K912" s="76" t="s">
        <v>1807</v>
      </c>
      <c r="L912" s="77" t="s">
        <v>1114</v>
      </c>
    </row>
    <row r="913" customFormat="false" ht="15" hidden="false" customHeight="false" outlineLevel="0" collapsed="false">
      <c r="A913" s="76" t="s">
        <v>1822</v>
      </c>
      <c r="B913" s="76" t="s">
        <v>94</v>
      </c>
      <c r="C913" s="76" t="s">
        <v>95</v>
      </c>
      <c r="D913" s="76" t="s">
        <v>1151</v>
      </c>
      <c r="E913" s="76" t="s">
        <v>1152</v>
      </c>
      <c r="F913" s="35" t="s">
        <v>1823</v>
      </c>
      <c r="G913" s="76" t="s">
        <v>739</v>
      </c>
      <c r="H913" s="76" t="n">
        <v>8</v>
      </c>
      <c r="I913" s="76" t="s">
        <v>1824</v>
      </c>
      <c r="J913" s="76" t="n">
        <v>8</v>
      </c>
      <c r="K913" s="76" t="s">
        <v>1824</v>
      </c>
      <c r="L913" s="77" t="s">
        <v>1114</v>
      </c>
    </row>
    <row r="914" customFormat="false" ht="15" hidden="false" customHeight="false" outlineLevel="0" collapsed="false">
      <c r="A914" s="76" t="s">
        <v>1822</v>
      </c>
      <c r="B914" s="76" t="s">
        <v>94</v>
      </c>
      <c r="C914" s="76" t="s">
        <v>95</v>
      </c>
      <c r="D914" s="76" t="s">
        <v>1151</v>
      </c>
      <c r="E914" s="76" t="s">
        <v>1152</v>
      </c>
      <c r="F914" s="35" t="s">
        <v>1823</v>
      </c>
      <c r="G914" s="76" t="s">
        <v>740</v>
      </c>
      <c r="H914" s="76"/>
      <c r="I914" s="76"/>
      <c r="J914" s="76"/>
      <c r="K914" s="76"/>
      <c r="L914" s="77" t="s">
        <v>1114</v>
      </c>
    </row>
    <row r="915" customFormat="false" ht="15" hidden="false" customHeight="false" outlineLevel="0" collapsed="false">
      <c r="A915" s="76" t="s">
        <v>1822</v>
      </c>
      <c r="B915" s="76" t="s">
        <v>94</v>
      </c>
      <c r="C915" s="76" t="s">
        <v>95</v>
      </c>
      <c r="D915" s="76" t="s">
        <v>1151</v>
      </c>
      <c r="E915" s="76" t="s">
        <v>1152</v>
      </c>
      <c r="F915" s="35" t="s">
        <v>1823</v>
      </c>
      <c r="G915" s="76" t="s">
        <v>742</v>
      </c>
      <c r="H915" s="76"/>
      <c r="I915" s="76"/>
      <c r="J915" s="76"/>
      <c r="K915" s="76"/>
      <c r="L915" s="77" t="s">
        <v>1114</v>
      </c>
    </row>
    <row r="916" customFormat="false" ht="15" hidden="false" customHeight="false" outlineLevel="0" collapsed="false">
      <c r="A916" s="76" t="s">
        <v>1822</v>
      </c>
      <c r="B916" s="76" t="s">
        <v>94</v>
      </c>
      <c r="C916" s="76" t="s">
        <v>95</v>
      </c>
      <c r="D916" s="76" t="s">
        <v>1151</v>
      </c>
      <c r="E916" s="76" t="s">
        <v>1152</v>
      </c>
      <c r="F916" s="35" t="s">
        <v>1823</v>
      </c>
      <c r="G916" s="76" t="s">
        <v>733</v>
      </c>
      <c r="H916" s="76" t="n">
        <v>15000</v>
      </c>
      <c r="I916" s="76" t="s">
        <v>1606</v>
      </c>
      <c r="J916" s="76" t="n">
        <v>15000</v>
      </c>
      <c r="K916" s="76" t="s">
        <v>1606</v>
      </c>
      <c r="L916" s="77" t="s">
        <v>1114</v>
      </c>
    </row>
    <row r="917" customFormat="false" ht="15" hidden="false" customHeight="false" outlineLevel="0" collapsed="false">
      <c r="A917" s="76" t="s">
        <v>1822</v>
      </c>
      <c r="B917" s="76" t="s">
        <v>94</v>
      </c>
      <c r="C917" s="76" t="s">
        <v>95</v>
      </c>
      <c r="D917" s="76" t="s">
        <v>1151</v>
      </c>
      <c r="E917" s="76" t="s">
        <v>1152</v>
      </c>
      <c r="F917" s="35" t="s">
        <v>1823</v>
      </c>
      <c r="G917" s="76" t="s">
        <v>737</v>
      </c>
      <c r="H917" s="76" t="n">
        <v>0</v>
      </c>
      <c r="I917" s="76" t="s">
        <v>1127</v>
      </c>
      <c r="J917" s="76" t="n">
        <v>0</v>
      </c>
      <c r="K917" s="76" t="s">
        <v>1127</v>
      </c>
      <c r="L917" s="77" t="s">
        <v>1114</v>
      </c>
    </row>
    <row r="918" customFormat="false" ht="15" hidden="false" customHeight="false" outlineLevel="0" collapsed="false">
      <c r="A918" s="76" t="s">
        <v>1822</v>
      </c>
      <c r="B918" s="76" t="s">
        <v>94</v>
      </c>
      <c r="C918" s="76" t="s">
        <v>95</v>
      </c>
      <c r="D918" s="76" t="s">
        <v>1151</v>
      </c>
      <c r="E918" s="76" t="s">
        <v>1152</v>
      </c>
      <c r="F918" s="35" t="s">
        <v>1823</v>
      </c>
      <c r="G918" s="76" t="s">
        <v>743</v>
      </c>
      <c r="H918" s="76"/>
      <c r="I918" s="76"/>
      <c r="J918" s="76"/>
      <c r="K918" s="76"/>
      <c r="L918" s="77" t="s">
        <v>1114</v>
      </c>
    </row>
    <row r="919" customFormat="false" ht="15" hidden="false" customHeight="false" outlineLevel="0" collapsed="false">
      <c r="A919" s="76" t="s">
        <v>1822</v>
      </c>
      <c r="B919" s="76" t="s">
        <v>94</v>
      </c>
      <c r="C919" s="76" t="s">
        <v>95</v>
      </c>
      <c r="D919" s="76" t="s">
        <v>1151</v>
      </c>
      <c r="E919" s="76" t="s">
        <v>1152</v>
      </c>
      <c r="F919" s="35" t="s">
        <v>1823</v>
      </c>
      <c r="G919" s="76" t="s">
        <v>434</v>
      </c>
      <c r="H919" s="76"/>
      <c r="I919" s="76"/>
      <c r="J919" s="76"/>
      <c r="K919" s="76"/>
      <c r="L919" s="77" t="s">
        <v>1114</v>
      </c>
    </row>
    <row r="920" customFormat="false" ht="15" hidden="false" customHeight="false" outlineLevel="0" collapsed="false">
      <c r="A920" s="76" t="s">
        <v>1825</v>
      </c>
      <c r="B920" s="76" t="s">
        <v>94</v>
      </c>
      <c r="C920" s="76" t="s">
        <v>95</v>
      </c>
      <c r="D920" s="76" t="s">
        <v>1161</v>
      </c>
      <c r="E920" s="76" t="s">
        <v>1162</v>
      </c>
      <c r="F920" s="35" t="s">
        <v>1826</v>
      </c>
      <c r="G920" s="76" t="s">
        <v>419</v>
      </c>
      <c r="H920" s="76"/>
      <c r="I920" s="76" t="s">
        <v>1807</v>
      </c>
      <c r="J920" s="76"/>
      <c r="K920" s="76" t="s">
        <v>1807</v>
      </c>
      <c r="L920" s="77" t="s">
        <v>1114</v>
      </c>
    </row>
    <row r="921" customFormat="false" ht="15" hidden="false" customHeight="false" outlineLevel="0" collapsed="false">
      <c r="A921" s="76" t="s">
        <v>1825</v>
      </c>
      <c r="B921" s="76" t="s">
        <v>94</v>
      </c>
      <c r="C921" s="76" t="s">
        <v>95</v>
      </c>
      <c r="D921" s="76" t="s">
        <v>1161</v>
      </c>
      <c r="E921" s="76" t="s">
        <v>1162</v>
      </c>
      <c r="F921" s="35" t="s">
        <v>1826</v>
      </c>
      <c r="G921" s="76" t="s">
        <v>739</v>
      </c>
      <c r="H921" s="76" t="n">
        <v>6</v>
      </c>
      <c r="I921" s="76" t="s">
        <v>1827</v>
      </c>
      <c r="J921" s="76" t="n">
        <v>6</v>
      </c>
      <c r="K921" s="76" t="s">
        <v>1827</v>
      </c>
      <c r="L921" s="77" t="s">
        <v>1114</v>
      </c>
    </row>
    <row r="922" customFormat="false" ht="15" hidden="false" customHeight="false" outlineLevel="0" collapsed="false">
      <c r="A922" s="76" t="s">
        <v>1825</v>
      </c>
      <c r="B922" s="76" t="s">
        <v>94</v>
      </c>
      <c r="C922" s="76" t="s">
        <v>95</v>
      </c>
      <c r="D922" s="76" t="s">
        <v>1161</v>
      </c>
      <c r="E922" s="76" t="s">
        <v>1162</v>
      </c>
      <c r="F922" s="35" t="s">
        <v>1826</v>
      </c>
      <c r="G922" s="76" t="s">
        <v>740</v>
      </c>
      <c r="H922" s="76"/>
      <c r="I922" s="76"/>
      <c r="J922" s="76"/>
      <c r="K922" s="76"/>
      <c r="L922" s="77" t="s">
        <v>1114</v>
      </c>
    </row>
    <row r="923" customFormat="false" ht="15" hidden="false" customHeight="false" outlineLevel="0" collapsed="false">
      <c r="A923" s="76" t="s">
        <v>1825</v>
      </c>
      <c r="B923" s="76" t="s">
        <v>94</v>
      </c>
      <c r="C923" s="76" t="s">
        <v>95</v>
      </c>
      <c r="D923" s="76" t="s">
        <v>1161</v>
      </c>
      <c r="E923" s="76" t="s">
        <v>1162</v>
      </c>
      <c r="F923" s="35" t="s">
        <v>1826</v>
      </c>
      <c r="G923" s="76" t="s">
        <v>742</v>
      </c>
      <c r="H923" s="76"/>
      <c r="I923" s="76"/>
      <c r="J923" s="76"/>
      <c r="K923" s="76"/>
      <c r="L923" s="77" t="s">
        <v>1114</v>
      </c>
    </row>
    <row r="924" customFormat="false" ht="15" hidden="false" customHeight="false" outlineLevel="0" collapsed="false">
      <c r="A924" s="76" t="s">
        <v>1825</v>
      </c>
      <c r="B924" s="76" t="s">
        <v>94</v>
      </c>
      <c r="C924" s="76" t="s">
        <v>95</v>
      </c>
      <c r="D924" s="76" t="s">
        <v>1161</v>
      </c>
      <c r="E924" s="76" t="s">
        <v>1162</v>
      </c>
      <c r="F924" s="35" t="s">
        <v>1826</v>
      </c>
      <c r="G924" s="76" t="s">
        <v>733</v>
      </c>
      <c r="H924" s="76" t="n">
        <v>15000</v>
      </c>
      <c r="I924" s="76" t="s">
        <v>1606</v>
      </c>
      <c r="J924" s="76" t="n">
        <v>15000</v>
      </c>
      <c r="K924" s="76" t="s">
        <v>1606</v>
      </c>
      <c r="L924" s="77" t="s">
        <v>1114</v>
      </c>
    </row>
    <row r="925" customFormat="false" ht="15" hidden="false" customHeight="false" outlineLevel="0" collapsed="false">
      <c r="A925" s="76" t="s">
        <v>1825</v>
      </c>
      <c r="B925" s="76" t="s">
        <v>94</v>
      </c>
      <c r="C925" s="76" t="s">
        <v>95</v>
      </c>
      <c r="D925" s="76" t="s">
        <v>1161</v>
      </c>
      <c r="E925" s="76" t="s">
        <v>1162</v>
      </c>
      <c r="F925" s="35" t="s">
        <v>1826</v>
      </c>
      <c r="G925" s="76" t="s">
        <v>737</v>
      </c>
      <c r="H925" s="76" t="n">
        <v>0</v>
      </c>
      <c r="I925" s="76" t="s">
        <v>1127</v>
      </c>
      <c r="J925" s="76" t="n">
        <v>0</v>
      </c>
      <c r="K925" s="76" t="s">
        <v>1127</v>
      </c>
      <c r="L925" s="77" t="s">
        <v>1114</v>
      </c>
    </row>
    <row r="926" customFormat="false" ht="15" hidden="false" customHeight="false" outlineLevel="0" collapsed="false">
      <c r="A926" s="76" t="s">
        <v>1825</v>
      </c>
      <c r="B926" s="76" t="s">
        <v>94</v>
      </c>
      <c r="C926" s="76" t="s">
        <v>95</v>
      </c>
      <c r="D926" s="76" t="s">
        <v>1161</v>
      </c>
      <c r="E926" s="76" t="s">
        <v>1162</v>
      </c>
      <c r="F926" s="35" t="s">
        <v>1826</v>
      </c>
      <c r="G926" s="76" t="s">
        <v>743</v>
      </c>
      <c r="H926" s="76"/>
      <c r="I926" s="76"/>
      <c r="J926" s="76"/>
      <c r="K926" s="76"/>
      <c r="L926" s="77" t="s">
        <v>1114</v>
      </c>
    </row>
    <row r="927" customFormat="false" ht="15" hidden="false" customHeight="false" outlineLevel="0" collapsed="false">
      <c r="A927" s="76" t="s">
        <v>1825</v>
      </c>
      <c r="B927" s="76" t="s">
        <v>94</v>
      </c>
      <c r="C927" s="76" t="s">
        <v>95</v>
      </c>
      <c r="D927" s="76" t="s">
        <v>1161</v>
      </c>
      <c r="E927" s="76" t="s">
        <v>1162</v>
      </c>
      <c r="F927" s="35" t="s">
        <v>1826</v>
      </c>
      <c r="G927" s="76" t="s">
        <v>434</v>
      </c>
      <c r="H927" s="76"/>
      <c r="I927" s="76"/>
      <c r="J927" s="76"/>
      <c r="K927" s="76"/>
      <c r="L927" s="77" t="s">
        <v>1114</v>
      </c>
    </row>
    <row r="928" customFormat="false" ht="15" hidden="false" customHeight="false" outlineLevel="0" collapsed="false">
      <c r="A928" s="76" t="s">
        <v>1828</v>
      </c>
      <c r="B928" s="76" t="s">
        <v>94</v>
      </c>
      <c r="C928" s="76" t="s">
        <v>95</v>
      </c>
      <c r="D928" s="76" t="s">
        <v>1170</v>
      </c>
      <c r="E928" s="76" t="s">
        <v>1171</v>
      </c>
      <c r="F928" s="35" t="s">
        <v>1829</v>
      </c>
      <c r="G928" s="76" t="s">
        <v>419</v>
      </c>
      <c r="H928" s="76"/>
      <c r="I928" s="76" t="s">
        <v>1807</v>
      </c>
      <c r="J928" s="76"/>
      <c r="K928" s="76" t="s">
        <v>1807</v>
      </c>
      <c r="L928" s="77" t="s">
        <v>1114</v>
      </c>
    </row>
    <row r="929" customFormat="false" ht="15" hidden="false" customHeight="false" outlineLevel="0" collapsed="false">
      <c r="A929" s="76" t="s">
        <v>1828</v>
      </c>
      <c r="B929" s="76" t="s">
        <v>94</v>
      </c>
      <c r="C929" s="76" t="s">
        <v>95</v>
      </c>
      <c r="D929" s="76" t="s">
        <v>1170</v>
      </c>
      <c r="E929" s="76" t="s">
        <v>1171</v>
      </c>
      <c r="F929" s="35" t="s">
        <v>1829</v>
      </c>
      <c r="G929" s="76" t="s">
        <v>739</v>
      </c>
      <c r="H929" s="78" t="n">
        <v>1.25</v>
      </c>
      <c r="I929" s="76" t="s">
        <v>1830</v>
      </c>
      <c r="J929" s="78" t="n">
        <v>1.25</v>
      </c>
      <c r="K929" s="76" t="s">
        <v>1830</v>
      </c>
      <c r="L929" s="77" t="s">
        <v>1114</v>
      </c>
    </row>
    <row r="930" customFormat="false" ht="15" hidden="false" customHeight="false" outlineLevel="0" collapsed="false">
      <c r="A930" s="76" t="s">
        <v>1828</v>
      </c>
      <c r="B930" s="76" t="s">
        <v>94</v>
      </c>
      <c r="C930" s="76" t="s">
        <v>95</v>
      </c>
      <c r="D930" s="76" t="s">
        <v>1170</v>
      </c>
      <c r="E930" s="76" t="s">
        <v>1171</v>
      </c>
      <c r="F930" s="35" t="s">
        <v>1829</v>
      </c>
      <c r="G930" s="76" t="s">
        <v>740</v>
      </c>
      <c r="H930" s="76" t="n">
        <v>9600</v>
      </c>
      <c r="I930" s="76" t="s">
        <v>1831</v>
      </c>
      <c r="J930" s="76" t="n">
        <v>9600</v>
      </c>
      <c r="K930" s="76" t="s">
        <v>1831</v>
      </c>
      <c r="L930" s="77" t="s">
        <v>1114</v>
      </c>
    </row>
    <row r="931" customFormat="false" ht="15" hidden="false" customHeight="false" outlineLevel="0" collapsed="false">
      <c r="A931" s="76" t="s">
        <v>1828</v>
      </c>
      <c r="B931" s="76" t="s">
        <v>94</v>
      </c>
      <c r="C931" s="76" t="s">
        <v>95</v>
      </c>
      <c r="D931" s="76" t="s">
        <v>1170</v>
      </c>
      <c r="E931" s="76" t="s">
        <v>1171</v>
      </c>
      <c r="F931" s="35" t="s">
        <v>1829</v>
      </c>
      <c r="G931" s="76" t="s">
        <v>742</v>
      </c>
      <c r="H931" s="76" t="n">
        <v>5600</v>
      </c>
      <c r="I931" s="76" t="s">
        <v>1832</v>
      </c>
      <c r="J931" s="76" t="n">
        <v>5600</v>
      </c>
      <c r="K931" s="76" t="s">
        <v>1832</v>
      </c>
      <c r="L931" s="77" t="s">
        <v>1114</v>
      </c>
    </row>
    <row r="932" customFormat="false" ht="15" hidden="false" customHeight="false" outlineLevel="0" collapsed="false">
      <c r="A932" s="76" t="s">
        <v>1828</v>
      </c>
      <c r="B932" s="76" t="s">
        <v>94</v>
      </c>
      <c r="C932" s="76" t="s">
        <v>95</v>
      </c>
      <c r="D932" s="76" t="s">
        <v>1170</v>
      </c>
      <c r="E932" s="76" t="s">
        <v>1171</v>
      </c>
      <c r="F932" s="35" t="s">
        <v>1829</v>
      </c>
      <c r="G932" s="76" t="s">
        <v>733</v>
      </c>
      <c r="H932" s="76" t="n">
        <v>9600</v>
      </c>
      <c r="I932" s="76" t="s">
        <v>1831</v>
      </c>
      <c r="J932" s="76" t="n">
        <v>9600</v>
      </c>
      <c r="K932" s="76" t="s">
        <v>1831</v>
      </c>
      <c r="L932" s="77" t="s">
        <v>1114</v>
      </c>
    </row>
    <row r="933" customFormat="false" ht="15" hidden="false" customHeight="false" outlineLevel="0" collapsed="false">
      <c r="A933" s="76" t="s">
        <v>1828</v>
      </c>
      <c r="B933" s="76" t="s">
        <v>94</v>
      </c>
      <c r="C933" s="76" t="s">
        <v>95</v>
      </c>
      <c r="D933" s="76" t="s">
        <v>1170</v>
      </c>
      <c r="E933" s="76" t="s">
        <v>1171</v>
      </c>
      <c r="F933" s="35" t="s">
        <v>1829</v>
      </c>
      <c r="G933" s="76" t="s">
        <v>737</v>
      </c>
      <c r="H933" s="76" t="n">
        <v>5600</v>
      </c>
      <c r="I933" s="76" t="s">
        <v>1832</v>
      </c>
      <c r="J933" s="76" t="n">
        <v>5600</v>
      </c>
      <c r="K933" s="76" t="s">
        <v>1832</v>
      </c>
      <c r="L933" s="77" t="s">
        <v>1114</v>
      </c>
    </row>
    <row r="934" customFormat="false" ht="15" hidden="false" customHeight="false" outlineLevel="0" collapsed="false">
      <c r="A934" s="76" t="s">
        <v>1828</v>
      </c>
      <c r="B934" s="76" t="s">
        <v>94</v>
      </c>
      <c r="C934" s="76" t="s">
        <v>95</v>
      </c>
      <c r="D934" s="76" t="s">
        <v>1170</v>
      </c>
      <c r="E934" s="76" t="s">
        <v>1171</v>
      </c>
      <c r="F934" s="35" t="s">
        <v>1829</v>
      </c>
      <c r="G934" s="76" t="s">
        <v>743</v>
      </c>
      <c r="H934" s="78" t="n">
        <v>9600</v>
      </c>
      <c r="I934" s="76" t="s">
        <v>1833</v>
      </c>
      <c r="J934" s="76" t="n">
        <v>9600</v>
      </c>
      <c r="K934" s="76" t="s">
        <v>1833</v>
      </c>
      <c r="L934" s="77" t="s">
        <v>1114</v>
      </c>
    </row>
    <row r="935" customFormat="false" ht="15" hidden="false" customHeight="false" outlineLevel="0" collapsed="false">
      <c r="A935" s="76" t="s">
        <v>1828</v>
      </c>
      <c r="B935" s="76" t="s">
        <v>94</v>
      </c>
      <c r="C935" s="76" t="s">
        <v>95</v>
      </c>
      <c r="D935" s="76" t="s">
        <v>1170</v>
      </c>
      <c r="E935" s="76" t="s">
        <v>1171</v>
      </c>
      <c r="F935" s="35" t="s">
        <v>1829</v>
      </c>
      <c r="G935" s="76" t="s">
        <v>434</v>
      </c>
      <c r="H935" s="78" t="n">
        <v>2</v>
      </c>
      <c r="I935" s="76" t="s">
        <v>869</v>
      </c>
      <c r="J935" s="76" t="n">
        <v>2</v>
      </c>
      <c r="K935" s="76" t="s">
        <v>869</v>
      </c>
      <c r="L935" s="77" t="s">
        <v>1114</v>
      </c>
    </row>
    <row r="936" customFormat="false" ht="15" hidden="false" customHeight="false" outlineLevel="0" collapsed="false">
      <c r="A936" s="76" t="s">
        <v>1834</v>
      </c>
      <c r="B936" s="76" t="s">
        <v>94</v>
      </c>
      <c r="C936" s="76" t="s">
        <v>95</v>
      </c>
      <c r="D936" s="76" t="s">
        <v>1180</v>
      </c>
      <c r="E936" s="76" t="s">
        <v>1152</v>
      </c>
      <c r="F936" s="35" t="s">
        <v>1835</v>
      </c>
      <c r="G936" s="76" t="s">
        <v>419</v>
      </c>
      <c r="H936" s="76"/>
      <c r="I936" s="76" t="s">
        <v>1807</v>
      </c>
      <c r="J936" s="76"/>
      <c r="K936" s="76" t="s">
        <v>1807</v>
      </c>
      <c r="L936" s="77" t="s">
        <v>1114</v>
      </c>
    </row>
    <row r="937" customFormat="false" ht="15" hidden="false" customHeight="false" outlineLevel="0" collapsed="false">
      <c r="A937" s="76" t="s">
        <v>1834</v>
      </c>
      <c r="B937" s="76" t="s">
        <v>94</v>
      </c>
      <c r="C937" s="76" t="s">
        <v>95</v>
      </c>
      <c r="D937" s="76" t="s">
        <v>1180</v>
      </c>
      <c r="E937" s="76" t="s">
        <v>1152</v>
      </c>
      <c r="F937" s="35" t="s">
        <v>1835</v>
      </c>
      <c r="G937" s="76" t="s">
        <v>739</v>
      </c>
      <c r="H937" s="78" t="n">
        <v>1.25</v>
      </c>
      <c r="I937" s="76" t="s">
        <v>1830</v>
      </c>
      <c r="J937" s="78" t="n">
        <v>1.25</v>
      </c>
      <c r="K937" s="76" t="s">
        <v>1830</v>
      </c>
      <c r="L937" s="77" t="s">
        <v>1114</v>
      </c>
    </row>
    <row r="938" customFormat="false" ht="15" hidden="false" customHeight="false" outlineLevel="0" collapsed="false">
      <c r="A938" s="76" t="s">
        <v>1834</v>
      </c>
      <c r="B938" s="76" t="s">
        <v>94</v>
      </c>
      <c r="C938" s="76" t="s">
        <v>95</v>
      </c>
      <c r="D938" s="76" t="s">
        <v>1180</v>
      </c>
      <c r="E938" s="76" t="s">
        <v>1152</v>
      </c>
      <c r="F938" s="35" t="s">
        <v>1835</v>
      </c>
      <c r="G938" s="76" t="s">
        <v>740</v>
      </c>
      <c r="H938" s="76"/>
      <c r="I938" s="76"/>
      <c r="J938" s="76"/>
      <c r="K938" s="76"/>
      <c r="L938" s="77" t="s">
        <v>1114</v>
      </c>
    </row>
    <row r="939" customFormat="false" ht="15" hidden="false" customHeight="false" outlineLevel="0" collapsed="false">
      <c r="A939" s="76" t="s">
        <v>1834</v>
      </c>
      <c r="B939" s="76" t="s">
        <v>94</v>
      </c>
      <c r="C939" s="76" t="s">
        <v>95</v>
      </c>
      <c r="D939" s="76" t="s">
        <v>1180</v>
      </c>
      <c r="E939" s="76" t="s">
        <v>1152</v>
      </c>
      <c r="F939" s="35" t="s">
        <v>1835</v>
      </c>
      <c r="G939" s="76" t="s">
        <v>742</v>
      </c>
      <c r="H939" s="76"/>
      <c r="I939" s="76"/>
      <c r="J939" s="76"/>
      <c r="K939" s="76"/>
      <c r="L939" s="77" t="s">
        <v>1114</v>
      </c>
    </row>
    <row r="940" customFormat="false" ht="15" hidden="false" customHeight="false" outlineLevel="0" collapsed="false">
      <c r="A940" s="76" t="s">
        <v>1834</v>
      </c>
      <c r="B940" s="76" t="s">
        <v>94</v>
      </c>
      <c r="C940" s="76" t="s">
        <v>95</v>
      </c>
      <c r="D940" s="76" t="s">
        <v>1180</v>
      </c>
      <c r="E940" s="76" t="s">
        <v>1152</v>
      </c>
      <c r="F940" s="35" t="s">
        <v>1835</v>
      </c>
      <c r="G940" s="76" t="s">
        <v>733</v>
      </c>
      <c r="H940" s="76" t="n">
        <v>5000</v>
      </c>
      <c r="I940" s="76" t="s">
        <v>1294</v>
      </c>
      <c r="J940" s="76" t="n">
        <v>5000</v>
      </c>
      <c r="K940" s="76" t="s">
        <v>1294</v>
      </c>
      <c r="L940" s="77" t="s">
        <v>1114</v>
      </c>
    </row>
    <row r="941" customFormat="false" ht="15" hidden="false" customHeight="false" outlineLevel="0" collapsed="false">
      <c r="A941" s="76" t="s">
        <v>1834</v>
      </c>
      <c r="B941" s="76" t="s">
        <v>94</v>
      </c>
      <c r="C941" s="76" t="s">
        <v>95</v>
      </c>
      <c r="D941" s="76" t="s">
        <v>1180</v>
      </c>
      <c r="E941" s="76" t="s">
        <v>1152</v>
      </c>
      <c r="F941" s="35" t="s">
        <v>1835</v>
      </c>
      <c r="G941" s="76" t="s">
        <v>737</v>
      </c>
      <c r="H941" s="76" t="n">
        <v>0</v>
      </c>
      <c r="I941" s="76" t="s">
        <v>1127</v>
      </c>
      <c r="J941" s="76" t="n">
        <v>0</v>
      </c>
      <c r="K941" s="76" t="s">
        <v>1127</v>
      </c>
      <c r="L941" s="77" t="s">
        <v>1114</v>
      </c>
    </row>
    <row r="942" customFormat="false" ht="15" hidden="false" customHeight="false" outlineLevel="0" collapsed="false">
      <c r="A942" s="76" t="s">
        <v>1834</v>
      </c>
      <c r="B942" s="76" t="s">
        <v>94</v>
      </c>
      <c r="C942" s="76" t="s">
        <v>95</v>
      </c>
      <c r="D942" s="76" t="s">
        <v>1180</v>
      </c>
      <c r="E942" s="76" t="s">
        <v>1152</v>
      </c>
      <c r="F942" s="35" t="s">
        <v>1835</v>
      </c>
      <c r="G942" s="76" t="s">
        <v>743</v>
      </c>
      <c r="H942" s="76"/>
      <c r="I942" s="76"/>
      <c r="J942" s="76"/>
      <c r="K942" s="76"/>
      <c r="L942" s="77" t="s">
        <v>1114</v>
      </c>
    </row>
    <row r="943" customFormat="false" ht="15" hidden="false" customHeight="false" outlineLevel="0" collapsed="false">
      <c r="A943" s="76" t="s">
        <v>1834</v>
      </c>
      <c r="B943" s="76" t="s">
        <v>94</v>
      </c>
      <c r="C943" s="76" t="s">
        <v>95</v>
      </c>
      <c r="D943" s="76" t="s">
        <v>1180</v>
      </c>
      <c r="E943" s="76" t="s">
        <v>1152</v>
      </c>
      <c r="F943" s="35" t="s">
        <v>1835</v>
      </c>
      <c r="G943" s="76" t="s">
        <v>434</v>
      </c>
      <c r="H943" s="76"/>
      <c r="I943" s="76"/>
      <c r="J943" s="76"/>
      <c r="K943" s="76"/>
      <c r="L943" s="77" t="s">
        <v>1114</v>
      </c>
    </row>
    <row r="944" customFormat="false" ht="15" hidden="false" customHeight="false" outlineLevel="0" collapsed="false">
      <c r="A944" s="76" t="s">
        <v>1836</v>
      </c>
      <c r="B944" s="76" t="s">
        <v>94</v>
      </c>
      <c r="C944" s="76" t="s">
        <v>95</v>
      </c>
      <c r="D944" s="76" t="s">
        <v>1189</v>
      </c>
      <c r="E944" s="76" t="s">
        <v>1125</v>
      </c>
      <c r="F944" s="35" t="s">
        <v>1837</v>
      </c>
      <c r="G944" s="76" t="s">
        <v>419</v>
      </c>
      <c r="H944" s="76"/>
      <c r="I944" s="76" t="s">
        <v>1807</v>
      </c>
      <c r="J944" s="76"/>
      <c r="K944" s="76" t="s">
        <v>1807</v>
      </c>
      <c r="L944" s="77" t="s">
        <v>1114</v>
      </c>
    </row>
    <row r="945" customFormat="false" ht="15" hidden="false" customHeight="false" outlineLevel="0" collapsed="false">
      <c r="A945" s="76" t="s">
        <v>1836</v>
      </c>
      <c r="B945" s="76" t="s">
        <v>94</v>
      </c>
      <c r="C945" s="76" t="s">
        <v>95</v>
      </c>
      <c r="D945" s="76" t="s">
        <v>1189</v>
      </c>
      <c r="E945" s="76" t="s">
        <v>1125</v>
      </c>
      <c r="F945" s="35" t="s">
        <v>1837</v>
      </c>
      <c r="G945" s="76" t="s">
        <v>739</v>
      </c>
      <c r="H945" s="78" t="n">
        <v>12.0833333333333</v>
      </c>
      <c r="I945" s="76" t="s">
        <v>1838</v>
      </c>
      <c r="J945" s="78" t="n">
        <v>12.0833333333333</v>
      </c>
      <c r="K945" s="76" t="s">
        <v>1838</v>
      </c>
      <c r="L945" s="77" t="s">
        <v>1114</v>
      </c>
    </row>
    <row r="946" customFormat="false" ht="15" hidden="false" customHeight="false" outlineLevel="0" collapsed="false">
      <c r="A946" s="76" t="s">
        <v>1836</v>
      </c>
      <c r="B946" s="76" t="s">
        <v>94</v>
      </c>
      <c r="C946" s="76" t="s">
        <v>95</v>
      </c>
      <c r="D946" s="76" t="s">
        <v>1189</v>
      </c>
      <c r="E946" s="76" t="s">
        <v>1125</v>
      </c>
      <c r="F946" s="35" t="s">
        <v>1837</v>
      </c>
      <c r="G946" s="76" t="s">
        <v>740</v>
      </c>
      <c r="H946" s="76"/>
      <c r="I946" s="76"/>
      <c r="J946" s="76"/>
      <c r="K946" s="76"/>
      <c r="L946" s="77" t="s">
        <v>1114</v>
      </c>
    </row>
    <row r="947" customFormat="false" ht="15" hidden="false" customHeight="false" outlineLevel="0" collapsed="false">
      <c r="A947" s="76" t="s">
        <v>1836</v>
      </c>
      <c r="B947" s="76" t="s">
        <v>94</v>
      </c>
      <c r="C947" s="76" t="s">
        <v>95</v>
      </c>
      <c r="D947" s="76" t="s">
        <v>1189</v>
      </c>
      <c r="E947" s="76" t="s">
        <v>1125</v>
      </c>
      <c r="F947" s="35" t="s">
        <v>1837</v>
      </c>
      <c r="G947" s="76" t="s">
        <v>742</v>
      </c>
      <c r="H947" s="76"/>
      <c r="I947" s="76"/>
      <c r="J947" s="76"/>
      <c r="K947" s="76"/>
      <c r="L947" s="77" t="s">
        <v>1114</v>
      </c>
    </row>
    <row r="948" customFormat="false" ht="15" hidden="false" customHeight="false" outlineLevel="0" collapsed="false">
      <c r="A948" s="76" t="s">
        <v>1836</v>
      </c>
      <c r="B948" s="76" t="s">
        <v>94</v>
      </c>
      <c r="C948" s="76" t="s">
        <v>95</v>
      </c>
      <c r="D948" s="76" t="s">
        <v>1189</v>
      </c>
      <c r="E948" s="76" t="s">
        <v>1125</v>
      </c>
      <c r="F948" s="35" t="s">
        <v>1837</v>
      </c>
      <c r="G948" s="76" t="s">
        <v>733</v>
      </c>
      <c r="H948" s="76" t="n">
        <v>12000</v>
      </c>
      <c r="I948" s="76" t="s">
        <v>1839</v>
      </c>
      <c r="J948" s="76" t="n">
        <v>12000</v>
      </c>
      <c r="K948" s="76" t="s">
        <v>1839</v>
      </c>
      <c r="L948" s="77" t="s">
        <v>1114</v>
      </c>
    </row>
    <row r="949" customFormat="false" ht="15" hidden="false" customHeight="false" outlineLevel="0" collapsed="false">
      <c r="A949" s="76" t="s">
        <v>1836</v>
      </c>
      <c r="B949" s="76" t="s">
        <v>94</v>
      </c>
      <c r="C949" s="76" t="s">
        <v>95</v>
      </c>
      <c r="D949" s="76" t="s">
        <v>1189</v>
      </c>
      <c r="E949" s="76" t="s">
        <v>1125</v>
      </c>
      <c r="F949" s="35" t="s">
        <v>1837</v>
      </c>
      <c r="G949" s="76" t="s">
        <v>737</v>
      </c>
      <c r="H949" s="76" t="n">
        <v>0</v>
      </c>
      <c r="I949" s="76" t="s">
        <v>1127</v>
      </c>
      <c r="J949" s="76" t="n">
        <v>0</v>
      </c>
      <c r="K949" s="76" t="s">
        <v>1127</v>
      </c>
      <c r="L949" s="77" t="s">
        <v>1114</v>
      </c>
    </row>
    <row r="950" customFormat="false" ht="15" hidden="false" customHeight="false" outlineLevel="0" collapsed="false">
      <c r="A950" s="76" t="s">
        <v>1836</v>
      </c>
      <c r="B950" s="76" t="s">
        <v>94</v>
      </c>
      <c r="C950" s="76" t="s">
        <v>95</v>
      </c>
      <c r="D950" s="76" t="s">
        <v>1189</v>
      </c>
      <c r="E950" s="76" t="s">
        <v>1125</v>
      </c>
      <c r="F950" s="35" t="s">
        <v>1837</v>
      </c>
      <c r="G950" s="76" t="s">
        <v>743</v>
      </c>
      <c r="H950" s="76"/>
      <c r="I950" s="76"/>
      <c r="J950" s="76"/>
      <c r="K950" s="76"/>
      <c r="L950" s="77" t="s">
        <v>1114</v>
      </c>
    </row>
    <row r="951" customFormat="false" ht="15" hidden="false" customHeight="false" outlineLevel="0" collapsed="false">
      <c r="A951" s="76" t="s">
        <v>1836</v>
      </c>
      <c r="B951" s="76" t="s">
        <v>94</v>
      </c>
      <c r="C951" s="76" t="s">
        <v>95</v>
      </c>
      <c r="D951" s="76" t="s">
        <v>1189</v>
      </c>
      <c r="E951" s="76" t="s">
        <v>1125</v>
      </c>
      <c r="F951" s="35" t="s">
        <v>1837</v>
      </c>
      <c r="G951" s="76" t="s">
        <v>434</v>
      </c>
      <c r="H951" s="76"/>
      <c r="I951" s="76"/>
      <c r="J951" s="76"/>
      <c r="K951" s="76"/>
      <c r="L951" s="77" t="s">
        <v>1114</v>
      </c>
    </row>
    <row r="952" customFormat="false" ht="15" hidden="false" customHeight="false" outlineLevel="0" collapsed="false">
      <c r="A952" s="76" t="s">
        <v>1840</v>
      </c>
      <c r="B952" s="76" t="s">
        <v>94</v>
      </c>
      <c r="C952" s="76" t="s">
        <v>95</v>
      </c>
      <c r="D952" s="76" t="s">
        <v>1198</v>
      </c>
      <c r="E952" s="76" t="s">
        <v>1162</v>
      </c>
      <c r="F952" s="35" t="s">
        <v>1841</v>
      </c>
      <c r="G952" s="76" t="s">
        <v>419</v>
      </c>
      <c r="H952" s="76"/>
      <c r="I952" s="76" t="s">
        <v>1807</v>
      </c>
      <c r="J952" s="76"/>
      <c r="K952" s="76" t="s">
        <v>1807</v>
      </c>
      <c r="L952" s="77" t="s">
        <v>1114</v>
      </c>
    </row>
    <row r="953" customFormat="false" ht="15" hidden="false" customHeight="false" outlineLevel="0" collapsed="false">
      <c r="A953" s="76" t="s">
        <v>1840</v>
      </c>
      <c r="B953" s="76" t="s">
        <v>94</v>
      </c>
      <c r="C953" s="76" t="s">
        <v>95</v>
      </c>
      <c r="D953" s="76" t="s">
        <v>1198</v>
      </c>
      <c r="E953" s="76" t="s">
        <v>1162</v>
      </c>
      <c r="F953" s="35" t="s">
        <v>1841</v>
      </c>
      <c r="G953" s="76" t="s">
        <v>739</v>
      </c>
      <c r="H953" s="78" t="n">
        <v>35.2380952380952</v>
      </c>
      <c r="I953" s="76" t="s">
        <v>1842</v>
      </c>
      <c r="J953" s="78" t="n">
        <v>35.2380952380952</v>
      </c>
      <c r="K953" s="76" t="s">
        <v>1842</v>
      </c>
      <c r="L953" s="77" t="s">
        <v>1114</v>
      </c>
    </row>
    <row r="954" customFormat="false" ht="15" hidden="false" customHeight="false" outlineLevel="0" collapsed="false">
      <c r="A954" s="76" t="s">
        <v>1840</v>
      </c>
      <c r="B954" s="76" t="s">
        <v>94</v>
      </c>
      <c r="C954" s="76" t="s">
        <v>95</v>
      </c>
      <c r="D954" s="76" t="s">
        <v>1198</v>
      </c>
      <c r="E954" s="76" t="s">
        <v>1162</v>
      </c>
      <c r="F954" s="35" t="s">
        <v>1841</v>
      </c>
      <c r="G954" s="76" t="s">
        <v>740</v>
      </c>
      <c r="H954" s="76"/>
      <c r="I954" s="76"/>
      <c r="J954" s="76"/>
      <c r="K954" s="76"/>
      <c r="L954" s="77" t="s">
        <v>1114</v>
      </c>
    </row>
    <row r="955" customFormat="false" ht="15" hidden="false" customHeight="false" outlineLevel="0" collapsed="false">
      <c r="A955" s="76" t="s">
        <v>1840</v>
      </c>
      <c r="B955" s="76" t="s">
        <v>94</v>
      </c>
      <c r="C955" s="76" t="s">
        <v>95</v>
      </c>
      <c r="D955" s="76" t="s">
        <v>1198</v>
      </c>
      <c r="E955" s="76" t="s">
        <v>1162</v>
      </c>
      <c r="F955" s="35" t="s">
        <v>1841</v>
      </c>
      <c r="G955" s="76" t="s">
        <v>742</v>
      </c>
      <c r="H955" s="76"/>
      <c r="I955" s="76"/>
      <c r="J955" s="76"/>
      <c r="K955" s="76"/>
      <c r="L955" s="77" t="s">
        <v>1114</v>
      </c>
    </row>
    <row r="956" customFormat="false" ht="15" hidden="false" customHeight="false" outlineLevel="0" collapsed="false">
      <c r="A956" s="76" t="s">
        <v>1840</v>
      </c>
      <c r="B956" s="76" t="s">
        <v>94</v>
      </c>
      <c r="C956" s="76" t="s">
        <v>95</v>
      </c>
      <c r="D956" s="76" t="s">
        <v>1198</v>
      </c>
      <c r="E956" s="76" t="s">
        <v>1162</v>
      </c>
      <c r="F956" s="35" t="s">
        <v>1841</v>
      </c>
      <c r="G956" s="76" t="s">
        <v>733</v>
      </c>
      <c r="H956" s="76" t="n">
        <v>25200</v>
      </c>
      <c r="I956" s="76" t="s">
        <v>1843</v>
      </c>
      <c r="J956" s="76" t="n">
        <v>25200</v>
      </c>
      <c r="K956" s="76" t="s">
        <v>1843</v>
      </c>
      <c r="L956" s="77" t="s">
        <v>1114</v>
      </c>
    </row>
    <row r="957" customFormat="false" ht="15" hidden="false" customHeight="false" outlineLevel="0" collapsed="false">
      <c r="A957" s="76" t="s">
        <v>1840</v>
      </c>
      <c r="B957" s="76" t="s">
        <v>94</v>
      </c>
      <c r="C957" s="76" t="s">
        <v>95</v>
      </c>
      <c r="D957" s="76" t="s">
        <v>1198</v>
      </c>
      <c r="E957" s="76" t="s">
        <v>1162</v>
      </c>
      <c r="F957" s="35" t="s">
        <v>1841</v>
      </c>
      <c r="G957" s="76" t="s">
        <v>737</v>
      </c>
      <c r="H957" s="76" t="n">
        <v>0</v>
      </c>
      <c r="I957" s="76" t="s">
        <v>1127</v>
      </c>
      <c r="J957" s="76" t="n">
        <v>0</v>
      </c>
      <c r="K957" s="76" t="s">
        <v>1127</v>
      </c>
      <c r="L957" s="77" t="s">
        <v>1114</v>
      </c>
    </row>
    <row r="958" customFormat="false" ht="15" hidden="false" customHeight="false" outlineLevel="0" collapsed="false">
      <c r="A958" s="76" t="s">
        <v>1840</v>
      </c>
      <c r="B958" s="76" t="s">
        <v>94</v>
      </c>
      <c r="C958" s="76" t="s">
        <v>95</v>
      </c>
      <c r="D958" s="76" t="s">
        <v>1198</v>
      </c>
      <c r="E958" s="76" t="s">
        <v>1162</v>
      </c>
      <c r="F958" s="35" t="s">
        <v>1841</v>
      </c>
      <c r="G958" s="76" t="s">
        <v>743</v>
      </c>
      <c r="H958" s="76"/>
      <c r="I958" s="76"/>
      <c r="J958" s="76"/>
      <c r="K958" s="76"/>
      <c r="L958" s="77" t="s">
        <v>1114</v>
      </c>
    </row>
    <row r="959" customFormat="false" ht="15" hidden="false" customHeight="false" outlineLevel="0" collapsed="false">
      <c r="A959" s="76" t="s">
        <v>1840</v>
      </c>
      <c r="B959" s="76" t="s">
        <v>94</v>
      </c>
      <c r="C959" s="76" t="s">
        <v>95</v>
      </c>
      <c r="D959" s="76" t="s">
        <v>1198</v>
      </c>
      <c r="E959" s="76" t="s">
        <v>1162</v>
      </c>
      <c r="F959" s="35" t="s">
        <v>1841</v>
      </c>
      <c r="G959" s="76" t="s">
        <v>434</v>
      </c>
      <c r="H959" s="76"/>
      <c r="I959" s="76"/>
      <c r="J959" s="76"/>
      <c r="K959" s="76"/>
      <c r="L959" s="77" t="s">
        <v>1114</v>
      </c>
    </row>
    <row r="960" customFormat="false" ht="22.35" hidden="false" customHeight="false" outlineLevel="0" collapsed="false">
      <c r="A960" s="76" t="s">
        <v>1844</v>
      </c>
      <c r="B960" s="76" t="s">
        <v>99</v>
      </c>
      <c r="C960" s="76" t="s">
        <v>101</v>
      </c>
      <c r="D960" s="76" t="s">
        <v>1111</v>
      </c>
      <c r="E960" s="76" t="s">
        <v>1112</v>
      </c>
      <c r="F960" s="35" t="s">
        <v>1845</v>
      </c>
      <c r="G960" s="76" t="s">
        <v>419</v>
      </c>
      <c r="H960" s="76"/>
      <c r="I960" s="76" t="s">
        <v>796</v>
      </c>
      <c r="J960" s="76"/>
      <c r="K960" s="76" t="s">
        <v>796</v>
      </c>
      <c r="L960" s="77" t="s">
        <v>1114</v>
      </c>
    </row>
    <row r="961" customFormat="false" ht="22.35" hidden="false" customHeight="false" outlineLevel="0" collapsed="false">
      <c r="A961" s="76" t="s">
        <v>1844</v>
      </c>
      <c r="B961" s="76" t="s">
        <v>99</v>
      </c>
      <c r="C961" s="76" t="s">
        <v>101</v>
      </c>
      <c r="D961" s="76" t="s">
        <v>1111</v>
      </c>
      <c r="E961" s="76" t="s">
        <v>1112</v>
      </c>
      <c r="F961" s="35" t="s">
        <v>1845</v>
      </c>
      <c r="G961" s="76" t="s">
        <v>796</v>
      </c>
      <c r="H961" s="78" t="n">
        <v>525773.174856708</v>
      </c>
      <c r="I961" s="76" t="s">
        <v>1846</v>
      </c>
      <c r="J961" s="78" t="n">
        <v>525773.174856708</v>
      </c>
      <c r="K961" s="76" t="s">
        <v>1846</v>
      </c>
      <c r="L961" s="77" t="s">
        <v>1114</v>
      </c>
    </row>
    <row r="962" customFormat="false" ht="22.35" hidden="false" customHeight="false" outlineLevel="0" collapsed="false">
      <c r="A962" s="76" t="s">
        <v>1844</v>
      </c>
      <c r="B962" s="76" t="s">
        <v>99</v>
      </c>
      <c r="C962" s="76" t="s">
        <v>101</v>
      </c>
      <c r="D962" s="76" t="s">
        <v>1111</v>
      </c>
      <c r="E962" s="76" t="s">
        <v>1112</v>
      </c>
      <c r="F962" s="35" t="s">
        <v>1845</v>
      </c>
      <c r="G962" s="76" t="s">
        <v>797</v>
      </c>
      <c r="H962" s="78" t="n">
        <v>99226.8251432921</v>
      </c>
      <c r="I962" s="76" t="s">
        <v>1847</v>
      </c>
      <c r="J962" s="78" t="n">
        <v>99226.8251432921</v>
      </c>
      <c r="K962" s="76" t="s">
        <v>1847</v>
      </c>
      <c r="L962" s="77" t="s">
        <v>1114</v>
      </c>
    </row>
    <row r="963" customFormat="false" ht="22.35" hidden="false" customHeight="false" outlineLevel="0" collapsed="false">
      <c r="A963" s="76" t="s">
        <v>1844</v>
      </c>
      <c r="B963" s="76" t="s">
        <v>99</v>
      </c>
      <c r="C963" s="76" t="s">
        <v>101</v>
      </c>
      <c r="D963" s="76" t="s">
        <v>1111</v>
      </c>
      <c r="E963" s="76" t="s">
        <v>1112</v>
      </c>
      <c r="F963" s="35" t="s">
        <v>1845</v>
      </c>
      <c r="G963" s="76" t="s">
        <v>798</v>
      </c>
      <c r="H963" s="76"/>
      <c r="I963" s="76" t="s">
        <v>1848</v>
      </c>
      <c r="J963" s="78" t="n">
        <v>0.025</v>
      </c>
      <c r="K963" s="76" t="s">
        <v>1848</v>
      </c>
      <c r="L963" s="77" t="s">
        <v>1114</v>
      </c>
    </row>
    <row r="964" customFormat="false" ht="22.35" hidden="false" customHeight="false" outlineLevel="0" collapsed="false">
      <c r="A964" s="76" t="s">
        <v>1844</v>
      </c>
      <c r="B964" s="76" t="s">
        <v>99</v>
      </c>
      <c r="C964" s="76" t="s">
        <v>101</v>
      </c>
      <c r="D964" s="76" t="s">
        <v>1111</v>
      </c>
      <c r="E964" s="76" t="s">
        <v>1112</v>
      </c>
      <c r="F964" s="35" t="s">
        <v>1845</v>
      </c>
      <c r="G964" s="76" t="s">
        <v>799</v>
      </c>
      <c r="H964" s="76" t="n">
        <v>625000</v>
      </c>
      <c r="I964" s="76" t="s">
        <v>1849</v>
      </c>
      <c r="J964" s="76" t="n">
        <v>625000</v>
      </c>
      <c r="K964" s="76" t="s">
        <v>1849</v>
      </c>
      <c r="L964" s="77" t="s">
        <v>1114</v>
      </c>
    </row>
    <row r="965" customFormat="false" ht="22.35" hidden="false" customHeight="false" outlineLevel="0" collapsed="false">
      <c r="A965" s="76" t="s">
        <v>1844</v>
      </c>
      <c r="B965" s="76" t="s">
        <v>99</v>
      </c>
      <c r="C965" s="76" t="s">
        <v>101</v>
      </c>
      <c r="D965" s="76" t="s">
        <v>1111</v>
      </c>
      <c r="E965" s="76" t="s">
        <v>1112</v>
      </c>
      <c r="F965" s="35" t="s">
        <v>1845</v>
      </c>
      <c r="G965" s="76" t="s">
        <v>794</v>
      </c>
      <c r="H965" s="78" t="n">
        <v>99226.8251432921</v>
      </c>
      <c r="I965" s="76" t="s">
        <v>1847</v>
      </c>
      <c r="J965" s="78" t="n">
        <v>99226.8251432921</v>
      </c>
      <c r="K965" s="76" t="s">
        <v>1847</v>
      </c>
      <c r="L965" s="77" t="s">
        <v>1114</v>
      </c>
    </row>
    <row r="966" customFormat="false" ht="22.35" hidden="false" customHeight="false" outlineLevel="0" collapsed="false">
      <c r="A966" s="76" t="s">
        <v>1844</v>
      </c>
      <c r="B966" s="76" t="s">
        <v>99</v>
      </c>
      <c r="C966" s="76" t="s">
        <v>101</v>
      </c>
      <c r="D966" s="76" t="s">
        <v>1111</v>
      </c>
      <c r="E966" s="76" t="s">
        <v>1112</v>
      </c>
      <c r="F966" s="35" t="s">
        <v>1845</v>
      </c>
      <c r="G966" s="76" t="s">
        <v>778</v>
      </c>
      <c r="H966" s="78" t="n">
        <v>65</v>
      </c>
      <c r="I966" s="76" t="s">
        <v>1850</v>
      </c>
      <c r="J966" s="76" t="n">
        <v>65</v>
      </c>
      <c r="K966" s="76" t="s">
        <v>1850</v>
      </c>
      <c r="L966" s="77" t="s">
        <v>1114</v>
      </c>
    </row>
    <row r="967" customFormat="false" ht="22.35" hidden="false" customHeight="false" outlineLevel="0" collapsed="false">
      <c r="A967" s="76" t="s">
        <v>1844</v>
      </c>
      <c r="B967" s="76" t="s">
        <v>99</v>
      </c>
      <c r="C967" s="76" t="s">
        <v>101</v>
      </c>
      <c r="D967" s="76" t="s">
        <v>1111</v>
      </c>
      <c r="E967" s="76" t="s">
        <v>1112</v>
      </c>
      <c r="F967" s="35" t="s">
        <v>1845</v>
      </c>
      <c r="G967" s="76" t="s">
        <v>682</v>
      </c>
      <c r="H967" s="78" t="n">
        <v>320474.980970826</v>
      </c>
      <c r="I967" s="76" t="s">
        <v>1851</v>
      </c>
      <c r="J967" s="78" t="n">
        <v>320474.980970826</v>
      </c>
      <c r="K967" s="76" t="s">
        <v>1851</v>
      </c>
      <c r="L967" s="77" t="s">
        <v>1114</v>
      </c>
    </row>
    <row r="968" customFormat="false" ht="22.35" hidden="false" customHeight="false" outlineLevel="0" collapsed="false">
      <c r="A968" s="76" t="s">
        <v>1844</v>
      </c>
      <c r="B968" s="76" t="s">
        <v>99</v>
      </c>
      <c r="C968" s="76" t="s">
        <v>101</v>
      </c>
      <c r="D968" s="76" t="s">
        <v>1111</v>
      </c>
      <c r="E968" s="76" t="s">
        <v>1112</v>
      </c>
      <c r="F968" s="35" t="s">
        <v>1845</v>
      </c>
      <c r="G968" s="76" t="s">
        <v>800</v>
      </c>
      <c r="H968" s="76"/>
      <c r="I968" s="76"/>
      <c r="J968" s="76"/>
      <c r="K968" s="76"/>
      <c r="L968" s="77" t="s">
        <v>1114</v>
      </c>
    </row>
    <row r="969" customFormat="false" ht="22.35" hidden="false" customHeight="false" outlineLevel="0" collapsed="false">
      <c r="A969" s="76" t="s">
        <v>1844</v>
      </c>
      <c r="B969" s="76" t="s">
        <v>99</v>
      </c>
      <c r="C969" s="76" t="s">
        <v>101</v>
      </c>
      <c r="D969" s="76" t="s">
        <v>1111</v>
      </c>
      <c r="E969" s="76" t="s">
        <v>1112</v>
      </c>
      <c r="F969" s="35" t="s">
        <v>1845</v>
      </c>
      <c r="G969" s="76" t="s">
        <v>802</v>
      </c>
      <c r="H969" s="76"/>
      <c r="I969" s="76"/>
      <c r="J969" s="76"/>
      <c r="K969" s="76"/>
      <c r="L969" s="77" t="s">
        <v>1114</v>
      </c>
    </row>
    <row r="970" customFormat="false" ht="22.35" hidden="false" customHeight="false" outlineLevel="0" collapsed="false">
      <c r="A970" s="76" t="s">
        <v>1844</v>
      </c>
      <c r="B970" s="76" t="s">
        <v>99</v>
      </c>
      <c r="C970" s="76" t="s">
        <v>101</v>
      </c>
      <c r="D970" s="76" t="s">
        <v>1111</v>
      </c>
      <c r="E970" s="76" t="s">
        <v>1112</v>
      </c>
      <c r="F970" s="35" t="s">
        <v>1845</v>
      </c>
      <c r="G970" s="76" t="s">
        <v>803</v>
      </c>
      <c r="H970" s="78" t="n">
        <v>625000</v>
      </c>
      <c r="I970" s="76" t="s">
        <v>1852</v>
      </c>
      <c r="J970" s="76" t="n">
        <v>625000</v>
      </c>
      <c r="K970" s="76" t="s">
        <v>1852</v>
      </c>
      <c r="L970" s="77" t="s">
        <v>1114</v>
      </c>
    </row>
    <row r="971" customFormat="false" ht="22.35" hidden="false" customHeight="false" outlineLevel="0" collapsed="false">
      <c r="A971" s="76" t="s">
        <v>1844</v>
      </c>
      <c r="B971" s="76" t="s">
        <v>99</v>
      </c>
      <c r="C971" s="76" t="s">
        <v>101</v>
      </c>
      <c r="D971" s="76" t="s">
        <v>1111</v>
      </c>
      <c r="E971" s="76" t="s">
        <v>1112</v>
      </c>
      <c r="F971" s="35" t="s">
        <v>1845</v>
      </c>
      <c r="G971" s="76" t="s">
        <v>434</v>
      </c>
      <c r="H971" s="78" t="n">
        <v>25</v>
      </c>
      <c r="I971" s="76" t="s">
        <v>1488</v>
      </c>
      <c r="J971" s="76" t="n">
        <v>25</v>
      </c>
      <c r="K971" s="76" t="s">
        <v>1488</v>
      </c>
      <c r="L971" s="77" t="s">
        <v>1114</v>
      </c>
    </row>
    <row r="972" customFormat="false" ht="22.35" hidden="false" customHeight="false" outlineLevel="0" collapsed="false">
      <c r="A972" s="76" t="s">
        <v>1853</v>
      </c>
      <c r="B972" s="76" t="s">
        <v>99</v>
      </c>
      <c r="C972" s="76" t="s">
        <v>101</v>
      </c>
      <c r="D972" s="76" t="s">
        <v>1124</v>
      </c>
      <c r="E972" s="76" t="s">
        <v>1125</v>
      </c>
      <c r="F972" s="35" t="s">
        <v>1854</v>
      </c>
      <c r="G972" s="76" t="s">
        <v>419</v>
      </c>
      <c r="H972" s="76"/>
      <c r="I972" s="76" t="s">
        <v>796</v>
      </c>
      <c r="J972" s="76"/>
      <c r="K972" s="76" t="s">
        <v>796</v>
      </c>
      <c r="L972" s="77" t="s">
        <v>1114</v>
      </c>
    </row>
    <row r="973" customFormat="false" ht="22.35" hidden="false" customHeight="false" outlineLevel="0" collapsed="false">
      <c r="A973" s="76" t="s">
        <v>1853</v>
      </c>
      <c r="B973" s="76" t="s">
        <v>99</v>
      </c>
      <c r="C973" s="76" t="s">
        <v>101</v>
      </c>
      <c r="D973" s="76" t="s">
        <v>1124</v>
      </c>
      <c r="E973" s="76" t="s">
        <v>1125</v>
      </c>
      <c r="F973" s="35" t="s">
        <v>1854</v>
      </c>
      <c r="G973" s="76" t="s">
        <v>796</v>
      </c>
      <c r="H973" s="76" t="n">
        <v>0</v>
      </c>
      <c r="I973" s="76" t="s">
        <v>1127</v>
      </c>
      <c r="J973" s="76" t="n">
        <v>0</v>
      </c>
      <c r="K973" s="76" t="s">
        <v>1127</v>
      </c>
      <c r="L973" s="77" t="s">
        <v>1114</v>
      </c>
    </row>
    <row r="974" customFormat="false" ht="22.35" hidden="false" customHeight="false" outlineLevel="0" collapsed="false">
      <c r="A974" s="76" t="s">
        <v>1853</v>
      </c>
      <c r="B974" s="76" t="s">
        <v>99</v>
      </c>
      <c r="C974" s="76" t="s">
        <v>101</v>
      </c>
      <c r="D974" s="76" t="s">
        <v>1124</v>
      </c>
      <c r="E974" s="76" t="s">
        <v>1125</v>
      </c>
      <c r="F974" s="35" t="s">
        <v>1854</v>
      </c>
      <c r="G974" s="76" t="s">
        <v>797</v>
      </c>
      <c r="H974" s="76"/>
      <c r="I974" s="76"/>
      <c r="J974" s="76"/>
      <c r="K974" s="76"/>
      <c r="L974" s="77" t="s">
        <v>1114</v>
      </c>
    </row>
    <row r="975" customFormat="false" ht="22.35" hidden="false" customHeight="false" outlineLevel="0" collapsed="false">
      <c r="A975" s="76" t="s">
        <v>1853</v>
      </c>
      <c r="B975" s="76" t="s">
        <v>99</v>
      </c>
      <c r="C975" s="76" t="s">
        <v>101</v>
      </c>
      <c r="D975" s="76" t="s">
        <v>1124</v>
      </c>
      <c r="E975" s="76" t="s">
        <v>1125</v>
      </c>
      <c r="F975" s="35" t="s">
        <v>1854</v>
      </c>
      <c r="G975" s="76" t="s">
        <v>798</v>
      </c>
      <c r="H975" s="76"/>
      <c r="I975" s="76" t="s">
        <v>1848</v>
      </c>
      <c r="J975" s="78" t="n">
        <v>0.025</v>
      </c>
      <c r="K975" s="76" t="s">
        <v>1848</v>
      </c>
      <c r="L975" s="77" t="s">
        <v>1114</v>
      </c>
    </row>
    <row r="976" customFormat="false" ht="22.35" hidden="false" customHeight="false" outlineLevel="0" collapsed="false">
      <c r="A976" s="76" t="s">
        <v>1853</v>
      </c>
      <c r="B976" s="76" t="s">
        <v>99</v>
      </c>
      <c r="C976" s="76" t="s">
        <v>101</v>
      </c>
      <c r="D976" s="76" t="s">
        <v>1124</v>
      </c>
      <c r="E976" s="76" t="s">
        <v>1125</v>
      </c>
      <c r="F976" s="35" t="s">
        <v>1854</v>
      </c>
      <c r="G976" s="76" t="s">
        <v>799</v>
      </c>
      <c r="H976" s="76" t="n">
        <v>0</v>
      </c>
      <c r="I976" s="76" t="s">
        <v>1127</v>
      </c>
      <c r="J976" s="76" t="n">
        <v>0</v>
      </c>
      <c r="K976" s="76" t="s">
        <v>1127</v>
      </c>
      <c r="L976" s="77" t="s">
        <v>1114</v>
      </c>
    </row>
    <row r="977" customFormat="false" ht="22.35" hidden="false" customHeight="false" outlineLevel="0" collapsed="false">
      <c r="A977" s="76" t="s">
        <v>1853</v>
      </c>
      <c r="B977" s="76" t="s">
        <v>99</v>
      </c>
      <c r="C977" s="76" t="s">
        <v>101</v>
      </c>
      <c r="D977" s="76" t="s">
        <v>1124</v>
      </c>
      <c r="E977" s="76" t="s">
        <v>1125</v>
      </c>
      <c r="F977" s="35" t="s">
        <v>1854</v>
      </c>
      <c r="G977" s="76" t="s">
        <v>794</v>
      </c>
      <c r="H977" s="76"/>
      <c r="I977" s="76" t="s">
        <v>1855</v>
      </c>
      <c r="J977" s="76" t="s">
        <v>1855</v>
      </c>
      <c r="K977" s="76" t="s">
        <v>1855</v>
      </c>
      <c r="L977" s="77" t="s">
        <v>1114</v>
      </c>
    </row>
    <row r="978" customFormat="false" ht="22.35" hidden="false" customHeight="false" outlineLevel="0" collapsed="false">
      <c r="A978" s="76" t="s">
        <v>1853</v>
      </c>
      <c r="B978" s="76" t="s">
        <v>99</v>
      </c>
      <c r="C978" s="76" t="s">
        <v>101</v>
      </c>
      <c r="D978" s="76" t="s">
        <v>1124</v>
      </c>
      <c r="E978" s="76" t="s">
        <v>1125</v>
      </c>
      <c r="F978" s="35" t="s">
        <v>1854</v>
      </c>
      <c r="G978" s="76" t="s">
        <v>778</v>
      </c>
      <c r="H978" s="78" t="n">
        <v>50</v>
      </c>
      <c r="I978" s="76" t="s">
        <v>1856</v>
      </c>
      <c r="J978" s="76" t="n">
        <v>50</v>
      </c>
      <c r="K978" s="76" t="s">
        <v>1856</v>
      </c>
      <c r="L978" s="77" t="s">
        <v>1114</v>
      </c>
    </row>
    <row r="979" customFormat="false" ht="22.35" hidden="false" customHeight="false" outlineLevel="0" collapsed="false">
      <c r="A979" s="76" t="s">
        <v>1853</v>
      </c>
      <c r="B979" s="76" t="s">
        <v>99</v>
      </c>
      <c r="C979" s="76" t="s">
        <v>101</v>
      </c>
      <c r="D979" s="76" t="s">
        <v>1124</v>
      </c>
      <c r="E979" s="76" t="s">
        <v>1125</v>
      </c>
      <c r="F979" s="35" t="s">
        <v>1854</v>
      </c>
      <c r="G979" s="76" t="s">
        <v>682</v>
      </c>
      <c r="H979" s="76"/>
      <c r="I979" s="76"/>
      <c r="J979" s="76"/>
      <c r="K979" s="76"/>
      <c r="L979" s="77" t="s">
        <v>1114</v>
      </c>
    </row>
    <row r="980" customFormat="false" ht="22.35" hidden="false" customHeight="false" outlineLevel="0" collapsed="false">
      <c r="A980" s="76" t="s">
        <v>1853</v>
      </c>
      <c r="B980" s="76" t="s">
        <v>99</v>
      </c>
      <c r="C980" s="76" t="s">
        <v>101</v>
      </c>
      <c r="D980" s="76" t="s">
        <v>1124</v>
      </c>
      <c r="E980" s="76" t="s">
        <v>1125</v>
      </c>
      <c r="F980" s="35" t="s">
        <v>1854</v>
      </c>
      <c r="G980" s="76" t="s">
        <v>800</v>
      </c>
      <c r="H980" s="76"/>
      <c r="I980" s="76"/>
      <c r="J980" s="76"/>
      <c r="K980" s="76"/>
      <c r="L980" s="77" t="s">
        <v>1114</v>
      </c>
    </row>
    <row r="981" customFormat="false" ht="22.35" hidden="false" customHeight="false" outlineLevel="0" collapsed="false">
      <c r="A981" s="76" t="s">
        <v>1853</v>
      </c>
      <c r="B981" s="76" t="s">
        <v>99</v>
      </c>
      <c r="C981" s="76" t="s">
        <v>101</v>
      </c>
      <c r="D981" s="76" t="s">
        <v>1124</v>
      </c>
      <c r="E981" s="76" t="s">
        <v>1125</v>
      </c>
      <c r="F981" s="35" t="s">
        <v>1854</v>
      </c>
      <c r="G981" s="76" t="s">
        <v>802</v>
      </c>
      <c r="H981" s="76"/>
      <c r="I981" s="76"/>
      <c r="J981" s="76"/>
      <c r="K981" s="76"/>
      <c r="L981" s="77" t="s">
        <v>1114</v>
      </c>
    </row>
    <row r="982" customFormat="false" ht="22.35" hidden="false" customHeight="false" outlineLevel="0" collapsed="false">
      <c r="A982" s="76" t="s">
        <v>1853</v>
      </c>
      <c r="B982" s="76" t="s">
        <v>99</v>
      </c>
      <c r="C982" s="76" t="s">
        <v>101</v>
      </c>
      <c r="D982" s="76" t="s">
        <v>1124</v>
      </c>
      <c r="E982" s="76" t="s">
        <v>1125</v>
      </c>
      <c r="F982" s="35" t="s">
        <v>1854</v>
      </c>
      <c r="G982" s="76" t="s">
        <v>803</v>
      </c>
      <c r="H982" s="78" t="n">
        <v>0</v>
      </c>
      <c r="I982" s="76" t="s">
        <v>1130</v>
      </c>
      <c r="J982" s="76" t="n">
        <v>0</v>
      </c>
      <c r="K982" s="76" t="s">
        <v>1130</v>
      </c>
      <c r="L982" s="77" t="s">
        <v>1114</v>
      </c>
    </row>
    <row r="983" customFormat="false" ht="22.35" hidden="false" customHeight="false" outlineLevel="0" collapsed="false">
      <c r="A983" s="76" t="s">
        <v>1853</v>
      </c>
      <c r="B983" s="76" t="s">
        <v>99</v>
      </c>
      <c r="C983" s="76" t="s">
        <v>101</v>
      </c>
      <c r="D983" s="76" t="s">
        <v>1124</v>
      </c>
      <c r="E983" s="76" t="s">
        <v>1125</v>
      </c>
      <c r="F983" s="35" t="s">
        <v>1854</v>
      </c>
      <c r="G983" s="76" t="s">
        <v>434</v>
      </c>
      <c r="H983" s="78" t="n">
        <v>1</v>
      </c>
      <c r="I983" s="76" t="s">
        <v>1297</v>
      </c>
      <c r="J983" s="76" t="n">
        <v>1</v>
      </c>
      <c r="K983" s="76" t="s">
        <v>1297</v>
      </c>
      <c r="L983" s="77" t="s">
        <v>1114</v>
      </c>
    </row>
    <row r="984" customFormat="false" ht="22.35" hidden="false" customHeight="false" outlineLevel="0" collapsed="false">
      <c r="A984" s="76" t="s">
        <v>1857</v>
      </c>
      <c r="B984" s="76" t="s">
        <v>99</v>
      </c>
      <c r="C984" s="76" t="s">
        <v>101</v>
      </c>
      <c r="D984" s="76" t="s">
        <v>1132</v>
      </c>
      <c r="E984" s="76" t="s">
        <v>1133</v>
      </c>
      <c r="F984" s="35" t="s">
        <v>1858</v>
      </c>
      <c r="G984" s="76" t="s">
        <v>419</v>
      </c>
      <c r="H984" s="76"/>
      <c r="I984" s="76" t="s">
        <v>796</v>
      </c>
      <c r="J984" s="76"/>
      <c r="K984" s="76" t="s">
        <v>796</v>
      </c>
      <c r="L984" s="77" t="s">
        <v>1114</v>
      </c>
    </row>
    <row r="985" customFormat="false" ht="22.35" hidden="false" customHeight="false" outlineLevel="0" collapsed="false">
      <c r="A985" s="76" t="s">
        <v>1857</v>
      </c>
      <c r="B985" s="76" t="s">
        <v>99</v>
      </c>
      <c r="C985" s="76" t="s">
        <v>101</v>
      </c>
      <c r="D985" s="76" t="s">
        <v>1132</v>
      </c>
      <c r="E985" s="76" t="s">
        <v>1133</v>
      </c>
      <c r="F985" s="35" t="s">
        <v>1858</v>
      </c>
      <c r="G985" s="76" t="s">
        <v>796</v>
      </c>
      <c r="H985" s="78" t="n">
        <v>188426546.526252</v>
      </c>
      <c r="I985" s="76" t="s">
        <v>1859</v>
      </c>
      <c r="J985" s="78" t="n">
        <v>188426546.526252</v>
      </c>
      <c r="K985" s="76" t="s">
        <v>1859</v>
      </c>
      <c r="L985" s="77" t="s">
        <v>1114</v>
      </c>
    </row>
    <row r="986" customFormat="false" ht="22.35" hidden="false" customHeight="false" outlineLevel="0" collapsed="false">
      <c r="A986" s="76" t="s">
        <v>1857</v>
      </c>
      <c r="B986" s="76" t="s">
        <v>99</v>
      </c>
      <c r="C986" s="76" t="s">
        <v>101</v>
      </c>
      <c r="D986" s="76" t="s">
        <v>1132</v>
      </c>
      <c r="E986" s="76" t="s">
        <v>1133</v>
      </c>
      <c r="F986" s="35" t="s">
        <v>1858</v>
      </c>
      <c r="G986" s="76" t="s">
        <v>797</v>
      </c>
      <c r="H986" s="76"/>
      <c r="I986" s="76"/>
      <c r="J986" s="76"/>
      <c r="K986" s="76"/>
      <c r="L986" s="77" t="s">
        <v>1114</v>
      </c>
    </row>
    <row r="987" customFormat="false" ht="22.35" hidden="false" customHeight="false" outlineLevel="0" collapsed="false">
      <c r="A987" s="76" t="s">
        <v>1857</v>
      </c>
      <c r="B987" s="76" t="s">
        <v>99</v>
      </c>
      <c r="C987" s="76" t="s">
        <v>101</v>
      </c>
      <c r="D987" s="76" t="s">
        <v>1132</v>
      </c>
      <c r="E987" s="76" t="s">
        <v>1133</v>
      </c>
      <c r="F987" s="35" t="s">
        <v>1858</v>
      </c>
      <c r="G987" s="76" t="s">
        <v>798</v>
      </c>
      <c r="H987" s="76"/>
      <c r="I987" s="76" t="s">
        <v>1860</v>
      </c>
      <c r="J987" s="78" t="n">
        <v>0.03</v>
      </c>
      <c r="K987" s="76" t="s">
        <v>1860</v>
      </c>
      <c r="L987" s="77" t="s">
        <v>1114</v>
      </c>
    </row>
    <row r="988" customFormat="false" ht="22.35" hidden="false" customHeight="false" outlineLevel="0" collapsed="false">
      <c r="A988" s="76" t="s">
        <v>1857</v>
      </c>
      <c r="B988" s="76" t="s">
        <v>99</v>
      </c>
      <c r="C988" s="76" t="s">
        <v>101</v>
      </c>
      <c r="D988" s="76" t="s">
        <v>1132</v>
      </c>
      <c r="E988" s="76" t="s">
        <v>1133</v>
      </c>
      <c r="F988" s="35" t="s">
        <v>1858</v>
      </c>
      <c r="G988" s="76" t="s">
        <v>799</v>
      </c>
      <c r="H988" s="76" t="n">
        <v>3250000</v>
      </c>
      <c r="I988" s="76" t="s">
        <v>1861</v>
      </c>
      <c r="J988" s="76" t="n">
        <v>3250000</v>
      </c>
      <c r="K988" s="76" t="s">
        <v>1861</v>
      </c>
      <c r="L988" s="77" t="s">
        <v>1114</v>
      </c>
    </row>
    <row r="989" customFormat="false" ht="22.35" hidden="false" customHeight="false" outlineLevel="0" collapsed="false">
      <c r="A989" s="76" t="s">
        <v>1857</v>
      </c>
      <c r="B989" s="76" t="s">
        <v>99</v>
      </c>
      <c r="C989" s="76" t="s">
        <v>101</v>
      </c>
      <c r="D989" s="76" t="s">
        <v>1132</v>
      </c>
      <c r="E989" s="76" t="s">
        <v>1133</v>
      </c>
      <c r="F989" s="35" t="s">
        <v>1858</v>
      </c>
      <c r="G989" s="76" t="s">
        <v>794</v>
      </c>
      <c r="H989" s="76"/>
      <c r="I989" s="76" t="s">
        <v>1855</v>
      </c>
      <c r="J989" s="76" t="s">
        <v>1855</v>
      </c>
      <c r="K989" s="76" t="s">
        <v>1855</v>
      </c>
      <c r="L989" s="77" t="s">
        <v>1114</v>
      </c>
    </row>
    <row r="990" customFormat="false" ht="22.35" hidden="false" customHeight="false" outlineLevel="0" collapsed="false">
      <c r="A990" s="76" t="s">
        <v>1857</v>
      </c>
      <c r="B990" s="76" t="s">
        <v>99</v>
      </c>
      <c r="C990" s="76" t="s">
        <v>101</v>
      </c>
      <c r="D990" s="76" t="s">
        <v>1132</v>
      </c>
      <c r="E990" s="76" t="s">
        <v>1133</v>
      </c>
      <c r="F990" s="35" t="s">
        <v>1858</v>
      </c>
      <c r="G990" s="76" t="s">
        <v>778</v>
      </c>
      <c r="H990" s="78" t="n">
        <v>80</v>
      </c>
      <c r="I990" s="76" t="s">
        <v>1862</v>
      </c>
      <c r="J990" s="76" t="n">
        <v>80</v>
      </c>
      <c r="K990" s="76" t="s">
        <v>1862</v>
      </c>
      <c r="L990" s="77" t="s">
        <v>1114</v>
      </c>
    </row>
    <row r="991" customFormat="false" ht="22.35" hidden="false" customHeight="false" outlineLevel="0" collapsed="false">
      <c r="A991" s="76" t="s">
        <v>1857</v>
      </c>
      <c r="B991" s="76" t="s">
        <v>99</v>
      </c>
      <c r="C991" s="76" t="s">
        <v>101</v>
      </c>
      <c r="D991" s="76" t="s">
        <v>1132</v>
      </c>
      <c r="E991" s="76" t="s">
        <v>1133</v>
      </c>
      <c r="F991" s="35" t="s">
        <v>1858</v>
      </c>
      <c r="G991" s="76" t="s">
        <v>682</v>
      </c>
      <c r="H991" s="78" t="n">
        <v>23917792.8891523</v>
      </c>
      <c r="I991" s="76" t="s">
        <v>1863</v>
      </c>
      <c r="J991" s="78" t="n">
        <v>23917792.8891523</v>
      </c>
      <c r="K991" s="76" t="s">
        <v>1863</v>
      </c>
      <c r="L991" s="77" t="s">
        <v>1114</v>
      </c>
    </row>
    <row r="992" customFormat="false" ht="22.35" hidden="false" customHeight="false" outlineLevel="0" collapsed="false">
      <c r="A992" s="76" t="s">
        <v>1857</v>
      </c>
      <c r="B992" s="76" t="s">
        <v>99</v>
      </c>
      <c r="C992" s="76" t="s">
        <v>101</v>
      </c>
      <c r="D992" s="76" t="s">
        <v>1132</v>
      </c>
      <c r="E992" s="76" t="s">
        <v>1133</v>
      </c>
      <c r="F992" s="35" t="s">
        <v>1858</v>
      </c>
      <c r="G992" s="76" t="s">
        <v>800</v>
      </c>
      <c r="H992" s="76"/>
      <c r="I992" s="76"/>
      <c r="J992" s="76"/>
      <c r="K992" s="76"/>
      <c r="L992" s="77" t="s">
        <v>1114</v>
      </c>
    </row>
    <row r="993" customFormat="false" ht="22.35" hidden="false" customHeight="false" outlineLevel="0" collapsed="false">
      <c r="A993" s="76" t="s">
        <v>1857</v>
      </c>
      <c r="B993" s="76" t="s">
        <v>99</v>
      </c>
      <c r="C993" s="76" t="s">
        <v>101</v>
      </c>
      <c r="D993" s="76" t="s">
        <v>1132</v>
      </c>
      <c r="E993" s="76" t="s">
        <v>1133</v>
      </c>
      <c r="F993" s="35" t="s">
        <v>1858</v>
      </c>
      <c r="G993" s="76" t="s">
        <v>802</v>
      </c>
      <c r="H993" s="76"/>
      <c r="I993" s="76"/>
      <c r="J993" s="76"/>
      <c r="K993" s="76"/>
      <c r="L993" s="77" t="s">
        <v>1114</v>
      </c>
    </row>
    <row r="994" customFormat="false" ht="22.35" hidden="false" customHeight="false" outlineLevel="0" collapsed="false">
      <c r="A994" s="76" t="s">
        <v>1857</v>
      </c>
      <c r="B994" s="76" t="s">
        <v>99</v>
      </c>
      <c r="C994" s="76" t="s">
        <v>101</v>
      </c>
      <c r="D994" s="76" t="s">
        <v>1132</v>
      </c>
      <c r="E994" s="76" t="s">
        <v>1133</v>
      </c>
      <c r="F994" s="35" t="s">
        <v>1858</v>
      </c>
      <c r="G994" s="76" t="s">
        <v>803</v>
      </c>
      <c r="H994" s="78" t="n">
        <v>3250000</v>
      </c>
      <c r="I994" s="76" t="s">
        <v>1864</v>
      </c>
      <c r="J994" s="76" t="n">
        <v>3250000</v>
      </c>
      <c r="K994" s="76" t="s">
        <v>1864</v>
      </c>
      <c r="L994" s="77" t="s">
        <v>1114</v>
      </c>
    </row>
    <row r="995" customFormat="false" ht="22.35" hidden="false" customHeight="false" outlineLevel="0" collapsed="false">
      <c r="A995" s="76" t="s">
        <v>1857</v>
      </c>
      <c r="B995" s="76" t="s">
        <v>99</v>
      </c>
      <c r="C995" s="76" t="s">
        <v>101</v>
      </c>
      <c r="D995" s="76" t="s">
        <v>1132</v>
      </c>
      <c r="E995" s="76" t="s">
        <v>1133</v>
      </c>
      <c r="F995" s="35" t="s">
        <v>1858</v>
      </c>
      <c r="G995" s="76" t="s">
        <v>434</v>
      </c>
      <c r="H995" s="78" t="n">
        <v>60</v>
      </c>
      <c r="I995" s="76" t="s">
        <v>1865</v>
      </c>
      <c r="J995" s="76" t="n">
        <v>60</v>
      </c>
      <c r="K995" s="76" t="s">
        <v>1865</v>
      </c>
      <c r="L995" s="77" t="s">
        <v>1114</v>
      </c>
    </row>
    <row r="996" customFormat="false" ht="22.35" hidden="false" customHeight="false" outlineLevel="0" collapsed="false">
      <c r="A996" s="76" t="s">
        <v>1866</v>
      </c>
      <c r="B996" s="76" t="s">
        <v>99</v>
      </c>
      <c r="C996" s="76" t="s">
        <v>101</v>
      </c>
      <c r="D996" s="76" t="s">
        <v>1141</v>
      </c>
      <c r="E996" s="76" t="s">
        <v>1142</v>
      </c>
      <c r="F996" s="35" t="s">
        <v>1867</v>
      </c>
      <c r="G996" s="76" t="s">
        <v>419</v>
      </c>
      <c r="H996" s="76"/>
      <c r="I996" s="76" t="s">
        <v>796</v>
      </c>
      <c r="J996" s="76"/>
      <c r="K996" s="76" t="s">
        <v>796</v>
      </c>
      <c r="L996" s="77" t="s">
        <v>1114</v>
      </c>
    </row>
    <row r="997" customFormat="false" ht="22.35" hidden="false" customHeight="false" outlineLevel="0" collapsed="false">
      <c r="A997" s="76" t="s">
        <v>1866</v>
      </c>
      <c r="B997" s="76" t="s">
        <v>99</v>
      </c>
      <c r="C997" s="76" t="s">
        <v>101</v>
      </c>
      <c r="D997" s="76" t="s">
        <v>1141</v>
      </c>
      <c r="E997" s="76" t="s">
        <v>1142</v>
      </c>
      <c r="F997" s="35" t="s">
        <v>1867</v>
      </c>
      <c r="G997" s="76" t="s">
        <v>796</v>
      </c>
      <c r="H997" s="78" t="n">
        <v>1472097.95098565</v>
      </c>
      <c r="I997" s="76" t="s">
        <v>1868</v>
      </c>
      <c r="J997" s="78" t="n">
        <v>1472097.95098565</v>
      </c>
      <c r="K997" s="76" t="s">
        <v>1868</v>
      </c>
      <c r="L997" s="77" t="s">
        <v>1114</v>
      </c>
    </row>
    <row r="998" customFormat="false" ht="22.35" hidden="false" customHeight="false" outlineLevel="0" collapsed="false">
      <c r="A998" s="76" t="s">
        <v>1866</v>
      </c>
      <c r="B998" s="76" t="s">
        <v>99</v>
      </c>
      <c r="C998" s="76" t="s">
        <v>101</v>
      </c>
      <c r="D998" s="76" t="s">
        <v>1141</v>
      </c>
      <c r="E998" s="76" t="s">
        <v>1142</v>
      </c>
      <c r="F998" s="35" t="s">
        <v>1867</v>
      </c>
      <c r="G998" s="76" t="s">
        <v>797</v>
      </c>
      <c r="H998" s="78" t="n">
        <v>1040402.04901435</v>
      </c>
      <c r="I998" s="76" t="s">
        <v>1869</v>
      </c>
      <c r="J998" s="78" t="n">
        <v>1040402.04901435</v>
      </c>
      <c r="K998" s="76" t="s">
        <v>1869</v>
      </c>
      <c r="L998" s="77" t="s">
        <v>1114</v>
      </c>
    </row>
    <row r="999" customFormat="false" ht="22.35" hidden="false" customHeight="false" outlineLevel="0" collapsed="false">
      <c r="A999" s="76" t="s">
        <v>1866</v>
      </c>
      <c r="B999" s="76" t="s">
        <v>99</v>
      </c>
      <c r="C999" s="76" t="s">
        <v>101</v>
      </c>
      <c r="D999" s="76" t="s">
        <v>1141</v>
      </c>
      <c r="E999" s="76" t="s">
        <v>1142</v>
      </c>
      <c r="F999" s="35" t="s">
        <v>1867</v>
      </c>
      <c r="G999" s="76" t="s">
        <v>798</v>
      </c>
      <c r="H999" s="76"/>
      <c r="I999" s="76" t="s">
        <v>1848</v>
      </c>
      <c r="J999" s="78" t="n">
        <v>0.025</v>
      </c>
      <c r="K999" s="76" t="s">
        <v>1848</v>
      </c>
      <c r="L999" s="77" t="s">
        <v>1114</v>
      </c>
    </row>
    <row r="1000" customFormat="false" ht="22.35" hidden="false" customHeight="false" outlineLevel="0" collapsed="false">
      <c r="A1000" s="76" t="s">
        <v>1866</v>
      </c>
      <c r="B1000" s="76" t="s">
        <v>99</v>
      </c>
      <c r="C1000" s="76" t="s">
        <v>101</v>
      </c>
      <c r="D1000" s="76" t="s">
        <v>1141</v>
      </c>
      <c r="E1000" s="76" t="s">
        <v>1142</v>
      </c>
      <c r="F1000" s="35" t="s">
        <v>1867</v>
      </c>
      <c r="G1000" s="76" t="s">
        <v>799</v>
      </c>
      <c r="H1000" s="76" t="n">
        <v>2512500</v>
      </c>
      <c r="I1000" s="76" t="s">
        <v>1870</v>
      </c>
      <c r="J1000" s="76" t="n">
        <v>2512500</v>
      </c>
      <c r="K1000" s="76" t="s">
        <v>1870</v>
      </c>
      <c r="L1000" s="77" t="s">
        <v>1114</v>
      </c>
    </row>
    <row r="1001" customFormat="false" ht="22.35" hidden="false" customHeight="false" outlineLevel="0" collapsed="false">
      <c r="A1001" s="76" t="s">
        <v>1866</v>
      </c>
      <c r="B1001" s="76" t="s">
        <v>99</v>
      </c>
      <c r="C1001" s="76" t="s">
        <v>101</v>
      </c>
      <c r="D1001" s="76" t="s">
        <v>1141</v>
      </c>
      <c r="E1001" s="76" t="s">
        <v>1142</v>
      </c>
      <c r="F1001" s="35" t="s">
        <v>1867</v>
      </c>
      <c r="G1001" s="76" t="s">
        <v>794</v>
      </c>
      <c r="H1001" s="78" t="n">
        <v>1040402.04901435</v>
      </c>
      <c r="I1001" s="76" t="s">
        <v>1869</v>
      </c>
      <c r="J1001" s="78" t="n">
        <v>1040402.04901435</v>
      </c>
      <c r="K1001" s="76" t="s">
        <v>1869</v>
      </c>
      <c r="L1001" s="77" t="s">
        <v>1114</v>
      </c>
    </row>
    <row r="1002" customFormat="false" ht="22.35" hidden="false" customHeight="false" outlineLevel="0" collapsed="false">
      <c r="A1002" s="76" t="s">
        <v>1866</v>
      </c>
      <c r="B1002" s="76" t="s">
        <v>99</v>
      </c>
      <c r="C1002" s="76" t="s">
        <v>101</v>
      </c>
      <c r="D1002" s="76" t="s">
        <v>1141</v>
      </c>
      <c r="E1002" s="76" t="s">
        <v>1142</v>
      </c>
      <c r="F1002" s="35" t="s">
        <v>1867</v>
      </c>
      <c r="G1002" s="76" t="s">
        <v>778</v>
      </c>
      <c r="H1002" s="78" t="n">
        <v>66</v>
      </c>
      <c r="I1002" s="76" t="s">
        <v>1385</v>
      </c>
      <c r="J1002" s="76" t="n">
        <v>66</v>
      </c>
      <c r="K1002" s="76" t="s">
        <v>1385</v>
      </c>
      <c r="L1002" s="77" t="s">
        <v>1114</v>
      </c>
    </row>
    <row r="1003" customFormat="false" ht="22.35" hidden="false" customHeight="false" outlineLevel="0" collapsed="false">
      <c r="A1003" s="76" t="s">
        <v>1866</v>
      </c>
      <c r="B1003" s="76" t="s">
        <v>99</v>
      </c>
      <c r="C1003" s="76" t="s">
        <v>101</v>
      </c>
      <c r="D1003" s="76" t="s">
        <v>1141</v>
      </c>
      <c r="E1003" s="76" t="s">
        <v>1142</v>
      </c>
      <c r="F1003" s="35" t="s">
        <v>1867</v>
      </c>
      <c r="G1003" s="76" t="s">
        <v>682</v>
      </c>
      <c r="H1003" s="78" t="n">
        <v>928208.602093206</v>
      </c>
      <c r="I1003" s="76" t="s">
        <v>1871</v>
      </c>
      <c r="J1003" s="78" t="n">
        <v>928208.602093206</v>
      </c>
      <c r="K1003" s="76" t="s">
        <v>1871</v>
      </c>
      <c r="L1003" s="77" t="s">
        <v>1114</v>
      </c>
    </row>
    <row r="1004" customFormat="false" ht="22.35" hidden="false" customHeight="false" outlineLevel="0" collapsed="false">
      <c r="A1004" s="76" t="s">
        <v>1866</v>
      </c>
      <c r="B1004" s="76" t="s">
        <v>99</v>
      </c>
      <c r="C1004" s="76" t="s">
        <v>101</v>
      </c>
      <c r="D1004" s="76" t="s">
        <v>1141</v>
      </c>
      <c r="E1004" s="76" t="s">
        <v>1142</v>
      </c>
      <c r="F1004" s="35" t="s">
        <v>1867</v>
      </c>
      <c r="G1004" s="76" t="s">
        <v>800</v>
      </c>
      <c r="H1004" s="76"/>
      <c r="I1004" s="76"/>
      <c r="J1004" s="76"/>
      <c r="K1004" s="76"/>
      <c r="L1004" s="77" t="s">
        <v>1114</v>
      </c>
    </row>
    <row r="1005" customFormat="false" ht="22.35" hidden="false" customHeight="false" outlineLevel="0" collapsed="false">
      <c r="A1005" s="76" t="s">
        <v>1866</v>
      </c>
      <c r="B1005" s="76" t="s">
        <v>99</v>
      </c>
      <c r="C1005" s="76" t="s">
        <v>101</v>
      </c>
      <c r="D1005" s="76" t="s">
        <v>1141</v>
      </c>
      <c r="E1005" s="76" t="s">
        <v>1142</v>
      </c>
      <c r="F1005" s="35" t="s">
        <v>1867</v>
      </c>
      <c r="G1005" s="76" t="s">
        <v>802</v>
      </c>
      <c r="H1005" s="76"/>
      <c r="I1005" s="76"/>
      <c r="J1005" s="76"/>
      <c r="K1005" s="76"/>
      <c r="L1005" s="77" t="s">
        <v>1114</v>
      </c>
    </row>
    <row r="1006" customFormat="false" ht="22.35" hidden="false" customHeight="false" outlineLevel="0" collapsed="false">
      <c r="A1006" s="76" t="s">
        <v>1866</v>
      </c>
      <c r="B1006" s="76" t="s">
        <v>99</v>
      </c>
      <c r="C1006" s="76" t="s">
        <v>101</v>
      </c>
      <c r="D1006" s="76" t="s">
        <v>1141</v>
      </c>
      <c r="E1006" s="76" t="s">
        <v>1142</v>
      </c>
      <c r="F1006" s="35" t="s">
        <v>1867</v>
      </c>
      <c r="G1006" s="76" t="s">
        <v>803</v>
      </c>
      <c r="H1006" s="78" t="n">
        <v>2512500</v>
      </c>
      <c r="I1006" s="76" t="s">
        <v>1872</v>
      </c>
      <c r="J1006" s="76" t="n">
        <v>2512500</v>
      </c>
      <c r="K1006" s="76" t="s">
        <v>1872</v>
      </c>
      <c r="L1006" s="77" t="s">
        <v>1114</v>
      </c>
    </row>
    <row r="1007" customFormat="false" ht="22.35" hidden="false" customHeight="false" outlineLevel="0" collapsed="false">
      <c r="A1007" s="76" t="s">
        <v>1866</v>
      </c>
      <c r="B1007" s="76" t="s">
        <v>99</v>
      </c>
      <c r="C1007" s="76" t="s">
        <v>101</v>
      </c>
      <c r="D1007" s="76" t="s">
        <v>1141</v>
      </c>
      <c r="E1007" s="76" t="s">
        <v>1142</v>
      </c>
      <c r="F1007" s="35" t="s">
        <v>1867</v>
      </c>
      <c r="G1007" s="76" t="s">
        <v>434</v>
      </c>
      <c r="H1007" s="78" t="n">
        <v>17</v>
      </c>
      <c r="I1007" s="76" t="s">
        <v>1363</v>
      </c>
      <c r="J1007" s="76" t="n">
        <v>17</v>
      </c>
      <c r="K1007" s="76" t="s">
        <v>1363</v>
      </c>
      <c r="L1007" s="77" t="s">
        <v>1114</v>
      </c>
    </row>
    <row r="1008" customFormat="false" ht="22.35" hidden="false" customHeight="false" outlineLevel="0" collapsed="false">
      <c r="A1008" s="76" t="s">
        <v>1873</v>
      </c>
      <c r="B1008" s="76" t="s">
        <v>99</v>
      </c>
      <c r="C1008" s="76" t="s">
        <v>101</v>
      </c>
      <c r="D1008" s="76" t="s">
        <v>1151</v>
      </c>
      <c r="E1008" s="76" t="s">
        <v>1152</v>
      </c>
      <c r="F1008" s="35" t="s">
        <v>1874</v>
      </c>
      <c r="G1008" s="76" t="s">
        <v>419</v>
      </c>
      <c r="H1008" s="76"/>
      <c r="I1008" s="76" t="s">
        <v>1875</v>
      </c>
      <c r="J1008" s="76"/>
      <c r="K1008" s="76" t="s">
        <v>1875</v>
      </c>
      <c r="L1008" s="77" t="s">
        <v>1114</v>
      </c>
    </row>
    <row r="1009" customFormat="false" ht="22.35" hidden="false" customHeight="false" outlineLevel="0" collapsed="false">
      <c r="A1009" s="76" t="s">
        <v>1873</v>
      </c>
      <c r="B1009" s="76" t="s">
        <v>99</v>
      </c>
      <c r="C1009" s="76" t="s">
        <v>101</v>
      </c>
      <c r="D1009" s="76" t="s">
        <v>1151</v>
      </c>
      <c r="E1009" s="76" t="s">
        <v>1152</v>
      </c>
      <c r="F1009" s="35" t="s">
        <v>1874</v>
      </c>
      <c r="G1009" s="76" t="s">
        <v>796</v>
      </c>
      <c r="H1009" s="76" t="n">
        <v>450000</v>
      </c>
      <c r="I1009" s="76" t="s">
        <v>1876</v>
      </c>
      <c r="J1009" s="76" t="n">
        <v>450000</v>
      </c>
      <c r="K1009" s="76" t="s">
        <v>1876</v>
      </c>
      <c r="L1009" s="77" t="s">
        <v>1114</v>
      </c>
    </row>
    <row r="1010" customFormat="false" ht="22.35" hidden="false" customHeight="false" outlineLevel="0" collapsed="false">
      <c r="A1010" s="76" t="s">
        <v>1873</v>
      </c>
      <c r="B1010" s="76" t="s">
        <v>99</v>
      </c>
      <c r="C1010" s="76" t="s">
        <v>101</v>
      </c>
      <c r="D1010" s="76" t="s">
        <v>1151</v>
      </c>
      <c r="E1010" s="76" t="s">
        <v>1152</v>
      </c>
      <c r="F1010" s="35" t="s">
        <v>1874</v>
      </c>
      <c r="G1010" s="76" t="s">
        <v>797</v>
      </c>
      <c r="H1010" s="76" t="n">
        <v>175000</v>
      </c>
      <c r="I1010" s="76" t="s">
        <v>1877</v>
      </c>
      <c r="J1010" s="76" t="n">
        <v>175000</v>
      </c>
      <c r="K1010" s="76" t="s">
        <v>1877</v>
      </c>
      <c r="L1010" s="77" t="s">
        <v>1114</v>
      </c>
    </row>
    <row r="1011" customFormat="false" ht="22.35" hidden="false" customHeight="false" outlineLevel="0" collapsed="false">
      <c r="A1011" s="76" t="s">
        <v>1873</v>
      </c>
      <c r="B1011" s="76" t="s">
        <v>99</v>
      </c>
      <c r="C1011" s="76" t="s">
        <v>101</v>
      </c>
      <c r="D1011" s="76" t="s">
        <v>1151</v>
      </c>
      <c r="E1011" s="76" t="s">
        <v>1152</v>
      </c>
      <c r="F1011" s="35" t="s">
        <v>1874</v>
      </c>
      <c r="G1011" s="76" t="s">
        <v>798</v>
      </c>
      <c r="H1011" s="76"/>
      <c r="I1011" s="76" t="s">
        <v>1860</v>
      </c>
      <c r="J1011" s="78" t="n">
        <v>0.03</v>
      </c>
      <c r="K1011" s="76" t="s">
        <v>1860</v>
      </c>
      <c r="L1011" s="77" t="s">
        <v>1114</v>
      </c>
    </row>
    <row r="1012" customFormat="false" ht="22.35" hidden="false" customHeight="false" outlineLevel="0" collapsed="false">
      <c r="A1012" s="76" t="s">
        <v>1873</v>
      </c>
      <c r="B1012" s="76" t="s">
        <v>99</v>
      </c>
      <c r="C1012" s="76" t="s">
        <v>101</v>
      </c>
      <c r="D1012" s="76" t="s">
        <v>1151</v>
      </c>
      <c r="E1012" s="76" t="s">
        <v>1152</v>
      </c>
      <c r="F1012" s="35" t="s">
        <v>1874</v>
      </c>
      <c r="G1012" s="76" t="s">
        <v>799</v>
      </c>
      <c r="H1012" s="76" t="n">
        <v>625000</v>
      </c>
      <c r="I1012" s="76" t="s">
        <v>1849</v>
      </c>
      <c r="J1012" s="76" t="n">
        <v>625000</v>
      </c>
      <c r="K1012" s="76" t="s">
        <v>1849</v>
      </c>
      <c r="L1012" s="77" t="s">
        <v>1114</v>
      </c>
    </row>
    <row r="1013" customFormat="false" ht="22.35" hidden="false" customHeight="false" outlineLevel="0" collapsed="false">
      <c r="A1013" s="76" t="s">
        <v>1873</v>
      </c>
      <c r="B1013" s="76" t="s">
        <v>99</v>
      </c>
      <c r="C1013" s="76" t="s">
        <v>101</v>
      </c>
      <c r="D1013" s="76" t="s">
        <v>1151</v>
      </c>
      <c r="E1013" s="76" t="s">
        <v>1152</v>
      </c>
      <c r="F1013" s="35" t="s">
        <v>1874</v>
      </c>
      <c r="G1013" s="76" t="s">
        <v>794</v>
      </c>
      <c r="H1013" s="76" t="n">
        <v>175000</v>
      </c>
      <c r="I1013" s="76" t="s">
        <v>1877</v>
      </c>
      <c r="J1013" s="76" t="n">
        <v>175000</v>
      </c>
      <c r="K1013" s="76" t="s">
        <v>1877</v>
      </c>
      <c r="L1013" s="77" t="s">
        <v>1114</v>
      </c>
    </row>
    <row r="1014" customFormat="false" ht="22.35" hidden="false" customHeight="false" outlineLevel="0" collapsed="false">
      <c r="A1014" s="76" t="s">
        <v>1873</v>
      </c>
      <c r="B1014" s="76" t="s">
        <v>99</v>
      </c>
      <c r="C1014" s="76" t="s">
        <v>101</v>
      </c>
      <c r="D1014" s="76" t="s">
        <v>1151</v>
      </c>
      <c r="E1014" s="76" t="s">
        <v>1152</v>
      </c>
      <c r="F1014" s="35" t="s">
        <v>1874</v>
      </c>
      <c r="G1014" s="76" t="s">
        <v>778</v>
      </c>
      <c r="H1014" s="78" t="n">
        <v>65</v>
      </c>
      <c r="I1014" s="76" t="s">
        <v>1850</v>
      </c>
      <c r="J1014" s="76" t="n">
        <v>65</v>
      </c>
      <c r="K1014" s="76" t="s">
        <v>1850</v>
      </c>
      <c r="L1014" s="77" t="s">
        <v>1114</v>
      </c>
    </row>
    <row r="1015" customFormat="false" ht="22.35" hidden="false" customHeight="false" outlineLevel="0" collapsed="false">
      <c r="A1015" s="76" t="s">
        <v>1873</v>
      </c>
      <c r="B1015" s="76" t="s">
        <v>99</v>
      </c>
      <c r="C1015" s="76" t="s">
        <v>101</v>
      </c>
      <c r="D1015" s="76" t="s">
        <v>1151</v>
      </c>
      <c r="E1015" s="76" t="s">
        <v>1152</v>
      </c>
      <c r="F1015" s="35" t="s">
        <v>1874</v>
      </c>
      <c r="G1015" s="76" t="s">
        <v>682</v>
      </c>
      <c r="H1015" s="78" t="n">
        <v>274288.891737726</v>
      </c>
      <c r="I1015" s="76" t="s">
        <v>1878</v>
      </c>
      <c r="J1015" s="78" t="n">
        <v>274288.891737726</v>
      </c>
      <c r="K1015" s="76" t="s">
        <v>1878</v>
      </c>
      <c r="L1015" s="77" t="s">
        <v>1114</v>
      </c>
    </row>
    <row r="1016" customFormat="false" ht="22.35" hidden="false" customHeight="false" outlineLevel="0" collapsed="false">
      <c r="A1016" s="76" t="s">
        <v>1873</v>
      </c>
      <c r="B1016" s="76" t="s">
        <v>99</v>
      </c>
      <c r="C1016" s="76" t="s">
        <v>101</v>
      </c>
      <c r="D1016" s="76" t="s">
        <v>1151</v>
      </c>
      <c r="E1016" s="76" t="s">
        <v>1152</v>
      </c>
      <c r="F1016" s="35" t="s">
        <v>1874</v>
      </c>
      <c r="G1016" s="76" t="s">
        <v>800</v>
      </c>
      <c r="H1016" s="76" t="n">
        <v>450000</v>
      </c>
      <c r="I1016" s="76" t="s">
        <v>1876</v>
      </c>
      <c r="J1016" s="76" t="n">
        <v>450000</v>
      </c>
      <c r="K1016" s="76" t="s">
        <v>1876</v>
      </c>
      <c r="L1016" s="77" t="s">
        <v>1114</v>
      </c>
    </row>
    <row r="1017" customFormat="false" ht="22.35" hidden="false" customHeight="false" outlineLevel="0" collapsed="false">
      <c r="A1017" s="76" t="s">
        <v>1873</v>
      </c>
      <c r="B1017" s="76" t="s">
        <v>99</v>
      </c>
      <c r="C1017" s="76" t="s">
        <v>101</v>
      </c>
      <c r="D1017" s="76" t="s">
        <v>1151</v>
      </c>
      <c r="E1017" s="76" t="s">
        <v>1152</v>
      </c>
      <c r="F1017" s="35" t="s">
        <v>1874</v>
      </c>
      <c r="G1017" s="76" t="s">
        <v>802</v>
      </c>
      <c r="H1017" s="78" t="n">
        <v>544988.678145379</v>
      </c>
      <c r="I1017" s="76" t="s">
        <v>1879</v>
      </c>
      <c r="J1017" s="78" t="n">
        <v>544988.678145379</v>
      </c>
      <c r="K1017" s="76" t="s">
        <v>1879</v>
      </c>
      <c r="L1017" s="77" t="s">
        <v>1114</v>
      </c>
    </row>
    <row r="1018" customFormat="false" ht="22.35" hidden="false" customHeight="false" outlineLevel="0" collapsed="false">
      <c r="A1018" s="76" t="s">
        <v>1873</v>
      </c>
      <c r="B1018" s="76" t="s">
        <v>99</v>
      </c>
      <c r="C1018" s="76" t="s">
        <v>101</v>
      </c>
      <c r="D1018" s="76" t="s">
        <v>1151</v>
      </c>
      <c r="E1018" s="76" t="s">
        <v>1152</v>
      </c>
      <c r="F1018" s="35" t="s">
        <v>1874</v>
      </c>
      <c r="G1018" s="76" t="s">
        <v>803</v>
      </c>
      <c r="H1018" s="78" t="n">
        <v>625000</v>
      </c>
      <c r="I1018" s="76" t="s">
        <v>1852</v>
      </c>
      <c r="J1018" s="76" t="n">
        <v>625000</v>
      </c>
      <c r="K1018" s="76" t="s">
        <v>1852</v>
      </c>
      <c r="L1018" s="77" t="s">
        <v>1114</v>
      </c>
    </row>
    <row r="1019" customFormat="false" ht="22.35" hidden="false" customHeight="false" outlineLevel="0" collapsed="false">
      <c r="A1019" s="76" t="s">
        <v>1873</v>
      </c>
      <c r="B1019" s="76" t="s">
        <v>99</v>
      </c>
      <c r="C1019" s="76" t="s">
        <v>101</v>
      </c>
      <c r="D1019" s="76" t="s">
        <v>1151</v>
      </c>
      <c r="E1019" s="76" t="s">
        <v>1152</v>
      </c>
      <c r="F1019" s="35" t="s">
        <v>1874</v>
      </c>
      <c r="G1019" s="76" t="s">
        <v>434</v>
      </c>
      <c r="H1019" s="78" t="n">
        <v>25</v>
      </c>
      <c r="I1019" s="76" t="s">
        <v>1488</v>
      </c>
      <c r="J1019" s="76" t="n">
        <v>25</v>
      </c>
      <c r="K1019" s="76" t="s">
        <v>1488</v>
      </c>
      <c r="L1019" s="77" t="s">
        <v>1114</v>
      </c>
    </row>
    <row r="1020" customFormat="false" ht="22.35" hidden="false" customHeight="false" outlineLevel="0" collapsed="false">
      <c r="A1020" s="76" t="s">
        <v>1880</v>
      </c>
      <c r="B1020" s="76" t="s">
        <v>99</v>
      </c>
      <c r="C1020" s="76" t="s">
        <v>101</v>
      </c>
      <c r="D1020" s="76" t="s">
        <v>1161</v>
      </c>
      <c r="E1020" s="76" t="s">
        <v>1162</v>
      </c>
      <c r="F1020" s="35" t="s">
        <v>1881</v>
      </c>
      <c r="G1020" s="76" t="s">
        <v>419</v>
      </c>
      <c r="H1020" s="76"/>
      <c r="I1020" s="76" t="s">
        <v>796</v>
      </c>
      <c r="J1020" s="76"/>
      <c r="K1020" s="76" t="s">
        <v>796</v>
      </c>
      <c r="L1020" s="77" t="s">
        <v>1114</v>
      </c>
    </row>
    <row r="1021" customFormat="false" ht="22.35" hidden="false" customHeight="false" outlineLevel="0" collapsed="false">
      <c r="A1021" s="76" t="s">
        <v>1880</v>
      </c>
      <c r="B1021" s="76" t="s">
        <v>99</v>
      </c>
      <c r="C1021" s="76" t="s">
        <v>101</v>
      </c>
      <c r="D1021" s="76" t="s">
        <v>1161</v>
      </c>
      <c r="E1021" s="76" t="s">
        <v>1162</v>
      </c>
      <c r="F1021" s="35" t="s">
        <v>1881</v>
      </c>
      <c r="G1021" s="76" t="s">
        <v>796</v>
      </c>
      <c r="H1021" s="78" t="n">
        <v>560556.632315193</v>
      </c>
      <c r="I1021" s="76" t="s">
        <v>1882</v>
      </c>
      <c r="J1021" s="78" t="n">
        <v>560556.632315193</v>
      </c>
      <c r="K1021" s="76" t="s">
        <v>1882</v>
      </c>
      <c r="L1021" s="77" t="s">
        <v>1114</v>
      </c>
    </row>
    <row r="1022" customFormat="false" ht="22.35" hidden="false" customHeight="false" outlineLevel="0" collapsed="false">
      <c r="A1022" s="76" t="s">
        <v>1880</v>
      </c>
      <c r="B1022" s="76" t="s">
        <v>99</v>
      </c>
      <c r="C1022" s="76" t="s">
        <v>101</v>
      </c>
      <c r="D1022" s="76" t="s">
        <v>1161</v>
      </c>
      <c r="E1022" s="76" t="s">
        <v>1162</v>
      </c>
      <c r="F1022" s="35" t="s">
        <v>1881</v>
      </c>
      <c r="G1022" s="76" t="s">
        <v>797</v>
      </c>
      <c r="H1022" s="78" t="n">
        <v>64443.3676848074</v>
      </c>
      <c r="I1022" s="76" t="s">
        <v>1883</v>
      </c>
      <c r="J1022" s="78" t="n">
        <v>64443.3676848074</v>
      </c>
      <c r="K1022" s="76" t="s">
        <v>1883</v>
      </c>
      <c r="L1022" s="77" t="s">
        <v>1114</v>
      </c>
    </row>
    <row r="1023" customFormat="false" ht="22.35" hidden="false" customHeight="false" outlineLevel="0" collapsed="false">
      <c r="A1023" s="76" t="s">
        <v>1880</v>
      </c>
      <c r="B1023" s="76" t="s">
        <v>99</v>
      </c>
      <c r="C1023" s="76" t="s">
        <v>101</v>
      </c>
      <c r="D1023" s="76" t="s">
        <v>1161</v>
      </c>
      <c r="E1023" s="76" t="s">
        <v>1162</v>
      </c>
      <c r="F1023" s="35" t="s">
        <v>1881</v>
      </c>
      <c r="G1023" s="76" t="s">
        <v>798</v>
      </c>
      <c r="H1023" s="76"/>
      <c r="I1023" s="76" t="s">
        <v>1848</v>
      </c>
      <c r="J1023" s="78" t="n">
        <v>0.025</v>
      </c>
      <c r="K1023" s="76" t="s">
        <v>1848</v>
      </c>
      <c r="L1023" s="77" t="s">
        <v>1114</v>
      </c>
    </row>
    <row r="1024" customFormat="false" ht="22.35" hidden="false" customHeight="false" outlineLevel="0" collapsed="false">
      <c r="A1024" s="76" t="s">
        <v>1880</v>
      </c>
      <c r="B1024" s="76" t="s">
        <v>99</v>
      </c>
      <c r="C1024" s="76" t="s">
        <v>101</v>
      </c>
      <c r="D1024" s="76" t="s">
        <v>1161</v>
      </c>
      <c r="E1024" s="76" t="s">
        <v>1162</v>
      </c>
      <c r="F1024" s="35" t="s">
        <v>1881</v>
      </c>
      <c r="G1024" s="76" t="s">
        <v>799</v>
      </c>
      <c r="H1024" s="76" t="n">
        <v>625000</v>
      </c>
      <c r="I1024" s="76" t="s">
        <v>1849</v>
      </c>
      <c r="J1024" s="76" t="n">
        <v>625000</v>
      </c>
      <c r="K1024" s="76" t="s">
        <v>1849</v>
      </c>
      <c r="L1024" s="77" t="s">
        <v>1114</v>
      </c>
    </row>
    <row r="1025" customFormat="false" ht="22.35" hidden="false" customHeight="false" outlineLevel="0" collapsed="false">
      <c r="A1025" s="76" t="s">
        <v>1880</v>
      </c>
      <c r="B1025" s="76" t="s">
        <v>99</v>
      </c>
      <c r="C1025" s="76" t="s">
        <v>101</v>
      </c>
      <c r="D1025" s="76" t="s">
        <v>1161</v>
      </c>
      <c r="E1025" s="76" t="s">
        <v>1162</v>
      </c>
      <c r="F1025" s="35" t="s">
        <v>1881</v>
      </c>
      <c r="G1025" s="76" t="s">
        <v>794</v>
      </c>
      <c r="H1025" s="78" t="n">
        <v>64443.3676848074</v>
      </c>
      <c r="I1025" s="76" t="s">
        <v>1883</v>
      </c>
      <c r="J1025" s="78" t="n">
        <v>64443.3676848074</v>
      </c>
      <c r="K1025" s="76" t="s">
        <v>1883</v>
      </c>
      <c r="L1025" s="77" t="s">
        <v>1114</v>
      </c>
    </row>
    <row r="1026" customFormat="false" ht="22.35" hidden="false" customHeight="false" outlineLevel="0" collapsed="false">
      <c r="A1026" s="76" t="s">
        <v>1880</v>
      </c>
      <c r="B1026" s="76" t="s">
        <v>99</v>
      </c>
      <c r="C1026" s="76" t="s">
        <v>101</v>
      </c>
      <c r="D1026" s="76" t="s">
        <v>1161</v>
      </c>
      <c r="E1026" s="76" t="s">
        <v>1162</v>
      </c>
      <c r="F1026" s="35" t="s">
        <v>1881</v>
      </c>
      <c r="G1026" s="76" t="s">
        <v>778</v>
      </c>
      <c r="H1026" s="78" t="n">
        <v>66</v>
      </c>
      <c r="I1026" s="76" t="s">
        <v>1385</v>
      </c>
      <c r="J1026" s="76" t="n">
        <v>66</v>
      </c>
      <c r="K1026" s="76" t="s">
        <v>1385</v>
      </c>
      <c r="L1026" s="77" t="s">
        <v>1114</v>
      </c>
    </row>
    <row r="1027" customFormat="false" ht="22.35" hidden="false" customHeight="false" outlineLevel="0" collapsed="false">
      <c r="A1027" s="76" t="s">
        <v>1880</v>
      </c>
      <c r="B1027" s="76" t="s">
        <v>99</v>
      </c>
      <c r="C1027" s="76" t="s">
        <v>101</v>
      </c>
      <c r="D1027" s="76" t="s">
        <v>1161</v>
      </c>
      <c r="E1027" s="76" t="s">
        <v>1162</v>
      </c>
      <c r="F1027" s="35" t="s">
        <v>1881</v>
      </c>
      <c r="G1027" s="76" t="s">
        <v>682</v>
      </c>
      <c r="H1027" s="78" t="n">
        <v>229176.667902897</v>
      </c>
      <c r="I1027" s="76" t="s">
        <v>1884</v>
      </c>
      <c r="J1027" s="78" t="n">
        <v>229176.667902896</v>
      </c>
      <c r="K1027" s="76" t="s">
        <v>1884</v>
      </c>
      <c r="L1027" s="77" t="s">
        <v>1114</v>
      </c>
    </row>
    <row r="1028" customFormat="false" ht="22.35" hidden="false" customHeight="false" outlineLevel="0" collapsed="false">
      <c r="A1028" s="76" t="s">
        <v>1880</v>
      </c>
      <c r="B1028" s="76" t="s">
        <v>99</v>
      </c>
      <c r="C1028" s="76" t="s">
        <v>101</v>
      </c>
      <c r="D1028" s="76" t="s">
        <v>1161</v>
      </c>
      <c r="E1028" s="76" t="s">
        <v>1162</v>
      </c>
      <c r="F1028" s="35" t="s">
        <v>1881</v>
      </c>
      <c r="G1028" s="76" t="s">
        <v>800</v>
      </c>
      <c r="H1028" s="76" t="n">
        <v>450000</v>
      </c>
      <c r="I1028" s="76" t="s">
        <v>1876</v>
      </c>
      <c r="J1028" s="76" t="n">
        <v>450000</v>
      </c>
      <c r="K1028" s="76" t="s">
        <v>1876</v>
      </c>
      <c r="L1028" s="77" t="s">
        <v>1114</v>
      </c>
    </row>
    <row r="1029" customFormat="false" ht="22.35" hidden="false" customHeight="false" outlineLevel="0" collapsed="false">
      <c r="A1029" s="76" t="s">
        <v>1880</v>
      </c>
      <c r="B1029" s="76" t="s">
        <v>99</v>
      </c>
      <c r="C1029" s="76" t="s">
        <v>101</v>
      </c>
      <c r="D1029" s="76" t="s">
        <v>1161</v>
      </c>
      <c r="E1029" s="76" t="s">
        <v>1162</v>
      </c>
      <c r="F1029" s="35" t="s">
        <v>1881</v>
      </c>
      <c r="G1029" s="76" t="s">
        <v>802</v>
      </c>
      <c r="H1029" s="78" t="n">
        <v>560556.632315193</v>
      </c>
      <c r="I1029" s="76" t="s">
        <v>1882</v>
      </c>
      <c r="J1029" s="78" t="n">
        <v>560556.632315193</v>
      </c>
      <c r="K1029" s="76" t="s">
        <v>1882</v>
      </c>
      <c r="L1029" s="77" t="s">
        <v>1114</v>
      </c>
    </row>
    <row r="1030" customFormat="false" ht="22.35" hidden="false" customHeight="false" outlineLevel="0" collapsed="false">
      <c r="A1030" s="76" t="s">
        <v>1880</v>
      </c>
      <c r="B1030" s="76" t="s">
        <v>99</v>
      </c>
      <c r="C1030" s="76" t="s">
        <v>101</v>
      </c>
      <c r="D1030" s="76" t="s">
        <v>1161</v>
      </c>
      <c r="E1030" s="76" t="s">
        <v>1162</v>
      </c>
      <c r="F1030" s="35" t="s">
        <v>1881</v>
      </c>
      <c r="G1030" s="76" t="s">
        <v>803</v>
      </c>
      <c r="H1030" s="78" t="n">
        <v>625000</v>
      </c>
      <c r="I1030" s="76" t="s">
        <v>1852</v>
      </c>
      <c r="J1030" s="76" t="n">
        <v>625000</v>
      </c>
      <c r="K1030" s="76" t="s">
        <v>1852</v>
      </c>
      <c r="L1030" s="77" t="s">
        <v>1114</v>
      </c>
    </row>
    <row r="1031" customFormat="false" ht="22.35" hidden="false" customHeight="false" outlineLevel="0" collapsed="false">
      <c r="A1031" s="76" t="s">
        <v>1880</v>
      </c>
      <c r="B1031" s="76" t="s">
        <v>99</v>
      </c>
      <c r="C1031" s="76" t="s">
        <v>101</v>
      </c>
      <c r="D1031" s="76" t="s">
        <v>1161</v>
      </c>
      <c r="E1031" s="76" t="s">
        <v>1162</v>
      </c>
      <c r="F1031" s="35" t="s">
        <v>1881</v>
      </c>
      <c r="G1031" s="76" t="s">
        <v>434</v>
      </c>
      <c r="H1031" s="78" t="n">
        <v>26</v>
      </c>
      <c r="I1031" s="76" t="s">
        <v>1885</v>
      </c>
      <c r="J1031" s="76" t="n">
        <v>26</v>
      </c>
      <c r="K1031" s="76" t="s">
        <v>1885</v>
      </c>
      <c r="L1031" s="77" t="s">
        <v>1114</v>
      </c>
    </row>
    <row r="1032" customFormat="false" ht="22.35" hidden="false" customHeight="false" outlineLevel="0" collapsed="false">
      <c r="A1032" s="76" t="s">
        <v>1886</v>
      </c>
      <c r="B1032" s="76" t="s">
        <v>99</v>
      </c>
      <c r="C1032" s="76" t="s">
        <v>101</v>
      </c>
      <c r="D1032" s="76" t="s">
        <v>1170</v>
      </c>
      <c r="E1032" s="76" t="s">
        <v>1171</v>
      </c>
      <c r="F1032" s="35" t="s">
        <v>1887</v>
      </c>
      <c r="G1032" s="76" t="s">
        <v>419</v>
      </c>
      <c r="H1032" s="76"/>
      <c r="I1032" s="76" t="s">
        <v>796</v>
      </c>
      <c r="J1032" s="76"/>
      <c r="K1032" s="76" t="s">
        <v>796</v>
      </c>
      <c r="L1032" s="77" t="s">
        <v>1114</v>
      </c>
    </row>
    <row r="1033" customFormat="false" ht="22.35" hidden="false" customHeight="false" outlineLevel="0" collapsed="false">
      <c r="A1033" s="76" t="s">
        <v>1886</v>
      </c>
      <c r="B1033" s="76" t="s">
        <v>99</v>
      </c>
      <c r="C1033" s="76" t="s">
        <v>101</v>
      </c>
      <c r="D1033" s="76" t="s">
        <v>1170</v>
      </c>
      <c r="E1033" s="76" t="s">
        <v>1171</v>
      </c>
      <c r="F1033" s="35" t="s">
        <v>1887</v>
      </c>
      <c r="G1033" s="76" t="s">
        <v>796</v>
      </c>
      <c r="H1033" s="78" t="n">
        <v>544988.678145379</v>
      </c>
      <c r="I1033" s="76" t="s">
        <v>1879</v>
      </c>
      <c r="J1033" s="78" t="n">
        <v>544988.678145379</v>
      </c>
      <c r="K1033" s="76" t="s">
        <v>1879</v>
      </c>
      <c r="L1033" s="77" t="s">
        <v>1114</v>
      </c>
    </row>
    <row r="1034" customFormat="false" ht="22.35" hidden="false" customHeight="false" outlineLevel="0" collapsed="false">
      <c r="A1034" s="76" t="s">
        <v>1886</v>
      </c>
      <c r="B1034" s="76" t="s">
        <v>99</v>
      </c>
      <c r="C1034" s="76" t="s">
        <v>101</v>
      </c>
      <c r="D1034" s="76" t="s">
        <v>1170</v>
      </c>
      <c r="E1034" s="76" t="s">
        <v>1171</v>
      </c>
      <c r="F1034" s="35" t="s">
        <v>1887</v>
      </c>
      <c r="G1034" s="76" t="s">
        <v>797</v>
      </c>
      <c r="H1034" s="78" t="n">
        <v>80011.3218546209</v>
      </c>
      <c r="I1034" s="76" t="s">
        <v>1888</v>
      </c>
      <c r="J1034" s="78" t="n">
        <v>80011.3218546209</v>
      </c>
      <c r="K1034" s="76" t="s">
        <v>1888</v>
      </c>
      <c r="L1034" s="77" t="s">
        <v>1114</v>
      </c>
    </row>
    <row r="1035" customFormat="false" ht="22.35" hidden="false" customHeight="false" outlineLevel="0" collapsed="false">
      <c r="A1035" s="76" t="s">
        <v>1886</v>
      </c>
      <c r="B1035" s="76" t="s">
        <v>99</v>
      </c>
      <c r="C1035" s="76" t="s">
        <v>101</v>
      </c>
      <c r="D1035" s="76" t="s">
        <v>1170</v>
      </c>
      <c r="E1035" s="76" t="s">
        <v>1171</v>
      </c>
      <c r="F1035" s="35" t="s">
        <v>1887</v>
      </c>
      <c r="G1035" s="76" t="s">
        <v>798</v>
      </c>
      <c r="H1035" s="76"/>
      <c r="I1035" s="76" t="s">
        <v>1860</v>
      </c>
      <c r="J1035" s="78" t="n">
        <v>0.03</v>
      </c>
      <c r="K1035" s="76" t="s">
        <v>1860</v>
      </c>
      <c r="L1035" s="77" t="s">
        <v>1114</v>
      </c>
    </row>
    <row r="1036" customFormat="false" ht="22.35" hidden="false" customHeight="false" outlineLevel="0" collapsed="false">
      <c r="A1036" s="76" t="s">
        <v>1886</v>
      </c>
      <c r="B1036" s="76" t="s">
        <v>99</v>
      </c>
      <c r="C1036" s="76" t="s">
        <v>101</v>
      </c>
      <c r="D1036" s="76" t="s">
        <v>1170</v>
      </c>
      <c r="E1036" s="76" t="s">
        <v>1171</v>
      </c>
      <c r="F1036" s="35" t="s">
        <v>1887</v>
      </c>
      <c r="G1036" s="76" t="s">
        <v>799</v>
      </c>
      <c r="H1036" s="76" t="n">
        <v>625000</v>
      </c>
      <c r="I1036" s="76" t="s">
        <v>1849</v>
      </c>
      <c r="J1036" s="76" t="n">
        <v>625000</v>
      </c>
      <c r="K1036" s="76" t="s">
        <v>1849</v>
      </c>
      <c r="L1036" s="77" t="s">
        <v>1114</v>
      </c>
    </row>
    <row r="1037" customFormat="false" ht="22.35" hidden="false" customHeight="false" outlineLevel="0" collapsed="false">
      <c r="A1037" s="76" t="s">
        <v>1886</v>
      </c>
      <c r="B1037" s="76" t="s">
        <v>99</v>
      </c>
      <c r="C1037" s="76" t="s">
        <v>101</v>
      </c>
      <c r="D1037" s="76" t="s">
        <v>1170</v>
      </c>
      <c r="E1037" s="76" t="s">
        <v>1171</v>
      </c>
      <c r="F1037" s="35" t="s">
        <v>1887</v>
      </c>
      <c r="G1037" s="76" t="s">
        <v>794</v>
      </c>
      <c r="H1037" s="78" t="n">
        <v>80011.3218546209</v>
      </c>
      <c r="I1037" s="76" t="s">
        <v>1888</v>
      </c>
      <c r="J1037" s="78" t="n">
        <v>80011.3218546209</v>
      </c>
      <c r="K1037" s="76" t="s">
        <v>1888</v>
      </c>
      <c r="L1037" s="77" t="s">
        <v>1114</v>
      </c>
    </row>
    <row r="1038" customFormat="false" ht="22.35" hidden="false" customHeight="false" outlineLevel="0" collapsed="false">
      <c r="A1038" s="76" t="s">
        <v>1886</v>
      </c>
      <c r="B1038" s="76" t="s">
        <v>99</v>
      </c>
      <c r="C1038" s="76" t="s">
        <v>101</v>
      </c>
      <c r="D1038" s="76" t="s">
        <v>1170</v>
      </c>
      <c r="E1038" s="76" t="s">
        <v>1171</v>
      </c>
      <c r="F1038" s="35" t="s">
        <v>1887</v>
      </c>
      <c r="G1038" s="76" t="s">
        <v>778</v>
      </c>
      <c r="H1038" s="78" t="n">
        <v>65</v>
      </c>
      <c r="I1038" s="76" t="s">
        <v>1850</v>
      </c>
      <c r="J1038" s="76" t="n">
        <v>65</v>
      </c>
      <c r="K1038" s="76" t="s">
        <v>1850</v>
      </c>
      <c r="L1038" s="77" t="s">
        <v>1114</v>
      </c>
    </row>
    <row r="1039" customFormat="false" ht="22.35" hidden="false" customHeight="false" outlineLevel="0" collapsed="false">
      <c r="A1039" s="76" t="s">
        <v>1886</v>
      </c>
      <c r="B1039" s="76" t="s">
        <v>99</v>
      </c>
      <c r="C1039" s="76" t="s">
        <v>101</v>
      </c>
      <c r="D1039" s="76" t="s">
        <v>1170</v>
      </c>
      <c r="E1039" s="76" t="s">
        <v>1171</v>
      </c>
      <c r="F1039" s="35" t="s">
        <v>1887</v>
      </c>
      <c r="G1039" s="76" t="s">
        <v>682</v>
      </c>
      <c r="H1039" s="76"/>
      <c r="I1039" s="76"/>
      <c r="J1039" s="76"/>
      <c r="K1039" s="76"/>
      <c r="L1039" s="77" t="s">
        <v>1114</v>
      </c>
    </row>
    <row r="1040" customFormat="false" ht="22.35" hidden="false" customHeight="false" outlineLevel="0" collapsed="false">
      <c r="A1040" s="76" t="s">
        <v>1886</v>
      </c>
      <c r="B1040" s="76" t="s">
        <v>99</v>
      </c>
      <c r="C1040" s="76" t="s">
        <v>101</v>
      </c>
      <c r="D1040" s="76" t="s">
        <v>1170</v>
      </c>
      <c r="E1040" s="76" t="s">
        <v>1171</v>
      </c>
      <c r="F1040" s="35" t="s">
        <v>1887</v>
      </c>
      <c r="G1040" s="76" t="s">
        <v>800</v>
      </c>
      <c r="H1040" s="76" t="n">
        <v>450000</v>
      </c>
      <c r="I1040" s="76" t="s">
        <v>1876</v>
      </c>
      <c r="J1040" s="76" t="n">
        <v>450000</v>
      </c>
      <c r="K1040" s="76" t="s">
        <v>1876</v>
      </c>
      <c r="L1040" s="77" t="s">
        <v>1114</v>
      </c>
    </row>
    <row r="1041" customFormat="false" ht="22.35" hidden="false" customHeight="false" outlineLevel="0" collapsed="false">
      <c r="A1041" s="76" t="s">
        <v>1886</v>
      </c>
      <c r="B1041" s="76" t="s">
        <v>99</v>
      </c>
      <c r="C1041" s="76" t="s">
        <v>101</v>
      </c>
      <c r="D1041" s="76" t="s">
        <v>1170</v>
      </c>
      <c r="E1041" s="76" t="s">
        <v>1171</v>
      </c>
      <c r="F1041" s="35" t="s">
        <v>1887</v>
      </c>
      <c r="G1041" s="76" t="s">
        <v>802</v>
      </c>
      <c r="H1041" s="78" t="n">
        <v>544988.678145379</v>
      </c>
      <c r="I1041" s="76" t="s">
        <v>1879</v>
      </c>
      <c r="J1041" s="78" t="n">
        <v>544988.678145379</v>
      </c>
      <c r="K1041" s="76" t="s">
        <v>1879</v>
      </c>
      <c r="L1041" s="77" t="s">
        <v>1114</v>
      </c>
    </row>
    <row r="1042" customFormat="false" ht="22.35" hidden="false" customHeight="false" outlineLevel="0" collapsed="false">
      <c r="A1042" s="76" t="s">
        <v>1886</v>
      </c>
      <c r="B1042" s="76" t="s">
        <v>99</v>
      </c>
      <c r="C1042" s="76" t="s">
        <v>101</v>
      </c>
      <c r="D1042" s="76" t="s">
        <v>1170</v>
      </c>
      <c r="E1042" s="76" t="s">
        <v>1171</v>
      </c>
      <c r="F1042" s="35" t="s">
        <v>1887</v>
      </c>
      <c r="G1042" s="76" t="s">
        <v>803</v>
      </c>
      <c r="H1042" s="78" t="n">
        <v>625000</v>
      </c>
      <c r="I1042" s="76" t="s">
        <v>1852</v>
      </c>
      <c r="J1042" s="76" t="n">
        <v>625000</v>
      </c>
      <c r="K1042" s="76" t="s">
        <v>1852</v>
      </c>
      <c r="L1042" s="77" t="s">
        <v>1114</v>
      </c>
    </row>
    <row r="1043" customFormat="false" ht="22.35" hidden="false" customHeight="false" outlineLevel="0" collapsed="false">
      <c r="A1043" s="76" t="s">
        <v>1886</v>
      </c>
      <c r="B1043" s="76" t="s">
        <v>99</v>
      </c>
      <c r="C1043" s="76" t="s">
        <v>101</v>
      </c>
      <c r="D1043" s="76" t="s">
        <v>1170</v>
      </c>
      <c r="E1043" s="76" t="s">
        <v>1171</v>
      </c>
      <c r="F1043" s="35" t="s">
        <v>1887</v>
      </c>
      <c r="G1043" s="76" t="s">
        <v>434</v>
      </c>
      <c r="H1043" s="78" t="n">
        <v>25</v>
      </c>
      <c r="I1043" s="76" t="s">
        <v>1488</v>
      </c>
      <c r="J1043" s="76" t="n">
        <v>25</v>
      </c>
      <c r="K1043" s="76" t="s">
        <v>1488</v>
      </c>
      <c r="L1043" s="77" t="s">
        <v>1114</v>
      </c>
    </row>
    <row r="1044" customFormat="false" ht="22.35" hidden="false" customHeight="false" outlineLevel="0" collapsed="false">
      <c r="A1044" s="76" t="s">
        <v>1889</v>
      </c>
      <c r="B1044" s="76" t="s">
        <v>99</v>
      </c>
      <c r="C1044" s="76" t="s">
        <v>101</v>
      </c>
      <c r="D1044" s="76" t="s">
        <v>1180</v>
      </c>
      <c r="E1044" s="76" t="s">
        <v>1152</v>
      </c>
      <c r="F1044" s="35" t="s">
        <v>1890</v>
      </c>
      <c r="G1044" s="76" t="s">
        <v>419</v>
      </c>
      <c r="H1044" s="76"/>
      <c r="I1044" s="76" t="s">
        <v>796</v>
      </c>
      <c r="J1044" s="76"/>
      <c r="K1044" s="76" t="s">
        <v>796</v>
      </c>
      <c r="L1044" s="77" t="s">
        <v>1114</v>
      </c>
    </row>
    <row r="1045" customFormat="false" ht="22.35" hidden="false" customHeight="false" outlineLevel="0" collapsed="false">
      <c r="A1045" s="76" t="s">
        <v>1889</v>
      </c>
      <c r="B1045" s="76" t="s">
        <v>99</v>
      </c>
      <c r="C1045" s="76" t="s">
        <v>101</v>
      </c>
      <c r="D1045" s="76" t="s">
        <v>1180</v>
      </c>
      <c r="E1045" s="76" t="s">
        <v>1152</v>
      </c>
      <c r="F1045" s="35" t="s">
        <v>1890</v>
      </c>
      <c r="G1045" s="76" t="s">
        <v>796</v>
      </c>
      <c r="H1045" s="78" t="n">
        <v>1958061.31690188</v>
      </c>
      <c r="I1045" s="76" t="s">
        <v>1891</v>
      </c>
      <c r="J1045" s="78" t="n">
        <v>1958061.31690188</v>
      </c>
      <c r="K1045" s="76" t="s">
        <v>1891</v>
      </c>
      <c r="L1045" s="77" t="s">
        <v>1114</v>
      </c>
    </row>
    <row r="1046" customFormat="false" ht="22.35" hidden="false" customHeight="false" outlineLevel="0" collapsed="false">
      <c r="A1046" s="76" t="s">
        <v>1889</v>
      </c>
      <c r="B1046" s="76" t="s">
        <v>99</v>
      </c>
      <c r="C1046" s="76" t="s">
        <v>101</v>
      </c>
      <c r="D1046" s="76" t="s">
        <v>1180</v>
      </c>
      <c r="E1046" s="76" t="s">
        <v>1152</v>
      </c>
      <c r="F1046" s="35" t="s">
        <v>1890</v>
      </c>
      <c r="G1046" s="76" t="s">
        <v>797</v>
      </c>
      <c r="H1046" s="76"/>
      <c r="I1046" s="76"/>
      <c r="J1046" s="76"/>
      <c r="K1046" s="76"/>
      <c r="L1046" s="77" t="s">
        <v>1114</v>
      </c>
    </row>
    <row r="1047" customFormat="false" ht="22.35" hidden="false" customHeight="false" outlineLevel="0" collapsed="false">
      <c r="A1047" s="76" t="s">
        <v>1889</v>
      </c>
      <c r="B1047" s="76" t="s">
        <v>99</v>
      </c>
      <c r="C1047" s="76" t="s">
        <v>101</v>
      </c>
      <c r="D1047" s="76" t="s">
        <v>1180</v>
      </c>
      <c r="E1047" s="76" t="s">
        <v>1152</v>
      </c>
      <c r="F1047" s="35" t="s">
        <v>1890</v>
      </c>
      <c r="G1047" s="76" t="s">
        <v>798</v>
      </c>
      <c r="H1047" s="76"/>
      <c r="I1047" s="76" t="s">
        <v>1860</v>
      </c>
      <c r="J1047" s="78" t="n">
        <v>0.03</v>
      </c>
      <c r="K1047" s="76" t="s">
        <v>1860</v>
      </c>
      <c r="L1047" s="77" t="s">
        <v>1114</v>
      </c>
    </row>
    <row r="1048" customFormat="false" ht="22.35" hidden="false" customHeight="false" outlineLevel="0" collapsed="false">
      <c r="A1048" s="76" t="s">
        <v>1889</v>
      </c>
      <c r="B1048" s="76" t="s">
        <v>99</v>
      </c>
      <c r="C1048" s="76" t="s">
        <v>101</v>
      </c>
      <c r="D1048" s="76" t="s">
        <v>1180</v>
      </c>
      <c r="E1048" s="76" t="s">
        <v>1152</v>
      </c>
      <c r="F1048" s="35" t="s">
        <v>1890</v>
      </c>
      <c r="G1048" s="76" t="s">
        <v>799</v>
      </c>
      <c r="H1048" s="76" t="n">
        <v>850000</v>
      </c>
      <c r="I1048" s="76" t="s">
        <v>1892</v>
      </c>
      <c r="J1048" s="76" t="n">
        <v>850000</v>
      </c>
      <c r="K1048" s="76" t="s">
        <v>1892</v>
      </c>
      <c r="L1048" s="77" t="s">
        <v>1114</v>
      </c>
    </row>
    <row r="1049" customFormat="false" ht="22.35" hidden="false" customHeight="false" outlineLevel="0" collapsed="false">
      <c r="A1049" s="76" t="s">
        <v>1889</v>
      </c>
      <c r="B1049" s="76" t="s">
        <v>99</v>
      </c>
      <c r="C1049" s="76" t="s">
        <v>101</v>
      </c>
      <c r="D1049" s="76" t="s">
        <v>1180</v>
      </c>
      <c r="E1049" s="76" t="s">
        <v>1152</v>
      </c>
      <c r="F1049" s="35" t="s">
        <v>1890</v>
      </c>
      <c r="G1049" s="76" t="s">
        <v>794</v>
      </c>
      <c r="H1049" s="76"/>
      <c r="I1049" s="76" t="s">
        <v>1855</v>
      </c>
      <c r="J1049" s="76" t="s">
        <v>1855</v>
      </c>
      <c r="K1049" s="76" t="s">
        <v>1855</v>
      </c>
      <c r="L1049" s="77" t="s">
        <v>1114</v>
      </c>
    </row>
    <row r="1050" customFormat="false" ht="22.35" hidden="false" customHeight="false" outlineLevel="0" collapsed="false">
      <c r="A1050" s="76" t="s">
        <v>1889</v>
      </c>
      <c r="B1050" s="76" t="s">
        <v>99</v>
      </c>
      <c r="C1050" s="76" t="s">
        <v>101</v>
      </c>
      <c r="D1050" s="76" t="s">
        <v>1180</v>
      </c>
      <c r="E1050" s="76" t="s">
        <v>1152</v>
      </c>
      <c r="F1050" s="35" t="s">
        <v>1890</v>
      </c>
      <c r="G1050" s="76" t="s">
        <v>778</v>
      </c>
      <c r="H1050" s="78" t="n">
        <v>71</v>
      </c>
      <c r="I1050" s="76" t="s">
        <v>1893</v>
      </c>
      <c r="J1050" s="76" t="n">
        <v>71</v>
      </c>
      <c r="K1050" s="76" t="s">
        <v>1893</v>
      </c>
      <c r="L1050" s="77" t="s">
        <v>1114</v>
      </c>
    </row>
    <row r="1051" customFormat="false" ht="22.35" hidden="false" customHeight="false" outlineLevel="0" collapsed="false">
      <c r="A1051" s="76" t="s">
        <v>1889</v>
      </c>
      <c r="B1051" s="76" t="s">
        <v>99</v>
      </c>
      <c r="C1051" s="76" t="s">
        <v>101</v>
      </c>
      <c r="D1051" s="76" t="s">
        <v>1180</v>
      </c>
      <c r="E1051" s="76" t="s">
        <v>1152</v>
      </c>
      <c r="F1051" s="35" t="s">
        <v>1890</v>
      </c>
      <c r="G1051" s="76" t="s">
        <v>682</v>
      </c>
      <c r="H1051" s="78" t="n">
        <v>1426341.56929295</v>
      </c>
      <c r="I1051" s="76" t="s">
        <v>1894</v>
      </c>
      <c r="J1051" s="78" t="n">
        <v>1426341.56929295</v>
      </c>
      <c r="K1051" s="76" t="s">
        <v>1894</v>
      </c>
      <c r="L1051" s="77" t="s">
        <v>1114</v>
      </c>
    </row>
    <row r="1052" customFormat="false" ht="22.35" hidden="false" customHeight="false" outlineLevel="0" collapsed="false">
      <c r="A1052" s="76" t="s">
        <v>1889</v>
      </c>
      <c r="B1052" s="76" t="s">
        <v>99</v>
      </c>
      <c r="C1052" s="76" t="s">
        <v>101</v>
      </c>
      <c r="D1052" s="76" t="s">
        <v>1180</v>
      </c>
      <c r="E1052" s="76" t="s">
        <v>1152</v>
      </c>
      <c r="F1052" s="35" t="s">
        <v>1890</v>
      </c>
      <c r="G1052" s="76" t="s">
        <v>800</v>
      </c>
      <c r="H1052" s="76"/>
      <c r="I1052" s="76"/>
      <c r="J1052" s="76"/>
      <c r="K1052" s="76"/>
      <c r="L1052" s="77" t="s">
        <v>1114</v>
      </c>
    </row>
    <row r="1053" customFormat="false" ht="22.35" hidden="false" customHeight="false" outlineLevel="0" collapsed="false">
      <c r="A1053" s="76" t="s">
        <v>1889</v>
      </c>
      <c r="B1053" s="76" t="s">
        <v>99</v>
      </c>
      <c r="C1053" s="76" t="s">
        <v>101</v>
      </c>
      <c r="D1053" s="76" t="s">
        <v>1180</v>
      </c>
      <c r="E1053" s="76" t="s">
        <v>1152</v>
      </c>
      <c r="F1053" s="35" t="s">
        <v>1890</v>
      </c>
      <c r="G1053" s="76" t="s">
        <v>802</v>
      </c>
      <c r="H1053" s="76"/>
      <c r="I1053" s="76"/>
      <c r="J1053" s="76"/>
      <c r="K1053" s="76"/>
      <c r="L1053" s="77" t="s">
        <v>1114</v>
      </c>
    </row>
    <row r="1054" customFormat="false" ht="22.35" hidden="false" customHeight="false" outlineLevel="0" collapsed="false">
      <c r="A1054" s="76" t="s">
        <v>1889</v>
      </c>
      <c r="B1054" s="76" t="s">
        <v>99</v>
      </c>
      <c r="C1054" s="76" t="s">
        <v>101</v>
      </c>
      <c r="D1054" s="76" t="s">
        <v>1180</v>
      </c>
      <c r="E1054" s="76" t="s">
        <v>1152</v>
      </c>
      <c r="F1054" s="35" t="s">
        <v>1890</v>
      </c>
      <c r="G1054" s="76" t="s">
        <v>803</v>
      </c>
      <c r="H1054" s="78" t="n">
        <v>850000</v>
      </c>
      <c r="I1054" s="76" t="s">
        <v>1895</v>
      </c>
      <c r="J1054" s="76" t="n">
        <v>850000</v>
      </c>
      <c r="K1054" s="76" t="s">
        <v>1895</v>
      </c>
      <c r="L1054" s="77" t="s">
        <v>1114</v>
      </c>
    </row>
    <row r="1055" customFormat="false" ht="22.35" hidden="false" customHeight="false" outlineLevel="0" collapsed="false">
      <c r="A1055" s="76" t="s">
        <v>1889</v>
      </c>
      <c r="B1055" s="76" t="s">
        <v>99</v>
      </c>
      <c r="C1055" s="76" t="s">
        <v>101</v>
      </c>
      <c r="D1055" s="76" t="s">
        <v>1180</v>
      </c>
      <c r="E1055" s="76" t="s">
        <v>1152</v>
      </c>
      <c r="F1055" s="35" t="s">
        <v>1890</v>
      </c>
      <c r="G1055" s="76" t="s">
        <v>434</v>
      </c>
      <c r="H1055" s="78" t="n">
        <v>16</v>
      </c>
      <c r="I1055" s="76" t="s">
        <v>1896</v>
      </c>
      <c r="J1055" s="76" t="n">
        <v>16</v>
      </c>
      <c r="K1055" s="76" t="s">
        <v>1896</v>
      </c>
      <c r="L1055" s="77" t="s">
        <v>1114</v>
      </c>
    </row>
    <row r="1056" customFormat="false" ht="22.35" hidden="false" customHeight="false" outlineLevel="0" collapsed="false">
      <c r="A1056" s="76" t="s">
        <v>1897</v>
      </c>
      <c r="B1056" s="76" t="s">
        <v>99</v>
      </c>
      <c r="C1056" s="76" t="s">
        <v>101</v>
      </c>
      <c r="D1056" s="76" t="s">
        <v>1189</v>
      </c>
      <c r="E1056" s="76" t="s">
        <v>1125</v>
      </c>
      <c r="F1056" s="35" t="s">
        <v>1898</v>
      </c>
      <c r="G1056" s="76" t="s">
        <v>419</v>
      </c>
      <c r="H1056" s="76"/>
      <c r="I1056" s="76" t="s">
        <v>796</v>
      </c>
      <c r="J1056" s="76"/>
      <c r="K1056" s="76" t="s">
        <v>796</v>
      </c>
      <c r="L1056" s="77" t="s">
        <v>1114</v>
      </c>
    </row>
    <row r="1057" customFormat="false" ht="22.35" hidden="false" customHeight="false" outlineLevel="0" collapsed="false">
      <c r="A1057" s="76" t="s">
        <v>1897</v>
      </c>
      <c r="B1057" s="76" t="s">
        <v>99</v>
      </c>
      <c r="C1057" s="76" t="s">
        <v>101</v>
      </c>
      <c r="D1057" s="76" t="s">
        <v>1189</v>
      </c>
      <c r="E1057" s="76" t="s">
        <v>1125</v>
      </c>
      <c r="F1057" s="35" t="s">
        <v>1898</v>
      </c>
      <c r="G1057" s="76" t="s">
        <v>796</v>
      </c>
      <c r="H1057" s="78" t="n">
        <v>2711824.05116689</v>
      </c>
      <c r="I1057" s="76" t="s">
        <v>1899</v>
      </c>
      <c r="J1057" s="78" t="n">
        <v>2711824.05116689</v>
      </c>
      <c r="K1057" s="76" t="s">
        <v>1899</v>
      </c>
      <c r="L1057" s="77" t="s">
        <v>1114</v>
      </c>
    </row>
    <row r="1058" customFormat="false" ht="22.35" hidden="false" customHeight="false" outlineLevel="0" collapsed="false">
      <c r="A1058" s="76" t="s">
        <v>1897</v>
      </c>
      <c r="B1058" s="76" t="s">
        <v>99</v>
      </c>
      <c r="C1058" s="76" t="s">
        <v>101</v>
      </c>
      <c r="D1058" s="76" t="s">
        <v>1189</v>
      </c>
      <c r="E1058" s="76" t="s">
        <v>1125</v>
      </c>
      <c r="F1058" s="35" t="s">
        <v>1898</v>
      </c>
      <c r="G1058" s="76" t="s">
        <v>797</v>
      </c>
      <c r="H1058" s="78" t="n">
        <v>425675.94883311</v>
      </c>
      <c r="I1058" s="76" t="s">
        <v>1900</v>
      </c>
      <c r="J1058" s="78" t="n">
        <v>425675.94883311</v>
      </c>
      <c r="K1058" s="76" t="s">
        <v>1900</v>
      </c>
      <c r="L1058" s="77" t="s">
        <v>1114</v>
      </c>
    </row>
    <row r="1059" customFormat="false" ht="22.35" hidden="false" customHeight="false" outlineLevel="0" collapsed="false">
      <c r="A1059" s="76" t="s">
        <v>1897</v>
      </c>
      <c r="B1059" s="76" t="s">
        <v>99</v>
      </c>
      <c r="C1059" s="76" t="s">
        <v>101</v>
      </c>
      <c r="D1059" s="76" t="s">
        <v>1189</v>
      </c>
      <c r="E1059" s="76" t="s">
        <v>1125</v>
      </c>
      <c r="F1059" s="35" t="s">
        <v>1898</v>
      </c>
      <c r="G1059" s="76" t="s">
        <v>798</v>
      </c>
      <c r="H1059" s="76"/>
      <c r="I1059" s="76" t="s">
        <v>1848</v>
      </c>
      <c r="J1059" s="78" t="n">
        <v>0.025</v>
      </c>
      <c r="K1059" s="76" t="s">
        <v>1848</v>
      </c>
      <c r="L1059" s="77" t="s">
        <v>1114</v>
      </c>
    </row>
    <row r="1060" customFormat="false" ht="22.35" hidden="false" customHeight="false" outlineLevel="0" collapsed="false">
      <c r="A1060" s="76" t="s">
        <v>1897</v>
      </c>
      <c r="B1060" s="76" t="s">
        <v>99</v>
      </c>
      <c r="C1060" s="76" t="s">
        <v>101</v>
      </c>
      <c r="D1060" s="76" t="s">
        <v>1189</v>
      </c>
      <c r="E1060" s="76" t="s">
        <v>1125</v>
      </c>
      <c r="F1060" s="35" t="s">
        <v>1898</v>
      </c>
      <c r="G1060" s="76" t="s">
        <v>799</v>
      </c>
      <c r="H1060" s="76" t="n">
        <v>3137500</v>
      </c>
      <c r="I1060" s="76" t="s">
        <v>1901</v>
      </c>
      <c r="J1060" s="76" t="n">
        <v>3137500</v>
      </c>
      <c r="K1060" s="76" t="s">
        <v>1901</v>
      </c>
      <c r="L1060" s="77" t="s">
        <v>1114</v>
      </c>
    </row>
    <row r="1061" customFormat="false" ht="22.35" hidden="false" customHeight="false" outlineLevel="0" collapsed="false">
      <c r="A1061" s="76" t="s">
        <v>1897</v>
      </c>
      <c r="B1061" s="76" t="s">
        <v>99</v>
      </c>
      <c r="C1061" s="76" t="s">
        <v>101</v>
      </c>
      <c r="D1061" s="76" t="s">
        <v>1189</v>
      </c>
      <c r="E1061" s="76" t="s">
        <v>1125</v>
      </c>
      <c r="F1061" s="35" t="s">
        <v>1898</v>
      </c>
      <c r="G1061" s="76" t="s">
        <v>794</v>
      </c>
      <c r="H1061" s="78" t="n">
        <v>425675.94883311</v>
      </c>
      <c r="I1061" s="76" t="s">
        <v>1900</v>
      </c>
      <c r="J1061" s="78" t="n">
        <v>425675.94883311</v>
      </c>
      <c r="K1061" s="76" t="s">
        <v>1900</v>
      </c>
      <c r="L1061" s="77" t="s">
        <v>1114</v>
      </c>
    </row>
    <row r="1062" customFormat="false" ht="22.35" hidden="false" customHeight="false" outlineLevel="0" collapsed="false">
      <c r="A1062" s="76" t="s">
        <v>1897</v>
      </c>
      <c r="B1062" s="76" t="s">
        <v>99</v>
      </c>
      <c r="C1062" s="76" t="s">
        <v>101</v>
      </c>
      <c r="D1062" s="76" t="s">
        <v>1189</v>
      </c>
      <c r="E1062" s="76" t="s">
        <v>1125</v>
      </c>
      <c r="F1062" s="35" t="s">
        <v>1898</v>
      </c>
      <c r="G1062" s="76" t="s">
        <v>778</v>
      </c>
      <c r="H1062" s="78" t="n">
        <v>56</v>
      </c>
      <c r="I1062" s="76" t="s">
        <v>1902</v>
      </c>
      <c r="J1062" s="76" t="n">
        <v>56</v>
      </c>
      <c r="K1062" s="76" t="s">
        <v>1902</v>
      </c>
      <c r="L1062" s="77" t="s">
        <v>1114</v>
      </c>
    </row>
    <row r="1063" customFormat="false" ht="22.35" hidden="false" customHeight="false" outlineLevel="0" collapsed="false">
      <c r="A1063" s="76" t="s">
        <v>1897</v>
      </c>
      <c r="B1063" s="76" t="s">
        <v>99</v>
      </c>
      <c r="C1063" s="76" t="s">
        <v>101</v>
      </c>
      <c r="D1063" s="76" t="s">
        <v>1189</v>
      </c>
      <c r="E1063" s="76" t="s">
        <v>1125</v>
      </c>
      <c r="F1063" s="35" t="s">
        <v>1898</v>
      </c>
      <c r="G1063" s="76" t="s">
        <v>682</v>
      </c>
      <c r="H1063" s="76"/>
      <c r="I1063" s="76"/>
      <c r="J1063" s="76"/>
      <c r="K1063" s="76"/>
      <c r="L1063" s="77" t="s">
        <v>1114</v>
      </c>
    </row>
    <row r="1064" customFormat="false" ht="22.35" hidden="false" customHeight="false" outlineLevel="0" collapsed="false">
      <c r="A1064" s="76" t="s">
        <v>1897</v>
      </c>
      <c r="B1064" s="76" t="s">
        <v>99</v>
      </c>
      <c r="C1064" s="76" t="s">
        <v>101</v>
      </c>
      <c r="D1064" s="76" t="s">
        <v>1189</v>
      </c>
      <c r="E1064" s="76" t="s">
        <v>1125</v>
      </c>
      <c r="F1064" s="35" t="s">
        <v>1898</v>
      </c>
      <c r="G1064" s="76" t="s">
        <v>800</v>
      </c>
      <c r="H1064" s="76"/>
      <c r="I1064" s="76"/>
      <c r="J1064" s="76"/>
      <c r="K1064" s="76"/>
      <c r="L1064" s="77" t="s">
        <v>1114</v>
      </c>
    </row>
    <row r="1065" customFormat="false" ht="22.35" hidden="false" customHeight="false" outlineLevel="0" collapsed="false">
      <c r="A1065" s="76" t="s">
        <v>1897</v>
      </c>
      <c r="B1065" s="76" t="s">
        <v>99</v>
      </c>
      <c r="C1065" s="76" t="s">
        <v>101</v>
      </c>
      <c r="D1065" s="76" t="s">
        <v>1189</v>
      </c>
      <c r="E1065" s="76" t="s">
        <v>1125</v>
      </c>
      <c r="F1065" s="35" t="s">
        <v>1898</v>
      </c>
      <c r="G1065" s="76" t="s">
        <v>802</v>
      </c>
      <c r="H1065" s="76"/>
      <c r="I1065" s="76"/>
      <c r="J1065" s="76"/>
      <c r="K1065" s="76"/>
      <c r="L1065" s="77" t="s">
        <v>1114</v>
      </c>
    </row>
    <row r="1066" customFormat="false" ht="22.35" hidden="false" customHeight="false" outlineLevel="0" collapsed="false">
      <c r="A1066" s="76" t="s">
        <v>1897</v>
      </c>
      <c r="B1066" s="76" t="s">
        <v>99</v>
      </c>
      <c r="C1066" s="76" t="s">
        <v>101</v>
      </c>
      <c r="D1066" s="76" t="s">
        <v>1189</v>
      </c>
      <c r="E1066" s="76" t="s">
        <v>1125</v>
      </c>
      <c r="F1066" s="35" t="s">
        <v>1898</v>
      </c>
      <c r="G1066" s="76" t="s">
        <v>803</v>
      </c>
      <c r="H1066" s="78" t="n">
        <v>3137500</v>
      </c>
      <c r="I1066" s="76" t="s">
        <v>1903</v>
      </c>
      <c r="J1066" s="76" t="n">
        <v>3137500</v>
      </c>
      <c r="K1066" s="76" t="s">
        <v>1903</v>
      </c>
      <c r="L1066" s="77" t="s">
        <v>1114</v>
      </c>
    </row>
    <row r="1067" customFormat="false" ht="22.35" hidden="false" customHeight="false" outlineLevel="0" collapsed="false">
      <c r="A1067" s="76" t="s">
        <v>1897</v>
      </c>
      <c r="B1067" s="76" t="s">
        <v>99</v>
      </c>
      <c r="C1067" s="76" t="s">
        <v>101</v>
      </c>
      <c r="D1067" s="76" t="s">
        <v>1189</v>
      </c>
      <c r="E1067" s="76" t="s">
        <v>1125</v>
      </c>
      <c r="F1067" s="35" t="s">
        <v>1898</v>
      </c>
      <c r="G1067" s="76" t="s">
        <v>434</v>
      </c>
      <c r="H1067" s="78" t="n">
        <v>7</v>
      </c>
      <c r="I1067" s="76" t="s">
        <v>1904</v>
      </c>
      <c r="J1067" s="76" t="n">
        <v>7</v>
      </c>
      <c r="K1067" s="76" t="s">
        <v>1904</v>
      </c>
      <c r="L1067" s="77" t="s">
        <v>1114</v>
      </c>
    </row>
    <row r="1068" customFormat="false" ht="22.35" hidden="false" customHeight="false" outlineLevel="0" collapsed="false">
      <c r="A1068" s="76" t="s">
        <v>1905</v>
      </c>
      <c r="B1068" s="76" t="s">
        <v>99</v>
      </c>
      <c r="C1068" s="76" t="s">
        <v>101</v>
      </c>
      <c r="D1068" s="76" t="s">
        <v>1198</v>
      </c>
      <c r="E1068" s="76" t="s">
        <v>1162</v>
      </c>
      <c r="F1068" s="35" t="s">
        <v>1906</v>
      </c>
      <c r="G1068" s="76" t="s">
        <v>419</v>
      </c>
      <c r="H1068" s="76"/>
      <c r="I1068" s="76" t="s">
        <v>796</v>
      </c>
      <c r="J1068" s="76"/>
      <c r="K1068" s="76" t="s">
        <v>796</v>
      </c>
      <c r="L1068" s="77" t="s">
        <v>1114</v>
      </c>
    </row>
    <row r="1069" customFormat="false" ht="22.35" hidden="false" customHeight="false" outlineLevel="0" collapsed="false">
      <c r="A1069" s="76" t="s">
        <v>1905</v>
      </c>
      <c r="B1069" s="76" t="s">
        <v>99</v>
      </c>
      <c r="C1069" s="76" t="s">
        <v>101</v>
      </c>
      <c r="D1069" s="76" t="s">
        <v>1198</v>
      </c>
      <c r="E1069" s="76" t="s">
        <v>1162</v>
      </c>
      <c r="F1069" s="35" t="s">
        <v>1906</v>
      </c>
      <c r="G1069" s="76" t="s">
        <v>796</v>
      </c>
      <c r="H1069" s="78" t="n">
        <v>2687843.98822562</v>
      </c>
      <c r="I1069" s="76" t="s">
        <v>1907</v>
      </c>
      <c r="J1069" s="78" t="n">
        <v>2687843.98822562</v>
      </c>
      <c r="K1069" s="76" t="s">
        <v>1907</v>
      </c>
      <c r="L1069" s="77" t="s">
        <v>1114</v>
      </c>
    </row>
    <row r="1070" customFormat="false" ht="22.35" hidden="false" customHeight="false" outlineLevel="0" collapsed="false">
      <c r="A1070" s="76" t="s">
        <v>1905</v>
      </c>
      <c r="B1070" s="76" t="s">
        <v>99</v>
      </c>
      <c r="C1070" s="76" t="s">
        <v>101</v>
      </c>
      <c r="D1070" s="76" t="s">
        <v>1198</v>
      </c>
      <c r="E1070" s="76" t="s">
        <v>1162</v>
      </c>
      <c r="F1070" s="35" t="s">
        <v>1906</v>
      </c>
      <c r="G1070" s="76" t="s">
        <v>797</v>
      </c>
      <c r="H1070" s="76"/>
      <c r="I1070" s="76"/>
      <c r="J1070" s="76"/>
      <c r="K1070" s="76"/>
      <c r="L1070" s="77" t="s">
        <v>1114</v>
      </c>
    </row>
    <row r="1071" customFormat="false" ht="22.35" hidden="false" customHeight="false" outlineLevel="0" collapsed="false">
      <c r="A1071" s="76" t="s">
        <v>1905</v>
      </c>
      <c r="B1071" s="76" t="s">
        <v>99</v>
      </c>
      <c r="C1071" s="76" t="s">
        <v>101</v>
      </c>
      <c r="D1071" s="76" t="s">
        <v>1198</v>
      </c>
      <c r="E1071" s="76" t="s">
        <v>1162</v>
      </c>
      <c r="F1071" s="35" t="s">
        <v>1906</v>
      </c>
      <c r="G1071" s="76" t="s">
        <v>798</v>
      </c>
      <c r="H1071" s="76"/>
      <c r="I1071" s="76" t="s">
        <v>1848</v>
      </c>
      <c r="J1071" s="78" t="n">
        <v>0.025</v>
      </c>
      <c r="K1071" s="76" t="s">
        <v>1848</v>
      </c>
      <c r="L1071" s="77" t="s">
        <v>1114</v>
      </c>
    </row>
    <row r="1072" customFormat="false" ht="22.35" hidden="false" customHeight="false" outlineLevel="0" collapsed="false">
      <c r="A1072" s="76" t="s">
        <v>1905</v>
      </c>
      <c r="B1072" s="76" t="s">
        <v>99</v>
      </c>
      <c r="C1072" s="76" t="s">
        <v>101</v>
      </c>
      <c r="D1072" s="76" t="s">
        <v>1198</v>
      </c>
      <c r="E1072" s="76" t="s">
        <v>1162</v>
      </c>
      <c r="F1072" s="35" t="s">
        <v>1906</v>
      </c>
      <c r="G1072" s="76" t="s">
        <v>799</v>
      </c>
      <c r="H1072" s="76" t="n">
        <v>1987500</v>
      </c>
      <c r="I1072" s="76" t="s">
        <v>1908</v>
      </c>
      <c r="J1072" s="76" t="n">
        <v>1987500</v>
      </c>
      <c r="K1072" s="76" t="s">
        <v>1908</v>
      </c>
      <c r="L1072" s="77" t="s">
        <v>1114</v>
      </c>
    </row>
    <row r="1073" customFormat="false" ht="22.35" hidden="false" customHeight="false" outlineLevel="0" collapsed="false">
      <c r="A1073" s="76" t="s">
        <v>1905</v>
      </c>
      <c r="B1073" s="76" t="s">
        <v>99</v>
      </c>
      <c r="C1073" s="76" t="s">
        <v>101</v>
      </c>
      <c r="D1073" s="76" t="s">
        <v>1198</v>
      </c>
      <c r="E1073" s="76" t="s">
        <v>1162</v>
      </c>
      <c r="F1073" s="35" t="s">
        <v>1906</v>
      </c>
      <c r="G1073" s="76" t="s">
        <v>794</v>
      </c>
      <c r="H1073" s="76"/>
      <c r="I1073" s="76" t="s">
        <v>1855</v>
      </c>
      <c r="J1073" s="76" t="s">
        <v>1855</v>
      </c>
      <c r="K1073" s="76" t="s">
        <v>1855</v>
      </c>
      <c r="L1073" s="77" t="s">
        <v>1114</v>
      </c>
    </row>
    <row r="1074" customFormat="false" ht="22.35" hidden="false" customHeight="false" outlineLevel="0" collapsed="false">
      <c r="A1074" s="76" t="s">
        <v>1905</v>
      </c>
      <c r="B1074" s="76" t="s">
        <v>99</v>
      </c>
      <c r="C1074" s="76" t="s">
        <v>101</v>
      </c>
      <c r="D1074" s="76" t="s">
        <v>1198</v>
      </c>
      <c r="E1074" s="76" t="s">
        <v>1162</v>
      </c>
      <c r="F1074" s="35" t="s">
        <v>1906</v>
      </c>
      <c r="G1074" s="76" t="s">
        <v>778</v>
      </c>
      <c r="H1074" s="78" t="n">
        <v>66</v>
      </c>
      <c r="I1074" s="76" t="s">
        <v>1385</v>
      </c>
      <c r="J1074" s="76" t="n">
        <v>66</v>
      </c>
      <c r="K1074" s="76" t="s">
        <v>1385</v>
      </c>
      <c r="L1074" s="77" t="s">
        <v>1114</v>
      </c>
    </row>
    <row r="1075" customFormat="false" ht="22.35" hidden="false" customHeight="false" outlineLevel="0" collapsed="false">
      <c r="A1075" s="76" t="s">
        <v>1905</v>
      </c>
      <c r="B1075" s="76" t="s">
        <v>99</v>
      </c>
      <c r="C1075" s="76" t="s">
        <v>101</v>
      </c>
      <c r="D1075" s="76" t="s">
        <v>1198</v>
      </c>
      <c r="E1075" s="76" t="s">
        <v>1162</v>
      </c>
      <c r="F1075" s="35" t="s">
        <v>1906</v>
      </c>
      <c r="G1075" s="76" t="s">
        <v>682</v>
      </c>
      <c r="H1075" s="78" t="n">
        <v>1497676.82876982</v>
      </c>
      <c r="I1075" s="76" t="s">
        <v>1909</v>
      </c>
      <c r="J1075" s="78" t="n">
        <v>1497676.82876982</v>
      </c>
      <c r="K1075" s="76" t="s">
        <v>1909</v>
      </c>
      <c r="L1075" s="77" t="s">
        <v>1114</v>
      </c>
    </row>
    <row r="1076" customFormat="false" ht="22.35" hidden="false" customHeight="false" outlineLevel="0" collapsed="false">
      <c r="A1076" s="76" t="s">
        <v>1905</v>
      </c>
      <c r="B1076" s="76" t="s">
        <v>99</v>
      </c>
      <c r="C1076" s="76" t="s">
        <v>101</v>
      </c>
      <c r="D1076" s="76" t="s">
        <v>1198</v>
      </c>
      <c r="E1076" s="76" t="s">
        <v>1162</v>
      </c>
      <c r="F1076" s="35" t="s">
        <v>1906</v>
      </c>
      <c r="G1076" s="76" t="s">
        <v>800</v>
      </c>
      <c r="H1076" s="76"/>
      <c r="I1076" s="76"/>
      <c r="J1076" s="76"/>
      <c r="K1076" s="76"/>
      <c r="L1076" s="77" t="s">
        <v>1114</v>
      </c>
    </row>
    <row r="1077" customFormat="false" ht="22.35" hidden="false" customHeight="false" outlineLevel="0" collapsed="false">
      <c r="A1077" s="76" t="s">
        <v>1905</v>
      </c>
      <c r="B1077" s="76" t="s">
        <v>99</v>
      </c>
      <c r="C1077" s="76" t="s">
        <v>101</v>
      </c>
      <c r="D1077" s="76" t="s">
        <v>1198</v>
      </c>
      <c r="E1077" s="76" t="s">
        <v>1162</v>
      </c>
      <c r="F1077" s="35" t="s">
        <v>1906</v>
      </c>
      <c r="G1077" s="76" t="s">
        <v>802</v>
      </c>
      <c r="H1077" s="76"/>
      <c r="I1077" s="76"/>
      <c r="J1077" s="76"/>
      <c r="K1077" s="76"/>
      <c r="L1077" s="77" t="s">
        <v>1114</v>
      </c>
    </row>
    <row r="1078" customFormat="false" ht="22.35" hidden="false" customHeight="false" outlineLevel="0" collapsed="false">
      <c r="A1078" s="76" t="s">
        <v>1905</v>
      </c>
      <c r="B1078" s="76" t="s">
        <v>99</v>
      </c>
      <c r="C1078" s="76" t="s">
        <v>101</v>
      </c>
      <c r="D1078" s="76" t="s">
        <v>1198</v>
      </c>
      <c r="E1078" s="76" t="s">
        <v>1162</v>
      </c>
      <c r="F1078" s="35" t="s">
        <v>1906</v>
      </c>
      <c r="G1078" s="76" t="s">
        <v>803</v>
      </c>
      <c r="H1078" s="78" t="n">
        <v>1987500</v>
      </c>
      <c r="I1078" s="76" t="s">
        <v>1910</v>
      </c>
      <c r="J1078" s="76" t="n">
        <v>1987500</v>
      </c>
      <c r="K1078" s="76" t="s">
        <v>1910</v>
      </c>
      <c r="L1078" s="77" t="s">
        <v>1114</v>
      </c>
    </row>
    <row r="1079" customFormat="false" ht="22.35" hidden="false" customHeight="false" outlineLevel="0" collapsed="false">
      <c r="A1079" s="76" t="s">
        <v>1905</v>
      </c>
      <c r="B1079" s="76" t="s">
        <v>99</v>
      </c>
      <c r="C1079" s="76" t="s">
        <v>101</v>
      </c>
      <c r="D1079" s="76" t="s">
        <v>1198</v>
      </c>
      <c r="E1079" s="76" t="s">
        <v>1162</v>
      </c>
      <c r="F1079" s="35" t="s">
        <v>1906</v>
      </c>
      <c r="G1079" s="76" t="s">
        <v>434</v>
      </c>
      <c r="H1079" s="78" t="n">
        <v>17</v>
      </c>
      <c r="I1079" s="76" t="s">
        <v>1363</v>
      </c>
      <c r="J1079" s="76" t="n">
        <v>17</v>
      </c>
      <c r="K1079" s="76" t="s">
        <v>1363</v>
      </c>
      <c r="L1079" s="77" t="s">
        <v>1114</v>
      </c>
    </row>
    <row r="1080" customFormat="false" ht="22.35" hidden="false" customHeight="false" outlineLevel="0" collapsed="false">
      <c r="A1080" s="76" t="s">
        <v>1911</v>
      </c>
      <c r="B1080" s="76" t="s">
        <v>99</v>
      </c>
      <c r="C1080" s="76" t="s">
        <v>101</v>
      </c>
      <c r="D1080" s="76" t="s">
        <v>1280</v>
      </c>
      <c r="E1080" s="76" t="s">
        <v>1112</v>
      </c>
      <c r="F1080" s="35" t="s">
        <v>1912</v>
      </c>
      <c r="G1080" s="76" t="s">
        <v>419</v>
      </c>
      <c r="H1080" s="76"/>
      <c r="I1080" s="76" t="s">
        <v>796</v>
      </c>
      <c r="J1080" s="76"/>
      <c r="K1080" s="76" t="s">
        <v>796</v>
      </c>
      <c r="L1080" s="77" t="s">
        <v>1114</v>
      </c>
    </row>
    <row r="1081" customFormat="false" ht="22.35" hidden="false" customHeight="false" outlineLevel="0" collapsed="false">
      <c r="A1081" s="76" t="s">
        <v>1911</v>
      </c>
      <c r="B1081" s="76" t="s">
        <v>99</v>
      </c>
      <c r="C1081" s="76" t="s">
        <v>101</v>
      </c>
      <c r="D1081" s="76" t="s">
        <v>1280</v>
      </c>
      <c r="E1081" s="76" t="s">
        <v>1112</v>
      </c>
      <c r="F1081" s="35" t="s">
        <v>1912</v>
      </c>
      <c r="G1081" s="76" t="s">
        <v>796</v>
      </c>
      <c r="H1081" s="78" t="n">
        <v>594862.596349604</v>
      </c>
      <c r="I1081" s="76" t="s">
        <v>1913</v>
      </c>
      <c r="J1081" s="78" t="n">
        <v>594862.596349604</v>
      </c>
      <c r="K1081" s="76" t="s">
        <v>1913</v>
      </c>
      <c r="L1081" s="77" t="s">
        <v>1114</v>
      </c>
    </row>
    <row r="1082" customFormat="false" ht="22.35" hidden="false" customHeight="false" outlineLevel="0" collapsed="false">
      <c r="A1082" s="76" t="s">
        <v>1911</v>
      </c>
      <c r="B1082" s="76" t="s">
        <v>99</v>
      </c>
      <c r="C1082" s="76" t="s">
        <v>101</v>
      </c>
      <c r="D1082" s="76" t="s">
        <v>1280</v>
      </c>
      <c r="E1082" s="76" t="s">
        <v>1112</v>
      </c>
      <c r="F1082" s="35" t="s">
        <v>1912</v>
      </c>
      <c r="G1082" s="76" t="s">
        <v>797</v>
      </c>
      <c r="H1082" s="78" t="n">
        <v>30137.4036503957</v>
      </c>
      <c r="I1082" s="76" t="s">
        <v>1914</v>
      </c>
      <c r="J1082" s="78" t="n">
        <v>30137.4036503957</v>
      </c>
      <c r="K1082" s="76" t="s">
        <v>1914</v>
      </c>
      <c r="L1082" s="77" t="s">
        <v>1114</v>
      </c>
    </row>
    <row r="1083" customFormat="false" ht="22.35" hidden="false" customHeight="false" outlineLevel="0" collapsed="false">
      <c r="A1083" s="76" t="s">
        <v>1911</v>
      </c>
      <c r="B1083" s="76" t="s">
        <v>99</v>
      </c>
      <c r="C1083" s="76" t="s">
        <v>101</v>
      </c>
      <c r="D1083" s="76" t="s">
        <v>1280</v>
      </c>
      <c r="E1083" s="76" t="s">
        <v>1112</v>
      </c>
      <c r="F1083" s="35" t="s">
        <v>1912</v>
      </c>
      <c r="G1083" s="76" t="s">
        <v>798</v>
      </c>
      <c r="H1083" s="76"/>
      <c r="I1083" s="76" t="s">
        <v>1848</v>
      </c>
      <c r="J1083" s="78" t="n">
        <v>0.025</v>
      </c>
      <c r="K1083" s="76" t="s">
        <v>1848</v>
      </c>
      <c r="L1083" s="77" t="s">
        <v>1114</v>
      </c>
    </row>
    <row r="1084" customFormat="false" ht="22.35" hidden="false" customHeight="false" outlineLevel="0" collapsed="false">
      <c r="A1084" s="76" t="s">
        <v>1911</v>
      </c>
      <c r="B1084" s="76" t="s">
        <v>99</v>
      </c>
      <c r="C1084" s="76" t="s">
        <v>101</v>
      </c>
      <c r="D1084" s="76" t="s">
        <v>1280</v>
      </c>
      <c r="E1084" s="76" t="s">
        <v>1112</v>
      </c>
      <c r="F1084" s="35" t="s">
        <v>1912</v>
      </c>
      <c r="G1084" s="76" t="s">
        <v>799</v>
      </c>
      <c r="H1084" s="76" t="n">
        <v>625000</v>
      </c>
      <c r="I1084" s="76" t="s">
        <v>1849</v>
      </c>
      <c r="J1084" s="76" t="n">
        <v>625000</v>
      </c>
      <c r="K1084" s="76" t="s">
        <v>1849</v>
      </c>
      <c r="L1084" s="77" t="s">
        <v>1114</v>
      </c>
    </row>
    <row r="1085" customFormat="false" ht="22.35" hidden="false" customHeight="false" outlineLevel="0" collapsed="false">
      <c r="A1085" s="76" t="s">
        <v>1911</v>
      </c>
      <c r="B1085" s="76" t="s">
        <v>99</v>
      </c>
      <c r="C1085" s="76" t="s">
        <v>101</v>
      </c>
      <c r="D1085" s="76" t="s">
        <v>1280</v>
      </c>
      <c r="E1085" s="76" t="s">
        <v>1112</v>
      </c>
      <c r="F1085" s="35" t="s">
        <v>1912</v>
      </c>
      <c r="G1085" s="76" t="s">
        <v>794</v>
      </c>
      <c r="H1085" s="78" t="n">
        <v>30137.4036503957</v>
      </c>
      <c r="I1085" s="76" t="s">
        <v>1914</v>
      </c>
      <c r="J1085" s="78" t="n">
        <v>30137.4036503957</v>
      </c>
      <c r="K1085" s="76" t="s">
        <v>1914</v>
      </c>
      <c r="L1085" s="77" t="s">
        <v>1114</v>
      </c>
    </row>
    <row r="1086" customFormat="false" ht="22.35" hidden="false" customHeight="false" outlineLevel="0" collapsed="false">
      <c r="A1086" s="76" t="s">
        <v>1911</v>
      </c>
      <c r="B1086" s="76" t="s">
        <v>99</v>
      </c>
      <c r="C1086" s="76" t="s">
        <v>101</v>
      </c>
      <c r="D1086" s="76" t="s">
        <v>1280</v>
      </c>
      <c r="E1086" s="76" t="s">
        <v>1112</v>
      </c>
      <c r="F1086" s="35" t="s">
        <v>1912</v>
      </c>
      <c r="G1086" s="76" t="s">
        <v>778</v>
      </c>
      <c r="H1086" s="78" t="n">
        <v>65</v>
      </c>
      <c r="I1086" s="76" t="s">
        <v>1850</v>
      </c>
      <c r="J1086" s="76" t="n">
        <v>65</v>
      </c>
      <c r="K1086" s="76" t="s">
        <v>1850</v>
      </c>
      <c r="L1086" s="77" t="s">
        <v>1114</v>
      </c>
    </row>
    <row r="1087" customFormat="false" ht="22.35" hidden="false" customHeight="false" outlineLevel="0" collapsed="false">
      <c r="A1087" s="76" t="s">
        <v>1911</v>
      </c>
      <c r="B1087" s="76" t="s">
        <v>99</v>
      </c>
      <c r="C1087" s="76" t="s">
        <v>101</v>
      </c>
      <c r="D1087" s="76" t="s">
        <v>1280</v>
      </c>
      <c r="E1087" s="76" t="s">
        <v>1112</v>
      </c>
      <c r="F1087" s="35" t="s">
        <v>1912</v>
      </c>
      <c r="G1087" s="76" t="s">
        <v>682</v>
      </c>
      <c r="H1087" s="78" t="n">
        <v>362587.116197687</v>
      </c>
      <c r="I1087" s="76" t="s">
        <v>1915</v>
      </c>
      <c r="J1087" s="78" t="n">
        <v>362587.116197687</v>
      </c>
      <c r="K1087" s="76" t="s">
        <v>1915</v>
      </c>
      <c r="L1087" s="77" t="s">
        <v>1114</v>
      </c>
    </row>
    <row r="1088" customFormat="false" ht="22.35" hidden="false" customHeight="false" outlineLevel="0" collapsed="false">
      <c r="A1088" s="76" t="s">
        <v>1911</v>
      </c>
      <c r="B1088" s="76" t="s">
        <v>99</v>
      </c>
      <c r="C1088" s="76" t="s">
        <v>101</v>
      </c>
      <c r="D1088" s="76" t="s">
        <v>1280</v>
      </c>
      <c r="E1088" s="76" t="s">
        <v>1112</v>
      </c>
      <c r="F1088" s="35" t="s">
        <v>1912</v>
      </c>
      <c r="G1088" s="76" t="s">
        <v>800</v>
      </c>
      <c r="H1088" s="76" t="n">
        <v>450000</v>
      </c>
      <c r="I1088" s="76" t="s">
        <v>1876</v>
      </c>
      <c r="J1088" s="76" t="n">
        <v>450000</v>
      </c>
      <c r="K1088" s="76" t="s">
        <v>1876</v>
      </c>
      <c r="L1088" s="77" t="s">
        <v>1114</v>
      </c>
    </row>
    <row r="1089" customFormat="false" ht="22.35" hidden="false" customHeight="false" outlineLevel="0" collapsed="false">
      <c r="A1089" s="76" t="s">
        <v>1911</v>
      </c>
      <c r="B1089" s="76" t="s">
        <v>99</v>
      </c>
      <c r="C1089" s="76" t="s">
        <v>101</v>
      </c>
      <c r="D1089" s="76" t="s">
        <v>1280</v>
      </c>
      <c r="E1089" s="76" t="s">
        <v>1112</v>
      </c>
      <c r="F1089" s="35" t="s">
        <v>1912</v>
      </c>
      <c r="G1089" s="76" t="s">
        <v>802</v>
      </c>
      <c r="H1089" s="78" t="n">
        <v>594862.596349604</v>
      </c>
      <c r="I1089" s="76" t="s">
        <v>1913</v>
      </c>
      <c r="J1089" s="78" t="n">
        <v>594862.596349604</v>
      </c>
      <c r="K1089" s="76" t="s">
        <v>1913</v>
      </c>
      <c r="L1089" s="77" t="s">
        <v>1114</v>
      </c>
    </row>
    <row r="1090" customFormat="false" ht="22.35" hidden="false" customHeight="false" outlineLevel="0" collapsed="false">
      <c r="A1090" s="76" t="s">
        <v>1911</v>
      </c>
      <c r="B1090" s="76" t="s">
        <v>99</v>
      </c>
      <c r="C1090" s="76" t="s">
        <v>101</v>
      </c>
      <c r="D1090" s="76" t="s">
        <v>1280</v>
      </c>
      <c r="E1090" s="76" t="s">
        <v>1112</v>
      </c>
      <c r="F1090" s="35" t="s">
        <v>1912</v>
      </c>
      <c r="G1090" s="76" t="s">
        <v>803</v>
      </c>
      <c r="H1090" s="78" t="n">
        <v>625000</v>
      </c>
      <c r="I1090" s="76" t="s">
        <v>1852</v>
      </c>
      <c r="J1090" s="76" t="n">
        <v>625000</v>
      </c>
      <c r="K1090" s="76" t="s">
        <v>1852</v>
      </c>
      <c r="L1090" s="77" t="s">
        <v>1114</v>
      </c>
    </row>
    <row r="1091" customFormat="false" ht="22.35" hidden="false" customHeight="false" outlineLevel="0" collapsed="false">
      <c r="A1091" s="76" t="s">
        <v>1911</v>
      </c>
      <c r="B1091" s="76" t="s">
        <v>99</v>
      </c>
      <c r="C1091" s="76" t="s">
        <v>101</v>
      </c>
      <c r="D1091" s="76" t="s">
        <v>1280</v>
      </c>
      <c r="E1091" s="76" t="s">
        <v>1112</v>
      </c>
      <c r="F1091" s="35" t="s">
        <v>1912</v>
      </c>
      <c r="G1091" s="76" t="s">
        <v>434</v>
      </c>
      <c r="H1091" s="78" t="n">
        <v>25</v>
      </c>
      <c r="I1091" s="76" t="s">
        <v>1488</v>
      </c>
      <c r="J1091" s="76" t="n">
        <v>25</v>
      </c>
      <c r="K1091" s="76" t="s">
        <v>1488</v>
      </c>
      <c r="L1091" s="77" t="s">
        <v>1114</v>
      </c>
    </row>
    <row r="1092" customFormat="false" ht="15" hidden="false" customHeight="false" outlineLevel="0" collapsed="false">
      <c r="A1092" s="76" t="s">
        <v>1916</v>
      </c>
      <c r="B1092" s="76" t="s">
        <v>105</v>
      </c>
      <c r="C1092" s="76" t="s">
        <v>106</v>
      </c>
      <c r="D1092" s="76" t="s">
        <v>1111</v>
      </c>
      <c r="E1092" s="76" t="s">
        <v>1112</v>
      </c>
      <c r="F1092" s="35" t="s">
        <v>1917</v>
      </c>
      <c r="G1092" s="76" t="s">
        <v>419</v>
      </c>
      <c r="H1092" s="76"/>
      <c r="I1092" s="76" t="s">
        <v>819</v>
      </c>
      <c r="J1092" s="76"/>
      <c r="K1092" s="76" t="s">
        <v>819</v>
      </c>
      <c r="L1092" s="77" t="s">
        <v>1114</v>
      </c>
    </row>
    <row r="1093" customFormat="false" ht="15" hidden="false" customHeight="false" outlineLevel="0" collapsed="false">
      <c r="A1093" s="76" t="s">
        <v>1916</v>
      </c>
      <c r="B1093" s="76" t="s">
        <v>105</v>
      </c>
      <c r="C1093" s="76" t="s">
        <v>106</v>
      </c>
      <c r="D1093" s="76" t="s">
        <v>1111</v>
      </c>
      <c r="E1093" s="76" t="s">
        <v>1112</v>
      </c>
      <c r="F1093" s="35" t="s">
        <v>1917</v>
      </c>
      <c r="G1093" s="76" t="s">
        <v>819</v>
      </c>
      <c r="H1093" s="78" t="n">
        <v>54572.4754132493</v>
      </c>
      <c r="I1093" s="76" t="s">
        <v>1918</v>
      </c>
      <c r="J1093" s="78" t="n">
        <v>54572.4754132493</v>
      </c>
      <c r="K1093" s="76" t="s">
        <v>1918</v>
      </c>
      <c r="L1093" s="77" t="s">
        <v>1114</v>
      </c>
    </row>
    <row r="1094" customFormat="false" ht="15" hidden="false" customHeight="false" outlineLevel="0" collapsed="false">
      <c r="A1094" s="76" t="s">
        <v>1916</v>
      </c>
      <c r="B1094" s="76" t="s">
        <v>105</v>
      </c>
      <c r="C1094" s="76" t="s">
        <v>106</v>
      </c>
      <c r="D1094" s="76" t="s">
        <v>1111</v>
      </c>
      <c r="E1094" s="76" t="s">
        <v>1112</v>
      </c>
      <c r="F1094" s="35" t="s">
        <v>1917</v>
      </c>
      <c r="G1094" s="76" t="s">
        <v>816</v>
      </c>
      <c r="H1094" s="76" t="n">
        <v>100</v>
      </c>
      <c r="I1094" s="76" t="s">
        <v>1388</v>
      </c>
      <c r="J1094" s="76" t="n">
        <v>100</v>
      </c>
      <c r="K1094" s="76" t="s">
        <v>1388</v>
      </c>
      <c r="L1094" s="77" t="s">
        <v>1114</v>
      </c>
    </row>
    <row r="1095" customFormat="false" ht="15" hidden="false" customHeight="false" outlineLevel="0" collapsed="false">
      <c r="A1095" s="76" t="s">
        <v>1916</v>
      </c>
      <c r="B1095" s="76" t="s">
        <v>105</v>
      </c>
      <c r="C1095" s="76" t="s">
        <v>106</v>
      </c>
      <c r="D1095" s="76" t="s">
        <v>1111</v>
      </c>
      <c r="E1095" s="76" t="s">
        <v>1112</v>
      </c>
      <c r="F1095" s="35" t="s">
        <v>1917</v>
      </c>
      <c r="G1095" s="76" t="s">
        <v>821</v>
      </c>
      <c r="H1095" s="76" t="n">
        <v>60</v>
      </c>
      <c r="I1095" s="76" t="s">
        <v>1919</v>
      </c>
      <c r="J1095" s="76" t="n">
        <v>60</v>
      </c>
      <c r="K1095" s="76" t="s">
        <v>1919</v>
      </c>
      <c r="L1095" s="77" t="s">
        <v>1114</v>
      </c>
    </row>
    <row r="1096" customFormat="false" ht="15" hidden="false" customHeight="false" outlineLevel="0" collapsed="false">
      <c r="A1096" s="76" t="s">
        <v>1916</v>
      </c>
      <c r="B1096" s="76" t="s">
        <v>105</v>
      </c>
      <c r="C1096" s="76" t="s">
        <v>106</v>
      </c>
      <c r="D1096" s="76" t="s">
        <v>1111</v>
      </c>
      <c r="E1096" s="76" t="s">
        <v>1112</v>
      </c>
      <c r="F1096" s="35" t="s">
        <v>1917</v>
      </c>
      <c r="G1096" s="76" t="s">
        <v>682</v>
      </c>
      <c r="H1096" s="78" t="n">
        <v>33263.608445521</v>
      </c>
      <c r="I1096" s="76" t="s">
        <v>1920</v>
      </c>
      <c r="J1096" s="78" t="n">
        <v>33263.608445521</v>
      </c>
      <c r="K1096" s="76" t="s">
        <v>1920</v>
      </c>
      <c r="L1096" s="77" t="s">
        <v>1114</v>
      </c>
    </row>
    <row r="1097" customFormat="false" ht="15" hidden="false" customHeight="false" outlineLevel="0" collapsed="false">
      <c r="A1097" s="76" t="s">
        <v>1916</v>
      </c>
      <c r="B1097" s="76" t="s">
        <v>105</v>
      </c>
      <c r="C1097" s="76" t="s">
        <v>106</v>
      </c>
      <c r="D1097" s="76" t="s">
        <v>1111</v>
      </c>
      <c r="E1097" s="76" t="s">
        <v>1112</v>
      </c>
      <c r="F1097" s="35" t="s">
        <v>1917</v>
      </c>
      <c r="G1097" s="76" t="s">
        <v>823</v>
      </c>
      <c r="H1097" s="78" t="n">
        <v>54572</v>
      </c>
      <c r="I1097" s="76" t="s">
        <v>1921</v>
      </c>
      <c r="J1097" s="76" t="n">
        <v>54572</v>
      </c>
      <c r="K1097" s="76" t="s">
        <v>1921</v>
      </c>
      <c r="L1097" s="77" t="s">
        <v>1114</v>
      </c>
    </row>
    <row r="1098" customFormat="false" ht="15" hidden="false" customHeight="false" outlineLevel="0" collapsed="false">
      <c r="A1098" s="76" t="s">
        <v>1916</v>
      </c>
      <c r="B1098" s="76" t="s">
        <v>105</v>
      </c>
      <c r="C1098" s="76" t="s">
        <v>106</v>
      </c>
      <c r="D1098" s="76" t="s">
        <v>1111</v>
      </c>
      <c r="E1098" s="76" t="s">
        <v>1112</v>
      </c>
      <c r="F1098" s="35" t="s">
        <v>1917</v>
      </c>
      <c r="G1098" s="76" t="s">
        <v>434</v>
      </c>
      <c r="H1098" s="78" t="n">
        <v>25</v>
      </c>
      <c r="I1098" s="76" t="s">
        <v>1488</v>
      </c>
      <c r="J1098" s="76" t="n">
        <v>25</v>
      </c>
      <c r="K1098" s="76" t="s">
        <v>1488</v>
      </c>
      <c r="L1098" s="77" t="s">
        <v>1114</v>
      </c>
    </row>
    <row r="1099" customFormat="false" ht="15" hidden="false" customHeight="false" outlineLevel="0" collapsed="false">
      <c r="A1099" s="76" t="s">
        <v>1922</v>
      </c>
      <c r="B1099" s="76" t="s">
        <v>105</v>
      </c>
      <c r="C1099" s="76" t="s">
        <v>106</v>
      </c>
      <c r="D1099" s="76" t="s">
        <v>1124</v>
      </c>
      <c r="E1099" s="76" t="s">
        <v>1125</v>
      </c>
      <c r="F1099" s="35" t="s">
        <v>1923</v>
      </c>
      <c r="G1099" s="76" t="s">
        <v>419</v>
      </c>
      <c r="H1099" s="76"/>
      <c r="I1099" s="76" t="s">
        <v>819</v>
      </c>
      <c r="J1099" s="76"/>
      <c r="K1099" s="76" t="s">
        <v>819</v>
      </c>
      <c r="L1099" s="77" t="s">
        <v>1114</v>
      </c>
    </row>
    <row r="1100" customFormat="false" ht="15" hidden="false" customHeight="false" outlineLevel="0" collapsed="false">
      <c r="A1100" s="76" t="s">
        <v>1922</v>
      </c>
      <c r="B1100" s="76" t="s">
        <v>105</v>
      </c>
      <c r="C1100" s="76" t="s">
        <v>106</v>
      </c>
      <c r="D1100" s="76" t="s">
        <v>1124</v>
      </c>
      <c r="E1100" s="76" t="s">
        <v>1125</v>
      </c>
      <c r="F1100" s="35" t="s">
        <v>1923</v>
      </c>
      <c r="G1100" s="76" t="s">
        <v>819</v>
      </c>
      <c r="H1100" s="78" t="n">
        <v>75.3431324240679</v>
      </c>
      <c r="I1100" s="76" t="s">
        <v>1924</v>
      </c>
      <c r="J1100" s="78" t="n">
        <v>75.3431324240679</v>
      </c>
      <c r="K1100" s="76" t="s">
        <v>1924</v>
      </c>
      <c r="L1100" s="77" t="s">
        <v>1114</v>
      </c>
    </row>
    <row r="1101" customFormat="false" ht="15" hidden="false" customHeight="false" outlineLevel="0" collapsed="false">
      <c r="A1101" s="76" t="s">
        <v>1922</v>
      </c>
      <c r="B1101" s="76" t="s">
        <v>105</v>
      </c>
      <c r="C1101" s="76" t="s">
        <v>106</v>
      </c>
      <c r="D1101" s="76" t="s">
        <v>1124</v>
      </c>
      <c r="E1101" s="76" t="s">
        <v>1125</v>
      </c>
      <c r="F1101" s="35" t="s">
        <v>1923</v>
      </c>
      <c r="G1101" s="76" t="s">
        <v>816</v>
      </c>
      <c r="H1101" s="78" t="n">
        <v>6.25</v>
      </c>
      <c r="I1101" s="76" t="s">
        <v>1925</v>
      </c>
      <c r="J1101" s="78" t="n">
        <v>6.25</v>
      </c>
      <c r="K1101" s="76" t="s">
        <v>1925</v>
      </c>
      <c r="L1101" s="77" t="s">
        <v>1114</v>
      </c>
    </row>
    <row r="1102" customFormat="false" ht="15" hidden="false" customHeight="false" outlineLevel="0" collapsed="false">
      <c r="A1102" s="76" t="s">
        <v>1922</v>
      </c>
      <c r="B1102" s="76" t="s">
        <v>105</v>
      </c>
      <c r="C1102" s="76" t="s">
        <v>106</v>
      </c>
      <c r="D1102" s="76" t="s">
        <v>1124</v>
      </c>
      <c r="E1102" s="76" t="s">
        <v>1125</v>
      </c>
      <c r="F1102" s="35" t="s">
        <v>1923</v>
      </c>
      <c r="G1102" s="76" t="s">
        <v>821</v>
      </c>
      <c r="H1102" s="76" t="n">
        <v>5</v>
      </c>
      <c r="I1102" s="76" t="s">
        <v>1926</v>
      </c>
      <c r="J1102" s="76" t="n">
        <v>5</v>
      </c>
      <c r="K1102" s="76" t="s">
        <v>1926</v>
      </c>
      <c r="L1102" s="77" t="s">
        <v>1114</v>
      </c>
    </row>
    <row r="1103" customFormat="false" ht="15" hidden="false" customHeight="false" outlineLevel="0" collapsed="false">
      <c r="A1103" s="76" t="s">
        <v>1922</v>
      </c>
      <c r="B1103" s="76" t="s">
        <v>105</v>
      </c>
      <c r="C1103" s="76" t="s">
        <v>106</v>
      </c>
      <c r="D1103" s="76" t="s">
        <v>1124</v>
      </c>
      <c r="E1103" s="76" t="s">
        <v>1125</v>
      </c>
      <c r="F1103" s="35" t="s">
        <v>1923</v>
      </c>
      <c r="G1103" s="76" t="s">
        <v>682</v>
      </c>
      <c r="H1103" s="76"/>
      <c r="I1103" s="76"/>
      <c r="J1103" s="76"/>
      <c r="K1103" s="76"/>
      <c r="L1103" s="77" t="s">
        <v>1114</v>
      </c>
    </row>
    <row r="1104" customFormat="false" ht="15" hidden="false" customHeight="false" outlineLevel="0" collapsed="false">
      <c r="A1104" s="76" t="s">
        <v>1922</v>
      </c>
      <c r="B1104" s="76" t="s">
        <v>105</v>
      </c>
      <c r="C1104" s="76" t="s">
        <v>106</v>
      </c>
      <c r="D1104" s="76" t="s">
        <v>1124</v>
      </c>
      <c r="E1104" s="76" t="s">
        <v>1125</v>
      </c>
      <c r="F1104" s="35" t="s">
        <v>1923</v>
      </c>
      <c r="G1104" s="76" t="s">
        <v>823</v>
      </c>
      <c r="H1104" s="78" t="n">
        <v>75</v>
      </c>
      <c r="I1104" s="76" t="s">
        <v>1927</v>
      </c>
      <c r="J1104" s="76" t="n">
        <v>75</v>
      </c>
      <c r="K1104" s="76" t="s">
        <v>1927</v>
      </c>
      <c r="L1104" s="77" t="s">
        <v>1114</v>
      </c>
    </row>
    <row r="1105" customFormat="false" ht="15" hidden="false" customHeight="false" outlineLevel="0" collapsed="false">
      <c r="A1105" s="76" t="s">
        <v>1922</v>
      </c>
      <c r="B1105" s="76" t="s">
        <v>105</v>
      </c>
      <c r="C1105" s="76" t="s">
        <v>106</v>
      </c>
      <c r="D1105" s="76" t="s">
        <v>1124</v>
      </c>
      <c r="E1105" s="76" t="s">
        <v>1125</v>
      </c>
      <c r="F1105" s="35" t="s">
        <v>1923</v>
      </c>
      <c r="G1105" s="76" t="s">
        <v>434</v>
      </c>
      <c r="H1105" s="78" t="n">
        <v>1</v>
      </c>
      <c r="I1105" s="76" t="s">
        <v>1297</v>
      </c>
      <c r="J1105" s="76" t="n">
        <v>1</v>
      </c>
      <c r="K1105" s="76" t="s">
        <v>1297</v>
      </c>
      <c r="L1105" s="77" t="s">
        <v>1114</v>
      </c>
    </row>
    <row r="1106" customFormat="false" ht="15" hidden="false" customHeight="false" outlineLevel="0" collapsed="false">
      <c r="A1106" s="76" t="s">
        <v>1928</v>
      </c>
      <c r="B1106" s="76" t="s">
        <v>105</v>
      </c>
      <c r="C1106" s="76" t="s">
        <v>106</v>
      </c>
      <c r="D1106" s="76" t="s">
        <v>1132</v>
      </c>
      <c r="E1106" s="76" t="s">
        <v>1133</v>
      </c>
      <c r="F1106" s="35" t="s">
        <v>1929</v>
      </c>
      <c r="G1106" s="76" t="s">
        <v>419</v>
      </c>
      <c r="H1106" s="76"/>
      <c r="I1106" s="76" t="s">
        <v>819</v>
      </c>
      <c r="J1106" s="76"/>
      <c r="K1106" s="76" t="s">
        <v>819</v>
      </c>
      <c r="L1106" s="77" t="s">
        <v>1114</v>
      </c>
    </row>
    <row r="1107" customFormat="false" ht="15" hidden="false" customHeight="false" outlineLevel="0" collapsed="false">
      <c r="A1107" s="76" t="s">
        <v>1928</v>
      </c>
      <c r="B1107" s="76" t="s">
        <v>105</v>
      </c>
      <c r="C1107" s="76" t="s">
        <v>106</v>
      </c>
      <c r="D1107" s="76" t="s">
        <v>1132</v>
      </c>
      <c r="E1107" s="76" t="s">
        <v>1133</v>
      </c>
      <c r="F1107" s="35" t="s">
        <v>1929</v>
      </c>
      <c r="G1107" s="76" t="s">
        <v>819</v>
      </c>
      <c r="H1107" s="78" t="n">
        <v>7370127.86937915</v>
      </c>
      <c r="I1107" s="76" t="s">
        <v>1930</v>
      </c>
      <c r="J1107" s="78" t="n">
        <v>7370127.86937915</v>
      </c>
      <c r="K1107" s="76" t="s">
        <v>1930</v>
      </c>
      <c r="L1107" s="77" t="s">
        <v>1114</v>
      </c>
    </row>
    <row r="1108" customFormat="false" ht="15" hidden="false" customHeight="false" outlineLevel="0" collapsed="false">
      <c r="A1108" s="76" t="s">
        <v>1928</v>
      </c>
      <c r="B1108" s="76" t="s">
        <v>105</v>
      </c>
      <c r="C1108" s="76" t="s">
        <v>106</v>
      </c>
      <c r="D1108" s="76" t="s">
        <v>1132</v>
      </c>
      <c r="E1108" s="76" t="s">
        <v>1133</v>
      </c>
      <c r="F1108" s="35" t="s">
        <v>1929</v>
      </c>
      <c r="G1108" s="76" t="s">
        <v>816</v>
      </c>
      <c r="H1108" s="78" t="n">
        <v>2083.33333333333</v>
      </c>
      <c r="I1108" s="76" t="s">
        <v>1931</v>
      </c>
      <c r="J1108" s="78" t="n">
        <v>2083.33333333333</v>
      </c>
      <c r="K1108" s="76" t="s">
        <v>1931</v>
      </c>
      <c r="L1108" s="77" t="s">
        <v>1114</v>
      </c>
    </row>
    <row r="1109" customFormat="false" ht="15" hidden="false" customHeight="false" outlineLevel="0" collapsed="false">
      <c r="A1109" s="76" t="s">
        <v>1928</v>
      </c>
      <c r="B1109" s="76" t="s">
        <v>105</v>
      </c>
      <c r="C1109" s="76" t="s">
        <v>106</v>
      </c>
      <c r="D1109" s="76" t="s">
        <v>1132</v>
      </c>
      <c r="E1109" s="76" t="s">
        <v>1133</v>
      </c>
      <c r="F1109" s="35" t="s">
        <v>1929</v>
      </c>
      <c r="G1109" s="76" t="s">
        <v>821</v>
      </c>
      <c r="H1109" s="76" t="n">
        <v>1250</v>
      </c>
      <c r="I1109" s="76" t="s">
        <v>1932</v>
      </c>
      <c r="J1109" s="76" t="n">
        <v>1250</v>
      </c>
      <c r="K1109" s="76" t="s">
        <v>1932</v>
      </c>
      <c r="L1109" s="77" t="s">
        <v>1114</v>
      </c>
    </row>
    <row r="1110" customFormat="false" ht="15" hidden="false" customHeight="false" outlineLevel="0" collapsed="false">
      <c r="A1110" s="76" t="s">
        <v>1928</v>
      </c>
      <c r="B1110" s="76" t="s">
        <v>105</v>
      </c>
      <c r="C1110" s="76" t="s">
        <v>106</v>
      </c>
      <c r="D1110" s="76" t="s">
        <v>1132</v>
      </c>
      <c r="E1110" s="76" t="s">
        <v>1133</v>
      </c>
      <c r="F1110" s="35" t="s">
        <v>1929</v>
      </c>
      <c r="G1110" s="76" t="s">
        <v>682</v>
      </c>
      <c r="H1110" s="78" t="n">
        <v>1567325.79809022</v>
      </c>
      <c r="I1110" s="76" t="s">
        <v>1933</v>
      </c>
      <c r="J1110" s="78" t="n">
        <v>1567325.79809022</v>
      </c>
      <c r="K1110" s="76" t="s">
        <v>1933</v>
      </c>
      <c r="L1110" s="77" t="s">
        <v>1114</v>
      </c>
    </row>
    <row r="1111" customFormat="false" ht="15" hidden="false" customHeight="false" outlineLevel="0" collapsed="false">
      <c r="A1111" s="76" t="s">
        <v>1928</v>
      </c>
      <c r="B1111" s="76" t="s">
        <v>105</v>
      </c>
      <c r="C1111" s="76" t="s">
        <v>106</v>
      </c>
      <c r="D1111" s="76" t="s">
        <v>1132</v>
      </c>
      <c r="E1111" s="76" t="s">
        <v>1133</v>
      </c>
      <c r="F1111" s="35" t="s">
        <v>1929</v>
      </c>
      <c r="G1111" s="76" t="s">
        <v>823</v>
      </c>
      <c r="H1111" s="78" t="n">
        <v>7370128</v>
      </c>
      <c r="I1111" s="76" t="s">
        <v>1934</v>
      </c>
      <c r="J1111" s="76" t="n">
        <v>7370128</v>
      </c>
      <c r="K1111" s="76" t="s">
        <v>1934</v>
      </c>
      <c r="L1111" s="77" t="s">
        <v>1114</v>
      </c>
    </row>
    <row r="1112" customFormat="false" ht="15" hidden="false" customHeight="false" outlineLevel="0" collapsed="false">
      <c r="A1112" s="76" t="s">
        <v>1928</v>
      </c>
      <c r="B1112" s="76" t="s">
        <v>105</v>
      </c>
      <c r="C1112" s="76" t="s">
        <v>106</v>
      </c>
      <c r="D1112" s="76" t="s">
        <v>1132</v>
      </c>
      <c r="E1112" s="76" t="s">
        <v>1133</v>
      </c>
      <c r="F1112" s="35" t="s">
        <v>1929</v>
      </c>
      <c r="G1112" s="76" t="s">
        <v>434</v>
      </c>
      <c r="H1112" s="78" t="n">
        <v>45</v>
      </c>
      <c r="I1112" s="76" t="s">
        <v>1935</v>
      </c>
      <c r="J1112" s="76" t="n">
        <v>45</v>
      </c>
      <c r="K1112" s="76" t="s">
        <v>1935</v>
      </c>
      <c r="L1112" s="77" t="s">
        <v>1114</v>
      </c>
    </row>
    <row r="1113" customFormat="false" ht="15" hidden="false" customHeight="false" outlineLevel="0" collapsed="false">
      <c r="A1113" s="76" t="s">
        <v>1936</v>
      </c>
      <c r="B1113" s="76" t="s">
        <v>105</v>
      </c>
      <c r="C1113" s="76" t="s">
        <v>106</v>
      </c>
      <c r="D1113" s="76" t="s">
        <v>1141</v>
      </c>
      <c r="E1113" s="76" t="s">
        <v>1142</v>
      </c>
      <c r="F1113" s="35" t="s">
        <v>1937</v>
      </c>
      <c r="G1113" s="76" t="s">
        <v>419</v>
      </c>
      <c r="H1113" s="76"/>
      <c r="I1113" s="76" t="s">
        <v>819</v>
      </c>
      <c r="J1113" s="76"/>
      <c r="K1113" s="76" t="s">
        <v>819</v>
      </c>
      <c r="L1113" s="77" t="s">
        <v>1114</v>
      </c>
    </row>
    <row r="1114" customFormat="false" ht="15" hidden="false" customHeight="false" outlineLevel="0" collapsed="false">
      <c r="A1114" s="76" t="s">
        <v>1936</v>
      </c>
      <c r="B1114" s="76" t="s">
        <v>105</v>
      </c>
      <c r="C1114" s="76" t="s">
        <v>106</v>
      </c>
      <c r="D1114" s="76" t="s">
        <v>1141</v>
      </c>
      <c r="E1114" s="76" t="s">
        <v>1142</v>
      </c>
      <c r="F1114" s="35" t="s">
        <v>1937</v>
      </c>
      <c r="G1114" s="76" t="s">
        <v>819</v>
      </c>
      <c r="H1114" s="78" t="n">
        <v>92153.9240383567</v>
      </c>
      <c r="I1114" s="76" t="s">
        <v>1938</v>
      </c>
      <c r="J1114" s="78" t="n">
        <v>92153.9240383567</v>
      </c>
      <c r="K1114" s="76" t="s">
        <v>1938</v>
      </c>
      <c r="L1114" s="77" t="s">
        <v>1114</v>
      </c>
    </row>
    <row r="1115" customFormat="false" ht="15" hidden="false" customHeight="false" outlineLevel="0" collapsed="false">
      <c r="A1115" s="76" t="s">
        <v>1936</v>
      </c>
      <c r="B1115" s="76" t="s">
        <v>105</v>
      </c>
      <c r="C1115" s="76" t="s">
        <v>106</v>
      </c>
      <c r="D1115" s="76" t="s">
        <v>1141</v>
      </c>
      <c r="E1115" s="76" t="s">
        <v>1142</v>
      </c>
      <c r="F1115" s="35" t="s">
        <v>1937</v>
      </c>
      <c r="G1115" s="76" t="s">
        <v>816</v>
      </c>
      <c r="H1115" s="78" t="n">
        <v>397.5</v>
      </c>
      <c r="I1115" s="76" t="s">
        <v>1939</v>
      </c>
      <c r="J1115" s="78" t="n">
        <v>397.5</v>
      </c>
      <c r="K1115" s="76" t="s">
        <v>1939</v>
      </c>
      <c r="L1115" s="77" t="s">
        <v>1114</v>
      </c>
    </row>
    <row r="1116" customFormat="false" ht="15" hidden="false" customHeight="false" outlineLevel="0" collapsed="false">
      <c r="A1116" s="76" t="s">
        <v>1936</v>
      </c>
      <c r="B1116" s="76" t="s">
        <v>105</v>
      </c>
      <c r="C1116" s="76" t="s">
        <v>106</v>
      </c>
      <c r="D1116" s="76" t="s">
        <v>1141</v>
      </c>
      <c r="E1116" s="76" t="s">
        <v>1142</v>
      </c>
      <c r="F1116" s="35" t="s">
        <v>1937</v>
      </c>
      <c r="G1116" s="76" t="s">
        <v>821</v>
      </c>
      <c r="H1116" s="76" t="n">
        <v>318</v>
      </c>
      <c r="I1116" s="76" t="s">
        <v>1940</v>
      </c>
      <c r="J1116" s="76" t="n">
        <v>318</v>
      </c>
      <c r="K1116" s="76" t="s">
        <v>1940</v>
      </c>
      <c r="L1116" s="77" t="s">
        <v>1114</v>
      </c>
    </row>
    <row r="1117" customFormat="false" ht="15" hidden="false" customHeight="false" outlineLevel="0" collapsed="false">
      <c r="A1117" s="76" t="s">
        <v>1936</v>
      </c>
      <c r="B1117" s="76" t="s">
        <v>105</v>
      </c>
      <c r="C1117" s="76" t="s">
        <v>106</v>
      </c>
      <c r="D1117" s="76" t="s">
        <v>1141</v>
      </c>
      <c r="E1117" s="76" t="s">
        <v>1142</v>
      </c>
      <c r="F1117" s="35" t="s">
        <v>1937</v>
      </c>
      <c r="G1117" s="76" t="s">
        <v>682</v>
      </c>
      <c r="H1117" s="78" t="n">
        <v>63033.0330394112</v>
      </c>
      <c r="I1117" s="76" t="s">
        <v>1941</v>
      </c>
      <c r="J1117" s="78" t="n">
        <v>63033.0330394112</v>
      </c>
      <c r="K1117" s="76" t="s">
        <v>1941</v>
      </c>
      <c r="L1117" s="77" t="s">
        <v>1114</v>
      </c>
    </row>
    <row r="1118" customFormat="false" ht="15" hidden="false" customHeight="false" outlineLevel="0" collapsed="false">
      <c r="A1118" s="76" t="s">
        <v>1936</v>
      </c>
      <c r="B1118" s="76" t="s">
        <v>105</v>
      </c>
      <c r="C1118" s="76" t="s">
        <v>106</v>
      </c>
      <c r="D1118" s="76" t="s">
        <v>1141</v>
      </c>
      <c r="E1118" s="76" t="s">
        <v>1142</v>
      </c>
      <c r="F1118" s="35" t="s">
        <v>1937</v>
      </c>
      <c r="G1118" s="76" t="s">
        <v>823</v>
      </c>
      <c r="H1118" s="78" t="n">
        <v>92154</v>
      </c>
      <c r="I1118" s="76" t="s">
        <v>1942</v>
      </c>
      <c r="J1118" s="76" t="n">
        <v>92154</v>
      </c>
      <c r="K1118" s="76" t="s">
        <v>1942</v>
      </c>
      <c r="L1118" s="77" t="s">
        <v>1114</v>
      </c>
    </row>
    <row r="1119" customFormat="false" ht="15" hidden="false" customHeight="false" outlineLevel="0" collapsed="false">
      <c r="A1119" s="76" t="s">
        <v>1936</v>
      </c>
      <c r="B1119" s="76" t="s">
        <v>105</v>
      </c>
      <c r="C1119" s="76" t="s">
        <v>106</v>
      </c>
      <c r="D1119" s="76" t="s">
        <v>1141</v>
      </c>
      <c r="E1119" s="76" t="s">
        <v>1142</v>
      </c>
      <c r="F1119" s="35" t="s">
        <v>1937</v>
      </c>
      <c r="G1119" s="76" t="s">
        <v>434</v>
      </c>
      <c r="H1119" s="78" t="n">
        <v>14</v>
      </c>
      <c r="I1119" s="76" t="s">
        <v>1408</v>
      </c>
      <c r="J1119" s="76" t="n">
        <v>14</v>
      </c>
      <c r="K1119" s="76" t="s">
        <v>1408</v>
      </c>
      <c r="L1119" s="77" t="s">
        <v>1114</v>
      </c>
    </row>
    <row r="1120" customFormat="false" ht="15" hidden="false" customHeight="false" outlineLevel="0" collapsed="false">
      <c r="A1120" s="76" t="s">
        <v>1943</v>
      </c>
      <c r="B1120" s="76" t="s">
        <v>105</v>
      </c>
      <c r="C1120" s="76" t="s">
        <v>106</v>
      </c>
      <c r="D1120" s="76" t="s">
        <v>1161</v>
      </c>
      <c r="E1120" s="76" t="s">
        <v>1162</v>
      </c>
      <c r="F1120" s="35" t="s">
        <v>1944</v>
      </c>
      <c r="G1120" s="76" t="s">
        <v>419</v>
      </c>
      <c r="H1120" s="76"/>
      <c r="I1120" s="76" t="s">
        <v>819</v>
      </c>
      <c r="J1120" s="76"/>
      <c r="K1120" s="76" t="s">
        <v>819</v>
      </c>
      <c r="L1120" s="77" t="s">
        <v>1114</v>
      </c>
    </row>
    <row r="1121" customFormat="false" ht="15" hidden="false" customHeight="false" outlineLevel="0" collapsed="false">
      <c r="A1121" s="76" t="s">
        <v>1943</v>
      </c>
      <c r="B1121" s="76" t="s">
        <v>105</v>
      </c>
      <c r="C1121" s="76" t="s">
        <v>106</v>
      </c>
      <c r="D1121" s="76" t="s">
        <v>1161</v>
      </c>
      <c r="E1121" s="76" t="s">
        <v>1162</v>
      </c>
      <c r="F1121" s="35" t="s">
        <v>1944</v>
      </c>
      <c r="G1121" s="76" t="s">
        <v>819</v>
      </c>
      <c r="H1121" s="78" t="n">
        <v>33138.9297958973</v>
      </c>
      <c r="I1121" s="76" t="s">
        <v>1945</v>
      </c>
      <c r="J1121" s="78" t="n">
        <v>33138.9297958973</v>
      </c>
      <c r="K1121" s="76" t="s">
        <v>1945</v>
      </c>
      <c r="L1121" s="77" t="s">
        <v>1114</v>
      </c>
    </row>
    <row r="1122" customFormat="false" ht="15" hidden="false" customHeight="false" outlineLevel="0" collapsed="false">
      <c r="A1122" s="76" t="s">
        <v>1943</v>
      </c>
      <c r="B1122" s="76" t="s">
        <v>105</v>
      </c>
      <c r="C1122" s="76" t="s">
        <v>106</v>
      </c>
      <c r="D1122" s="76" t="s">
        <v>1161</v>
      </c>
      <c r="E1122" s="76" t="s">
        <v>1162</v>
      </c>
      <c r="F1122" s="35" t="s">
        <v>1944</v>
      </c>
      <c r="G1122" s="76" t="s">
        <v>816</v>
      </c>
      <c r="H1122" s="76" t="n">
        <v>175</v>
      </c>
      <c r="I1122" s="76" t="s">
        <v>1946</v>
      </c>
      <c r="J1122" s="76" t="n">
        <v>175</v>
      </c>
      <c r="K1122" s="76" t="s">
        <v>1946</v>
      </c>
      <c r="L1122" s="77" t="s">
        <v>1114</v>
      </c>
    </row>
    <row r="1123" customFormat="false" ht="15" hidden="false" customHeight="false" outlineLevel="0" collapsed="false">
      <c r="A1123" s="76" t="s">
        <v>1943</v>
      </c>
      <c r="B1123" s="76" t="s">
        <v>105</v>
      </c>
      <c r="C1123" s="76" t="s">
        <v>106</v>
      </c>
      <c r="D1123" s="76" t="s">
        <v>1161</v>
      </c>
      <c r="E1123" s="76" t="s">
        <v>1162</v>
      </c>
      <c r="F1123" s="35" t="s">
        <v>1944</v>
      </c>
      <c r="G1123" s="76" t="s">
        <v>821</v>
      </c>
      <c r="H1123" s="76" t="n">
        <v>105</v>
      </c>
      <c r="I1123" s="76" t="s">
        <v>1947</v>
      </c>
      <c r="J1123" s="76" t="n">
        <v>105</v>
      </c>
      <c r="K1123" s="76" t="s">
        <v>1947</v>
      </c>
      <c r="L1123" s="77" t="s">
        <v>1114</v>
      </c>
    </row>
    <row r="1124" customFormat="false" ht="15" hidden="false" customHeight="false" outlineLevel="0" collapsed="false">
      <c r="A1124" s="76" t="s">
        <v>1943</v>
      </c>
      <c r="B1124" s="76" t="s">
        <v>105</v>
      </c>
      <c r="C1124" s="76" t="s">
        <v>106</v>
      </c>
      <c r="D1124" s="76" t="s">
        <v>1161</v>
      </c>
      <c r="E1124" s="76" t="s">
        <v>1162</v>
      </c>
      <c r="F1124" s="35" t="s">
        <v>1944</v>
      </c>
      <c r="G1124" s="76" t="s">
        <v>682</v>
      </c>
      <c r="H1124" s="78" t="n">
        <v>21930.7902621008</v>
      </c>
      <c r="I1124" s="76" t="s">
        <v>1948</v>
      </c>
      <c r="J1124" s="78" t="n">
        <v>21930.7902621008</v>
      </c>
      <c r="K1124" s="76" t="s">
        <v>1948</v>
      </c>
      <c r="L1124" s="77" t="s">
        <v>1114</v>
      </c>
    </row>
    <row r="1125" customFormat="false" ht="15" hidden="false" customHeight="false" outlineLevel="0" collapsed="false">
      <c r="A1125" s="76" t="s">
        <v>1943</v>
      </c>
      <c r="B1125" s="76" t="s">
        <v>105</v>
      </c>
      <c r="C1125" s="76" t="s">
        <v>106</v>
      </c>
      <c r="D1125" s="76" t="s">
        <v>1161</v>
      </c>
      <c r="E1125" s="76" t="s">
        <v>1162</v>
      </c>
      <c r="F1125" s="35" t="s">
        <v>1944</v>
      </c>
      <c r="G1125" s="76" t="s">
        <v>823</v>
      </c>
      <c r="H1125" s="78" t="n">
        <v>33139</v>
      </c>
      <c r="I1125" s="76" t="s">
        <v>1949</v>
      </c>
      <c r="J1125" s="76" t="n">
        <v>33139</v>
      </c>
      <c r="K1125" s="76" t="s">
        <v>1949</v>
      </c>
      <c r="L1125" s="77" t="s">
        <v>1114</v>
      </c>
    </row>
    <row r="1126" customFormat="false" ht="15" hidden="false" customHeight="false" outlineLevel="0" collapsed="false">
      <c r="A1126" s="76" t="s">
        <v>1943</v>
      </c>
      <c r="B1126" s="76" t="s">
        <v>105</v>
      </c>
      <c r="C1126" s="76" t="s">
        <v>106</v>
      </c>
      <c r="D1126" s="76" t="s">
        <v>1161</v>
      </c>
      <c r="E1126" s="76" t="s">
        <v>1162</v>
      </c>
      <c r="F1126" s="35" t="s">
        <v>1944</v>
      </c>
      <c r="G1126" s="76" t="s">
        <v>434</v>
      </c>
      <c r="H1126" s="78" t="n">
        <v>12</v>
      </c>
      <c r="I1126" s="76" t="s">
        <v>1700</v>
      </c>
      <c r="J1126" s="76" t="n">
        <v>12</v>
      </c>
      <c r="K1126" s="76" t="s">
        <v>1700</v>
      </c>
      <c r="L1126" s="77" t="s">
        <v>1114</v>
      </c>
    </row>
    <row r="1127" customFormat="false" ht="15" hidden="false" customHeight="false" outlineLevel="0" collapsed="false">
      <c r="A1127" s="76" t="s">
        <v>1950</v>
      </c>
      <c r="B1127" s="76" t="s">
        <v>105</v>
      </c>
      <c r="C1127" s="76" t="s">
        <v>106</v>
      </c>
      <c r="D1127" s="76" t="s">
        <v>1180</v>
      </c>
      <c r="E1127" s="76" t="s">
        <v>1152</v>
      </c>
      <c r="F1127" s="35" t="s">
        <v>1951</v>
      </c>
      <c r="G1127" s="76" t="s">
        <v>419</v>
      </c>
      <c r="H1127" s="76"/>
      <c r="I1127" s="76" t="s">
        <v>819</v>
      </c>
      <c r="J1127" s="76"/>
      <c r="K1127" s="76" t="s">
        <v>819</v>
      </c>
      <c r="L1127" s="77" t="s">
        <v>1114</v>
      </c>
    </row>
    <row r="1128" customFormat="false" ht="15" hidden="false" customHeight="false" outlineLevel="0" collapsed="false">
      <c r="A1128" s="76" t="s">
        <v>1950</v>
      </c>
      <c r="B1128" s="76" t="s">
        <v>105</v>
      </c>
      <c r="C1128" s="76" t="s">
        <v>106</v>
      </c>
      <c r="D1128" s="76" t="s">
        <v>1180</v>
      </c>
      <c r="E1128" s="76" t="s">
        <v>1152</v>
      </c>
      <c r="F1128" s="35" t="s">
        <v>1951</v>
      </c>
      <c r="G1128" s="76" t="s">
        <v>819</v>
      </c>
      <c r="H1128" s="78" t="n">
        <v>27743.3597578796</v>
      </c>
      <c r="I1128" s="76" t="s">
        <v>1952</v>
      </c>
      <c r="J1128" s="78" t="n">
        <v>27743.3597578796</v>
      </c>
      <c r="K1128" s="76" t="s">
        <v>1952</v>
      </c>
      <c r="L1128" s="77" t="s">
        <v>1114</v>
      </c>
    </row>
    <row r="1129" customFormat="false" ht="15" hidden="false" customHeight="false" outlineLevel="0" collapsed="false">
      <c r="A1129" s="76" t="s">
        <v>1950</v>
      </c>
      <c r="B1129" s="76" t="s">
        <v>105</v>
      </c>
      <c r="C1129" s="76" t="s">
        <v>106</v>
      </c>
      <c r="D1129" s="76" t="s">
        <v>1180</v>
      </c>
      <c r="E1129" s="76" t="s">
        <v>1152</v>
      </c>
      <c r="F1129" s="35" t="s">
        <v>1951</v>
      </c>
      <c r="G1129" s="76" t="s">
        <v>816</v>
      </c>
      <c r="H1129" s="78" t="n">
        <v>66.25</v>
      </c>
      <c r="I1129" s="76" t="s">
        <v>1953</v>
      </c>
      <c r="J1129" s="78" t="n">
        <v>66.25</v>
      </c>
      <c r="K1129" s="76" t="s">
        <v>1953</v>
      </c>
      <c r="L1129" s="77" t="s">
        <v>1114</v>
      </c>
    </row>
    <row r="1130" customFormat="false" ht="15" hidden="false" customHeight="false" outlineLevel="0" collapsed="false">
      <c r="A1130" s="76" t="s">
        <v>1950</v>
      </c>
      <c r="B1130" s="76" t="s">
        <v>105</v>
      </c>
      <c r="C1130" s="76" t="s">
        <v>106</v>
      </c>
      <c r="D1130" s="76" t="s">
        <v>1180</v>
      </c>
      <c r="E1130" s="76" t="s">
        <v>1152</v>
      </c>
      <c r="F1130" s="35" t="s">
        <v>1951</v>
      </c>
      <c r="G1130" s="76" t="s">
        <v>821</v>
      </c>
      <c r="H1130" s="78" t="n">
        <v>39.75</v>
      </c>
      <c r="I1130" s="76" t="s">
        <v>1954</v>
      </c>
      <c r="J1130" s="78" t="n">
        <v>39.75</v>
      </c>
      <c r="K1130" s="76" t="s">
        <v>1954</v>
      </c>
      <c r="L1130" s="77" t="s">
        <v>1114</v>
      </c>
    </row>
    <row r="1131" customFormat="false" ht="15" hidden="false" customHeight="false" outlineLevel="0" collapsed="false">
      <c r="A1131" s="76" t="s">
        <v>1950</v>
      </c>
      <c r="B1131" s="76" t="s">
        <v>105</v>
      </c>
      <c r="C1131" s="76" t="s">
        <v>106</v>
      </c>
      <c r="D1131" s="76" t="s">
        <v>1180</v>
      </c>
      <c r="E1131" s="76" t="s">
        <v>1152</v>
      </c>
      <c r="F1131" s="35" t="s">
        <v>1951</v>
      </c>
      <c r="G1131" s="76" t="s">
        <v>682</v>
      </c>
      <c r="H1131" s="78" t="n">
        <v>17248.6429090916</v>
      </c>
      <c r="I1131" s="76" t="s">
        <v>1955</v>
      </c>
      <c r="J1131" s="78" t="n">
        <v>17248.6429090916</v>
      </c>
      <c r="K1131" s="76" t="s">
        <v>1955</v>
      </c>
      <c r="L1131" s="77" t="s">
        <v>1114</v>
      </c>
    </row>
    <row r="1132" customFormat="false" ht="15" hidden="false" customHeight="false" outlineLevel="0" collapsed="false">
      <c r="A1132" s="76" t="s">
        <v>1950</v>
      </c>
      <c r="B1132" s="76" t="s">
        <v>105</v>
      </c>
      <c r="C1132" s="76" t="s">
        <v>106</v>
      </c>
      <c r="D1132" s="76" t="s">
        <v>1180</v>
      </c>
      <c r="E1132" s="76" t="s">
        <v>1152</v>
      </c>
      <c r="F1132" s="35" t="s">
        <v>1951</v>
      </c>
      <c r="G1132" s="76" t="s">
        <v>823</v>
      </c>
      <c r="H1132" s="78" t="n">
        <v>27743</v>
      </c>
      <c r="I1132" s="76" t="s">
        <v>1956</v>
      </c>
      <c r="J1132" s="76" t="n">
        <v>27743</v>
      </c>
      <c r="K1132" s="76" t="s">
        <v>1956</v>
      </c>
      <c r="L1132" s="77" t="s">
        <v>1114</v>
      </c>
    </row>
    <row r="1133" customFormat="false" ht="15" hidden="false" customHeight="false" outlineLevel="0" collapsed="false">
      <c r="A1133" s="76" t="s">
        <v>1950</v>
      </c>
      <c r="B1133" s="76" t="s">
        <v>105</v>
      </c>
      <c r="C1133" s="76" t="s">
        <v>106</v>
      </c>
      <c r="D1133" s="76" t="s">
        <v>1180</v>
      </c>
      <c r="E1133" s="76" t="s">
        <v>1152</v>
      </c>
      <c r="F1133" s="35" t="s">
        <v>1951</v>
      </c>
      <c r="G1133" s="76" t="s">
        <v>434</v>
      </c>
      <c r="H1133" s="78" t="n">
        <v>24</v>
      </c>
      <c r="I1133" s="76" t="s">
        <v>1957</v>
      </c>
      <c r="J1133" s="76" t="n">
        <v>24</v>
      </c>
      <c r="K1133" s="76" t="s">
        <v>1957</v>
      </c>
      <c r="L1133" s="77" t="s">
        <v>1114</v>
      </c>
    </row>
    <row r="1134" customFormat="false" ht="15" hidden="false" customHeight="false" outlineLevel="0" collapsed="false">
      <c r="A1134" s="76" t="s">
        <v>1958</v>
      </c>
      <c r="B1134" s="76" t="s">
        <v>105</v>
      </c>
      <c r="C1134" s="76" t="s">
        <v>106</v>
      </c>
      <c r="D1134" s="76" t="s">
        <v>1189</v>
      </c>
      <c r="E1134" s="76" t="s">
        <v>1125</v>
      </c>
      <c r="F1134" s="35" t="s">
        <v>1959</v>
      </c>
      <c r="G1134" s="76" t="s">
        <v>419</v>
      </c>
      <c r="H1134" s="76"/>
      <c r="I1134" s="76" t="s">
        <v>819</v>
      </c>
      <c r="J1134" s="76"/>
      <c r="K1134" s="76" t="s">
        <v>819</v>
      </c>
      <c r="L1134" s="77" t="s">
        <v>1114</v>
      </c>
    </row>
    <row r="1135" customFormat="false" ht="15" hidden="false" customHeight="false" outlineLevel="0" collapsed="false">
      <c r="A1135" s="76" t="s">
        <v>1958</v>
      </c>
      <c r="B1135" s="76" t="s">
        <v>105</v>
      </c>
      <c r="C1135" s="76" t="s">
        <v>106</v>
      </c>
      <c r="D1135" s="76" t="s">
        <v>1189</v>
      </c>
      <c r="E1135" s="76" t="s">
        <v>1125</v>
      </c>
      <c r="F1135" s="35" t="s">
        <v>1959</v>
      </c>
      <c r="G1135" s="76" t="s">
        <v>819</v>
      </c>
      <c r="H1135" s="78" t="n">
        <v>59175.2841826423</v>
      </c>
      <c r="I1135" s="76" t="s">
        <v>1960</v>
      </c>
      <c r="J1135" s="78" t="n">
        <v>59175.2841826423</v>
      </c>
      <c r="K1135" s="76" t="s">
        <v>1960</v>
      </c>
      <c r="L1135" s="77" t="s">
        <v>1114</v>
      </c>
    </row>
    <row r="1136" customFormat="false" ht="15" hidden="false" customHeight="false" outlineLevel="0" collapsed="false">
      <c r="A1136" s="76" t="s">
        <v>1958</v>
      </c>
      <c r="B1136" s="76" t="s">
        <v>105</v>
      </c>
      <c r="C1136" s="76" t="s">
        <v>106</v>
      </c>
      <c r="D1136" s="76" t="s">
        <v>1189</v>
      </c>
      <c r="E1136" s="76" t="s">
        <v>1125</v>
      </c>
      <c r="F1136" s="35" t="s">
        <v>1959</v>
      </c>
      <c r="G1136" s="76" t="s">
        <v>816</v>
      </c>
      <c r="H1136" s="78" t="n">
        <v>87.5</v>
      </c>
      <c r="I1136" s="76" t="s">
        <v>1961</v>
      </c>
      <c r="J1136" s="78" t="n">
        <v>87.5</v>
      </c>
      <c r="K1136" s="76" t="s">
        <v>1961</v>
      </c>
      <c r="L1136" s="77" t="s">
        <v>1114</v>
      </c>
    </row>
    <row r="1137" customFormat="false" ht="15" hidden="false" customHeight="false" outlineLevel="0" collapsed="false">
      <c r="A1137" s="76" t="s">
        <v>1958</v>
      </c>
      <c r="B1137" s="76" t="s">
        <v>105</v>
      </c>
      <c r="C1137" s="76" t="s">
        <v>106</v>
      </c>
      <c r="D1137" s="76" t="s">
        <v>1189</v>
      </c>
      <c r="E1137" s="76" t="s">
        <v>1125</v>
      </c>
      <c r="F1137" s="35" t="s">
        <v>1959</v>
      </c>
      <c r="G1137" s="76" t="s">
        <v>821</v>
      </c>
      <c r="H1137" s="76" t="n">
        <v>70</v>
      </c>
      <c r="I1137" s="76" t="s">
        <v>1962</v>
      </c>
      <c r="J1137" s="76" t="n">
        <v>70</v>
      </c>
      <c r="K1137" s="76" t="s">
        <v>1962</v>
      </c>
      <c r="L1137" s="77" t="s">
        <v>1114</v>
      </c>
    </row>
    <row r="1138" customFormat="false" ht="15" hidden="false" customHeight="false" outlineLevel="0" collapsed="false">
      <c r="A1138" s="76" t="s">
        <v>1958</v>
      </c>
      <c r="B1138" s="76" t="s">
        <v>105</v>
      </c>
      <c r="C1138" s="76" t="s">
        <v>106</v>
      </c>
      <c r="D1138" s="76" t="s">
        <v>1189</v>
      </c>
      <c r="E1138" s="76" t="s">
        <v>1125</v>
      </c>
      <c r="F1138" s="35" t="s">
        <v>1959</v>
      </c>
      <c r="G1138" s="76" t="s">
        <v>682</v>
      </c>
      <c r="H1138" s="76"/>
      <c r="I1138" s="76"/>
      <c r="J1138" s="76"/>
      <c r="K1138" s="76"/>
      <c r="L1138" s="77" t="s">
        <v>1114</v>
      </c>
    </row>
    <row r="1139" customFormat="false" ht="15" hidden="false" customHeight="false" outlineLevel="0" collapsed="false">
      <c r="A1139" s="76" t="s">
        <v>1958</v>
      </c>
      <c r="B1139" s="76" t="s">
        <v>105</v>
      </c>
      <c r="C1139" s="76" t="s">
        <v>106</v>
      </c>
      <c r="D1139" s="76" t="s">
        <v>1189</v>
      </c>
      <c r="E1139" s="76" t="s">
        <v>1125</v>
      </c>
      <c r="F1139" s="35" t="s">
        <v>1959</v>
      </c>
      <c r="G1139" s="76" t="s">
        <v>823</v>
      </c>
      <c r="H1139" s="78" t="n">
        <v>59175</v>
      </c>
      <c r="I1139" s="76" t="s">
        <v>1963</v>
      </c>
      <c r="J1139" s="76" t="n">
        <v>59175</v>
      </c>
      <c r="K1139" s="76" t="s">
        <v>1963</v>
      </c>
      <c r="L1139" s="77" t="s">
        <v>1114</v>
      </c>
    </row>
    <row r="1140" customFormat="false" ht="15" hidden="false" customHeight="false" outlineLevel="0" collapsed="false">
      <c r="A1140" s="76" t="s">
        <v>1958</v>
      </c>
      <c r="B1140" s="76" t="s">
        <v>105</v>
      </c>
      <c r="C1140" s="76" t="s">
        <v>106</v>
      </c>
      <c r="D1140" s="76" t="s">
        <v>1189</v>
      </c>
      <c r="E1140" s="76" t="s">
        <v>1125</v>
      </c>
      <c r="F1140" s="35" t="s">
        <v>1959</v>
      </c>
      <c r="G1140" s="76" t="s">
        <v>434</v>
      </c>
      <c r="H1140" s="78" t="n">
        <v>25</v>
      </c>
      <c r="I1140" s="76" t="s">
        <v>1488</v>
      </c>
      <c r="J1140" s="76" t="n">
        <v>25</v>
      </c>
      <c r="K1140" s="76" t="s">
        <v>1488</v>
      </c>
      <c r="L1140" s="77" t="s">
        <v>1114</v>
      </c>
    </row>
    <row r="1141" customFormat="false" ht="15" hidden="false" customHeight="false" outlineLevel="0" collapsed="false">
      <c r="A1141" s="76" t="s">
        <v>1964</v>
      </c>
      <c r="B1141" s="76" t="s">
        <v>105</v>
      </c>
      <c r="C1141" s="76" t="s">
        <v>106</v>
      </c>
      <c r="D1141" s="76" t="s">
        <v>1198</v>
      </c>
      <c r="E1141" s="76" t="s">
        <v>1162</v>
      </c>
      <c r="F1141" s="35" t="s">
        <v>1965</v>
      </c>
      <c r="G1141" s="76" t="s">
        <v>419</v>
      </c>
      <c r="H1141" s="76"/>
      <c r="I1141" s="76" t="s">
        <v>819</v>
      </c>
      <c r="J1141" s="76"/>
      <c r="K1141" s="76" t="s">
        <v>819</v>
      </c>
      <c r="L1141" s="77" t="s">
        <v>1114</v>
      </c>
    </row>
    <row r="1142" customFormat="false" ht="15" hidden="false" customHeight="false" outlineLevel="0" collapsed="false">
      <c r="A1142" s="76" t="s">
        <v>1964</v>
      </c>
      <c r="B1142" s="76" t="s">
        <v>105</v>
      </c>
      <c r="C1142" s="76" t="s">
        <v>106</v>
      </c>
      <c r="D1142" s="76" t="s">
        <v>1198</v>
      </c>
      <c r="E1142" s="76" t="s">
        <v>1162</v>
      </c>
      <c r="F1142" s="35" t="s">
        <v>1965</v>
      </c>
      <c r="G1142" s="76" t="s">
        <v>819</v>
      </c>
      <c r="H1142" s="78" t="n">
        <v>910185.893507488</v>
      </c>
      <c r="I1142" s="76" t="s">
        <v>1966</v>
      </c>
      <c r="J1142" s="78" t="n">
        <v>910185.893507488</v>
      </c>
      <c r="K1142" s="76" t="s">
        <v>1966</v>
      </c>
      <c r="L1142" s="77" t="s">
        <v>1114</v>
      </c>
    </row>
    <row r="1143" customFormat="false" ht="15" hidden="false" customHeight="false" outlineLevel="0" collapsed="false">
      <c r="A1143" s="76" t="s">
        <v>1964</v>
      </c>
      <c r="B1143" s="76" t="s">
        <v>105</v>
      </c>
      <c r="C1143" s="76" t="s">
        <v>106</v>
      </c>
      <c r="D1143" s="76" t="s">
        <v>1198</v>
      </c>
      <c r="E1143" s="76" t="s">
        <v>1162</v>
      </c>
      <c r="F1143" s="35" t="s">
        <v>1965</v>
      </c>
      <c r="G1143" s="76" t="s">
        <v>816</v>
      </c>
      <c r="H1143" s="76" t="n">
        <v>625</v>
      </c>
      <c r="I1143" s="76" t="s">
        <v>1967</v>
      </c>
      <c r="J1143" s="76" t="n">
        <v>625</v>
      </c>
      <c r="K1143" s="76" t="s">
        <v>1967</v>
      </c>
      <c r="L1143" s="77" t="s">
        <v>1114</v>
      </c>
    </row>
    <row r="1144" customFormat="false" ht="15" hidden="false" customHeight="false" outlineLevel="0" collapsed="false">
      <c r="A1144" s="76" t="s">
        <v>1964</v>
      </c>
      <c r="B1144" s="76" t="s">
        <v>105</v>
      </c>
      <c r="C1144" s="76" t="s">
        <v>106</v>
      </c>
      <c r="D1144" s="76" t="s">
        <v>1198</v>
      </c>
      <c r="E1144" s="76" t="s">
        <v>1162</v>
      </c>
      <c r="F1144" s="35" t="s">
        <v>1965</v>
      </c>
      <c r="G1144" s="76" t="s">
        <v>821</v>
      </c>
      <c r="H1144" s="76" t="n">
        <v>375</v>
      </c>
      <c r="I1144" s="76" t="s">
        <v>1968</v>
      </c>
      <c r="J1144" s="76" t="n">
        <v>375</v>
      </c>
      <c r="K1144" s="76" t="s">
        <v>1968</v>
      </c>
      <c r="L1144" s="77" t="s">
        <v>1114</v>
      </c>
    </row>
    <row r="1145" customFormat="false" ht="15" hidden="false" customHeight="false" outlineLevel="0" collapsed="false">
      <c r="A1145" s="76" t="s">
        <v>1964</v>
      </c>
      <c r="B1145" s="76" t="s">
        <v>105</v>
      </c>
      <c r="C1145" s="76" t="s">
        <v>106</v>
      </c>
      <c r="D1145" s="76" t="s">
        <v>1198</v>
      </c>
      <c r="E1145" s="76" t="s">
        <v>1162</v>
      </c>
      <c r="F1145" s="35" t="s">
        <v>1965</v>
      </c>
      <c r="G1145" s="76" t="s">
        <v>682</v>
      </c>
      <c r="H1145" s="78" t="n">
        <v>214602.812330819</v>
      </c>
      <c r="I1145" s="76" t="s">
        <v>1969</v>
      </c>
      <c r="J1145" s="78" t="n">
        <v>214602.812330819</v>
      </c>
      <c r="K1145" s="76" t="s">
        <v>1969</v>
      </c>
      <c r="L1145" s="77" t="s">
        <v>1114</v>
      </c>
    </row>
    <row r="1146" customFormat="false" ht="15" hidden="false" customHeight="false" outlineLevel="0" collapsed="false">
      <c r="A1146" s="76" t="s">
        <v>1964</v>
      </c>
      <c r="B1146" s="76" t="s">
        <v>105</v>
      </c>
      <c r="C1146" s="76" t="s">
        <v>106</v>
      </c>
      <c r="D1146" s="76" t="s">
        <v>1198</v>
      </c>
      <c r="E1146" s="76" t="s">
        <v>1162</v>
      </c>
      <c r="F1146" s="35" t="s">
        <v>1965</v>
      </c>
      <c r="G1146" s="76" t="s">
        <v>823</v>
      </c>
      <c r="H1146" s="78" t="n">
        <v>910186</v>
      </c>
      <c r="I1146" s="76" t="s">
        <v>1970</v>
      </c>
      <c r="J1146" s="76" t="n">
        <v>910186</v>
      </c>
      <c r="K1146" s="76" t="s">
        <v>1970</v>
      </c>
      <c r="L1146" s="77" t="s">
        <v>1114</v>
      </c>
    </row>
    <row r="1147" customFormat="false" ht="15" hidden="false" customHeight="false" outlineLevel="0" collapsed="false">
      <c r="A1147" s="76" t="s">
        <v>1964</v>
      </c>
      <c r="B1147" s="76" t="s">
        <v>105</v>
      </c>
      <c r="C1147" s="76" t="s">
        <v>106</v>
      </c>
      <c r="D1147" s="76" t="s">
        <v>1198</v>
      </c>
      <c r="E1147" s="76" t="s">
        <v>1162</v>
      </c>
      <c r="F1147" s="35" t="s">
        <v>1965</v>
      </c>
      <c r="G1147" s="76" t="s">
        <v>434</v>
      </c>
      <c r="H1147" s="78" t="n">
        <v>42</v>
      </c>
      <c r="I1147" s="76" t="s">
        <v>1971</v>
      </c>
      <c r="J1147" s="76" t="n">
        <v>42</v>
      </c>
      <c r="K1147" s="76" t="s">
        <v>1971</v>
      </c>
      <c r="L1147" s="77" t="s">
        <v>1114</v>
      </c>
    </row>
    <row r="1148" customFormat="false" ht="15" hidden="false" customHeight="false" outlineLevel="0" collapsed="false">
      <c r="A1148" s="76" t="s">
        <v>1972</v>
      </c>
      <c r="B1148" s="76" t="s">
        <v>110</v>
      </c>
      <c r="C1148" s="76" t="s">
        <v>111</v>
      </c>
      <c r="D1148" s="76" t="s">
        <v>1111</v>
      </c>
      <c r="E1148" s="76" t="s">
        <v>1112</v>
      </c>
      <c r="F1148" s="35" t="s">
        <v>1973</v>
      </c>
      <c r="G1148" s="76" t="s">
        <v>419</v>
      </c>
      <c r="H1148" s="76"/>
      <c r="I1148" s="76" t="s">
        <v>829</v>
      </c>
      <c r="J1148" s="76"/>
      <c r="K1148" s="76" t="s">
        <v>829</v>
      </c>
      <c r="L1148" s="77" t="s">
        <v>1114</v>
      </c>
    </row>
    <row r="1149" customFormat="false" ht="15" hidden="false" customHeight="false" outlineLevel="0" collapsed="false">
      <c r="A1149" s="76" t="s">
        <v>1972</v>
      </c>
      <c r="B1149" s="76" t="s">
        <v>110</v>
      </c>
      <c r="C1149" s="76" t="s">
        <v>111</v>
      </c>
      <c r="D1149" s="76" t="s">
        <v>1111</v>
      </c>
      <c r="E1149" s="76" t="s">
        <v>1112</v>
      </c>
      <c r="F1149" s="35" t="s">
        <v>1973</v>
      </c>
      <c r="G1149" s="76" t="s">
        <v>829</v>
      </c>
      <c r="H1149" s="78" t="n">
        <v>50902.3647855043</v>
      </c>
      <c r="I1149" s="76" t="s">
        <v>1974</v>
      </c>
      <c r="J1149" s="78" t="n">
        <v>50902.3647855043</v>
      </c>
      <c r="K1149" s="76" t="s">
        <v>1974</v>
      </c>
      <c r="L1149" s="77" t="s">
        <v>1114</v>
      </c>
    </row>
    <row r="1150" customFormat="false" ht="15" hidden="false" customHeight="false" outlineLevel="0" collapsed="false">
      <c r="A1150" s="76" t="s">
        <v>1972</v>
      </c>
      <c r="B1150" s="76" t="s">
        <v>110</v>
      </c>
      <c r="C1150" s="76" t="s">
        <v>111</v>
      </c>
      <c r="D1150" s="76" t="s">
        <v>1111</v>
      </c>
      <c r="E1150" s="76" t="s">
        <v>1112</v>
      </c>
      <c r="F1150" s="35" t="s">
        <v>1973</v>
      </c>
      <c r="G1150" s="76" t="s">
        <v>836</v>
      </c>
      <c r="H1150" s="76" t="n">
        <v>120</v>
      </c>
      <c r="I1150" s="76" t="s">
        <v>1975</v>
      </c>
      <c r="J1150" s="76" t="n">
        <v>120</v>
      </c>
      <c r="K1150" s="76" t="s">
        <v>1975</v>
      </c>
      <c r="L1150" s="77" t="s">
        <v>1114</v>
      </c>
    </row>
    <row r="1151" customFormat="false" ht="15" hidden="false" customHeight="false" outlineLevel="0" collapsed="false">
      <c r="A1151" s="76" t="s">
        <v>1972</v>
      </c>
      <c r="B1151" s="76" t="s">
        <v>110</v>
      </c>
      <c r="C1151" s="76" t="s">
        <v>111</v>
      </c>
      <c r="D1151" s="76" t="s">
        <v>1111</v>
      </c>
      <c r="E1151" s="76" t="s">
        <v>1112</v>
      </c>
      <c r="F1151" s="35" t="s">
        <v>1973</v>
      </c>
      <c r="G1151" s="76" t="s">
        <v>675</v>
      </c>
      <c r="H1151" s="76" t="n">
        <v>36000</v>
      </c>
      <c r="I1151" s="76" t="s">
        <v>1976</v>
      </c>
      <c r="J1151" s="76" t="n">
        <v>36000</v>
      </c>
      <c r="K1151" s="76" t="s">
        <v>1976</v>
      </c>
      <c r="L1151" s="77" t="s">
        <v>1114</v>
      </c>
    </row>
    <row r="1152" customFormat="false" ht="15" hidden="false" customHeight="false" outlineLevel="0" collapsed="false">
      <c r="A1152" s="76" t="s">
        <v>1972</v>
      </c>
      <c r="B1152" s="76" t="s">
        <v>110</v>
      </c>
      <c r="C1152" s="76" t="s">
        <v>111</v>
      </c>
      <c r="D1152" s="76" t="s">
        <v>1111</v>
      </c>
      <c r="E1152" s="76" t="s">
        <v>1112</v>
      </c>
      <c r="F1152" s="35" t="s">
        <v>1973</v>
      </c>
      <c r="G1152" s="76" t="s">
        <v>834</v>
      </c>
      <c r="H1152" s="76" t="n">
        <v>21600</v>
      </c>
      <c r="I1152" s="76" t="s">
        <v>1977</v>
      </c>
      <c r="J1152" s="76" t="n">
        <v>21600</v>
      </c>
      <c r="K1152" s="76" t="s">
        <v>1977</v>
      </c>
      <c r="L1152" s="77" t="s">
        <v>1114</v>
      </c>
    </row>
    <row r="1153" customFormat="false" ht="15" hidden="false" customHeight="false" outlineLevel="0" collapsed="false">
      <c r="A1153" s="76" t="s">
        <v>1972</v>
      </c>
      <c r="B1153" s="76" t="s">
        <v>110</v>
      </c>
      <c r="C1153" s="76" t="s">
        <v>111</v>
      </c>
      <c r="D1153" s="76" t="s">
        <v>1111</v>
      </c>
      <c r="E1153" s="76" t="s">
        <v>1112</v>
      </c>
      <c r="F1153" s="35" t="s">
        <v>1973</v>
      </c>
      <c r="G1153" s="76" t="s">
        <v>682</v>
      </c>
      <c r="H1153" s="78" t="n">
        <v>37821.2068268785</v>
      </c>
      <c r="I1153" s="76" t="s">
        <v>1978</v>
      </c>
      <c r="J1153" s="78" t="n">
        <v>37821.2068268785</v>
      </c>
      <c r="K1153" s="76" t="s">
        <v>1978</v>
      </c>
      <c r="L1153" s="77" t="s">
        <v>1114</v>
      </c>
    </row>
    <row r="1154" customFormat="false" ht="15" hidden="false" customHeight="false" outlineLevel="0" collapsed="false">
      <c r="A1154" s="76" t="s">
        <v>1972</v>
      </c>
      <c r="B1154" s="76" t="s">
        <v>110</v>
      </c>
      <c r="C1154" s="76" t="s">
        <v>111</v>
      </c>
      <c r="D1154" s="76" t="s">
        <v>1111</v>
      </c>
      <c r="E1154" s="76" t="s">
        <v>1112</v>
      </c>
      <c r="F1154" s="35" t="s">
        <v>1973</v>
      </c>
      <c r="G1154" s="76" t="s">
        <v>823</v>
      </c>
      <c r="H1154" s="78" t="n">
        <v>50902</v>
      </c>
      <c r="I1154" s="76" t="s">
        <v>1979</v>
      </c>
      <c r="J1154" s="76" t="n">
        <v>50902</v>
      </c>
      <c r="K1154" s="76" t="s">
        <v>1979</v>
      </c>
      <c r="L1154" s="77" t="s">
        <v>1114</v>
      </c>
    </row>
    <row r="1155" customFormat="false" ht="15" hidden="false" customHeight="false" outlineLevel="0" collapsed="false">
      <c r="A1155" s="76" t="s">
        <v>1972</v>
      </c>
      <c r="B1155" s="76" t="s">
        <v>110</v>
      </c>
      <c r="C1155" s="76" t="s">
        <v>111</v>
      </c>
      <c r="D1155" s="76" t="s">
        <v>1111</v>
      </c>
      <c r="E1155" s="76" t="s">
        <v>1112</v>
      </c>
      <c r="F1155" s="35" t="s">
        <v>1973</v>
      </c>
      <c r="G1155" s="76" t="s">
        <v>434</v>
      </c>
      <c r="H1155" s="78" t="n">
        <v>15</v>
      </c>
      <c r="I1155" s="76" t="s">
        <v>1646</v>
      </c>
      <c r="J1155" s="76" t="n">
        <v>15</v>
      </c>
      <c r="K1155" s="76" t="s">
        <v>1646</v>
      </c>
      <c r="L1155" s="77" t="s">
        <v>1114</v>
      </c>
    </row>
    <row r="1156" customFormat="false" ht="15" hidden="false" customHeight="false" outlineLevel="0" collapsed="false">
      <c r="A1156" s="76" t="s">
        <v>1980</v>
      </c>
      <c r="B1156" s="76" t="s">
        <v>110</v>
      </c>
      <c r="C1156" s="76" t="s">
        <v>111</v>
      </c>
      <c r="D1156" s="76" t="s">
        <v>1124</v>
      </c>
      <c r="E1156" s="76" t="s">
        <v>1125</v>
      </c>
      <c r="F1156" s="35" t="s">
        <v>1981</v>
      </c>
      <c r="G1156" s="76" t="s">
        <v>419</v>
      </c>
      <c r="H1156" s="76"/>
      <c r="I1156" s="76" t="s">
        <v>829</v>
      </c>
      <c r="J1156" s="76"/>
      <c r="K1156" s="76" t="s">
        <v>829</v>
      </c>
      <c r="L1156" s="77" t="s">
        <v>1114</v>
      </c>
    </row>
    <row r="1157" customFormat="false" ht="15" hidden="false" customHeight="false" outlineLevel="0" collapsed="false">
      <c r="A1157" s="76" t="s">
        <v>1980</v>
      </c>
      <c r="B1157" s="76" t="s">
        <v>110</v>
      </c>
      <c r="C1157" s="76" t="s">
        <v>111</v>
      </c>
      <c r="D1157" s="76" t="s">
        <v>1124</v>
      </c>
      <c r="E1157" s="76" t="s">
        <v>1125</v>
      </c>
      <c r="F1157" s="35" t="s">
        <v>1981</v>
      </c>
      <c r="G1157" s="76" t="s">
        <v>829</v>
      </c>
      <c r="H1157" s="78" t="n">
        <v>301.372529696272</v>
      </c>
      <c r="I1157" s="76" t="s">
        <v>1982</v>
      </c>
      <c r="J1157" s="78" t="n">
        <v>301.372529696272</v>
      </c>
      <c r="K1157" s="76" t="s">
        <v>1982</v>
      </c>
      <c r="L1157" s="77" t="s">
        <v>1114</v>
      </c>
    </row>
    <row r="1158" customFormat="false" ht="15" hidden="false" customHeight="false" outlineLevel="0" collapsed="false">
      <c r="A1158" s="76" t="s">
        <v>1980</v>
      </c>
      <c r="B1158" s="76" t="s">
        <v>110</v>
      </c>
      <c r="C1158" s="76" t="s">
        <v>111</v>
      </c>
      <c r="D1158" s="76" t="s">
        <v>1124</v>
      </c>
      <c r="E1158" s="76" t="s">
        <v>1125</v>
      </c>
      <c r="F1158" s="35" t="s">
        <v>1981</v>
      </c>
      <c r="G1158" s="76" t="s">
        <v>836</v>
      </c>
      <c r="H1158" s="76" t="n">
        <v>20</v>
      </c>
      <c r="I1158" s="76" t="s">
        <v>1983</v>
      </c>
      <c r="J1158" s="76" t="n">
        <v>20</v>
      </c>
      <c r="K1158" s="76" t="s">
        <v>1983</v>
      </c>
      <c r="L1158" s="77" t="s">
        <v>1114</v>
      </c>
    </row>
    <row r="1159" customFormat="false" ht="15" hidden="false" customHeight="false" outlineLevel="0" collapsed="false">
      <c r="A1159" s="76" t="s">
        <v>1980</v>
      </c>
      <c r="B1159" s="76" t="s">
        <v>110</v>
      </c>
      <c r="C1159" s="76" t="s">
        <v>111</v>
      </c>
      <c r="D1159" s="76" t="s">
        <v>1124</v>
      </c>
      <c r="E1159" s="76" t="s">
        <v>1125</v>
      </c>
      <c r="F1159" s="35" t="s">
        <v>1981</v>
      </c>
      <c r="G1159" s="76" t="s">
        <v>675</v>
      </c>
      <c r="H1159" s="76" t="n">
        <v>300</v>
      </c>
      <c r="I1159" s="76" t="s">
        <v>1984</v>
      </c>
      <c r="J1159" s="76" t="n">
        <v>300</v>
      </c>
      <c r="K1159" s="76" t="s">
        <v>1984</v>
      </c>
      <c r="L1159" s="77" t="s">
        <v>1114</v>
      </c>
    </row>
    <row r="1160" customFormat="false" ht="15" hidden="false" customHeight="false" outlineLevel="0" collapsed="false">
      <c r="A1160" s="76" t="s">
        <v>1980</v>
      </c>
      <c r="B1160" s="76" t="s">
        <v>110</v>
      </c>
      <c r="C1160" s="76" t="s">
        <v>111</v>
      </c>
      <c r="D1160" s="76" t="s">
        <v>1124</v>
      </c>
      <c r="E1160" s="76" t="s">
        <v>1125</v>
      </c>
      <c r="F1160" s="35" t="s">
        <v>1981</v>
      </c>
      <c r="G1160" s="76" t="s">
        <v>834</v>
      </c>
      <c r="H1160" s="76" t="n">
        <v>240</v>
      </c>
      <c r="I1160" s="76" t="s">
        <v>1985</v>
      </c>
      <c r="J1160" s="76" t="n">
        <v>240</v>
      </c>
      <c r="K1160" s="76" t="s">
        <v>1985</v>
      </c>
      <c r="L1160" s="77" t="s">
        <v>1114</v>
      </c>
    </row>
    <row r="1161" customFormat="false" ht="15" hidden="false" customHeight="false" outlineLevel="0" collapsed="false">
      <c r="A1161" s="76" t="s">
        <v>1980</v>
      </c>
      <c r="B1161" s="76" t="s">
        <v>110</v>
      </c>
      <c r="C1161" s="76" t="s">
        <v>111</v>
      </c>
      <c r="D1161" s="76" t="s">
        <v>1124</v>
      </c>
      <c r="E1161" s="76" t="s">
        <v>1125</v>
      </c>
      <c r="F1161" s="35" t="s">
        <v>1981</v>
      </c>
      <c r="G1161" s="76" t="s">
        <v>682</v>
      </c>
      <c r="H1161" s="76"/>
      <c r="I1161" s="76"/>
      <c r="J1161" s="76"/>
      <c r="K1161" s="76"/>
      <c r="L1161" s="77" t="s">
        <v>1114</v>
      </c>
    </row>
    <row r="1162" customFormat="false" ht="15" hidden="false" customHeight="false" outlineLevel="0" collapsed="false">
      <c r="A1162" s="76" t="s">
        <v>1980</v>
      </c>
      <c r="B1162" s="76" t="s">
        <v>110</v>
      </c>
      <c r="C1162" s="76" t="s">
        <v>111</v>
      </c>
      <c r="D1162" s="76" t="s">
        <v>1124</v>
      </c>
      <c r="E1162" s="76" t="s">
        <v>1125</v>
      </c>
      <c r="F1162" s="35" t="s">
        <v>1981</v>
      </c>
      <c r="G1162" s="76" t="s">
        <v>823</v>
      </c>
      <c r="H1162" s="78" t="n">
        <v>301</v>
      </c>
      <c r="I1162" s="76" t="s">
        <v>1986</v>
      </c>
      <c r="J1162" s="76" t="n">
        <v>301</v>
      </c>
      <c r="K1162" s="76" t="s">
        <v>1986</v>
      </c>
      <c r="L1162" s="77" t="s">
        <v>1114</v>
      </c>
    </row>
    <row r="1163" customFormat="false" ht="15" hidden="false" customHeight="false" outlineLevel="0" collapsed="false">
      <c r="A1163" s="76" t="s">
        <v>1980</v>
      </c>
      <c r="B1163" s="76" t="s">
        <v>110</v>
      </c>
      <c r="C1163" s="76" t="s">
        <v>111</v>
      </c>
      <c r="D1163" s="76" t="s">
        <v>1124</v>
      </c>
      <c r="E1163" s="76" t="s">
        <v>1125</v>
      </c>
      <c r="F1163" s="35" t="s">
        <v>1981</v>
      </c>
      <c r="G1163" s="76" t="s">
        <v>434</v>
      </c>
      <c r="H1163" s="78" t="n">
        <v>1</v>
      </c>
      <c r="I1163" s="76" t="s">
        <v>1297</v>
      </c>
      <c r="J1163" s="76" t="n">
        <v>1</v>
      </c>
      <c r="K1163" s="76" t="s">
        <v>1297</v>
      </c>
      <c r="L1163" s="77" t="s">
        <v>1114</v>
      </c>
    </row>
    <row r="1164" customFormat="false" ht="15" hidden="false" customHeight="false" outlineLevel="0" collapsed="false">
      <c r="A1164" s="76" t="s">
        <v>1987</v>
      </c>
      <c r="B1164" s="76" t="s">
        <v>110</v>
      </c>
      <c r="C1164" s="76" t="s">
        <v>111</v>
      </c>
      <c r="D1164" s="76" t="s">
        <v>1132</v>
      </c>
      <c r="E1164" s="76" t="s">
        <v>1133</v>
      </c>
      <c r="F1164" s="35" t="s">
        <v>1988</v>
      </c>
      <c r="G1164" s="76" t="s">
        <v>419</v>
      </c>
      <c r="H1164" s="76"/>
      <c r="I1164" s="76" t="s">
        <v>829</v>
      </c>
      <c r="J1164" s="76"/>
      <c r="K1164" s="76" t="s">
        <v>829</v>
      </c>
      <c r="L1164" s="77" t="s">
        <v>1114</v>
      </c>
    </row>
    <row r="1165" customFormat="false" ht="15" hidden="false" customHeight="false" outlineLevel="0" collapsed="false">
      <c r="A1165" s="76" t="s">
        <v>1987</v>
      </c>
      <c r="B1165" s="76" t="s">
        <v>110</v>
      </c>
      <c r="C1165" s="76" t="s">
        <v>111</v>
      </c>
      <c r="D1165" s="76" t="s">
        <v>1132</v>
      </c>
      <c r="E1165" s="76" t="s">
        <v>1133</v>
      </c>
      <c r="F1165" s="35" t="s">
        <v>1988</v>
      </c>
      <c r="G1165" s="76" t="s">
        <v>829</v>
      </c>
      <c r="H1165" s="78" t="n">
        <v>4943084.01419437</v>
      </c>
      <c r="I1165" s="76" t="s">
        <v>1989</v>
      </c>
      <c r="J1165" s="78" t="n">
        <v>4943084.01419437</v>
      </c>
      <c r="K1165" s="76" t="s">
        <v>1989</v>
      </c>
      <c r="L1165" s="77" t="s">
        <v>1114</v>
      </c>
    </row>
    <row r="1166" customFormat="false" ht="15" hidden="false" customHeight="false" outlineLevel="0" collapsed="false">
      <c r="A1166" s="76" t="s">
        <v>1987</v>
      </c>
      <c r="B1166" s="76" t="s">
        <v>110</v>
      </c>
      <c r="C1166" s="76" t="s">
        <v>111</v>
      </c>
      <c r="D1166" s="76" t="s">
        <v>1132</v>
      </c>
      <c r="E1166" s="76" t="s">
        <v>1133</v>
      </c>
      <c r="F1166" s="35" t="s">
        <v>1988</v>
      </c>
      <c r="G1166" s="76" t="s">
        <v>836</v>
      </c>
      <c r="H1166" s="76" t="n">
        <v>1200</v>
      </c>
      <c r="I1166" s="76" t="s">
        <v>1615</v>
      </c>
      <c r="J1166" s="76" t="n">
        <v>1200</v>
      </c>
      <c r="K1166" s="76" t="s">
        <v>1615</v>
      </c>
      <c r="L1166" s="77" t="s">
        <v>1114</v>
      </c>
    </row>
    <row r="1167" customFormat="false" ht="15" hidden="false" customHeight="false" outlineLevel="0" collapsed="false">
      <c r="A1167" s="76" t="s">
        <v>1987</v>
      </c>
      <c r="B1167" s="76" t="s">
        <v>110</v>
      </c>
      <c r="C1167" s="76" t="s">
        <v>111</v>
      </c>
      <c r="D1167" s="76" t="s">
        <v>1132</v>
      </c>
      <c r="E1167" s="76" t="s">
        <v>1133</v>
      </c>
      <c r="F1167" s="35" t="s">
        <v>1988</v>
      </c>
      <c r="G1167" s="76" t="s">
        <v>675</v>
      </c>
      <c r="H1167" s="76" t="n">
        <v>960000</v>
      </c>
      <c r="I1167" s="76" t="s">
        <v>1990</v>
      </c>
      <c r="J1167" s="76" t="n">
        <v>960000</v>
      </c>
      <c r="K1167" s="76" t="s">
        <v>1990</v>
      </c>
      <c r="L1167" s="77" t="s">
        <v>1114</v>
      </c>
    </row>
    <row r="1168" customFormat="false" ht="15" hidden="false" customHeight="false" outlineLevel="0" collapsed="false">
      <c r="A1168" s="76" t="s">
        <v>1987</v>
      </c>
      <c r="B1168" s="76" t="s">
        <v>110</v>
      </c>
      <c r="C1168" s="76" t="s">
        <v>111</v>
      </c>
      <c r="D1168" s="76" t="s">
        <v>1132</v>
      </c>
      <c r="E1168" s="76" t="s">
        <v>1133</v>
      </c>
      <c r="F1168" s="35" t="s">
        <v>1988</v>
      </c>
      <c r="G1168" s="76" t="s">
        <v>834</v>
      </c>
      <c r="H1168" s="76" t="n">
        <v>576000</v>
      </c>
      <c r="I1168" s="76" t="s">
        <v>1991</v>
      </c>
      <c r="J1168" s="76" t="n">
        <v>576000</v>
      </c>
      <c r="K1168" s="76" t="s">
        <v>1991</v>
      </c>
      <c r="L1168" s="77" t="s">
        <v>1114</v>
      </c>
    </row>
    <row r="1169" customFormat="false" ht="15" hidden="false" customHeight="false" outlineLevel="0" collapsed="false">
      <c r="A1169" s="76" t="s">
        <v>1987</v>
      </c>
      <c r="B1169" s="76" t="s">
        <v>110</v>
      </c>
      <c r="C1169" s="76" t="s">
        <v>111</v>
      </c>
      <c r="D1169" s="76" t="s">
        <v>1132</v>
      </c>
      <c r="E1169" s="76" t="s">
        <v>1133</v>
      </c>
      <c r="F1169" s="35" t="s">
        <v>1988</v>
      </c>
      <c r="G1169" s="76" t="s">
        <v>682</v>
      </c>
      <c r="H1169" s="78" t="n">
        <v>1248486.92995828</v>
      </c>
      <c r="I1169" s="76" t="s">
        <v>1992</v>
      </c>
      <c r="J1169" s="78" t="n">
        <v>1248486.92995828</v>
      </c>
      <c r="K1169" s="76" t="s">
        <v>1992</v>
      </c>
      <c r="L1169" s="77" t="s">
        <v>1114</v>
      </c>
    </row>
    <row r="1170" customFormat="false" ht="15" hidden="false" customHeight="false" outlineLevel="0" collapsed="false">
      <c r="A1170" s="76" t="s">
        <v>1987</v>
      </c>
      <c r="B1170" s="76" t="s">
        <v>110</v>
      </c>
      <c r="C1170" s="76" t="s">
        <v>111</v>
      </c>
      <c r="D1170" s="76" t="s">
        <v>1132</v>
      </c>
      <c r="E1170" s="76" t="s">
        <v>1133</v>
      </c>
      <c r="F1170" s="35" t="s">
        <v>1988</v>
      </c>
      <c r="G1170" s="76" t="s">
        <v>823</v>
      </c>
      <c r="H1170" s="78" t="n">
        <v>4943084</v>
      </c>
      <c r="I1170" s="76" t="s">
        <v>1993</v>
      </c>
      <c r="J1170" s="76" t="n">
        <v>4943084</v>
      </c>
      <c r="K1170" s="76" t="s">
        <v>1993</v>
      </c>
      <c r="L1170" s="77" t="s">
        <v>1114</v>
      </c>
    </row>
    <row r="1171" customFormat="false" ht="15" hidden="false" customHeight="false" outlineLevel="0" collapsed="false">
      <c r="A1171" s="76" t="s">
        <v>1987</v>
      </c>
      <c r="B1171" s="76" t="s">
        <v>110</v>
      </c>
      <c r="C1171" s="76" t="s">
        <v>111</v>
      </c>
      <c r="D1171" s="76" t="s">
        <v>1132</v>
      </c>
      <c r="E1171" s="76" t="s">
        <v>1133</v>
      </c>
      <c r="F1171" s="35" t="s">
        <v>1988</v>
      </c>
      <c r="G1171" s="76" t="s">
        <v>434</v>
      </c>
      <c r="H1171" s="78" t="n">
        <v>40</v>
      </c>
      <c r="I1171" s="76" t="s">
        <v>1675</v>
      </c>
      <c r="J1171" s="76" t="n">
        <v>40</v>
      </c>
      <c r="K1171" s="76" t="s">
        <v>1675</v>
      </c>
      <c r="L1171" s="77" t="s">
        <v>1114</v>
      </c>
    </row>
    <row r="1172" customFormat="false" ht="15" hidden="false" customHeight="false" outlineLevel="0" collapsed="false">
      <c r="A1172" s="76" t="s">
        <v>1994</v>
      </c>
      <c r="B1172" s="76" t="s">
        <v>110</v>
      </c>
      <c r="C1172" s="76" t="s">
        <v>111</v>
      </c>
      <c r="D1172" s="76" t="s">
        <v>1141</v>
      </c>
      <c r="E1172" s="76" t="s">
        <v>1142</v>
      </c>
      <c r="F1172" s="35" t="s">
        <v>1995</v>
      </c>
      <c r="G1172" s="76" t="s">
        <v>419</v>
      </c>
      <c r="H1172" s="76"/>
      <c r="I1172" s="76" t="s">
        <v>829</v>
      </c>
      <c r="J1172" s="76"/>
      <c r="K1172" s="76" t="s">
        <v>829</v>
      </c>
      <c r="L1172" s="77" t="s">
        <v>1114</v>
      </c>
    </row>
    <row r="1173" customFormat="false" ht="15" hidden="false" customHeight="false" outlineLevel="0" collapsed="false">
      <c r="A1173" s="76" t="s">
        <v>1994</v>
      </c>
      <c r="B1173" s="76" t="s">
        <v>110</v>
      </c>
      <c r="C1173" s="76" t="s">
        <v>111</v>
      </c>
      <c r="D1173" s="76" t="s">
        <v>1141</v>
      </c>
      <c r="E1173" s="76" t="s">
        <v>1142</v>
      </c>
      <c r="F1173" s="35" t="s">
        <v>1995</v>
      </c>
      <c r="G1173" s="76" t="s">
        <v>829</v>
      </c>
      <c r="H1173" s="78" t="n">
        <v>162426.145876178</v>
      </c>
      <c r="I1173" s="76" t="s">
        <v>1996</v>
      </c>
      <c r="J1173" s="78" t="n">
        <v>162426.145876178</v>
      </c>
      <c r="K1173" s="76" t="s">
        <v>1996</v>
      </c>
      <c r="L1173" s="77" t="s">
        <v>1114</v>
      </c>
    </row>
    <row r="1174" customFormat="false" ht="15" hidden="false" customHeight="false" outlineLevel="0" collapsed="false">
      <c r="A1174" s="76" t="s">
        <v>1994</v>
      </c>
      <c r="B1174" s="76" t="s">
        <v>110</v>
      </c>
      <c r="C1174" s="76" t="s">
        <v>111</v>
      </c>
      <c r="D1174" s="76" t="s">
        <v>1141</v>
      </c>
      <c r="E1174" s="76" t="s">
        <v>1142</v>
      </c>
      <c r="F1174" s="35" t="s">
        <v>1995</v>
      </c>
      <c r="G1174" s="76" t="s">
        <v>836</v>
      </c>
      <c r="H1174" s="76" t="n">
        <v>240</v>
      </c>
      <c r="I1174" s="76" t="s">
        <v>1985</v>
      </c>
      <c r="J1174" s="76" t="n">
        <v>240</v>
      </c>
      <c r="K1174" s="76" t="s">
        <v>1985</v>
      </c>
      <c r="L1174" s="77" t="s">
        <v>1114</v>
      </c>
    </row>
    <row r="1175" customFormat="false" ht="15" hidden="false" customHeight="false" outlineLevel="0" collapsed="false">
      <c r="A1175" s="76" t="s">
        <v>1994</v>
      </c>
      <c r="B1175" s="76" t="s">
        <v>110</v>
      </c>
      <c r="C1175" s="76" t="s">
        <v>111</v>
      </c>
      <c r="D1175" s="76" t="s">
        <v>1141</v>
      </c>
      <c r="E1175" s="76" t="s">
        <v>1142</v>
      </c>
      <c r="F1175" s="35" t="s">
        <v>1995</v>
      </c>
      <c r="G1175" s="76" t="s">
        <v>675</v>
      </c>
      <c r="H1175" s="76" t="n">
        <v>93600</v>
      </c>
      <c r="I1175" s="76" t="s">
        <v>1997</v>
      </c>
      <c r="J1175" s="76" t="n">
        <v>93600</v>
      </c>
      <c r="K1175" s="76" t="s">
        <v>1997</v>
      </c>
      <c r="L1175" s="77" t="s">
        <v>1114</v>
      </c>
    </row>
    <row r="1176" customFormat="false" ht="15" hidden="false" customHeight="false" outlineLevel="0" collapsed="false">
      <c r="A1176" s="76" t="s">
        <v>1994</v>
      </c>
      <c r="B1176" s="76" t="s">
        <v>110</v>
      </c>
      <c r="C1176" s="76" t="s">
        <v>111</v>
      </c>
      <c r="D1176" s="76" t="s">
        <v>1141</v>
      </c>
      <c r="E1176" s="76" t="s">
        <v>1142</v>
      </c>
      <c r="F1176" s="35" t="s">
        <v>1995</v>
      </c>
      <c r="G1176" s="76" t="s">
        <v>834</v>
      </c>
      <c r="H1176" s="76" t="n">
        <v>74880</v>
      </c>
      <c r="I1176" s="76" t="s">
        <v>1998</v>
      </c>
      <c r="J1176" s="76" t="n">
        <v>74880</v>
      </c>
      <c r="K1176" s="76" t="s">
        <v>1998</v>
      </c>
      <c r="L1176" s="77" t="s">
        <v>1114</v>
      </c>
    </row>
    <row r="1177" customFormat="false" ht="15" hidden="false" customHeight="false" outlineLevel="0" collapsed="false">
      <c r="A1177" s="76" t="s">
        <v>1994</v>
      </c>
      <c r="B1177" s="76" t="s">
        <v>110</v>
      </c>
      <c r="C1177" s="76" t="s">
        <v>111</v>
      </c>
      <c r="D1177" s="76" t="s">
        <v>1141</v>
      </c>
      <c r="E1177" s="76" t="s">
        <v>1142</v>
      </c>
      <c r="F1177" s="35" t="s">
        <v>1995</v>
      </c>
      <c r="G1177" s="76" t="s">
        <v>682</v>
      </c>
      <c r="H1177" s="78" t="n">
        <v>80228.439516271</v>
      </c>
      <c r="I1177" s="76" t="s">
        <v>1999</v>
      </c>
      <c r="J1177" s="78" t="n">
        <v>80228.439516271</v>
      </c>
      <c r="K1177" s="76" t="s">
        <v>1999</v>
      </c>
      <c r="L1177" s="77" t="s">
        <v>1114</v>
      </c>
    </row>
    <row r="1178" customFormat="false" ht="15" hidden="false" customHeight="false" outlineLevel="0" collapsed="false">
      <c r="A1178" s="76" t="s">
        <v>1994</v>
      </c>
      <c r="B1178" s="76" t="s">
        <v>110</v>
      </c>
      <c r="C1178" s="76" t="s">
        <v>111</v>
      </c>
      <c r="D1178" s="76" t="s">
        <v>1141</v>
      </c>
      <c r="E1178" s="76" t="s">
        <v>1142</v>
      </c>
      <c r="F1178" s="35" t="s">
        <v>1995</v>
      </c>
      <c r="G1178" s="76" t="s">
        <v>823</v>
      </c>
      <c r="H1178" s="78" t="n">
        <v>162426</v>
      </c>
      <c r="I1178" s="76" t="s">
        <v>2000</v>
      </c>
      <c r="J1178" s="76" t="n">
        <v>162426</v>
      </c>
      <c r="K1178" s="76" t="s">
        <v>2000</v>
      </c>
      <c r="L1178" s="77" t="s">
        <v>1114</v>
      </c>
    </row>
    <row r="1179" customFormat="false" ht="15" hidden="false" customHeight="false" outlineLevel="0" collapsed="false">
      <c r="A1179" s="76" t="s">
        <v>1994</v>
      </c>
      <c r="B1179" s="76" t="s">
        <v>110</v>
      </c>
      <c r="C1179" s="76" t="s">
        <v>111</v>
      </c>
      <c r="D1179" s="76" t="s">
        <v>1141</v>
      </c>
      <c r="E1179" s="76" t="s">
        <v>1142</v>
      </c>
      <c r="F1179" s="35" t="s">
        <v>1995</v>
      </c>
      <c r="G1179" s="76" t="s">
        <v>434</v>
      </c>
      <c r="H1179" s="78" t="n">
        <v>26</v>
      </c>
      <c r="I1179" s="76" t="s">
        <v>1885</v>
      </c>
      <c r="J1179" s="76" t="n">
        <v>26</v>
      </c>
      <c r="K1179" s="76" t="s">
        <v>1885</v>
      </c>
      <c r="L1179" s="77" t="s">
        <v>1114</v>
      </c>
    </row>
    <row r="1180" customFormat="false" ht="15" hidden="false" customHeight="false" outlineLevel="0" collapsed="false">
      <c r="A1180" s="76" t="s">
        <v>2001</v>
      </c>
      <c r="B1180" s="76" t="s">
        <v>110</v>
      </c>
      <c r="C1180" s="76" t="s">
        <v>111</v>
      </c>
      <c r="D1180" s="76" t="s">
        <v>1161</v>
      </c>
      <c r="E1180" s="76" t="s">
        <v>1162</v>
      </c>
      <c r="F1180" s="35" t="s">
        <v>2002</v>
      </c>
      <c r="G1180" s="76" t="s">
        <v>419</v>
      </c>
      <c r="H1180" s="76"/>
      <c r="I1180" s="76" t="s">
        <v>829</v>
      </c>
      <c r="J1180" s="76"/>
      <c r="K1180" s="76" t="s">
        <v>829</v>
      </c>
      <c r="L1180" s="77" t="s">
        <v>1114</v>
      </c>
    </row>
    <row r="1181" customFormat="false" ht="15" hidden="false" customHeight="false" outlineLevel="0" collapsed="false">
      <c r="A1181" s="76" t="s">
        <v>2001</v>
      </c>
      <c r="B1181" s="76" t="s">
        <v>110</v>
      </c>
      <c r="C1181" s="76" t="s">
        <v>111</v>
      </c>
      <c r="D1181" s="76" t="s">
        <v>1161</v>
      </c>
      <c r="E1181" s="76" t="s">
        <v>1162</v>
      </c>
      <c r="F1181" s="35" t="s">
        <v>2002</v>
      </c>
      <c r="G1181" s="76" t="s">
        <v>829</v>
      </c>
      <c r="H1181" s="78" t="n">
        <v>95441.9339728205</v>
      </c>
      <c r="I1181" s="76" t="s">
        <v>2003</v>
      </c>
      <c r="J1181" s="78" t="n">
        <v>95441.9339728205</v>
      </c>
      <c r="K1181" s="76" t="s">
        <v>2003</v>
      </c>
      <c r="L1181" s="77" t="s">
        <v>1114</v>
      </c>
    </row>
    <row r="1182" customFormat="false" ht="15" hidden="false" customHeight="false" outlineLevel="0" collapsed="false">
      <c r="A1182" s="76" t="s">
        <v>2001</v>
      </c>
      <c r="B1182" s="76" t="s">
        <v>110</v>
      </c>
      <c r="C1182" s="76" t="s">
        <v>111</v>
      </c>
      <c r="D1182" s="76" t="s">
        <v>1161</v>
      </c>
      <c r="E1182" s="76" t="s">
        <v>1162</v>
      </c>
      <c r="F1182" s="35" t="s">
        <v>2002</v>
      </c>
      <c r="G1182" s="76" t="s">
        <v>836</v>
      </c>
      <c r="H1182" s="76" t="n">
        <v>300</v>
      </c>
      <c r="I1182" s="76" t="s">
        <v>1984</v>
      </c>
      <c r="J1182" s="76" t="n">
        <v>300</v>
      </c>
      <c r="K1182" s="76" t="s">
        <v>1984</v>
      </c>
      <c r="L1182" s="77" t="s">
        <v>1114</v>
      </c>
    </row>
    <row r="1183" customFormat="false" ht="15" hidden="false" customHeight="false" outlineLevel="0" collapsed="false">
      <c r="A1183" s="76" t="s">
        <v>2001</v>
      </c>
      <c r="B1183" s="76" t="s">
        <v>110</v>
      </c>
      <c r="C1183" s="76" t="s">
        <v>111</v>
      </c>
      <c r="D1183" s="76" t="s">
        <v>1161</v>
      </c>
      <c r="E1183" s="76" t="s">
        <v>1162</v>
      </c>
      <c r="F1183" s="35" t="s">
        <v>2002</v>
      </c>
      <c r="G1183" s="76" t="s">
        <v>675</v>
      </c>
      <c r="H1183" s="76" t="n">
        <v>67500</v>
      </c>
      <c r="I1183" s="76" t="s">
        <v>2004</v>
      </c>
      <c r="J1183" s="76" t="n">
        <v>67500</v>
      </c>
      <c r="K1183" s="76" t="s">
        <v>2004</v>
      </c>
      <c r="L1183" s="77" t="s">
        <v>1114</v>
      </c>
    </row>
    <row r="1184" customFormat="false" ht="15" hidden="false" customHeight="false" outlineLevel="0" collapsed="false">
      <c r="A1184" s="76" t="s">
        <v>2001</v>
      </c>
      <c r="B1184" s="76" t="s">
        <v>110</v>
      </c>
      <c r="C1184" s="76" t="s">
        <v>111</v>
      </c>
      <c r="D1184" s="76" t="s">
        <v>1161</v>
      </c>
      <c r="E1184" s="76" t="s">
        <v>1162</v>
      </c>
      <c r="F1184" s="35" t="s">
        <v>2002</v>
      </c>
      <c r="G1184" s="76" t="s">
        <v>834</v>
      </c>
      <c r="H1184" s="76" t="n">
        <v>54000</v>
      </c>
      <c r="I1184" s="76" t="s">
        <v>1184</v>
      </c>
      <c r="J1184" s="76" t="n">
        <v>54000</v>
      </c>
      <c r="K1184" s="76" t="s">
        <v>1184</v>
      </c>
      <c r="L1184" s="77" t="s">
        <v>1114</v>
      </c>
    </row>
    <row r="1185" customFormat="false" ht="15" hidden="false" customHeight="false" outlineLevel="0" collapsed="false">
      <c r="A1185" s="76" t="s">
        <v>2001</v>
      </c>
      <c r="B1185" s="76" t="s">
        <v>110</v>
      </c>
      <c r="C1185" s="76" t="s">
        <v>111</v>
      </c>
      <c r="D1185" s="76" t="s">
        <v>1161</v>
      </c>
      <c r="E1185" s="76" t="s">
        <v>1162</v>
      </c>
      <c r="F1185" s="35" t="s">
        <v>2002</v>
      </c>
      <c r="G1185" s="76" t="s">
        <v>682</v>
      </c>
      <c r="H1185" s="78" t="n">
        <v>56968.3950117846</v>
      </c>
      <c r="I1185" s="76" t="s">
        <v>2005</v>
      </c>
      <c r="J1185" s="78" t="n">
        <v>56968.3950117846</v>
      </c>
      <c r="K1185" s="76" t="s">
        <v>2005</v>
      </c>
      <c r="L1185" s="77" t="s">
        <v>1114</v>
      </c>
    </row>
    <row r="1186" customFormat="false" ht="15" hidden="false" customHeight="false" outlineLevel="0" collapsed="false">
      <c r="A1186" s="76" t="s">
        <v>2001</v>
      </c>
      <c r="B1186" s="76" t="s">
        <v>110</v>
      </c>
      <c r="C1186" s="76" t="s">
        <v>111</v>
      </c>
      <c r="D1186" s="76" t="s">
        <v>1161</v>
      </c>
      <c r="E1186" s="76" t="s">
        <v>1162</v>
      </c>
      <c r="F1186" s="35" t="s">
        <v>2002</v>
      </c>
      <c r="G1186" s="76" t="s">
        <v>823</v>
      </c>
      <c r="H1186" s="78" t="n">
        <v>95442</v>
      </c>
      <c r="I1186" s="76" t="s">
        <v>2006</v>
      </c>
      <c r="J1186" s="76" t="n">
        <v>95442</v>
      </c>
      <c r="K1186" s="76" t="s">
        <v>2006</v>
      </c>
      <c r="L1186" s="77" t="s">
        <v>1114</v>
      </c>
    </row>
    <row r="1187" customFormat="false" ht="15" hidden="false" customHeight="false" outlineLevel="0" collapsed="false">
      <c r="A1187" s="76" t="s">
        <v>2001</v>
      </c>
      <c r="B1187" s="76" t="s">
        <v>110</v>
      </c>
      <c r="C1187" s="76" t="s">
        <v>111</v>
      </c>
      <c r="D1187" s="76" t="s">
        <v>1161</v>
      </c>
      <c r="E1187" s="76" t="s">
        <v>1162</v>
      </c>
      <c r="F1187" s="35" t="s">
        <v>2002</v>
      </c>
      <c r="G1187" s="76" t="s">
        <v>434</v>
      </c>
      <c r="H1187" s="78" t="n">
        <v>15</v>
      </c>
      <c r="I1187" s="76" t="s">
        <v>1646</v>
      </c>
      <c r="J1187" s="76" t="n">
        <v>15</v>
      </c>
      <c r="K1187" s="76" t="s">
        <v>1646</v>
      </c>
      <c r="L1187" s="77" t="s">
        <v>1114</v>
      </c>
    </row>
    <row r="1188" customFormat="false" ht="15" hidden="false" customHeight="false" outlineLevel="0" collapsed="false">
      <c r="A1188" s="76" t="s">
        <v>2007</v>
      </c>
      <c r="B1188" s="76" t="s">
        <v>110</v>
      </c>
      <c r="C1188" s="76" t="s">
        <v>111</v>
      </c>
      <c r="D1188" s="76" t="s">
        <v>1180</v>
      </c>
      <c r="E1188" s="76" t="s">
        <v>1152</v>
      </c>
      <c r="F1188" s="35" t="s">
        <v>2008</v>
      </c>
      <c r="G1188" s="76" t="s">
        <v>419</v>
      </c>
      <c r="H1188" s="76"/>
      <c r="I1188" s="76" t="s">
        <v>829</v>
      </c>
      <c r="J1188" s="76"/>
      <c r="K1188" s="76" t="s">
        <v>829</v>
      </c>
      <c r="L1188" s="77" t="s">
        <v>1114</v>
      </c>
    </row>
    <row r="1189" customFormat="false" ht="15" hidden="false" customHeight="false" outlineLevel="0" collapsed="false">
      <c r="A1189" s="76" t="s">
        <v>2007</v>
      </c>
      <c r="B1189" s="76" t="s">
        <v>110</v>
      </c>
      <c r="C1189" s="76" t="s">
        <v>111</v>
      </c>
      <c r="D1189" s="76" t="s">
        <v>1180</v>
      </c>
      <c r="E1189" s="76" t="s">
        <v>1152</v>
      </c>
      <c r="F1189" s="35" t="s">
        <v>2008</v>
      </c>
      <c r="G1189" s="76" t="s">
        <v>829</v>
      </c>
      <c r="H1189" s="78" t="n">
        <v>1762092.70420088</v>
      </c>
      <c r="I1189" s="76" t="s">
        <v>2009</v>
      </c>
      <c r="J1189" s="78" t="n">
        <v>1762092.70420088</v>
      </c>
      <c r="K1189" s="76" t="s">
        <v>2009</v>
      </c>
      <c r="L1189" s="77" t="s">
        <v>1114</v>
      </c>
    </row>
    <row r="1190" customFormat="false" ht="15" hidden="false" customHeight="false" outlineLevel="0" collapsed="false">
      <c r="A1190" s="76" t="s">
        <v>2007</v>
      </c>
      <c r="B1190" s="76" t="s">
        <v>110</v>
      </c>
      <c r="C1190" s="76" t="s">
        <v>111</v>
      </c>
      <c r="D1190" s="76" t="s">
        <v>1180</v>
      </c>
      <c r="E1190" s="76" t="s">
        <v>1152</v>
      </c>
      <c r="F1190" s="35" t="s">
        <v>2008</v>
      </c>
      <c r="G1190" s="76" t="s">
        <v>836</v>
      </c>
      <c r="H1190" s="76" t="n">
        <v>920</v>
      </c>
      <c r="I1190" s="76" t="s">
        <v>2010</v>
      </c>
      <c r="J1190" s="76" t="n">
        <v>920</v>
      </c>
      <c r="K1190" s="76" t="s">
        <v>2010</v>
      </c>
      <c r="L1190" s="77" t="s">
        <v>1114</v>
      </c>
    </row>
    <row r="1191" customFormat="false" ht="15" hidden="false" customHeight="false" outlineLevel="0" collapsed="false">
      <c r="A1191" s="76" t="s">
        <v>2007</v>
      </c>
      <c r="B1191" s="76" t="s">
        <v>110</v>
      </c>
      <c r="C1191" s="76" t="s">
        <v>111</v>
      </c>
      <c r="D1191" s="76" t="s">
        <v>1180</v>
      </c>
      <c r="E1191" s="76" t="s">
        <v>1152</v>
      </c>
      <c r="F1191" s="35" t="s">
        <v>2008</v>
      </c>
      <c r="G1191" s="76" t="s">
        <v>675</v>
      </c>
      <c r="H1191" s="76" t="n">
        <v>483000</v>
      </c>
      <c r="I1191" s="76" t="s">
        <v>2011</v>
      </c>
      <c r="J1191" s="76" t="n">
        <v>483000</v>
      </c>
      <c r="K1191" s="76" t="s">
        <v>2011</v>
      </c>
      <c r="L1191" s="77" t="s">
        <v>1114</v>
      </c>
    </row>
    <row r="1192" customFormat="false" ht="15" hidden="false" customHeight="false" outlineLevel="0" collapsed="false">
      <c r="A1192" s="76" t="s">
        <v>2007</v>
      </c>
      <c r="B1192" s="76" t="s">
        <v>110</v>
      </c>
      <c r="C1192" s="76" t="s">
        <v>111</v>
      </c>
      <c r="D1192" s="76" t="s">
        <v>1180</v>
      </c>
      <c r="E1192" s="76" t="s">
        <v>1152</v>
      </c>
      <c r="F1192" s="35" t="s">
        <v>2008</v>
      </c>
      <c r="G1192" s="76" t="s">
        <v>834</v>
      </c>
      <c r="H1192" s="76" t="n">
        <v>386400</v>
      </c>
      <c r="I1192" s="76" t="s">
        <v>2012</v>
      </c>
      <c r="J1192" s="76" t="n">
        <v>386400</v>
      </c>
      <c r="K1192" s="76" t="s">
        <v>2012</v>
      </c>
      <c r="L1192" s="77" t="s">
        <v>1114</v>
      </c>
    </row>
    <row r="1193" customFormat="false" ht="15" hidden="false" customHeight="false" outlineLevel="0" collapsed="false">
      <c r="A1193" s="76" t="s">
        <v>2007</v>
      </c>
      <c r="B1193" s="76" t="s">
        <v>110</v>
      </c>
      <c r="C1193" s="76" t="s">
        <v>111</v>
      </c>
      <c r="D1193" s="76" t="s">
        <v>1180</v>
      </c>
      <c r="E1193" s="76" t="s">
        <v>1152</v>
      </c>
      <c r="F1193" s="35" t="s">
        <v>2008</v>
      </c>
      <c r="G1193" s="76" t="s">
        <v>682</v>
      </c>
      <c r="H1193" s="78" t="n">
        <v>881095.009399396</v>
      </c>
      <c r="I1193" s="76" t="s">
        <v>2013</v>
      </c>
      <c r="J1193" s="78" t="n">
        <v>881095.009399396</v>
      </c>
      <c r="K1193" s="76" t="s">
        <v>2013</v>
      </c>
      <c r="L1193" s="77" t="s">
        <v>1114</v>
      </c>
    </row>
    <row r="1194" customFormat="false" ht="15" hidden="false" customHeight="false" outlineLevel="0" collapsed="false">
      <c r="A1194" s="76" t="s">
        <v>2007</v>
      </c>
      <c r="B1194" s="76" t="s">
        <v>110</v>
      </c>
      <c r="C1194" s="76" t="s">
        <v>111</v>
      </c>
      <c r="D1194" s="76" t="s">
        <v>1180</v>
      </c>
      <c r="E1194" s="76" t="s">
        <v>1152</v>
      </c>
      <c r="F1194" s="35" t="s">
        <v>2008</v>
      </c>
      <c r="G1194" s="76" t="s">
        <v>823</v>
      </c>
      <c r="H1194" s="78" t="n">
        <v>1762093</v>
      </c>
      <c r="I1194" s="76" t="s">
        <v>2014</v>
      </c>
      <c r="J1194" s="76" t="n">
        <v>1762093</v>
      </c>
      <c r="K1194" s="76" t="s">
        <v>2014</v>
      </c>
      <c r="L1194" s="77" t="s">
        <v>1114</v>
      </c>
    </row>
    <row r="1195" customFormat="false" ht="15" hidden="false" customHeight="false" outlineLevel="0" collapsed="false">
      <c r="A1195" s="76" t="s">
        <v>2007</v>
      </c>
      <c r="B1195" s="76" t="s">
        <v>110</v>
      </c>
      <c r="C1195" s="76" t="s">
        <v>111</v>
      </c>
      <c r="D1195" s="76" t="s">
        <v>1180</v>
      </c>
      <c r="E1195" s="76" t="s">
        <v>1152</v>
      </c>
      <c r="F1195" s="35" t="s">
        <v>2008</v>
      </c>
      <c r="G1195" s="76" t="s">
        <v>434</v>
      </c>
      <c r="H1195" s="78" t="n">
        <v>35</v>
      </c>
      <c r="I1195" s="76" t="s">
        <v>1780</v>
      </c>
      <c r="J1195" s="76" t="n">
        <v>35</v>
      </c>
      <c r="K1195" s="76" t="s">
        <v>1780</v>
      </c>
      <c r="L1195" s="77" t="s">
        <v>1114</v>
      </c>
    </row>
    <row r="1196" customFormat="false" ht="15" hidden="false" customHeight="false" outlineLevel="0" collapsed="false">
      <c r="A1196" s="76" t="s">
        <v>2015</v>
      </c>
      <c r="B1196" s="76" t="s">
        <v>110</v>
      </c>
      <c r="C1196" s="76" t="s">
        <v>111</v>
      </c>
      <c r="D1196" s="76" t="s">
        <v>1189</v>
      </c>
      <c r="E1196" s="76" t="s">
        <v>1125</v>
      </c>
      <c r="F1196" s="35" t="s">
        <v>2016</v>
      </c>
      <c r="G1196" s="76" t="s">
        <v>419</v>
      </c>
      <c r="H1196" s="76"/>
      <c r="I1196" s="76" t="s">
        <v>829</v>
      </c>
      <c r="J1196" s="76"/>
      <c r="K1196" s="76" t="s">
        <v>829</v>
      </c>
      <c r="L1196" s="77" t="s">
        <v>1114</v>
      </c>
    </row>
    <row r="1197" customFormat="false" ht="15" hidden="false" customHeight="false" outlineLevel="0" collapsed="false">
      <c r="A1197" s="76" t="s">
        <v>2015</v>
      </c>
      <c r="B1197" s="76" t="s">
        <v>110</v>
      </c>
      <c r="C1197" s="76" t="s">
        <v>111</v>
      </c>
      <c r="D1197" s="76" t="s">
        <v>1189</v>
      </c>
      <c r="E1197" s="76" t="s">
        <v>1125</v>
      </c>
      <c r="F1197" s="35" t="s">
        <v>2016</v>
      </c>
      <c r="G1197" s="76" t="s">
        <v>829</v>
      </c>
      <c r="H1197" s="78" t="n">
        <v>270284.530606691</v>
      </c>
      <c r="I1197" s="76" t="s">
        <v>2017</v>
      </c>
      <c r="J1197" s="78" t="n">
        <v>270284.530606691</v>
      </c>
      <c r="K1197" s="76" t="s">
        <v>2017</v>
      </c>
      <c r="L1197" s="77" t="s">
        <v>1114</v>
      </c>
    </row>
    <row r="1198" customFormat="false" ht="15" hidden="false" customHeight="false" outlineLevel="0" collapsed="false">
      <c r="A1198" s="76" t="s">
        <v>2015</v>
      </c>
      <c r="B1198" s="76" t="s">
        <v>110</v>
      </c>
      <c r="C1198" s="76" t="s">
        <v>111</v>
      </c>
      <c r="D1198" s="76" t="s">
        <v>1189</v>
      </c>
      <c r="E1198" s="76" t="s">
        <v>1125</v>
      </c>
      <c r="F1198" s="35" t="s">
        <v>2016</v>
      </c>
      <c r="G1198" s="76" t="s">
        <v>836</v>
      </c>
      <c r="H1198" s="76" t="n">
        <v>1200</v>
      </c>
      <c r="I1198" s="76" t="s">
        <v>1615</v>
      </c>
      <c r="J1198" s="76" t="n">
        <v>1200</v>
      </c>
      <c r="K1198" s="76" t="s">
        <v>1615</v>
      </c>
      <c r="L1198" s="77" t="s">
        <v>1114</v>
      </c>
    </row>
    <row r="1199" customFormat="false" ht="15" hidden="false" customHeight="false" outlineLevel="0" collapsed="false">
      <c r="A1199" s="76" t="s">
        <v>2015</v>
      </c>
      <c r="B1199" s="76" t="s">
        <v>110</v>
      </c>
      <c r="C1199" s="76" t="s">
        <v>111</v>
      </c>
      <c r="D1199" s="76" t="s">
        <v>1189</v>
      </c>
      <c r="E1199" s="76" t="s">
        <v>1125</v>
      </c>
      <c r="F1199" s="35" t="s">
        <v>2016</v>
      </c>
      <c r="G1199" s="76" t="s">
        <v>675</v>
      </c>
      <c r="H1199" s="76" t="n">
        <v>252000</v>
      </c>
      <c r="I1199" s="76" t="s">
        <v>2018</v>
      </c>
      <c r="J1199" s="76" t="n">
        <v>252000</v>
      </c>
      <c r="K1199" s="76" t="s">
        <v>2018</v>
      </c>
      <c r="L1199" s="77" t="s">
        <v>1114</v>
      </c>
    </row>
    <row r="1200" customFormat="false" ht="15" hidden="false" customHeight="false" outlineLevel="0" collapsed="false">
      <c r="A1200" s="76" t="s">
        <v>2015</v>
      </c>
      <c r="B1200" s="76" t="s">
        <v>110</v>
      </c>
      <c r="C1200" s="76" t="s">
        <v>111</v>
      </c>
      <c r="D1200" s="76" t="s">
        <v>1189</v>
      </c>
      <c r="E1200" s="76" t="s">
        <v>1125</v>
      </c>
      <c r="F1200" s="35" t="s">
        <v>2016</v>
      </c>
      <c r="G1200" s="76" t="s">
        <v>834</v>
      </c>
      <c r="H1200" s="76" t="n">
        <v>201600</v>
      </c>
      <c r="I1200" s="76" t="s">
        <v>2019</v>
      </c>
      <c r="J1200" s="76" t="n">
        <v>201600</v>
      </c>
      <c r="K1200" s="76" t="s">
        <v>2019</v>
      </c>
      <c r="L1200" s="77" t="s">
        <v>1114</v>
      </c>
    </row>
    <row r="1201" customFormat="false" ht="15" hidden="false" customHeight="false" outlineLevel="0" collapsed="false">
      <c r="A1201" s="76" t="s">
        <v>2015</v>
      </c>
      <c r="B1201" s="76" t="s">
        <v>110</v>
      </c>
      <c r="C1201" s="76" t="s">
        <v>111</v>
      </c>
      <c r="D1201" s="76" t="s">
        <v>1189</v>
      </c>
      <c r="E1201" s="76" t="s">
        <v>1125</v>
      </c>
      <c r="F1201" s="35" t="s">
        <v>2016</v>
      </c>
      <c r="G1201" s="76" t="s">
        <v>682</v>
      </c>
      <c r="H1201" s="76"/>
      <c r="I1201" s="76"/>
      <c r="J1201" s="76"/>
      <c r="K1201" s="76"/>
      <c r="L1201" s="77" t="s">
        <v>1114</v>
      </c>
    </row>
    <row r="1202" customFormat="false" ht="15" hidden="false" customHeight="false" outlineLevel="0" collapsed="false">
      <c r="A1202" s="76" t="s">
        <v>2015</v>
      </c>
      <c r="B1202" s="76" t="s">
        <v>110</v>
      </c>
      <c r="C1202" s="76" t="s">
        <v>111</v>
      </c>
      <c r="D1202" s="76" t="s">
        <v>1189</v>
      </c>
      <c r="E1202" s="76" t="s">
        <v>1125</v>
      </c>
      <c r="F1202" s="35" t="s">
        <v>2016</v>
      </c>
      <c r="G1202" s="76" t="s">
        <v>823</v>
      </c>
      <c r="H1202" s="78" t="n">
        <v>270285</v>
      </c>
      <c r="I1202" s="76" t="s">
        <v>2020</v>
      </c>
      <c r="J1202" s="76" t="n">
        <v>270285</v>
      </c>
      <c r="K1202" s="76" t="s">
        <v>2020</v>
      </c>
      <c r="L1202" s="77" t="s">
        <v>1114</v>
      </c>
    </row>
    <row r="1203" customFormat="false" ht="15" hidden="false" customHeight="false" outlineLevel="0" collapsed="false">
      <c r="A1203" s="76" t="s">
        <v>2015</v>
      </c>
      <c r="B1203" s="76" t="s">
        <v>110</v>
      </c>
      <c r="C1203" s="76" t="s">
        <v>111</v>
      </c>
      <c r="D1203" s="76" t="s">
        <v>1189</v>
      </c>
      <c r="E1203" s="76" t="s">
        <v>1125</v>
      </c>
      <c r="F1203" s="35" t="s">
        <v>2016</v>
      </c>
      <c r="G1203" s="76" t="s">
        <v>434</v>
      </c>
      <c r="H1203" s="78" t="n">
        <v>14</v>
      </c>
      <c r="I1203" s="76" t="s">
        <v>1408</v>
      </c>
      <c r="J1203" s="76" t="n">
        <v>14</v>
      </c>
      <c r="K1203" s="76" t="s">
        <v>1408</v>
      </c>
      <c r="L1203" s="77" t="s">
        <v>1114</v>
      </c>
    </row>
    <row r="1204" customFormat="false" ht="15" hidden="false" customHeight="false" outlineLevel="0" collapsed="false">
      <c r="A1204" s="76" t="s">
        <v>2021</v>
      </c>
      <c r="B1204" s="76" t="s">
        <v>110</v>
      </c>
      <c r="C1204" s="76" t="s">
        <v>111</v>
      </c>
      <c r="D1204" s="76" t="s">
        <v>1198</v>
      </c>
      <c r="E1204" s="76" t="s">
        <v>1162</v>
      </c>
      <c r="F1204" s="35" t="s">
        <v>2022</v>
      </c>
      <c r="G1204" s="76" t="s">
        <v>419</v>
      </c>
      <c r="H1204" s="76"/>
      <c r="I1204" s="76" t="s">
        <v>829</v>
      </c>
      <c r="J1204" s="76"/>
      <c r="K1204" s="76" t="s">
        <v>829</v>
      </c>
      <c r="L1204" s="77" t="s">
        <v>1114</v>
      </c>
    </row>
    <row r="1205" customFormat="false" ht="15" hidden="false" customHeight="false" outlineLevel="0" collapsed="false">
      <c r="A1205" s="76" t="s">
        <v>2021</v>
      </c>
      <c r="B1205" s="76" t="s">
        <v>110</v>
      </c>
      <c r="C1205" s="76" t="s">
        <v>111</v>
      </c>
      <c r="D1205" s="76" t="s">
        <v>1198</v>
      </c>
      <c r="E1205" s="76" t="s">
        <v>1162</v>
      </c>
      <c r="F1205" s="35" t="s">
        <v>2022</v>
      </c>
      <c r="G1205" s="76" t="s">
        <v>829</v>
      </c>
      <c r="H1205" s="78" t="n">
        <v>63549.5548739979</v>
      </c>
      <c r="I1205" s="76" t="s">
        <v>2023</v>
      </c>
      <c r="J1205" s="78" t="n">
        <v>63549.5548739979</v>
      </c>
      <c r="K1205" s="76" t="s">
        <v>2023</v>
      </c>
      <c r="L1205" s="77" t="s">
        <v>1114</v>
      </c>
    </row>
    <row r="1206" customFormat="false" ht="15" hidden="false" customHeight="false" outlineLevel="0" collapsed="false">
      <c r="A1206" s="76" t="s">
        <v>2021</v>
      </c>
      <c r="B1206" s="76" t="s">
        <v>110</v>
      </c>
      <c r="C1206" s="76" t="s">
        <v>111</v>
      </c>
      <c r="D1206" s="76" t="s">
        <v>1198</v>
      </c>
      <c r="E1206" s="76" t="s">
        <v>1162</v>
      </c>
      <c r="F1206" s="35" t="s">
        <v>2022</v>
      </c>
      <c r="G1206" s="76" t="s">
        <v>836</v>
      </c>
      <c r="H1206" s="76" t="n">
        <v>500</v>
      </c>
      <c r="I1206" s="76" t="s">
        <v>1612</v>
      </c>
      <c r="J1206" s="76" t="n">
        <v>500</v>
      </c>
      <c r="K1206" s="76" t="s">
        <v>1612</v>
      </c>
      <c r="L1206" s="77" t="s">
        <v>1114</v>
      </c>
    </row>
    <row r="1207" customFormat="false" ht="15" hidden="false" customHeight="false" outlineLevel="0" collapsed="false">
      <c r="A1207" s="76" t="s">
        <v>2021</v>
      </c>
      <c r="B1207" s="76" t="s">
        <v>110</v>
      </c>
      <c r="C1207" s="76" t="s">
        <v>111</v>
      </c>
      <c r="D1207" s="76" t="s">
        <v>1198</v>
      </c>
      <c r="E1207" s="76" t="s">
        <v>1162</v>
      </c>
      <c r="F1207" s="35" t="s">
        <v>2022</v>
      </c>
      <c r="G1207" s="76" t="s">
        <v>675</v>
      </c>
      <c r="H1207" s="76" t="n">
        <v>52500</v>
      </c>
      <c r="I1207" s="76" t="s">
        <v>1129</v>
      </c>
      <c r="J1207" s="76" t="n">
        <v>52500</v>
      </c>
      <c r="K1207" s="76" t="s">
        <v>1129</v>
      </c>
      <c r="L1207" s="77" t="s">
        <v>1114</v>
      </c>
    </row>
    <row r="1208" customFormat="false" ht="15" hidden="false" customHeight="false" outlineLevel="0" collapsed="false">
      <c r="A1208" s="76" t="s">
        <v>2021</v>
      </c>
      <c r="B1208" s="76" t="s">
        <v>110</v>
      </c>
      <c r="C1208" s="76" t="s">
        <v>111</v>
      </c>
      <c r="D1208" s="76" t="s">
        <v>1198</v>
      </c>
      <c r="E1208" s="76" t="s">
        <v>1162</v>
      </c>
      <c r="F1208" s="35" t="s">
        <v>2022</v>
      </c>
      <c r="G1208" s="76" t="s">
        <v>834</v>
      </c>
      <c r="H1208" s="76" t="n">
        <v>42000</v>
      </c>
      <c r="I1208" s="76" t="s">
        <v>2024</v>
      </c>
      <c r="J1208" s="76" t="n">
        <v>42000</v>
      </c>
      <c r="K1208" s="76" t="s">
        <v>2024</v>
      </c>
      <c r="L1208" s="77" t="s">
        <v>1114</v>
      </c>
    </row>
    <row r="1209" customFormat="false" ht="15" hidden="false" customHeight="false" outlineLevel="0" collapsed="false">
      <c r="A1209" s="76" t="s">
        <v>2021</v>
      </c>
      <c r="B1209" s="76" t="s">
        <v>110</v>
      </c>
      <c r="C1209" s="76" t="s">
        <v>111</v>
      </c>
      <c r="D1209" s="76" t="s">
        <v>1198</v>
      </c>
      <c r="E1209" s="76" t="s">
        <v>1162</v>
      </c>
      <c r="F1209" s="35" t="s">
        <v>2022</v>
      </c>
      <c r="G1209" s="76" t="s">
        <v>682</v>
      </c>
      <c r="H1209" s="78" t="n">
        <v>49949.3756864427</v>
      </c>
      <c r="I1209" s="76" t="s">
        <v>2025</v>
      </c>
      <c r="J1209" s="78" t="n">
        <v>49949.3756864427</v>
      </c>
      <c r="K1209" s="76" t="s">
        <v>2025</v>
      </c>
      <c r="L1209" s="77" t="s">
        <v>1114</v>
      </c>
    </row>
    <row r="1210" customFormat="false" ht="15" hidden="false" customHeight="false" outlineLevel="0" collapsed="false">
      <c r="A1210" s="76" t="s">
        <v>2021</v>
      </c>
      <c r="B1210" s="76" t="s">
        <v>110</v>
      </c>
      <c r="C1210" s="76" t="s">
        <v>111</v>
      </c>
      <c r="D1210" s="76" t="s">
        <v>1198</v>
      </c>
      <c r="E1210" s="76" t="s">
        <v>1162</v>
      </c>
      <c r="F1210" s="35" t="s">
        <v>2022</v>
      </c>
      <c r="G1210" s="76" t="s">
        <v>823</v>
      </c>
      <c r="H1210" s="78" t="n">
        <v>63550</v>
      </c>
      <c r="I1210" s="76" t="s">
        <v>2026</v>
      </c>
      <c r="J1210" s="76" t="n">
        <v>63550</v>
      </c>
      <c r="K1210" s="76" t="s">
        <v>2026</v>
      </c>
      <c r="L1210" s="77" t="s">
        <v>1114</v>
      </c>
    </row>
    <row r="1211" customFormat="false" ht="15" hidden="false" customHeight="false" outlineLevel="0" collapsed="false">
      <c r="A1211" s="76" t="s">
        <v>2021</v>
      </c>
      <c r="B1211" s="76" t="s">
        <v>110</v>
      </c>
      <c r="C1211" s="76" t="s">
        <v>111</v>
      </c>
      <c r="D1211" s="76" t="s">
        <v>1198</v>
      </c>
      <c r="E1211" s="76" t="s">
        <v>1162</v>
      </c>
      <c r="F1211" s="35" t="s">
        <v>2022</v>
      </c>
      <c r="G1211" s="76" t="s">
        <v>434</v>
      </c>
      <c r="H1211" s="78" t="n">
        <v>7</v>
      </c>
      <c r="I1211" s="76" t="s">
        <v>1904</v>
      </c>
      <c r="J1211" s="76" t="n">
        <v>7</v>
      </c>
      <c r="K1211" s="76" t="s">
        <v>1904</v>
      </c>
      <c r="L1211" s="77" t="s">
        <v>1114</v>
      </c>
    </row>
    <row r="1212" customFormat="false" ht="15" hidden="false" customHeight="false" outlineLevel="0" collapsed="false">
      <c r="A1212" s="76" t="s">
        <v>2027</v>
      </c>
      <c r="B1212" s="76" t="s">
        <v>115</v>
      </c>
      <c r="C1212" s="76" t="s">
        <v>2028</v>
      </c>
      <c r="D1212" s="76" t="s">
        <v>1111</v>
      </c>
      <c r="E1212" s="76" t="s">
        <v>1112</v>
      </c>
      <c r="F1212" s="35" t="s">
        <v>2029</v>
      </c>
      <c r="G1212" s="76" t="s">
        <v>419</v>
      </c>
      <c r="H1212" s="76"/>
      <c r="I1212" s="76" t="s">
        <v>2030</v>
      </c>
      <c r="J1212" s="76"/>
      <c r="K1212" s="76" t="s">
        <v>2030</v>
      </c>
      <c r="L1212" s="77" t="s">
        <v>1114</v>
      </c>
    </row>
    <row r="1213" customFormat="false" ht="15" hidden="false" customHeight="false" outlineLevel="0" collapsed="false">
      <c r="A1213" s="76" t="s">
        <v>2027</v>
      </c>
      <c r="B1213" s="76" t="s">
        <v>115</v>
      </c>
      <c r="C1213" s="76" t="s">
        <v>2028</v>
      </c>
      <c r="D1213" s="76" t="s">
        <v>1111</v>
      </c>
      <c r="E1213" s="76" t="s">
        <v>1112</v>
      </c>
      <c r="F1213" s="35" t="s">
        <v>2029</v>
      </c>
      <c r="G1213" s="76" t="s">
        <v>858</v>
      </c>
      <c r="H1213" s="76" t="n">
        <v>18</v>
      </c>
      <c r="I1213" s="76" t="s">
        <v>2031</v>
      </c>
      <c r="J1213" s="76" t="n">
        <v>18</v>
      </c>
      <c r="K1213" s="76" t="s">
        <v>2031</v>
      </c>
      <c r="L1213" s="77" t="s">
        <v>1114</v>
      </c>
    </row>
    <row r="1214" customFormat="false" ht="15" hidden="false" customHeight="false" outlineLevel="0" collapsed="false">
      <c r="A1214" s="76" t="s">
        <v>2027</v>
      </c>
      <c r="B1214" s="76" t="s">
        <v>115</v>
      </c>
      <c r="C1214" s="76" t="s">
        <v>2028</v>
      </c>
      <c r="D1214" s="76" t="s">
        <v>1111</v>
      </c>
      <c r="E1214" s="76" t="s">
        <v>1112</v>
      </c>
      <c r="F1214" s="35" t="s">
        <v>2029</v>
      </c>
      <c r="G1214" s="76" t="s">
        <v>859</v>
      </c>
      <c r="H1214" s="76" t="n">
        <v>24000</v>
      </c>
      <c r="I1214" s="76" t="s">
        <v>1317</v>
      </c>
      <c r="J1214" s="76" t="n">
        <v>24000</v>
      </c>
      <c r="K1214" s="76" t="s">
        <v>1317</v>
      </c>
      <c r="L1214" s="77" t="s">
        <v>1114</v>
      </c>
    </row>
    <row r="1215" customFormat="false" ht="15" hidden="false" customHeight="false" outlineLevel="0" collapsed="false">
      <c r="A1215" s="76" t="s">
        <v>2027</v>
      </c>
      <c r="B1215" s="76" t="s">
        <v>115</v>
      </c>
      <c r="C1215" s="76" t="s">
        <v>2028</v>
      </c>
      <c r="D1215" s="76" t="s">
        <v>1111</v>
      </c>
      <c r="E1215" s="76" t="s">
        <v>1112</v>
      </c>
      <c r="F1215" s="35" t="s">
        <v>2029</v>
      </c>
      <c r="G1215" s="76" t="s">
        <v>860</v>
      </c>
      <c r="H1215" s="76"/>
      <c r="I1215" s="76" t="s">
        <v>1608</v>
      </c>
      <c r="J1215" s="78" t="n">
        <v>0.02</v>
      </c>
      <c r="K1215" s="76" t="s">
        <v>1608</v>
      </c>
      <c r="L1215" s="77" t="s">
        <v>1114</v>
      </c>
    </row>
    <row r="1216" customFormat="false" ht="15" hidden="false" customHeight="false" outlineLevel="0" collapsed="false">
      <c r="A1216" s="76" t="s">
        <v>2027</v>
      </c>
      <c r="B1216" s="76" t="s">
        <v>115</v>
      </c>
      <c r="C1216" s="76" t="s">
        <v>2028</v>
      </c>
      <c r="D1216" s="76" t="s">
        <v>1111</v>
      </c>
      <c r="E1216" s="76" t="s">
        <v>1112</v>
      </c>
      <c r="F1216" s="35" t="s">
        <v>2029</v>
      </c>
      <c r="G1216" s="76" t="s">
        <v>856</v>
      </c>
      <c r="H1216" s="78" t="n">
        <v>0.06</v>
      </c>
      <c r="I1216" s="76" t="s">
        <v>2032</v>
      </c>
      <c r="J1216" s="78" t="n">
        <v>0.06</v>
      </c>
      <c r="K1216" s="76" t="s">
        <v>2032</v>
      </c>
      <c r="L1216" s="77" t="s">
        <v>1114</v>
      </c>
    </row>
    <row r="1217" customFormat="false" ht="15" hidden="false" customHeight="false" outlineLevel="0" collapsed="false">
      <c r="A1217" s="76" t="s">
        <v>2033</v>
      </c>
      <c r="B1217" s="76" t="s">
        <v>115</v>
      </c>
      <c r="C1217" s="76" t="s">
        <v>2028</v>
      </c>
      <c r="D1217" s="76" t="s">
        <v>1124</v>
      </c>
      <c r="E1217" s="76" t="s">
        <v>1125</v>
      </c>
      <c r="F1217" s="35" t="s">
        <v>2034</v>
      </c>
      <c r="G1217" s="76" t="s">
        <v>419</v>
      </c>
      <c r="H1217" s="76"/>
      <c r="I1217" s="76" t="s">
        <v>2030</v>
      </c>
      <c r="J1217" s="76"/>
      <c r="K1217" s="76" t="s">
        <v>2030</v>
      </c>
      <c r="L1217" s="77" t="s">
        <v>1114</v>
      </c>
    </row>
    <row r="1218" customFormat="false" ht="15" hidden="false" customHeight="false" outlineLevel="0" collapsed="false">
      <c r="A1218" s="76" t="s">
        <v>2033</v>
      </c>
      <c r="B1218" s="76" t="s">
        <v>115</v>
      </c>
      <c r="C1218" s="76" t="s">
        <v>2028</v>
      </c>
      <c r="D1218" s="76" t="s">
        <v>1124</v>
      </c>
      <c r="E1218" s="76" t="s">
        <v>1125</v>
      </c>
      <c r="F1218" s="35" t="s">
        <v>2034</v>
      </c>
      <c r="G1218" s="76" t="s">
        <v>858</v>
      </c>
      <c r="H1218" s="76" t="n">
        <v>60</v>
      </c>
      <c r="I1218" s="76" t="s">
        <v>2035</v>
      </c>
      <c r="J1218" s="76" t="n">
        <v>60</v>
      </c>
      <c r="K1218" s="76" t="s">
        <v>2035</v>
      </c>
      <c r="L1218" s="77" t="s">
        <v>1114</v>
      </c>
    </row>
    <row r="1219" customFormat="false" ht="15" hidden="false" customHeight="false" outlineLevel="0" collapsed="false">
      <c r="A1219" s="76" t="s">
        <v>2033</v>
      </c>
      <c r="B1219" s="76" t="s">
        <v>115</v>
      </c>
      <c r="C1219" s="76" t="s">
        <v>2028</v>
      </c>
      <c r="D1219" s="76" t="s">
        <v>1124</v>
      </c>
      <c r="E1219" s="76" t="s">
        <v>1125</v>
      </c>
      <c r="F1219" s="35" t="s">
        <v>2034</v>
      </c>
      <c r="G1219" s="76" t="s">
        <v>859</v>
      </c>
      <c r="H1219" s="76" t="n">
        <v>1000</v>
      </c>
      <c r="I1219" s="76" t="s">
        <v>2036</v>
      </c>
      <c r="J1219" s="76" t="n">
        <v>1000</v>
      </c>
      <c r="K1219" s="76" t="s">
        <v>2036</v>
      </c>
      <c r="L1219" s="77" t="s">
        <v>1114</v>
      </c>
    </row>
    <row r="1220" customFormat="false" ht="15" hidden="false" customHeight="false" outlineLevel="0" collapsed="false">
      <c r="A1220" s="76" t="s">
        <v>2033</v>
      </c>
      <c r="B1220" s="76" t="s">
        <v>115</v>
      </c>
      <c r="C1220" s="76" t="s">
        <v>2028</v>
      </c>
      <c r="D1220" s="76" t="s">
        <v>1124</v>
      </c>
      <c r="E1220" s="76" t="s">
        <v>1125</v>
      </c>
      <c r="F1220" s="35" t="s">
        <v>2034</v>
      </c>
      <c r="G1220" s="76" t="s">
        <v>860</v>
      </c>
      <c r="H1220" s="76"/>
      <c r="I1220" s="76"/>
      <c r="J1220" s="76"/>
      <c r="K1220" s="76"/>
      <c r="L1220" s="77" t="s">
        <v>1114</v>
      </c>
    </row>
    <row r="1221" customFormat="false" ht="15" hidden="false" customHeight="false" outlineLevel="0" collapsed="false">
      <c r="A1221" s="76" t="s">
        <v>2033</v>
      </c>
      <c r="B1221" s="76" t="s">
        <v>115</v>
      </c>
      <c r="C1221" s="76" t="s">
        <v>2028</v>
      </c>
      <c r="D1221" s="76" t="s">
        <v>1124</v>
      </c>
      <c r="E1221" s="76" t="s">
        <v>1125</v>
      </c>
      <c r="F1221" s="35" t="s">
        <v>2034</v>
      </c>
      <c r="G1221" s="76" t="s">
        <v>856</v>
      </c>
      <c r="H1221" s="78" t="n">
        <v>0.000333333333333333</v>
      </c>
      <c r="I1221" s="76" t="s">
        <v>2037</v>
      </c>
      <c r="J1221" s="78" t="n">
        <v>0.000333333333333333</v>
      </c>
      <c r="K1221" s="76" t="s">
        <v>2037</v>
      </c>
      <c r="L1221" s="77" t="s">
        <v>1114</v>
      </c>
    </row>
    <row r="1222" customFormat="false" ht="15" hidden="false" customHeight="false" outlineLevel="0" collapsed="false">
      <c r="A1222" s="76" t="s">
        <v>2038</v>
      </c>
      <c r="B1222" s="76" t="s">
        <v>115</v>
      </c>
      <c r="C1222" s="76" t="s">
        <v>2028</v>
      </c>
      <c r="D1222" s="76" t="s">
        <v>1132</v>
      </c>
      <c r="E1222" s="76" t="s">
        <v>1133</v>
      </c>
      <c r="F1222" s="35" t="s">
        <v>2039</v>
      </c>
      <c r="G1222" s="76" t="s">
        <v>419</v>
      </c>
      <c r="H1222" s="76"/>
      <c r="I1222" s="76" t="s">
        <v>2030</v>
      </c>
      <c r="J1222" s="76"/>
      <c r="K1222" s="76" t="s">
        <v>2030</v>
      </c>
      <c r="L1222" s="77" t="s">
        <v>1114</v>
      </c>
    </row>
    <row r="1223" customFormat="false" ht="15" hidden="false" customHeight="false" outlineLevel="0" collapsed="false">
      <c r="A1223" s="76" t="s">
        <v>2038</v>
      </c>
      <c r="B1223" s="76" t="s">
        <v>115</v>
      </c>
      <c r="C1223" s="76" t="s">
        <v>2028</v>
      </c>
      <c r="D1223" s="76" t="s">
        <v>1132</v>
      </c>
      <c r="E1223" s="76" t="s">
        <v>1133</v>
      </c>
      <c r="F1223" s="35" t="s">
        <v>2039</v>
      </c>
      <c r="G1223" s="76" t="s">
        <v>858</v>
      </c>
      <c r="H1223" s="76" t="n">
        <v>0</v>
      </c>
      <c r="I1223" s="76" t="s">
        <v>2040</v>
      </c>
      <c r="J1223" s="76" t="n">
        <v>0</v>
      </c>
      <c r="K1223" s="76" t="s">
        <v>2040</v>
      </c>
      <c r="L1223" s="77" t="s">
        <v>1114</v>
      </c>
    </row>
    <row r="1224" customFormat="false" ht="15" hidden="false" customHeight="false" outlineLevel="0" collapsed="false">
      <c r="A1224" s="76" t="s">
        <v>2038</v>
      </c>
      <c r="B1224" s="76" t="s">
        <v>115</v>
      </c>
      <c r="C1224" s="76" t="s">
        <v>2028</v>
      </c>
      <c r="D1224" s="76" t="s">
        <v>1132</v>
      </c>
      <c r="E1224" s="76" t="s">
        <v>1133</v>
      </c>
      <c r="F1224" s="35" t="s">
        <v>2039</v>
      </c>
      <c r="G1224" s="76" t="s">
        <v>859</v>
      </c>
      <c r="H1224" s="76" t="n">
        <v>200000</v>
      </c>
      <c r="I1224" s="76" t="s">
        <v>1164</v>
      </c>
      <c r="J1224" s="76" t="n">
        <v>200000</v>
      </c>
      <c r="K1224" s="76" t="s">
        <v>1164</v>
      </c>
      <c r="L1224" s="77" t="s">
        <v>1114</v>
      </c>
    </row>
    <row r="1225" customFormat="false" ht="15" hidden="false" customHeight="false" outlineLevel="0" collapsed="false">
      <c r="A1225" s="76" t="s">
        <v>2038</v>
      </c>
      <c r="B1225" s="76" t="s">
        <v>115</v>
      </c>
      <c r="C1225" s="76" t="s">
        <v>2028</v>
      </c>
      <c r="D1225" s="76" t="s">
        <v>1132</v>
      </c>
      <c r="E1225" s="76" t="s">
        <v>1133</v>
      </c>
      <c r="F1225" s="35" t="s">
        <v>2039</v>
      </c>
      <c r="G1225" s="76" t="s">
        <v>860</v>
      </c>
      <c r="H1225" s="76"/>
      <c r="I1225" s="76" t="s">
        <v>1618</v>
      </c>
      <c r="J1225" s="78" t="n">
        <v>0.035</v>
      </c>
      <c r="K1225" s="76" t="s">
        <v>1618</v>
      </c>
      <c r="L1225" s="77" t="s">
        <v>1114</v>
      </c>
    </row>
    <row r="1226" customFormat="false" ht="15" hidden="false" customHeight="false" outlineLevel="0" collapsed="false">
      <c r="A1226" s="76" t="s">
        <v>2038</v>
      </c>
      <c r="B1226" s="76" t="s">
        <v>115</v>
      </c>
      <c r="C1226" s="76" t="s">
        <v>2028</v>
      </c>
      <c r="D1226" s="76" t="s">
        <v>1132</v>
      </c>
      <c r="E1226" s="76" t="s">
        <v>1133</v>
      </c>
      <c r="F1226" s="35" t="s">
        <v>2039</v>
      </c>
      <c r="G1226" s="76" t="s">
        <v>856</v>
      </c>
      <c r="H1226" s="76" t="n">
        <v>20</v>
      </c>
      <c r="I1226" s="76" t="s">
        <v>2041</v>
      </c>
      <c r="J1226" s="76" t="n">
        <v>20</v>
      </c>
      <c r="K1226" s="76" t="s">
        <v>2041</v>
      </c>
      <c r="L1226" s="77" t="s">
        <v>1114</v>
      </c>
    </row>
    <row r="1227" customFormat="false" ht="15" hidden="false" customHeight="false" outlineLevel="0" collapsed="false">
      <c r="A1227" s="76" t="s">
        <v>2042</v>
      </c>
      <c r="B1227" s="76" t="s">
        <v>115</v>
      </c>
      <c r="C1227" s="76" t="s">
        <v>2028</v>
      </c>
      <c r="D1227" s="76" t="s">
        <v>1141</v>
      </c>
      <c r="E1227" s="76" t="s">
        <v>1142</v>
      </c>
      <c r="F1227" s="35" t="s">
        <v>2043</v>
      </c>
      <c r="G1227" s="76" t="s">
        <v>419</v>
      </c>
      <c r="H1227" s="76"/>
      <c r="I1227" s="76" t="s">
        <v>2030</v>
      </c>
      <c r="J1227" s="76"/>
      <c r="K1227" s="76" t="s">
        <v>2030</v>
      </c>
      <c r="L1227" s="77" t="s">
        <v>1114</v>
      </c>
    </row>
    <row r="1228" customFormat="false" ht="15" hidden="false" customHeight="false" outlineLevel="0" collapsed="false">
      <c r="A1228" s="76" t="s">
        <v>2042</v>
      </c>
      <c r="B1228" s="76" t="s">
        <v>115</v>
      </c>
      <c r="C1228" s="76" t="s">
        <v>2028</v>
      </c>
      <c r="D1228" s="76" t="s">
        <v>1141</v>
      </c>
      <c r="E1228" s="76" t="s">
        <v>1142</v>
      </c>
      <c r="F1228" s="35" t="s">
        <v>2043</v>
      </c>
      <c r="G1228" s="76" t="s">
        <v>858</v>
      </c>
      <c r="H1228" s="76" t="n">
        <v>59</v>
      </c>
      <c r="I1228" s="76" t="s">
        <v>2044</v>
      </c>
      <c r="J1228" s="76" t="n">
        <v>59</v>
      </c>
      <c r="K1228" s="76" t="s">
        <v>2044</v>
      </c>
      <c r="L1228" s="77" t="s">
        <v>1114</v>
      </c>
    </row>
    <row r="1229" customFormat="false" ht="15" hidden="false" customHeight="false" outlineLevel="0" collapsed="false">
      <c r="A1229" s="76" t="s">
        <v>2042</v>
      </c>
      <c r="B1229" s="76" t="s">
        <v>115</v>
      </c>
      <c r="C1229" s="76" t="s">
        <v>2028</v>
      </c>
      <c r="D1229" s="76" t="s">
        <v>1141</v>
      </c>
      <c r="E1229" s="76" t="s">
        <v>1142</v>
      </c>
      <c r="F1229" s="35" t="s">
        <v>2043</v>
      </c>
      <c r="G1229" s="76" t="s">
        <v>859</v>
      </c>
      <c r="H1229" s="76" t="n">
        <v>52000</v>
      </c>
      <c r="I1229" s="76" t="s">
        <v>2045</v>
      </c>
      <c r="J1229" s="76" t="n">
        <v>52000</v>
      </c>
      <c r="K1229" s="76" t="s">
        <v>2045</v>
      </c>
      <c r="L1229" s="77" t="s">
        <v>1114</v>
      </c>
    </row>
    <row r="1230" customFormat="false" ht="15" hidden="false" customHeight="false" outlineLevel="0" collapsed="false">
      <c r="A1230" s="76" t="s">
        <v>2042</v>
      </c>
      <c r="B1230" s="76" t="s">
        <v>115</v>
      </c>
      <c r="C1230" s="76" t="s">
        <v>2028</v>
      </c>
      <c r="D1230" s="76" t="s">
        <v>1141</v>
      </c>
      <c r="E1230" s="76" t="s">
        <v>1142</v>
      </c>
      <c r="F1230" s="35" t="s">
        <v>2043</v>
      </c>
      <c r="G1230" s="76" t="s">
        <v>860</v>
      </c>
      <c r="H1230" s="76"/>
      <c r="I1230" s="76" t="s">
        <v>1627</v>
      </c>
      <c r="J1230" s="78" t="n">
        <v>0.0275</v>
      </c>
      <c r="K1230" s="76" t="s">
        <v>1627</v>
      </c>
      <c r="L1230" s="77" t="s">
        <v>1114</v>
      </c>
    </row>
    <row r="1231" customFormat="false" ht="15" hidden="false" customHeight="false" outlineLevel="0" collapsed="false">
      <c r="A1231" s="76" t="s">
        <v>2042</v>
      </c>
      <c r="B1231" s="76" t="s">
        <v>115</v>
      </c>
      <c r="C1231" s="76" t="s">
        <v>2028</v>
      </c>
      <c r="D1231" s="76" t="s">
        <v>1141</v>
      </c>
      <c r="E1231" s="76" t="s">
        <v>1142</v>
      </c>
      <c r="F1231" s="35" t="s">
        <v>2043</v>
      </c>
      <c r="G1231" s="76" t="s">
        <v>856</v>
      </c>
      <c r="H1231" s="78" t="n">
        <v>0.0213991769547325</v>
      </c>
      <c r="I1231" s="76" t="s">
        <v>2046</v>
      </c>
      <c r="J1231" s="78" t="n">
        <v>0.0213991769547325</v>
      </c>
      <c r="K1231" s="76" t="s">
        <v>2046</v>
      </c>
      <c r="L1231" s="77" t="s">
        <v>1114</v>
      </c>
    </row>
    <row r="1232" customFormat="false" ht="15" hidden="false" customHeight="false" outlineLevel="0" collapsed="false">
      <c r="A1232" s="76" t="s">
        <v>2047</v>
      </c>
      <c r="B1232" s="76" t="s">
        <v>115</v>
      </c>
      <c r="C1232" s="76" t="s">
        <v>2028</v>
      </c>
      <c r="D1232" s="76" t="s">
        <v>1151</v>
      </c>
      <c r="E1232" s="76" t="s">
        <v>1152</v>
      </c>
      <c r="F1232" s="35" t="s">
        <v>2048</v>
      </c>
      <c r="G1232" s="76" t="s">
        <v>419</v>
      </c>
      <c r="H1232" s="76"/>
      <c r="I1232" s="76" t="s">
        <v>2030</v>
      </c>
      <c r="J1232" s="76"/>
      <c r="K1232" s="76" t="s">
        <v>2030</v>
      </c>
      <c r="L1232" s="77" t="s">
        <v>1114</v>
      </c>
    </row>
    <row r="1233" customFormat="false" ht="15" hidden="false" customHeight="false" outlineLevel="0" collapsed="false">
      <c r="A1233" s="76" t="s">
        <v>2047</v>
      </c>
      <c r="B1233" s="76" t="s">
        <v>115</v>
      </c>
      <c r="C1233" s="76" t="s">
        <v>2028</v>
      </c>
      <c r="D1233" s="76" t="s">
        <v>1151</v>
      </c>
      <c r="E1233" s="76" t="s">
        <v>1152</v>
      </c>
      <c r="F1233" s="35" t="s">
        <v>2048</v>
      </c>
      <c r="G1233" s="76" t="s">
        <v>858</v>
      </c>
      <c r="H1233" s="76" t="n">
        <v>14</v>
      </c>
      <c r="I1233" s="76" t="s">
        <v>2049</v>
      </c>
      <c r="J1233" s="76" t="n">
        <v>14</v>
      </c>
      <c r="K1233" s="76" t="s">
        <v>2049</v>
      </c>
      <c r="L1233" s="77" t="s">
        <v>1114</v>
      </c>
    </row>
    <row r="1234" customFormat="false" ht="15" hidden="false" customHeight="false" outlineLevel="0" collapsed="false">
      <c r="A1234" s="76" t="s">
        <v>2047</v>
      </c>
      <c r="B1234" s="76" t="s">
        <v>115</v>
      </c>
      <c r="C1234" s="76" t="s">
        <v>2028</v>
      </c>
      <c r="D1234" s="76" t="s">
        <v>1151</v>
      </c>
      <c r="E1234" s="76" t="s">
        <v>1152</v>
      </c>
      <c r="F1234" s="35" t="s">
        <v>2048</v>
      </c>
      <c r="G1234" s="76" t="s">
        <v>859</v>
      </c>
      <c r="H1234" s="76" t="n">
        <v>40000</v>
      </c>
      <c r="I1234" s="76" t="s">
        <v>2050</v>
      </c>
      <c r="J1234" s="76" t="n">
        <v>40000</v>
      </c>
      <c r="K1234" s="76" t="s">
        <v>2050</v>
      </c>
      <c r="L1234" s="77" t="s">
        <v>1114</v>
      </c>
    </row>
    <row r="1235" customFormat="false" ht="15" hidden="false" customHeight="false" outlineLevel="0" collapsed="false">
      <c r="A1235" s="76" t="s">
        <v>2047</v>
      </c>
      <c r="B1235" s="76" t="s">
        <v>115</v>
      </c>
      <c r="C1235" s="76" t="s">
        <v>2028</v>
      </c>
      <c r="D1235" s="76" t="s">
        <v>1151</v>
      </c>
      <c r="E1235" s="76" t="s">
        <v>1152</v>
      </c>
      <c r="F1235" s="35" t="s">
        <v>2048</v>
      </c>
      <c r="G1235" s="76" t="s">
        <v>860</v>
      </c>
      <c r="H1235" s="76"/>
      <c r="I1235" s="76" t="s">
        <v>1608</v>
      </c>
      <c r="J1235" s="78" t="n">
        <v>0.02</v>
      </c>
      <c r="K1235" s="76" t="s">
        <v>1608</v>
      </c>
      <c r="L1235" s="77" t="s">
        <v>1114</v>
      </c>
    </row>
    <row r="1236" customFormat="false" ht="15" hidden="false" customHeight="false" outlineLevel="0" collapsed="false">
      <c r="A1236" s="76" t="s">
        <v>2047</v>
      </c>
      <c r="B1236" s="76" t="s">
        <v>115</v>
      </c>
      <c r="C1236" s="76" t="s">
        <v>2028</v>
      </c>
      <c r="D1236" s="76" t="s">
        <v>1151</v>
      </c>
      <c r="E1236" s="76" t="s">
        <v>1152</v>
      </c>
      <c r="F1236" s="35" t="s">
        <v>2048</v>
      </c>
      <c r="G1236" s="76" t="s">
        <v>856</v>
      </c>
      <c r="H1236" s="78" t="n">
        <v>0.08</v>
      </c>
      <c r="I1236" s="76" t="s">
        <v>2051</v>
      </c>
      <c r="J1236" s="78" t="n">
        <v>0.08</v>
      </c>
      <c r="K1236" s="76" t="s">
        <v>2051</v>
      </c>
      <c r="L1236" s="77" t="s">
        <v>1114</v>
      </c>
    </row>
    <row r="1237" customFormat="false" ht="15" hidden="false" customHeight="false" outlineLevel="0" collapsed="false">
      <c r="A1237" s="76" t="s">
        <v>2052</v>
      </c>
      <c r="B1237" s="76" t="s">
        <v>115</v>
      </c>
      <c r="C1237" s="76" t="s">
        <v>2028</v>
      </c>
      <c r="D1237" s="76" t="s">
        <v>1161</v>
      </c>
      <c r="E1237" s="76" t="s">
        <v>1162</v>
      </c>
      <c r="F1237" s="35" t="s">
        <v>2053</v>
      </c>
      <c r="G1237" s="76" t="s">
        <v>419</v>
      </c>
      <c r="H1237" s="76"/>
      <c r="I1237" s="76" t="s">
        <v>2030</v>
      </c>
      <c r="J1237" s="76"/>
      <c r="K1237" s="76" t="s">
        <v>2030</v>
      </c>
      <c r="L1237" s="77" t="s">
        <v>1114</v>
      </c>
    </row>
    <row r="1238" customFormat="false" ht="15" hidden="false" customHeight="false" outlineLevel="0" collapsed="false">
      <c r="A1238" s="76" t="s">
        <v>2052</v>
      </c>
      <c r="B1238" s="76" t="s">
        <v>115</v>
      </c>
      <c r="C1238" s="76" t="s">
        <v>2028</v>
      </c>
      <c r="D1238" s="76" t="s">
        <v>1161</v>
      </c>
      <c r="E1238" s="76" t="s">
        <v>1162</v>
      </c>
      <c r="F1238" s="35" t="s">
        <v>2053</v>
      </c>
      <c r="G1238" s="76" t="s">
        <v>858</v>
      </c>
      <c r="H1238" s="76" t="n">
        <v>9</v>
      </c>
      <c r="I1238" s="76" t="s">
        <v>2054</v>
      </c>
      <c r="J1238" s="76" t="n">
        <v>9</v>
      </c>
      <c r="K1238" s="76" t="s">
        <v>2054</v>
      </c>
      <c r="L1238" s="77" t="s">
        <v>1114</v>
      </c>
    </row>
    <row r="1239" customFormat="false" ht="15" hidden="false" customHeight="false" outlineLevel="0" collapsed="false">
      <c r="A1239" s="76" t="s">
        <v>2052</v>
      </c>
      <c r="B1239" s="76" t="s">
        <v>115</v>
      </c>
      <c r="C1239" s="76" t="s">
        <v>2028</v>
      </c>
      <c r="D1239" s="76" t="s">
        <v>1161</v>
      </c>
      <c r="E1239" s="76" t="s">
        <v>1162</v>
      </c>
      <c r="F1239" s="35" t="s">
        <v>2053</v>
      </c>
      <c r="G1239" s="76" t="s">
        <v>859</v>
      </c>
      <c r="H1239" s="76" t="n">
        <v>30000</v>
      </c>
      <c r="I1239" s="76" t="s">
        <v>2055</v>
      </c>
      <c r="J1239" s="76" t="n">
        <v>30000</v>
      </c>
      <c r="K1239" s="76" t="s">
        <v>2055</v>
      </c>
      <c r="L1239" s="77" t="s">
        <v>1114</v>
      </c>
    </row>
    <row r="1240" customFormat="false" ht="15" hidden="false" customHeight="false" outlineLevel="0" collapsed="false">
      <c r="A1240" s="76" t="s">
        <v>2052</v>
      </c>
      <c r="B1240" s="76" t="s">
        <v>115</v>
      </c>
      <c r="C1240" s="76" t="s">
        <v>2028</v>
      </c>
      <c r="D1240" s="76" t="s">
        <v>1161</v>
      </c>
      <c r="E1240" s="76" t="s">
        <v>1162</v>
      </c>
      <c r="F1240" s="35" t="s">
        <v>2053</v>
      </c>
      <c r="G1240" s="76" t="s">
        <v>860</v>
      </c>
      <c r="H1240" s="76"/>
      <c r="I1240" s="76" t="s">
        <v>1618</v>
      </c>
      <c r="J1240" s="78" t="n">
        <v>0.035</v>
      </c>
      <c r="K1240" s="76" t="s">
        <v>1618</v>
      </c>
      <c r="L1240" s="77" t="s">
        <v>1114</v>
      </c>
    </row>
    <row r="1241" customFormat="false" ht="15" hidden="false" customHeight="false" outlineLevel="0" collapsed="false">
      <c r="A1241" s="76" t="s">
        <v>2052</v>
      </c>
      <c r="B1241" s="76" t="s">
        <v>115</v>
      </c>
      <c r="C1241" s="76" t="s">
        <v>2028</v>
      </c>
      <c r="D1241" s="76" t="s">
        <v>1161</v>
      </c>
      <c r="E1241" s="76" t="s">
        <v>1162</v>
      </c>
      <c r="F1241" s="35" t="s">
        <v>2053</v>
      </c>
      <c r="G1241" s="76" t="s">
        <v>856</v>
      </c>
      <c r="H1241" s="78" t="n">
        <v>0.12</v>
      </c>
      <c r="I1241" s="76" t="s">
        <v>2056</v>
      </c>
      <c r="J1241" s="78" t="n">
        <v>0.12</v>
      </c>
      <c r="K1241" s="76" t="s">
        <v>2056</v>
      </c>
      <c r="L1241" s="77" t="s">
        <v>1114</v>
      </c>
    </row>
    <row r="1242" customFormat="false" ht="15" hidden="false" customHeight="false" outlineLevel="0" collapsed="false">
      <c r="A1242" s="76" t="s">
        <v>2057</v>
      </c>
      <c r="B1242" s="76" t="s">
        <v>115</v>
      </c>
      <c r="C1242" s="76" t="s">
        <v>2028</v>
      </c>
      <c r="D1242" s="76" t="s">
        <v>1170</v>
      </c>
      <c r="E1242" s="76" t="s">
        <v>1171</v>
      </c>
      <c r="F1242" s="35" t="s">
        <v>2058</v>
      </c>
      <c r="G1242" s="76" t="s">
        <v>419</v>
      </c>
      <c r="H1242" s="76"/>
      <c r="I1242" s="76" t="s">
        <v>2030</v>
      </c>
      <c r="J1242" s="76"/>
      <c r="K1242" s="76" t="s">
        <v>2030</v>
      </c>
      <c r="L1242" s="77" t="s">
        <v>1114</v>
      </c>
    </row>
    <row r="1243" customFormat="false" ht="15" hidden="false" customHeight="false" outlineLevel="0" collapsed="false">
      <c r="A1243" s="76" t="s">
        <v>2057</v>
      </c>
      <c r="B1243" s="76" t="s">
        <v>115</v>
      </c>
      <c r="C1243" s="76" t="s">
        <v>2028</v>
      </c>
      <c r="D1243" s="76" t="s">
        <v>1170</v>
      </c>
      <c r="E1243" s="76" t="s">
        <v>1171</v>
      </c>
      <c r="F1243" s="35" t="s">
        <v>2058</v>
      </c>
      <c r="G1243" s="76" t="s">
        <v>858</v>
      </c>
      <c r="H1243" s="76" t="n">
        <v>2</v>
      </c>
      <c r="I1243" s="76" t="s">
        <v>2059</v>
      </c>
      <c r="J1243" s="76" t="n">
        <v>2</v>
      </c>
      <c r="K1243" s="76" t="s">
        <v>2059</v>
      </c>
      <c r="L1243" s="77" t="s">
        <v>1114</v>
      </c>
    </row>
    <row r="1244" customFormat="false" ht="15" hidden="false" customHeight="false" outlineLevel="0" collapsed="false">
      <c r="A1244" s="76" t="s">
        <v>2057</v>
      </c>
      <c r="B1244" s="76" t="s">
        <v>115</v>
      </c>
      <c r="C1244" s="76" t="s">
        <v>2028</v>
      </c>
      <c r="D1244" s="76" t="s">
        <v>1170</v>
      </c>
      <c r="E1244" s="76" t="s">
        <v>1171</v>
      </c>
      <c r="F1244" s="35" t="s">
        <v>2058</v>
      </c>
      <c r="G1244" s="76" t="s">
        <v>859</v>
      </c>
      <c r="H1244" s="76" t="n">
        <v>50000</v>
      </c>
      <c r="I1244" s="76" t="s">
        <v>2060</v>
      </c>
      <c r="J1244" s="76" t="n">
        <v>50000</v>
      </c>
      <c r="K1244" s="76" t="s">
        <v>2060</v>
      </c>
      <c r="L1244" s="77" t="s">
        <v>1114</v>
      </c>
    </row>
    <row r="1245" customFormat="false" ht="15" hidden="false" customHeight="false" outlineLevel="0" collapsed="false">
      <c r="A1245" s="76" t="s">
        <v>2057</v>
      </c>
      <c r="B1245" s="76" t="s">
        <v>115</v>
      </c>
      <c r="C1245" s="76" t="s">
        <v>2028</v>
      </c>
      <c r="D1245" s="76" t="s">
        <v>1170</v>
      </c>
      <c r="E1245" s="76" t="s">
        <v>1171</v>
      </c>
      <c r="F1245" s="35" t="s">
        <v>2058</v>
      </c>
      <c r="G1245" s="76" t="s">
        <v>860</v>
      </c>
      <c r="H1245" s="76"/>
      <c r="I1245" s="76"/>
      <c r="J1245" s="76"/>
      <c r="K1245" s="76"/>
      <c r="L1245" s="77" t="s">
        <v>1114</v>
      </c>
    </row>
    <row r="1246" customFormat="false" ht="15" hidden="false" customHeight="false" outlineLevel="0" collapsed="false">
      <c r="A1246" s="76" t="s">
        <v>2057</v>
      </c>
      <c r="B1246" s="76" t="s">
        <v>115</v>
      </c>
      <c r="C1246" s="76" t="s">
        <v>2028</v>
      </c>
      <c r="D1246" s="76" t="s">
        <v>1170</v>
      </c>
      <c r="E1246" s="76" t="s">
        <v>1171</v>
      </c>
      <c r="F1246" s="35" t="s">
        <v>2058</v>
      </c>
      <c r="G1246" s="76" t="s">
        <v>856</v>
      </c>
      <c r="H1246" s="78" t="n">
        <v>0.5</v>
      </c>
      <c r="I1246" s="76" t="s">
        <v>2061</v>
      </c>
      <c r="J1246" s="78" t="n">
        <v>0.5</v>
      </c>
      <c r="K1246" s="76" t="s">
        <v>2061</v>
      </c>
      <c r="L1246" s="77" t="s">
        <v>1114</v>
      </c>
    </row>
    <row r="1247" customFormat="false" ht="15" hidden="false" customHeight="false" outlineLevel="0" collapsed="false">
      <c r="A1247" s="76" t="s">
        <v>2062</v>
      </c>
      <c r="B1247" s="76" t="s">
        <v>115</v>
      </c>
      <c r="C1247" s="76" t="s">
        <v>2028</v>
      </c>
      <c r="D1247" s="76" t="s">
        <v>1180</v>
      </c>
      <c r="E1247" s="76" t="s">
        <v>1152</v>
      </c>
      <c r="F1247" s="35" t="s">
        <v>2063</v>
      </c>
      <c r="G1247" s="76" t="s">
        <v>419</v>
      </c>
      <c r="H1247" s="76"/>
      <c r="I1247" s="76" t="s">
        <v>2030</v>
      </c>
      <c r="J1247" s="76"/>
      <c r="K1247" s="76" t="s">
        <v>2030</v>
      </c>
      <c r="L1247" s="77" t="s">
        <v>1114</v>
      </c>
    </row>
    <row r="1248" customFormat="false" ht="15" hidden="false" customHeight="false" outlineLevel="0" collapsed="false">
      <c r="A1248" s="76" t="s">
        <v>2062</v>
      </c>
      <c r="B1248" s="76" t="s">
        <v>115</v>
      </c>
      <c r="C1248" s="76" t="s">
        <v>2028</v>
      </c>
      <c r="D1248" s="76" t="s">
        <v>1180</v>
      </c>
      <c r="E1248" s="76" t="s">
        <v>1152</v>
      </c>
      <c r="F1248" s="35" t="s">
        <v>2063</v>
      </c>
      <c r="G1248" s="76" t="s">
        <v>858</v>
      </c>
      <c r="H1248" s="76" t="n">
        <v>10</v>
      </c>
      <c r="I1248" s="76" t="s">
        <v>2064</v>
      </c>
      <c r="J1248" s="76" t="n">
        <v>10</v>
      </c>
      <c r="K1248" s="76" t="s">
        <v>2064</v>
      </c>
      <c r="L1248" s="77" t="s">
        <v>1114</v>
      </c>
    </row>
    <row r="1249" customFormat="false" ht="15" hidden="false" customHeight="false" outlineLevel="0" collapsed="false">
      <c r="A1249" s="76" t="s">
        <v>2062</v>
      </c>
      <c r="B1249" s="76" t="s">
        <v>115</v>
      </c>
      <c r="C1249" s="76" t="s">
        <v>2028</v>
      </c>
      <c r="D1249" s="76" t="s">
        <v>1180</v>
      </c>
      <c r="E1249" s="76" t="s">
        <v>1152</v>
      </c>
      <c r="F1249" s="35" t="s">
        <v>2063</v>
      </c>
      <c r="G1249" s="76" t="s">
        <v>859</v>
      </c>
      <c r="H1249" s="76" t="n">
        <v>45000</v>
      </c>
      <c r="I1249" s="76" t="s">
        <v>2065</v>
      </c>
      <c r="J1249" s="76" t="n">
        <v>45000</v>
      </c>
      <c r="K1249" s="76" t="s">
        <v>2065</v>
      </c>
      <c r="L1249" s="77" t="s">
        <v>1114</v>
      </c>
    </row>
    <row r="1250" customFormat="false" ht="15" hidden="false" customHeight="false" outlineLevel="0" collapsed="false">
      <c r="A1250" s="76" t="s">
        <v>2062</v>
      </c>
      <c r="B1250" s="76" t="s">
        <v>115</v>
      </c>
      <c r="C1250" s="76" t="s">
        <v>2028</v>
      </c>
      <c r="D1250" s="76" t="s">
        <v>1180</v>
      </c>
      <c r="E1250" s="76" t="s">
        <v>1152</v>
      </c>
      <c r="F1250" s="35" t="s">
        <v>2063</v>
      </c>
      <c r="G1250" s="76" t="s">
        <v>860</v>
      </c>
      <c r="H1250" s="76"/>
      <c r="I1250" s="76" t="s">
        <v>1608</v>
      </c>
      <c r="J1250" s="78" t="n">
        <v>0.02</v>
      </c>
      <c r="K1250" s="76" t="s">
        <v>1608</v>
      </c>
      <c r="L1250" s="77" t="s">
        <v>1114</v>
      </c>
    </row>
    <row r="1251" customFormat="false" ht="15" hidden="false" customHeight="false" outlineLevel="0" collapsed="false">
      <c r="A1251" s="76" t="s">
        <v>2062</v>
      </c>
      <c r="B1251" s="76" t="s">
        <v>115</v>
      </c>
      <c r="C1251" s="76" t="s">
        <v>2028</v>
      </c>
      <c r="D1251" s="76" t="s">
        <v>1180</v>
      </c>
      <c r="E1251" s="76" t="s">
        <v>1152</v>
      </c>
      <c r="F1251" s="35" t="s">
        <v>2063</v>
      </c>
      <c r="G1251" s="76" t="s">
        <v>856</v>
      </c>
      <c r="H1251" s="78" t="n">
        <v>0.1125</v>
      </c>
      <c r="I1251" s="76" t="s">
        <v>2066</v>
      </c>
      <c r="J1251" s="78" t="n">
        <v>0.1125</v>
      </c>
      <c r="K1251" s="76" t="s">
        <v>2066</v>
      </c>
      <c r="L1251" s="77" t="s">
        <v>1114</v>
      </c>
    </row>
    <row r="1252" customFormat="false" ht="15" hidden="false" customHeight="false" outlineLevel="0" collapsed="false">
      <c r="A1252" s="76" t="s">
        <v>2067</v>
      </c>
      <c r="B1252" s="76" t="s">
        <v>115</v>
      </c>
      <c r="C1252" s="76" t="s">
        <v>2028</v>
      </c>
      <c r="D1252" s="76" t="s">
        <v>1189</v>
      </c>
      <c r="E1252" s="76" t="s">
        <v>1125</v>
      </c>
      <c r="F1252" s="35" t="s">
        <v>2068</v>
      </c>
      <c r="G1252" s="76" t="s">
        <v>419</v>
      </c>
      <c r="H1252" s="76"/>
      <c r="I1252" s="76" t="s">
        <v>2030</v>
      </c>
      <c r="J1252" s="76"/>
      <c r="K1252" s="76" t="s">
        <v>2030</v>
      </c>
      <c r="L1252" s="77" t="s">
        <v>1114</v>
      </c>
    </row>
    <row r="1253" customFormat="false" ht="15" hidden="false" customHeight="false" outlineLevel="0" collapsed="false">
      <c r="A1253" s="76" t="s">
        <v>2067</v>
      </c>
      <c r="B1253" s="76" t="s">
        <v>115</v>
      </c>
      <c r="C1253" s="76" t="s">
        <v>2028</v>
      </c>
      <c r="D1253" s="76" t="s">
        <v>1189</v>
      </c>
      <c r="E1253" s="76" t="s">
        <v>1125</v>
      </c>
      <c r="F1253" s="35" t="s">
        <v>2068</v>
      </c>
      <c r="G1253" s="76" t="s">
        <v>858</v>
      </c>
      <c r="H1253" s="76" t="n">
        <v>25</v>
      </c>
      <c r="I1253" s="76" t="s">
        <v>2069</v>
      </c>
      <c r="J1253" s="76" t="n">
        <v>25</v>
      </c>
      <c r="K1253" s="76" t="s">
        <v>2069</v>
      </c>
      <c r="L1253" s="77" t="s">
        <v>1114</v>
      </c>
    </row>
    <row r="1254" customFormat="false" ht="15" hidden="false" customHeight="false" outlineLevel="0" collapsed="false">
      <c r="A1254" s="76" t="s">
        <v>2067</v>
      </c>
      <c r="B1254" s="76" t="s">
        <v>115</v>
      </c>
      <c r="C1254" s="76" t="s">
        <v>2028</v>
      </c>
      <c r="D1254" s="76" t="s">
        <v>1189</v>
      </c>
      <c r="E1254" s="76" t="s">
        <v>1125</v>
      </c>
      <c r="F1254" s="35" t="s">
        <v>2068</v>
      </c>
      <c r="G1254" s="76" t="s">
        <v>859</v>
      </c>
      <c r="H1254" s="76" t="n">
        <v>104000</v>
      </c>
      <c r="I1254" s="76" t="s">
        <v>2070</v>
      </c>
      <c r="J1254" s="76" t="n">
        <v>104000</v>
      </c>
      <c r="K1254" s="76" t="s">
        <v>2070</v>
      </c>
      <c r="L1254" s="77" t="s">
        <v>1114</v>
      </c>
    </row>
    <row r="1255" customFormat="false" ht="15" hidden="false" customHeight="false" outlineLevel="0" collapsed="false">
      <c r="A1255" s="76" t="s">
        <v>2067</v>
      </c>
      <c r="B1255" s="76" t="s">
        <v>115</v>
      </c>
      <c r="C1255" s="76" t="s">
        <v>2028</v>
      </c>
      <c r="D1255" s="76" t="s">
        <v>1189</v>
      </c>
      <c r="E1255" s="76" t="s">
        <v>1125</v>
      </c>
      <c r="F1255" s="35" t="s">
        <v>2068</v>
      </c>
      <c r="G1255" s="76" t="s">
        <v>860</v>
      </c>
      <c r="H1255" s="76"/>
      <c r="I1255" s="76"/>
      <c r="J1255" s="76"/>
      <c r="K1255" s="76"/>
      <c r="L1255" s="77" t="s">
        <v>1114</v>
      </c>
    </row>
    <row r="1256" customFormat="false" ht="15" hidden="false" customHeight="false" outlineLevel="0" collapsed="false">
      <c r="A1256" s="76" t="s">
        <v>2067</v>
      </c>
      <c r="B1256" s="76" t="s">
        <v>115</v>
      </c>
      <c r="C1256" s="76" t="s">
        <v>2028</v>
      </c>
      <c r="D1256" s="76" t="s">
        <v>1189</v>
      </c>
      <c r="E1256" s="76" t="s">
        <v>1125</v>
      </c>
      <c r="F1256" s="35" t="s">
        <v>2068</v>
      </c>
      <c r="G1256" s="76" t="s">
        <v>856</v>
      </c>
      <c r="H1256" s="78" t="n">
        <v>0.0601156069364162</v>
      </c>
      <c r="I1256" s="76" t="s">
        <v>2032</v>
      </c>
      <c r="J1256" s="78" t="n">
        <v>0.0601156069364162</v>
      </c>
      <c r="K1256" s="76" t="s">
        <v>2032</v>
      </c>
      <c r="L1256" s="77" t="s">
        <v>1114</v>
      </c>
    </row>
    <row r="1257" customFormat="false" ht="15" hidden="false" customHeight="false" outlineLevel="0" collapsed="false">
      <c r="A1257" s="76" t="s">
        <v>2071</v>
      </c>
      <c r="B1257" s="76" t="s">
        <v>115</v>
      </c>
      <c r="C1257" s="76" t="s">
        <v>2028</v>
      </c>
      <c r="D1257" s="76" t="s">
        <v>1198</v>
      </c>
      <c r="E1257" s="76" t="s">
        <v>1162</v>
      </c>
      <c r="F1257" s="35" t="s">
        <v>2072</v>
      </c>
      <c r="G1257" s="76" t="s">
        <v>419</v>
      </c>
      <c r="H1257" s="76"/>
      <c r="I1257" s="76" t="s">
        <v>2030</v>
      </c>
      <c r="J1257" s="76"/>
      <c r="K1257" s="76" t="s">
        <v>2030</v>
      </c>
      <c r="L1257" s="77" t="s">
        <v>1114</v>
      </c>
    </row>
    <row r="1258" customFormat="false" ht="15" hidden="false" customHeight="false" outlineLevel="0" collapsed="false">
      <c r="A1258" s="76" t="s">
        <v>2071</v>
      </c>
      <c r="B1258" s="76" t="s">
        <v>115</v>
      </c>
      <c r="C1258" s="76" t="s">
        <v>2028</v>
      </c>
      <c r="D1258" s="76" t="s">
        <v>1198</v>
      </c>
      <c r="E1258" s="76" t="s">
        <v>1162</v>
      </c>
      <c r="F1258" s="35" t="s">
        <v>2072</v>
      </c>
      <c r="G1258" s="76" t="s">
        <v>858</v>
      </c>
      <c r="H1258" s="76" t="n">
        <v>8</v>
      </c>
      <c r="I1258" s="76" t="s">
        <v>2073</v>
      </c>
      <c r="J1258" s="76" t="n">
        <v>8</v>
      </c>
      <c r="K1258" s="76" t="s">
        <v>2073</v>
      </c>
      <c r="L1258" s="77" t="s">
        <v>1114</v>
      </c>
    </row>
    <row r="1259" customFormat="false" ht="15" hidden="false" customHeight="false" outlineLevel="0" collapsed="false">
      <c r="A1259" s="76" t="s">
        <v>2071</v>
      </c>
      <c r="B1259" s="76" t="s">
        <v>115</v>
      </c>
      <c r="C1259" s="76" t="s">
        <v>2028</v>
      </c>
      <c r="D1259" s="76" t="s">
        <v>1198</v>
      </c>
      <c r="E1259" s="76" t="s">
        <v>1162</v>
      </c>
      <c r="F1259" s="35" t="s">
        <v>2072</v>
      </c>
      <c r="G1259" s="76" t="s">
        <v>859</v>
      </c>
      <c r="H1259" s="76" t="n">
        <v>116000</v>
      </c>
      <c r="I1259" s="76" t="s">
        <v>2074</v>
      </c>
      <c r="J1259" s="76" t="n">
        <v>116000</v>
      </c>
      <c r="K1259" s="76" t="s">
        <v>2074</v>
      </c>
      <c r="L1259" s="77" t="s">
        <v>1114</v>
      </c>
    </row>
    <row r="1260" customFormat="false" ht="15" hidden="false" customHeight="false" outlineLevel="0" collapsed="false">
      <c r="A1260" s="76" t="s">
        <v>2071</v>
      </c>
      <c r="B1260" s="76" t="s">
        <v>115</v>
      </c>
      <c r="C1260" s="76" t="s">
        <v>2028</v>
      </c>
      <c r="D1260" s="76" t="s">
        <v>1198</v>
      </c>
      <c r="E1260" s="76" t="s">
        <v>1162</v>
      </c>
      <c r="F1260" s="35" t="s">
        <v>2072</v>
      </c>
      <c r="G1260" s="76" t="s">
        <v>860</v>
      </c>
      <c r="H1260" s="76"/>
      <c r="I1260" s="76" t="s">
        <v>1618</v>
      </c>
      <c r="J1260" s="78" t="n">
        <v>0.035</v>
      </c>
      <c r="K1260" s="76" t="s">
        <v>1618</v>
      </c>
      <c r="L1260" s="77" t="s">
        <v>1114</v>
      </c>
    </row>
    <row r="1261" customFormat="false" ht="15" hidden="false" customHeight="false" outlineLevel="0" collapsed="false">
      <c r="A1261" s="76" t="s">
        <v>2071</v>
      </c>
      <c r="B1261" s="76" t="s">
        <v>115</v>
      </c>
      <c r="C1261" s="76" t="s">
        <v>2028</v>
      </c>
      <c r="D1261" s="76" t="s">
        <v>1198</v>
      </c>
      <c r="E1261" s="76" t="s">
        <v>1162</v>
      </c>
      <c r="F1261" s="35" t="s">
        <v>2072</v>
      </c>
      <c r="G1261" s="76" t="s">
        <v>856</v>
      </c>
      <c r="H1261" s="78" t="n">
        <v>0.112621359223301</v>
      </c>
      <c r="I1261" s="76" t="s">
        <v>2066</v>
      </c>
      <c r="J1261" s="78" t="n">
        <v>0.112621359223301</v>
      </c>
      <c r="K1261" s="76" t="s">
        <v>2066</v>
      </c>
      <c r="L1261" s="77" t="s">
        <v>1114</v>
      </c>
    </row>
    <row r="1262" customFormat="false" ht="15" hidden="false" customHeight="false" outlineLevel="0" collapsed="false">
      <c r="A1262" s="76" t="s">
        <v>2075</v>
      </c>
      <c r="B1262" s="76" t="s">
        <v>120</v>
      </c>
      <c r="C1262" s="76" t="s">
        <v>2076</v>
      </c>
      <c r="D1262" s="76" t="s">
        <v>1111</v>
      </c>
      <c r="E1262" s="76" t="s">
        <v>1112</v>
      </c>
      <c r="F1262" s="35" t="s">
        <v>2077</v>
      </c>
      <c r="G1262" s="76" t="s">
        <v>419</v>
      </c>
      <c r="H1262" s="76"/>
      <c r="I1262" s="76" t="s">
        <v>2078</v>
      </c>
      <c r="J1262" s="76"/>
      <c r="K1262" s="76" t="s">
        <v>2078</v>
      </c>
      <c r="L1262" s="77" t="s">
        <v>1114</v>
      </c>
    </row>
    <row r="1263" customFormat="false" ht="15" hidden="false" customHeight="false" outlineLevel="0" collapsed="false">
      <c r="A1263" s="76" t="s">
        <v>2075</v>
      </c>
      <c r="B1263" s="76" t="s">
        <v>120</v>
      </c>
      <c r="C1263" s="76" t="s">
        <v>2076</v>
      </c>
      <c r="D1263" s="76" t="s">
        <v>1111</v>
      </c>
      <c r="E1263" s="76" t="s">
        <v>1112</v>
      </c>
      <c r="F1263" s="35" t="s">
        <v>2077</v>
      </c>
      <c r="G1263" s="76" t="s">
        <v>880</v>
      </c>
      <c r="H1263" s="76" t="n">
        <v>26</v>
      </c>
      <c r="I1263" s="76" t="s">
        <v>2079</v>
      </c>
      <c r="J1263" s="76" t="n">
        <v>26</v>
      </c>
      <c r="K1263" s="76" t="s">
        <v>2079</v>
      </c>
      <c r="L1263" s="77" t="s">
        <v>1114</v>
      </c>
    </row>
    <row r="1264" customFormat="false" ht="15" hidden="false" customHeight="false" outlineLevel="0" collapsed="false">
      <c r="A1264" s="76" t="s">
        <v>2075</v>
      </c>
      <c r="B1264" s="76" t="s">
        <v>120</v>
      </c>
      <c r="C1264" s="76" t="s">
        <v>2076</v>
      </c>
      <c r="D1264" s="76" t="s">
        <v>1111</v>
      </c>
      <c r="E1264" s="76" t="s">
        <v>1112</v>
      </c>
      <c r="F1264" s="35" t="s">
        <v>2077</v>
      </c>
      <c r="G1264" s="76" t="s">
        <v>881</v>
      </c>
      <c r="H1264" s="76" t="n">
        <v>20</v>
      </c>
      <c r="I1264" s="76" t="s">
        <v>2080</v>
      </c>
      <c r="J1264" s="76" t="n">
        <v>20</v>
      </c>
      <c r="K1264" s="76" t="s">
        <v>2080</v>
      </c>
      <c r="L1264" s="77" t="s">
        <v>1114</v>
      </c>
    </row>
    <row r="1265" customFormat="false" ht="15" hidden="false" customHeight="false" outlineLevel="0" collapsed="false">
      <c r="A1265" s="76" t="s">
        <v>2075</v>
      </c>
      <c r="B1265" s="76" t="s">
        <v>120</v>
      </c>
      <c r="C1265" s="76" t="s">
        <v>2076</v>
      </c>
      <c r="D1265" s="76" t="s">
        <v>1111</v>
      </c>
      <c r="E1265" s="76" t="s">
        <v>1112</v>
      </c>
      <c r="F1265" s="35" t="s">
        <v>2077</v>
      </c>
      <c r="G1265" s="76" t="s">
        <v>883</v>
      </c>
      <c r="H1265" s="76" t="n">
        <v>26</v>
      </c>
      <c r="I1265" s="76" t="s">
        <v>2081</v>
      </c>
      <c r="J1265" s="76" t="n">
        <v>26</v>
      </c>
      <c r="K1265" s="76" t="s">
        <v>2081</v>
      </c>
      <c r="L1265" s="77" t="s">
        <v>1114</v>
      </c>
    </row>
    <row r="1266" customFormat="false" ht="15" hidden="false" customHeight="false" outlineLevel="0" collapsed="false">
      <c r="A1266" s="76" t="s">
        <v>2075</v>
      </c>
      <c r="B1266" s="76" t="s">
        <v>120</v>
      </c>
      <c r="C1266" s="76" t="s">
        <v>2076</v>
      </c>
      <c r="D1266" s="76" t="s">
        <v>1111</v>
      </c>
      <c r="E1266" s="76" t="s">
        <v>1112</v>
      </c>
      <c r="F1266" s="35" t="s">
        <v>2077</v>
      </c>
      <c r="G1266" s="76" t="s">
        <v>885</v>
      </c>
      <c r="H1266" s="76" t="n">
        <v>41</v>
      </c>
      <c r="I1266" s="76" t="s">
        <v>2082</v>
      </c>
      <c r="J1266" s="76" t="n">
        <v>41</v>
      </c>
      <c r="K1266" s="76" t="s">
        <v>2082</v>
      </c>
      <c r="L1266" s="77" t="s">
        <v>1114</v>
      </c>
    </row>
    <row r="1267" customFormat="false" ht="15" hidden="false" customHeight="false" outlineLevel="0" collapsed="false">
      <c r="A1267" s="76" t="s">
        <v>2075</v>
      </c>
      <c r="B1267" s="76" t="s">
        <v>120</v>
      </c>
      <c r="C1267" s="76" t="s">
        <v>2076</v>
      </c>
      <c r="D1267" s="76" t="s">
        <v>1111</v>
      </c>
      <c r="E1267" s="76" t="s">
        <v>1112</v>
      </c>
      <c r="F1267" s="35" t="s">
        <v>2077</v>
      </c>
      <c r="G1267" s="76" t="s">
        <v>860</v>
      </c>
      <c r="H1267" s="76"/>
      <c r="I1267" s="76" t="s">
        <v>1608</v>
      </c>
      <c r="J1267" s="78" t="n">
        <v>0.02</v>
      </c>
      <c r="K1267" s="76" t="s">
        <v>1608</v>
      </c>
      <c r="L1267" s="77" t="s">
        <v>1114</v>
      </c>
    </row>
    <row r="1268" customFormat="false" ht="15" hidden="false" customHeight="false" outlineLevel="0" collapsed="false">
      <c r="A1268" s="76" t="s">
        <v>2083</v>
      </c>
      <c r="B1268" s="76" t="s">
        <v>120</v>
      </c>
      <c r="C1268" s="76" t="s">
        <v>2076</v>
      </c>
      <c r="D1268" s="76" t="s">
        <v>1124</v>
      </c>
      <c r="E1268" s="76" t="s">
        <v>1125</v>
      </c>
      <c r="F1268" s="35" t="s">
        <v>2084</v>
      </c>
      <c r="G1268" s="76" t="s">
        <v>419</v>
      </c>
      <c r="H1268" s="76"/>
      <c r="I1268" s="76" t="s">
        <v>2078</v>
      </c>
      <c r="J1268" s="76"/>
      <c r="K1268" s="76" t="s">
        <v>2078</v>
      </c>
      <c r="L1268" s="77" t="s">
        <v>1114</v>
      </c>
    </row>
    <row r="1269" customFormat="false" ht="15" hidden="false" customHeight="false" outlineLevel="0" collapsed="false">
      <c r="A1269" s="76" t="s">
        <v>2083</v>
      </c>
      <c r="B1269" s="76" t="s">
        <v>120</v>
      </c>
      <c r="C1269" s="76" t="s">
        <v>2076</v>
      </c>
      <c r="D1269" s="76" t="s">
        <v>1124</v>
      </c>
      <c r="E1269" s="76" t="s">
        <v>1125</v>
      </c>
      <c r="F1269" s="35" t="s">
        <v>2084</v>
      </c>
      <c r="G1269" s="76" t="s">
        <v>880</v>
      </c>
      <c r="H1269" s="76" t="n">
        <v>60</v>
      </c>
      <c r="I1269" s="76" t="s">
        <v>2035</v>
      </c>
      <c r="J1269" s="76" t="n">
        <v>60</v>
      </c>
      <c r="K1269" s="76" t="s">
        <v>2035</v>
      </c>
      <c r="L1269" s="77" t="s">
        <v>1114</v>
      </c>
    </row>
    <row r="1270" customFormat="false" ht="15" hidden="false" customHeight="false" outlineLevel="0" collapsed="false">
      <c r="A1270" s="76" t="s">
        <v>2083</v>
      </c>
      <c r="B1270" s="76" t="s">
        <v>120</v>
      </c>
      <c r="C1270" s="76" t="s">
        <v>2076</v>
      </c>
      <c r="D1270" s="76" t="s">
        <v>1124</v>
      </c>
      <c r="E1270" s="76" t="s">
        <v>1125</v>
      </c>
      <c r="F1270" s="35" t="s">
        <v>2084</v>
      </c>
      <c r="G1270" s="76" t="s">
        <v>881</v>
      </c>
      <c r="H1270" s="76" t="n">
        <v>60</v>
      </c>
      <c r="I1270" s="76" t="s">
        <v>2085</v>
      </c>
      <c r="J1270" s="76" t="n">
        <v>60</v>
      </c>
      <c r="K1270" s="76" t="s">
        <v>2085</v>
      </c>
      <c r="L1270" s="77" t="s">
        <v>1114</v>
      </c>
    </row>
    <row r="1271" customFormat="false" ht="15" hidden="false" customHeight="false" outlineLevel="0" collapsed="false">
      <c r="A1271" s="76" t="s">
        <v>2083</v>
      </c>
      <c r="B1271" s="76" t="s">
        <v>120</v>
      </c>
      <c r="C1271" s="76" t="s">
        <v>2076</v>
      </c>
      <c r="D1271" s="76" t="s">
        <v>1124</v>
      </c>
      <c r="E1271" s="76" t="s">
        <v>1125</v>
      </c>
      <c r="F1271" s="35" t="s">
        <v>2084</v>
      </c>
      <c r="G1271" s="76" t="s">
        <v>883</v>
      </c>
      <c r="H1271" s="76" t="n">
        <v>60</v>
      </c>
      <c r="I1271" s="76" t="s">
        <v>2085</v>
      </c>
      <c r="J1271" s="76" t="n">
        <v>60</v>
      </c>
      <c r="K1271" s="76" t="s">
        <v>2085</v>
      </c>
      <c r="L1271" s="77" t="s">
        <v>1114</v>
      </c>
    </row>
    <row r="1272" customFormat="false" ht="15" hidden="false" customHeight="false" outlineLevel="0" collapsed="false">
      <c r="A1272" s="76" t="s">
        <v>2083</v>
      </c>
      <c r="B1272" s="76" t="s">
        <v>120</v>
      </c>
      <c r="C1272" s="76" t="s">
        <v>2076</v>
      </c>
      <c r="D1272" s="76" t="s">
        <v>1124</v>
      </c>
      <c r="E1272" s="76" t="s">
        <v>1125</v>
      </c>
      <c r="F1272" s="35" t="s">
        <v>2084</v>
      </c>
      <c r="G1272" s="76" t="s">
        <v>885</v>
      </c>
      <c r="H1272" s="76" t="n">
        <v>60</v>
      </c>
      <c r="I1272" s="76" t="s">
        <v>2086</v>
      </c>
      <c r="J1272" s="76" t="n">
        <v>60</v>
      </c>
      <c r="K1272" s="76" t="s">
        <v>2086</v>
      </c>
      <c r="L1272" s="77" t="s">
        <v>1114</v>
      </c>
    </row>
    <row r="1273" customFormat="false" ht="15" hidden="false" customHeight="false" outlineLevel="0" collapsed="false">
      <c r="A1273" s="76" t="s">
        <v>2083</v>
      </c>
      <c r="B1273" s="76" t="s">
        <v>120</v>
      </c>
      <c r="C1273" s="76" t="s">
        <v>2076</v>
      </c>
      <c r="D1273" s="76" t="s">
        <v>1124</v>
      </c>
      <c r="E1273" s="76" t="s">
        <v>1125</v>
      </c>
      <c r="F1273" s="35" t="s">
        <v>2084</v>
      </c>
      <c r="G1273" s="76" t="s">
        <v>860</v>
      </c>
      <c r="H1273" s="76"/>
      <c r="I1273" s="76"/>
      <c r="J1273" s="76"/>
      <c r="K1273" s="76"/>
      <c r="L1273" s="77" t="s">
        <v>1114</v>
      </c>
    </row>
    <row r="1274" customFormat="false" ht="15" hidden="false" customHeight="false" outlineLevel="0" collapsed="false">
      <c r="A1274" s="76" t="s">
        <v>2087</v>
      </c>
      <c r="B1274" s="76" t="s">
        <v>120</v>
      </c>
      <c r="C1274" s="76" t="s">
        <v>2076</v>
      </c>
      <c r="D1274" s="76" t="s">
        <v>1132</v>
      </c>
      <c r="E1274" s="76" t="s">
        <v>1133</v>
      </c>
      <c r="F1274" s="35" t="s">
        <v>2088</v>
      </c>
      <c r="G1274" s="76" t="s">
        <v>419</v>
      </c>
      <c r="H1274" s="76"/>
      <c r="I1274" s="76" t="s">
        <v>2078</v>
      </c>
      <c r="J1274" s="76"/>
      <c r="K1274" s="76" t="s">
        <v>2078</v>
      </c>
      <c r="L1274" s="77" t="s">
        <v>1114</v>
      </c>
    </row>
    <row r="1275" customFormat="false" ht="15" hidden="false" customHeight="false" outlineLevel="0" collapsed="false">
      <c r="A1275" s="76" t="s">
        <v>2087</v>
      </c>
      <c r="B1275" s="76" t="s">
        <v>120</v>
      </c>
      <c r="C1275" s="76" t="s">
        <v>2076</v>
      </c>
      <c r="D1275" s="76" t="s">
        <v>1132</v>
      </c>
      <c r="E1275" s="76" t="s">
        <v>1133</v>
      </c>
      <c r="F1275" s="35" t="s">
        <v>2088</v>
      </c>
      <c r="G1275" s="76" t="s">
        <v>880</v>
      </c>
      <c r="H1275" s="76" t="n">
        <v>0</v>
      </c>
      <c r="I1275" s="76" t="s">
        <v>2040</v>
      </c>
      <c r="J1275" s="76" t="n">
        <v>0</v>
      </c>
      <c r="K1275" s="76" t="s">
        <v>2040</v>
      </c>
      <c r="L1275" s="77" t="s">
        <v>1114</v>
      </c>
    </row>
    <row r="1276" customFormat="false" ht="15" hidden="false" customHeight="false" outlineLevel="0" collapsed="false">
      <c r="A1276" s="76" t="s">
        <v>2087</v>
      </c>
      <c r="B1276" s="76" t="s">
        <v>120</v>
      </c>
      <c r="C1276" s="76" t="s">
        <v>2076</v>
      </c>
      <c r="D1276" s="76" t="s">
        <v>1132</v>
      </c>
      <c r="E1276" s="76" t="s">
        <v>1133</v>
      </c>
      <c r="F1276" s="35" t="s">
        <v>2088</v>
      </c>
      <c r="G1276" s="76" t="s">
        <v>881</v>
      </c>
      <c r="H1276" s="76" t="n">
        <v>0</v>
      </c>
      <c r="I1276" s="76" t="s">
        <v>2089</v>
      </c>
      <c r="J1276" s="76" t="n">
        <v>0</v>
      </c>
      <c r="K1276" s="76" t="s">
        <v>2089</v>
      </c>
      <c r="L1276" s="77" t="s">
        <v>1114</v>
      </c>
    </row>
    <row r="1277" customFormat="false" ht="15" hidden="false" customHeight="false" outlineLevel="0" collapsed="false">
      <c r="A1277" s="76" t="s">
        <v>2087</v>
      </c>
      <c r="B1277" s="76" t="s">
        <v>120</v>
      </c>
      <c r="C1277" s="76" t="s">
        <v>2076</v>
      </c>
      <c r="D1277" s="76" t="s">
        <v>1132</v>
      </c>
      <c r="E1277" s="76" t="s">
        <v>1133</v>
      </c>
      <c r="F1277" s="35" t="s">
        <v>2088</v>
      </c>
      <c r="G1277" s="76" t="s">
        <v>883</v>
      </c>
      <c r="H1277" s="76" t="n">
        <v>0</v>
      </c>
      <c r="I1277" s="76" t="s">
        <v>2089</v>
      </c>
      <c r="J1277" s="76" t="n">
        <v>0</v>
      </c>
      <c r="K1277" s="76" t="s">
        <v>2089</v>
      </c>
      <c r="L1277" s="77" t="s">
        <v>1114</v>
      </c>
    </row>
    <row r="1278" customFormat="false" ht="15" hidden="false" customHeight="false" outlineLevel="0" collapsed="false">
      <c r="A1278" s="76" t="s">
        <v>2087</v>
      </c>
      <c r="B1278" s="76" t="s">
        <v>120</v>
      </c>
      <c r="C1278" s="76" t="s">
        <v>2076</v>
      </c>
      <c r="D1278" s="76" t="s">
        <v>1132</v>
      </c>
      <c r="E1278" s="76" t="s">
        <v>1133</v>
      </c>
      <c r="F1278" s="35" t="s">
        <v>2088</v>
      </c>
      <c r="G1278" s="76" t="s">
        <v>885</v>
      </c>
      <c r="H1278" s="76" t="n">
        <v>0</v>
      </c>
      <c r="I1278" s="76" t="s">
        <v>2089</v>
      </c>
      <c r="J1278" s="76" t="n">
        <v>0</v>
      </c>
      <c r="K1278" s="76" t="s">
        <v>2089</v>
      </c>
      <c r="L1278" s="77" t="s">
        <v>1114</v>
      </c>
    </row>
    <row r="1279" customFormat="false" ht="15" hidden="false" customHeight="false" outlineLevel="0" collapsed="false">
      <c r="A1279" s="76" t="s">
        <v>2087</v>
      </c>
      <c r="B1279" s="76" t="s">
        <v>120</v>
      </c>
      <c r="C1279" s="76" t="s">
        <v>2076</v>
      </c>
      <c r="D1279" s="76" t="s">
        <v>1132</v>
      </c>
      <c r="E1279" s="76" t="s">
        <v>1133</v>
      </c>
      <c r="F1279" s="35" t="s">
        <v>2088</v>
      </c>
      <c r="G1279" s="76" t="s">
        <v>860</v>
      </c>
      <c r="H1279" s="76"/>
      <c r="I1279" s="76" t="s">
        <v>1618</v>
      </c>
      <c r="J1279" s="78" t="n">
        <v>0.035</v>
      </c>
      <c r="K1279" s="76" t="s">
        <v>1618</v>
      </c>
      <c r="L1279" s="77" t="s">
        <v>1114</v>
      </c>
    </row>
    <row r="1280" customFormat="false" ht="15" hidden="false" customHeight="false" outlineLevel="0" collapsed="false">
      <c r="A1280" s="76" t="s">
        <v>2090</v>
      </c>
      <c r="B1280" s="76" t="s">
        <v>120</v>
      </c>
      <c r="C1280" s="76" t="s">
        <v>2076</v>
      </c>
      <c r="D1280" s="76" t="s">
        <v>1141</v>
      </c>
      <c r="E1280" s="76" t="s">
        <v>1142</v>
      </c>
      <c r="F1280" s="35" t="s">
        <v>2091</v>
      </c>
      <c r="G1280" s="76" t="s">
        <v>419</v>
      </c>
      <c r="H1280" s="76"/>
      <c r="I1280" s="76" t="s">
        <v>2078</v>
      </c>
      <c r="J1280" s="76"/>
      <c r="K1280" s="76" t="s">
        <v>2078</v>
      </c>
      <c r="L1280" s="77" t="s">
        <v>1114</v>
      </c>
    </row>
    <row r="1281" customFormat="false" ht="15" hidden="false" customHeight="false" outlineLevel="0" collapsed="false">
      <c r="A1281" s="76" t="s">
        <v>2090</v>
      </c>
      <c r="B1281" s="76" t="s">
        <v>120</v>
      </c>
      <c r="C1281" s="76" t="s">
        <v>2076</v>
      </c>
      <c r="D1281" s="76" t="s">
        <v>1141</v>
      </c>
      <c r="E1281" s="76" t="s">
        <v>1142</v>
      </c>
      <c r="F1281" s="35" t="s">
        <v>2091</v>
      </c>
      <c r="G1281" s="76" t="s">
        <v>880</v>
      </c>
      <c r="H1281" s="76" t="n">
        <v>10</v>
      </c>
      <c r="I1281" s="76" t="s">
        <v>2064</v>
      </c>
      <c r="J1281" s="76" t="n">
        <v>10</v>
      </c>
      <c r="K1281" s="76" t="s">
        <v>2064</v>
      </c>
      <c r="L1281" s="77" t="s">
        <v>1114</v>
      </c>
    </row>
    <row r="1282" customFormat="false" ht="15" hidden="false" customHeight="false" outlineLevel="0" collapsed="false">
      <c r="A1282" s="76" t="s">
        <v>2090</v>
      </c>
      <c r="B1282" s="76" t="s">
        <v>120</v>
      </c>
      <c r="C1282" s="76" t="s">
        <v>2076</v>
      </c>
      <c r="D1282" s="76" t="s">
        <v>1141</v>
      </c>
      <c r="E1282" s="76" t="s">
        <v>1142</v>
      </c>
      <c r="F1282" s="35" t="s">
        <v>2091</v>
      </c>
      <c r="G1282" s="76" t="s">
        <v>881</v>
      </c>
      <c r="H1282" s="76" t="n">
        <v>9</v>
      </c>
      <c r="I1282" s="76" t="s">
        <v>2092</v>
      </c>
      <c r="J1282" s="76" t="n">
        <v>9</v>
      </c>
      <c r="K1282" s="76" t="s">
        <v>2092</v>
      </c>
      <c r="L1282" s="77" t="s">
        <v>1114</v>
      </c>
    </row>
    <row r="1283" customFormat="false" ht="15" hidden="false" customHeight="false" outlineLevel="0" collapsed="false">
      <c r="A1283" s="76" t="s">
        <v>2090</v>
      </c>
      <c r="B1283" s="76" t="s">
        <v>120</v>
      </c>
      <c r="C1283" s="76" t="s">
        <v>2076</v>
      </c>
      <c r="D1283" s="76" t="s">
        <v>1141</v>
      </c>
      <c r="E1283" s="76" t="s">
        <v>1142</v>
      </c>
      <c r="F1283" s="35" t="s">
        <v>2091</v>
      </c>
      <c r="G1283" s="76" t="s">
        <v>883</v>
      </c>
      <c r="H1283" s="76" t="n">
        <v>10</v>
      </c>
      <c r="I1283" s="76" t="s">
        <v>1396</v>
      </c>
      <c r="J1283" s="76" t="n">
        <v>10</v>
      </c>
      <c r="K1283" s="76" t="s">
        <v>1396</v>
      </c>
      <c r="L1283" s="77" t="s">
        <v>1114</v>
      </c>
    </row>
    <row r="1284" customFormat="false" ht="15" hidden="false" customHeight="false" outlineLevel="0" collapsed="false">
      <c r="A1284" s="76" t="s">
        <v>2090</v>
      </c>
      <c r="B1284" s="76" t="s">
        <v>120</v>
      </c>
      <c r="C1284" s="76" t="s">
        <v>2076</v>
      </c>
      <c r="D1284" s="76" t="s">
        <v>1141</v>
      </c>
      <c r="E1284" s="76" t="s">
        <v>1142</v>
      </c>
      <c r="F1284" s="35" t="s">
        <v>2091</v>
      </c>
      <c r="G1284" s="76" t="s">
        <v>885</v>
      </c>
      <c r="H1284" s="76" t="n">
        <v>12</v>
      </c>
      <c r="I1284" s="76" t="s">
        <v>2093</v>
      </c>
      <c r="J1284" s="76" t="n">
        <v>12</v>
      </c>
      <c r="K1284" s="76" t="s">
        <v>2093</v>
      </c>
      <c r="L1284" s="77" t="s">
        <v>1114</v>
      </c>
    </row>
    <row r="1285" customFormat="false" ht="15" hidden="false" customHeight="false" outlineLevel="0" collapsed="false">
      <c r="A1285" s="76" t="s">
        <v>2090</v>
      </c>
      <c r="B1285" s="76" t="s">
        <v>120</v>
      </c>
      <c r="C1285" s="76" t="s">
        <v>2076</v>
      </c>
      <c r="D1285" s="76" t="s">
        <v>1141</v>
      </c>
      <c r="E1285" s="76" t="s">
        <v>1142</v>
      </c>
      <c r="F1285" s="35" t="s">
        <v>2091</v>
      </c>
      <c r="G1285" s="76" t="s">
        <v>860</v>
      </c>
      <c r="H1285" s="76"/>
      <c r="I1285" s="76" t="s">
        <v>1627</v>
      </c>
      <c r="J1285" s="78" t="n">
        <v>0.0275</v>
      </c>
      <c r="K1285" s="76" t="s">
        <v>1627</v>
      </c>
      <c r="L1285" s="77" t="s">
        <v>1114</v>
      </c>
    </row>
    <row r="1286" customFormat="false" ht="15" hidden="false" customHeight="false" outlineLevel="0" collapsed="false">
      <c r="A1286" s="76" t="s">
        <v>2094</v>
      </c>
      <c r="B1286" s="76" t="s">
        <v>120</v>
      </c>
      <c r="C1286" s="76" t="s">
        <v>2076</v>
      </c>
      <c r="D1286" s="76" t="s">
        <v>1151</v>
      </c>
      <c r="E1286" s="76" t="s">
        <v>1152</v>
      </c>
      <c r="F1286" s="35" t="s">
        <v>2095</v>
      </c>
      <c r="G1286" s="76" t="s">
        <v>419</v>
      </c>
      <c r="H1286" s="76"/>
      <c r="I1286" s="76" t="s">
        <v>2078</v>
      </c>
      <c r="J1286" s="76"/>
      <c r="K1286" s="76" t="s">
        <v>2078</v>
      </c>
      <c r="L1286" s="77" t="s">
        <v>1114</v>
      </c>
    </row>
    <row r="1287" customFormat="false" ht="15" hidden="false" customHeight="false" outlineLevel="0" collapsed="false">
      <c r="A1287" s="76" t="s">
        <v>2094</v>
      </c>
      <c r="B1287" s="76" t="s">
        <v>120</v>
      </c>
      <c r="C1287" s="76" t="s">
        <v>2076</v>
      </c>
      <c r="D1287" s="76" t="s">
        <v>1151</v>
      </c>
      <c r="E1287" s="76" t="s">
        <v>1152</v>
      </c>
      <c r="F1287" s="35" t="s">
        <v>2095</v>
      </c>
      <c r="G1287" s="76" t="s">
        <v>880</v>
      </c>
      <c r="H1287" s="76" t="n">
        <v>56</v>
      </c>
      <c r="I1287" s="76" t="s">
        <v>2096</v>
      </c>
      <c r="J1287" s="76" t="n">
        <v>56</v>
      </c>
      <c r="K1287" s="76" t="s">
        <v>2096</v>
      </c>
      <c r="L1287" s="77" t="s">
        <v>1114</v>
      </c>
    </row>
    <row r="1288" customFormat="false" ht="15" hidden="false" customHeight="false" outlineLevel="0" collapsed="false">
      <c r="A1288" s="76" t="s">
        <v>2094</v>
      </c>
      <c r="B1288" s="76" t="s">
        <v>120</v>
      </c>
      <c r="C1288" s="76" t="s">
        <v>2076</v>
      </c>
      <c r="D1288" s="76" t="s">
        <v>1151</v>
      </c>
      <c r="E1288" s="76" t="s">
        <v>1152</v>
      </c>
      <c r="F1288" s="35" t="s">
        <v>2095</v>
      </c>
      <c r="G1288" s="76" t="s">
        <v>881</v>
      </c>
      <c r="H1288" s="76" t="n">
        <v>34</v>
      </c>
      <c r="I1288" s="76" t="s">
        <v>1369</v>
      </c>
      <c r="J1288" s="76" t="n">
        <v>34</v>
      </c>
      <c r="K1288" s="76" t="s">
        <v>1369</v>
      </c>
      <c r="L1288" s="77" t="s">
        <v>1114</v>
      </c>
    </row>
    <row r="1289" customFormat="false" ht="15" hidden="false" customHeight="false" outlineLevel="0" collapsed="false">
      <c r="A1289" s="76" t="s">
        <v>2094</v>
      </c>
      <c r="B1289" s="76" t="s">
        <v>120</v>
      </c>
      <c r="C1289" s="76" t="s">
        <v>2076</v>
      </c>
      <c r="D1289" s="76" t="s">
        <v>1151</v>
      </c>
      <c r="E1289" s="76" t="s">
        <v>1152</v>
      </c>
      <c r="F1289" s="35" t="s">
        <v>2095</v>
      </c>
      <c r="G1289" s="76" t="s">
        <v>883</v>
      </c>
      <c r="H1289" s="76" t="n">
        <v>56</v>
      </c>
      <c r="I1289" s="76" t="s">
        <v>2097</v>
      </c>
      <c r="J1289" s="76" t="n">
        <v>56</v>
      </c>
      <c r="K1289" s="76" t="s">
        <v>2097</v>
      </c>
      <c r="L1289" s="77" t="s">
        <v>1114</v>
      </c>
    </row>
    <row r="1290" customFormat="false" ht="15" hidden="false" customHeight="false" outlineLevel="0" collapsed="false">
      <c r="A1290" s="76" t="s">
        <v>2094</v>
      </c>
      <c r="B1290" s="76" t="s">
        <v>120</v>
      </c>
      <c r="C1290" s="76" t="s">
        <v>2076</v>
      </c>
      <c r="D1290" s="76" t="s">
        <v>1151</v>
      </c>
      <c r="E1290" s="76" t="s">
        <v>1152</v>
      </c>
      <c r="F1290" s="35" t="s">
        <v>2095</v>
      </c>
      <c r="G1290" s="76" t="s">
        <v>885</v>
      </c>
      <c r="H1290" s="76" t="n">
        <v>60</v>
      </c>
      <c r="I1290" s="76" t="s">
        <v>2086</v>
      </c>
      <c r="J1290" s="76" t="n">
        <v>60</v>
      </c>
      <c r="K1290" s="76" t="s">
        <v>2086</v>
      </c>
      <c r="L1290" s="77" t="s">
        <v>1114</v>
      </c>
    </row>
    <row r="1291" customFormat="false" ht="15" hidden="false" customHeight="false" outlineLevel="0" collapsed="false">
      <c r="A1291" s="76" t="s">
        <v>2094</v>
      </c>
      <c r="B1291" s="76" t="s">
        <v>120</v>
      </c>
      <c r="C1291" s="76" t="s">
        <v>2076</v>
      </c>
      <c r="D1291" s="76" t="s">
        <v>1151</v>
      </c>
      <c r="E1291" s="76" t="s">
        <v>1152</v>
      </c>
      <c r="F1291" s="35" t="s">
        <v>2095</v>
      </c>
      <c r="G1291" s="76" t="s">
        <v>860</v>
      </c>
      <c r="H1291" s="76"/>
      <c r="I1291" s="76" t="s">
        <v>1608</v>
      </c>
      <c r="J1291" s="78" t="n">
        <v>0.02</v>
      </c>
      <c r="K1291" s="76" t="s">
        <v>1608</v>
      </c>
      <c r="L1291" s="77" t="s">
        <v>1114</v>
      </c>
    </row>
    <row r="1292" customFormat="false" ht="15" hidden="false" customHeight="false" outlineLevel="0" collapsed="false">
      <c r="A1292" s="76" t="s">
        <v>2098</v>
      </c>
      <c r="B1292" s="76" t="s">
        <v>120</v>
      </c>
      <c r="C1292" s="76" t="s">
        <v>2076</v>
      </c>
      <c r="D1292" s="76" t="s">
        <v>1161</v>
      </c>
      <c r="E1292" s="76" t="s">
        <v>1162</v>
      </c>
      <c r="F1292" s="35" t="s">
        <v>2099</v>
      </c>
      <c r="G1292" s="76" t="s">
        <v>419</v>
      </c>
      <c r="H1292" s="76"/>
      <c r="I1292" s="76" t="s">
        <v>2078</v>
      </c>
      <c r="J1292" s="76"/>
      <c r="K1292" s="76" t="s">
        <v>2078</v>
      </c>
      <c r="L1292" s="77" t="s">
        <v>1114</v>
      </c>
    </row>
    <row r="1293" customFormat="false" ht="15" hidden="false" customHeight="false" outlineLevel="0" collapsed="false">
      <c r="A1293" s="76" t="s">
        <v>2098</v>
      </c>
      <c r="B1293" s="76" t="s">
        <v>120</v>
      </c>
      <c r="C1293" s="76" t="s">
        <v>2076</v>
      </c>
      <c r="D1293" s="76" t="s">
        <v>1161</v>
      </c>
      <c r="E1293" s="76" t="s">
        <v>1162</v>
      </c>
      <c r="F1293" s="35" t="s">
        <v>2099</v>
      </c>
      <c r="G1293" s="76" t="s">
        <v>880</v>
      </c>
      <c r="H1293" s="76" t="n">
        <v>26</v>
      </c>
      <c r="I1293" s="76" t="s">
        <v>2079</v>
      </c>
      <c r="J1293" s="76" t="n">
        <v>26</v>
      </c>
      <c r="K1293" s="76" t="s">
        <v>2079</v>
      </c>
      <c r="L1293" s="77" t="s">
        <v>1114</v>
      </c>
    </row>
    <row r="1294" customFormat="false" ht="15" hidden="false" customHeight="false" outlineLevel="0" collapsed="false">
      <c r="A1294" s="76" t="s">
        <v>2098</v>
      </c>
      <c r="B1294" s="76" t="s">
        <v>120</v>
      </c>
      <c r="C1294" s="76" t="s">
        <v>2076</v>
      </c>
      <c r="D1294" s="76" t="s">
        <v>1161</v>
      </c>
      <c r="E1294" s="76" t="s">
        <v>1162</v>
      </c>
      <c r="F1294" s="35" t="s">
        <v>2099</v>
      </c>
      <c r="G1294" s="76" t="s">
        <v>881</v>
      </c>
      <c r="H1294" s="76" t="n">
        <v>21</v>
      </c>
      <c r="I1294" s="76" t="s">
        <v>2100</v>
      </c>
      <c r="J1294" s="76" t="n">
        <v>21</v>
      </c>
      <c r="K1294" s="76" t="s">
        <v>2100</v>
      </c>
      <c r="L1294" s="77" t="s">
        <v>1114</v>
      </c>
    </row>
    <row r="1295" customFormat="false" ht="15" hidden="false" customHeight="false" outlineLevel="0" collapsed="false">
      <c r="A1295" s="76" t="s">
        <v>2098</v>
      </c>
      <c r="B1295" s="76" t="s">
        <v>120</v>
      </c>
      <c r="C1295" s="76" t="s">
        <v>2076</v>
      </c>
      <c r="D1295" s="76" t="s">
        <v>1161</v>
      </c>
      <c r="E1295" s="76" t="s">
        <v>1162</v>
      </c>
      <c r="F1295" s="35" t="s">
        <v>2099</v>
      </c>
      <c r="G1295" s="76" t="s">
        <v>883</v>
      </c>
      <c r="H1295" s="76" t="n">
        <v>26</v>
      </c>
      <c r="I1295" s="76" t="s">
        <v>2081</v>
      </c>
      <c r="J1295" s="76" t="n">
        <v>26</v>
      </c>
      <c r="K1295" s="76" t="s">
        <v>2081</v>
      </c>
      <c r="L1295" s="77" t="s">
        <v>1114</v>
      </c>
    </row>
    <row r="1296" customFormat="false" ht="15" hidden="false" customHeight="false" outlineLevel="0" collapsed="false">
      <c r="A1296" s="76" t="s">
        <v>2098</v>
      </c>
      <c r="B1296" s="76" t="s">
        <v>120</v>
      </c>
      <c r="C1296" s="76" t="s">
        <v>2076</v>
      </c>
      <c r="D1296" s="76" t="s">
        <v>1161</v>
      </c>
      <c r="E1296" s="76" t="s">
        <v>1162</v>
      </c>
      <c r="F1296" s="35" t="s">
        <v>2099</v>
      </c>
      <c r="G1296" s="76" t="s">
        <v>885</v>
      </c>
      <c r="H1296" s="76" t="n">
        <v>38</v>
      </c>
      <c r="I1296" s="76" t="s">
        <v>2101</v>
      </c>
      <c r="J1296" s="76" t="n">
        <v>38</v>
      </c>
      <c r="K1296" s="76" t="s">
        <v>2101</v>
      </c>
      <c r="L1296" s="77" t="s">
        <v>1114</v>
      </c>
    </row>
    <row r="1297" customFormat="false" ht="15" hidden="false" customHeight="false" outlineLevel="0" collapsed="false">
      <c r="A1297" s="76" t="s">
        <v>2098</v>
      </c>
      <c r="B1297" s="76" t="s">
        <v>120</v>
      </c>
      <c r="C1297" s="76" t="s">
        <v>2076</v>
      </c>
      <c r="D1297" s="76" t="s">
        <v>1161</v>
      </c>
      <c r="E1297" s="76" t="s">
        <v>1162</v>
      </c>
      <c r="F1297" s="35" t="s">
        <v>2099</v>
      </c>
      <c r="G1297" s="76" t="s">
        <v>860</v>
      </c>
      <c r="H1297" s="76"/>
      <c r="I1297" s="76" t="s">
        <v>1618</v>
      </c>
      <c r="J1297" s="78" t="n">
        <v>0.035</v>
      </c>
      <c r="K1297" s="76" t="s">
        <v>1618</v>
      </c>
      <c r="L1297" s="77" t="s">
        <v>1114</v>
      </c>
    </row>
    <row r="1298" customFormat="false" ht="15" hidden="false" customHeight="false" outlineLevel="0" collapsed="false">
      <c r="A1298" s="76" t="s">
        <v>2102</v>
      </c>
      <c r="B1298" s="76" t="s">
        <v>120</v>
      </c>
      <c r="C1298" s="76" t="s">
        <v>2076</v>
      </c>
      <c r="D1298" s="76" t="s">
        <v>1170</v>
      </c>
      <c r="E1298" s="76" t="s">
        <v>1171</v>
      </c>
      <c r="F1298" s="35" t="s">
        <v>2103</v>
      </c>
      <c r="G1298" s="76" t="s">
        <v>419</v>
      </c>
      <c r="H1298" s="76"/>
      <c r="I1298" s="76" t="s">
        <v>2078</v>
      </c>
      <c r="J1298" s="76"/>
      <c r="K1298" s="76" t="s">
        <v>2078</v>
      </c>
      <c r="L1298" s="77" t="s">
        <v>1114</v>
      </c>
    </row>
    <row r="1299" customFormat="false" ht="15" hidden="false" customHeight="false" outlineLevel="0" collapsed="false">
      <c r="A1299" s="76" t="s">
        <v>2102</v>
      </c>
      <c r="B1299" s="76" t="s">
        <v>120</v>
      </c>
      <c r="C1299" s="76" t="s">
        <v>2076</v>
      </c>
      <c r="D1299" s="76" t="s">
        <v>1170</v>
      </c>
      <c r="E1299" s="76" t="s">
        <v>1171</v>
      </c>
      <c r="F1299" s="35" t="s">
        <v>2103</v>
      </c>
      <c r="G1299" s="76" t="s">
        <v>880</v>
      </c>
      <c r="H1299" s="76" t="n">
        <v>60</v>
      </c>
      <c r="I1299" s="76" t="s">
        <v>2035</v>
      </c>
      <c r="J1299" s="76" t="n">
        <v>60</v>
      </c>
      <c r="K1299" s="76" t="s">
        <v>2035</v>
      </c>
      <c r="L1299" s="77" t="s">
        <v>1114</v>
      </c>
    </row>
    <row r="1300" customFormat="false" ht="15" hidden="false" customHeight="false" outlineLevel="0" collapsed="false">
      <c r="A1300" s="76" t="s">
        <v>2102</v>
      </c>
      <c r="B1300" s="76" t="s">
        <v>120</v>
      </c>
      <c r="C1300" s="76" t="s">
        <v>2076</v>
      </c>
      <c r="D1300" s="76" t="s">
        <v>1170</v>
      </c>
      <c r="E1300" s="76" t="s">
        <v>1171</v>
      </c>
      <c r="F1300" s="35" t="s">
        <v>2103</v>
      </c>
      <c r="G1300" s="76" t="s">
        <v>881</v>
      </c>
      <c r="H1300" s="76" t="n">
        <v>35</v>
      </c>
      <c r="I1300" s="76" t="s">
        <v>1360</v>
      </c>
      <c r="J1300" s="76" t="n">
        <v>35</v>
      </c>
      <c r="K1300" s="76" t="s">
        <v>1360</v>
      </c>
      <c r="L1300" s="77" t="s">
        <v>1114</v>
      </c>
    </row>
    <row r="1301" customFormat="false" ht="15" hidden="false" customHeight="false" outlineLevel="0" collapsed="false">
      <c r="A1301" s="76" t="s">
        <v>2102</v>
      </c>
      <c r="B1301" s="76" t="s">
        <v>120</v>
      </c>
      <c r="C1301" s="76" t="s">
        <v>2076</v>
      </c>
      <c r="D1301" s="76" t="s">
        <v>1170</v>
      </c>
      <c r="E1301" s="76" t="s">
        <v>1171</v>
      </c>
      <c r="F1301" s="35" t="s">
        <v>2103</v>
      </c>
      <c r="G1301" s="76" t="s">
        <v>883</v>
      </c>
      <c r="H1301" s="76" t="n">
        <v>60</v>
      </c>
      <c r="I1301" s="76" t="s">
        <v>2085</v>
      </c>
      <c r="J1301" s="76" t="n">
        <v>60</v>
      </c>
      <c r="K1301" s="76" t="s">
        <v>2085</v>
      </c>
      <c r="L1301" s="77" t="s">
        <v>1114</v>
      </c>
    </row>
    <row r="1302" customFormat="false" ht="15" hidden="false" customHeight="false" outlineLevel="0" collapsed="false">
      <c r="A1302" s="76" t="s">
        <v>2102</v>
      </c>
      <c r="B1302" s="76" t="s">
        <v>120</v>
      </c>
      <c r="C1302" s="76" t="s">
        <v>2076</v>
      </c>
      <c r="D1302" s="76" t="s">
        <v>1170</v>
      </c>
      <c r="E1302" s="76" t="s">
        <v>1171</v>
      </c>
      <c r="F1302" s="35" t="s">
        <v>2103</v>
      </c>
      <c r="G1302" s="76" t="s">
        <v>885</v>
      </c>
      <c r="H1302" s="76" t="n">
        <v>60</v>
      </c>
      <c r="I1302" s="76" t="s">
        <v>2086</v>
      </c>
      <c r="J1302" s="76" t="n">
        <v>60</v>
      </c>
      <c r="K1302" s="76" t="s">
        <v>2086</v>
      </c>
      <c r="L1302" s="77" t="s">
        <v>1114</v>
      </c>
    </row>
    <row r="1303" customFormat="false" ht="15" hidden="false" customHeight="false" outlineLevel="0" collapsed="false">
      <c r="A1303" s="76" t="s">
        <v>2102</v>
      </c>
      <c r="B1303" s="76" t="s">
        <v>120</v>
      </c>
      <c r="C1303" s="76" t="s">
        <v>2076</v>
      </c>
      <c r="D1303" s="76" t="s">
        <v>1170</v>
      </c>
      <c r="E1303" s="76" t="s">
        <v>1171</v>
      </c>
      <c r="F1303" s="35" t="s">
        <v>2103</v>
      </c>
      <c r="G1303" s="76" t="s">
        <v>860</v>
      </c>
      <c r="H1303" s="76"/>
      <c r="I1303" s="76"/>
      <c r="J1303" s="76"/>
      <c r="K1303" s="76"/>
      <c r="L1303" s="77" t="s">
        <v>1114</v>
      </c>
    </row>
    <row r="1304" customFormat="false" ht="15" hidden="false" customHeight="false" outlineLevel="0" collapsed="false">
      <c r="A1304" s="76" t="s">
        <v>2104</v>
      </c>
      <c r="B1304" s="76" t="s">
        <v>120</v>
      </c>
      <c r="C1304" s="76" t="s">
        <v>2076</v>
      </c>
      <c r="D1304" s="76" t="s">
        <v>1180</v>
      </c>
      <c r="E1304" s="76" t="s">
        <v>1152</v>
      </c>
      <c r="F1304" s="35" t="s">
        <v>2105</v>
      </c>
      <c r="G1304" s="76" t="s">
        <v>419</v>
      </c>
      <c r="H1304" s="76"/>
      <c r="I1304" s="76" t="s">
        <v>2078</v>
      </c>
      <c r="J1304" s="76"/>
      <c r="K1304" s="76" t="s">
        <v>2078</v>
      </c>
      <c r="L1304" s="77" t="s">
        <v>1114</v>
      </c>
    </row>
    <row r="1305" customFormat="false" ht="15" hidden="false" customHeight="false" outlineLevel="0" collapsed="false">
      <c r="A1305" s="76" t="s">
        <v>2104</v>
      </c>
      <c r="B1305" s="76" t="s">
        <v>120</v>
      </c>
      <c r="C1305" s="76" t="s">
        <v>2076</v>
      </c>
      <c r="D1305" s="76" t="s">
        <v>1180</v>
      </c>
      <c r="E1305" s="76" t="s">
        <v>1152</v>
      </c>
      <c r="F1305" s="35" t="s">
        <v>2105</v>
      </c>
      <c r="G1305" s="76" t="s">
        <v>880</v>
      </c>
      <c r="H1305" s="76" t="n">
        <v>60</v>
      </c>
      <c r="I1305" s="76" t="s">
        <v>2035</v>
      </c>
      <c r="J1305" s="76" t="n">
        <v>60</v>
      </c>
      <c r="K1305" s="76" t="s">
        <v>2035</v>
      </c>
      <c r="L1305" s="77" t="s">
        <v>1114</v>
      </c>
    </row>
    <row r="1306" customFormat="false" ht="15" hidden="false" customHeight="false" outlineLevel="0" collapsed="false">
      <c r="A1306" s="76" t="s">
        <v>2104</v>
      </c>
      <c r="B1306" s="76" t="s">
        <v>120</v>
      </c>
      <c r="C1306" s="76" t="s">
        <v>2076</v>
      </c>
      <c r="D1306" s="76" t="s">
        <v>1180</v>
      </c>
      <c r="E1306" s="76" t="s">
        <v>1152</v>
      </c>
      <c r="F1306" s="35" t="s">
        <v>2105</v>
      </c>
      <c r="G1306" s="76" t="s">
        <v>881</v>
      </c>
      <c r="H1306" s="76" t="n">
        <v>36</v>
      </c>
      <c r="I1306" s="76" t="s">
        <v>2106</v>
      </c>
      <c r="J1306" s="76" t="n">
        <v>36</v>
      </c>
      <c r="K1306" s="76" t="s">
        <v>2106</v>
      </c>
      <c r="L1306" s="77" t="s">
        <v>1114</v>
      </c>
    </row>
    <row r="1307" customFormat="false" ht="15" hidden="false" customHeight="false" outlineLevel="0" collapsed="false">
      <c r="A1307" s="76" t="s">
        <v>2104</v>
      </c>
      <c r="B1307" s="76" t="s">
        <v>120</v>
      </c>
      <c r="C1307" s="76" t="s">
        <v>2076</v>
      </c>
      <c r="D1307" s="76" t="s">
        <v>1180</v>
      </c>
      <c r="E1307" s="76" t="s">
        <v>1152</v>
      </c>
      <c r="F1307" s="35" t="s">
        <v>2105</v>
      </c>
      <c r="G1307" s="76" t="s">
        <v>883</v>
      </c>
      <c r="H1307" s="76" t="n">
        <v>60</v>
      </c>
      <c r="I1307" s="76" t="s">
        <v>2085</v>
      </c>
      <c r="J1307" s="76" t="n">
        <v>60</v>
      </c>
      <c r="K1307" s="76" t="s">
        <v>2085</v>
      </c>
      <c r="L1307" s="77" t="s">
        <v>1114</v>
      </c>
    </row>
    <row r="1308" customFormat="false" ht="15" hidden="false" customHeight="false" outlineLevel="0" collapsed="false">
      <c r="A1308" s="76" t="s">
        <v>2104</v>
      </c>
      <c r="B1308" s="76" t="s">
        <v>120</v>
      </c>
      <c r="C1308" s="76" t="s">
        <v>2076</v>
      </c>
      <c r="D1308" s="76" t="s">
        <v>1180</v>
      </c>
      <c r="E1308" s="76" t="s">
        <v>1152</v>
      </c>
      <c r="F1308" s="35" t="s">
        <v>2105</v>
      </c>
      <c r="G1308" s="76" t="s">
        <v>885</v>
      </c>
      <c r="H1308" s="76" t="n">
        <v>60</v>
      </c>
      <c r="I1308" s="76" t="s">
        <v>2086</v>
      </c>
      <c r="J1308" s="76" t="n">
        <v>60</v>
      </c>
      <c r="K1308" s="76" t="s">
        <v>2086</v>
      </c>
      <c r="L1308" s="77" t="s">
        <v>1114</v>
      </c>
    </row>
    <row r="1309" customFormat="false" ht="15" hidden="false" customHeight="false" outlineLevel="0" collapsed="false">
      <c r="A1309" s="76" t="s">
        <v>2104</v>
      </c>
      <c r="B1309" s="76" t="s">
        <v>120</v>
      </c>
      <c r="C1309" s="76" t="s">
        <v>2076</v>
      </c>
      <c r="D1309" s="76" t="s">
        <v>1180</v>
      </c>
      <c r="E1309" s="76" t="s">
        <v>1152</v>
      </c>
      <c r="F1309" s="35" t="s">
        <v>2105</v>
      </c>
      <c r="G1309" s="76" t="s">
        <v>860</v>
      </c>
      <c r="H1309" s="76"/>
      <c r="I1309" s="76" t="s">
        <v>1608</v>
      </c>
      <c r="J1309" s="78" t="n">
        <v>0.02</v>
      </c>
      <c r="K1309" s="76" t="s">
        <v>1608</v>
      </c>
      <c r="L1309" s="77" t="s">
        <v>1114</v>
      </c>
    </row>
    <row r="1310" customFormat="false" ht="15" hidden="false" customHeight="false" outlineLevel="0" collapsed="false">
      <c r="A1310" s="76" t="s">
        <v>2107</v>
      </c>
      <c r="B1310" s="76" t="s">
        <v>120</v>
      </c>
      <c r="C1310" s="76" t="s">
        <v>2076</v>
      </c>
      <c r="D1310" s="76" t="s">
        <v>1189</v>
      </c>
      <c r="E1310" s="76" t="s">
        <v>1125</v>
      </c>
      <c r="F1310" s="35" t="s">
        <v>2108</v>
      </c>
      <c r="G1310" s="76" t="s">
        <v>419</v>
      </c>
      <c r="H1310" s="76"/>
      <c r="I1310" s="76" t="s">
        <v>2078</v>
      </c>
      <c r="J1310" s="76"/>
      <c r="K1310" s="76" t="s">
        <v>2078</v>
      </c>
      <c r="L1310" s="77" t="s">
        <v>1114</v>
      </c>
    </row>
    <row r="1311" customFormat="false" ht="15" hidden="false" customHeight="false" outlineLevel="0" collapsed="false">
      <c r="A1311" s="76" t="s">
        <v>2107</v>
      </c>
      <c r="B1311" s="76" t="s">
        <v>120</v>
      </c>
      <c r="C1311" s="76" t="s">
        <v>2076</v>
      </c>
      <c r="D1311" s="76" t="s">
        <v>1189</v>
      </c>
      <c r="E1311" s="76" t="s">
        <v>1125</v>
      </c>
      <c r="F1311" s="35" t="s">
        <v>2108</v>
      </c>
      <c r="G1311" s="76" t="s">
        <v>880</v>
      </c>
      <c r="H1311" s="76" t="n">
        <v>27</v>
      </c>
      <c r="I1311" s="76" t="s">
        <v>2109</v>
      </c>
      <c r="J1311" s="76" t="n">
        <v>27</v>
      </c>
      <c r="K1311" s="76" t="s">
        <v>2109</v>
      </c>
      <c r="L1311" s="77" t="s">
        <v>1114</v>
      </c>
    </row>
    <row r="1312" customFormat="false" ht="15" hidden="false" customHeight="false" outlineLevel="0" collapsed="false">
      <c r="A1312" s="76" t="s">
        <v>2107</v>
      </c>
      <c r="B1312" s="76" t="s">
        <v>120</v>
      </c>
      <c r="C1312" s="76" t="s">
        <v>2076</v>
      </c>
      <c r="D1312" s="76" t="s">
        <v>1189</v>
      </c>
      <c r="E1312" s="76" t="s">
        <v>1125</v>
      </c>
      <c r="F1312" s="35" t="s">
        <v>2108</v>
      </c>
      <c r="G1312" s="76" t="s">
        <v>881</v>
      </c>
      <c r="H1312" s="76" t="n">
        <v>20</v>
      </c>
      <c r="I1312" s="76" t="s">
        <v>2080</v>
      </c>
      <c r="J1312" s="76" t="n">
        <v>20</v>
      </c>
      <c r="K1312" s="76" t="s">
        <v>2080</v>
      </c>
      <c r="L1312" s="77" t="s">
        <v>1114</v>
      </c>
    </row>
    <row r="1313" customFormat="false" ht="15" hidden="false" customHeight="false" outlineLevel="0" collapsed="false">
      <c r="A1313" s="76" t="s">
        <v>2107</v>
      </c>
      <c r="B1313" s="76" t="s">
        <v>120</v>
      </c>
      <c r="C1313" s="76" t="s">
        <v>2076</v>
      </c>
      <c r="D1313" s="76" t="s">
        <v>1189</v>
      </c>
      <c r="E1313" s="76" t="s">
        <v>1125</v>
      </c>
      <c r="F1313" s="35" t="s">
        <v>2108</v>
      </c>
      <c r="G1313" s="76" t="s">
        <v>883</v>
      </c>
      <c r="H1313" s="76" t="n">
        <v>27</v>
      </c>
      <c r="I1313" s="76" t="s">
        <v>2110</v>
      </c>
      <c r="J1313" s="76" t="n">
        <v>27</v>
      </c>
      <c r="K1313" s="76" t="s">
        <v>2110</v>
      </c>
      <c r="L1313" s="77" t="s">
        <v>1114</v>
      </c>
    </row>
    <row r="1314" customFormat="false" ht="15" hidden="false" customHeight="false" outlineLevel="0" collapsed="false">
      <c r="A1314" s="76" t="s">
        <v>2107</v>
      </c>
      <c r="B1314" s="76" t="s">
        <v>120</v>
      </c>
      <c r="C1314" s="76" t="s">
        <v>2076</v>
      </c>
      <c r="D1314" s="76" t="s">
        <v>1189</v>
      </c>
      <c r="E1314" s="76" t="s">
        <v>1125</v>
      </c>
      <c r="F1314" s="35" t="s">
        <v>2108</v>
      </c>
      <c r="G1314" s="76" t="s">
        <v>885</v>
      </c>
      <c r="H1314" s="76" t="n">
        <v>60</v>
      </c>
      <c r="I1314" s="76" t="s">
        <v>2086</v>
      </c>
      <c r="J1314" s="76" t="n">
        <v>60</v>
      </c>
      <c r="K1314" s="76" t="s">
        <v>2086</v>
      </c>
      <c r="L1314" s="77" t="s">
        <v>1114</v>
      </c>
    </row>
    <row r="1315" customFormat="false" ht="15" hidden="false" customHeight="false" outlineLevel="0" collapsed="false">
      <c r="A1315" s="76" t="s">
        <v>2107</v>
      </c>
      <c r="B1315" s="76" t="s">
        <v>120</v>
      </c>
      <c r="C1315" s="76" t="s">
        <v>2076</v>
      </c>
      <c r="D1315" s="76" t="s">
        <v>1189</v>
      </c>
      <c r="E1315" s="76" t="s">
        <v>1125</v>
      </c>
      <c r="F1315" s="35" t="s">
        <v>2108</v>
      </c>
      <c r="G1315" s="76" t="s">
        <v>860</v>
      </c>
      <c r="H1315" s="76"/>
      <c r="I1315" s="76"/>
      <c r="J1315" s="76"/>
      <c r="K1315" s="76"/>
      <c r="L1315" s="77" t="s">
        <v>1114</v>
      </c>
    </row>
    <row r="1316" customFormat="false" ht="15" hidden="false" customHeight="false" outlineLevel="0" collapsed="false">
      <c r="A1316" s="76" t="s">
        <v>2111</v>
      </c>
      <c r="B1316" s="76" t="s">
        <v>120</v>
      </c>
      <c r="C1316" s="76" t="s">
        <v>2076</v>
      </c>
      <c r="D1316" s="76" t="s">
        <v>1198</v>
      </c>
      <c r="E1316" s="76" t="s">
        <v>1162</v>
      </c>
      <c r="F1316" s="35" t="s">
        <v>2112</v>
      </c>
      <c r="G1316" s="76" t="s">
        <v>419</v>
      </c>
      <c r="H1316" s="76"/>
      <c r="I1316" s="76" t="s">
        <v>2078</v>
      </c>
      <c r="J1316" s="76"/>
      <c r="K1316" s="76" t="s">
        <v>2078</v>
      </c>
      <c r="L1316" s="77" t="s">
        <v>1114</v>
      </c>
    </row>
    <row r="1317" customFormat="false" ht="15" hidden="false" customHeight="false" outlineLevel="0" collapsed="false">
      <c r="A1317" s="76" t="s">
        <v>2111</v>
      </c>
      <c r="B1317" s="76" t="s">
        <v>120</v>
      </c>
      <c r="C1317" s="76" t="s">
        <v>2076</v>
      </c>
      <c r="D1317" s="76" t="s">
        <v>1198</v>
      </c>
      <c r="E1317" s="76" t="s">
        <v>1162</v>
      </c>
      <c r="F1317" s="35" t="s">
        <v>2112</v>
      </c>
      <c r="G1317" s="76" t="s">
        <v>880</v>
      </c>
      <c r="H1317" s="76" t="n">
        <v>16</v>
      </c>
      <c r="I1317" s="76" t="s">
        <v>2113</v>
      </c>
      <c r="J1317" s="76" t="n">
        <v>16</v>
      </c>
      <c r="K1317" s="76" t="s">
        <v>2113</v>
      </c>
      <c r="L1317" s="77" t="s">
        <v>1114</v>
      </c>
    </row>
    <row r="1318" customFormat="false" ht="15" hidden="false" customHeight="false" outlineLevel="0" collapsed="false">
      <c r="A1318" s="76" t="s">
        <v>2111</v>
      </c>
      <c r="B1318" s="76" t="s">
        <v>120</v>
      </c>
      <c r="C1318" s="76" t="s">
        <v>2076</v>
      </c>
      <c r="D1318" s="76" t="s">
        <v>1198</v>
      </c>
      <c r="E1318" s="76" t="s">
        <v>1162</v>
      </c>
      <c r="F1318" s="35" t="s">
        <v>2112</v>
      </c>
      <c r="G1318" s="76" t="s">
        <v>881</v>
      </c>
      <c r="H1318" s="76" t="n">
        <v>13</v>
      </c>
      <c r="I1318" s="76" t="s">
        <v>2114</v>
      </c>
      <c r="J1318" s="76" t="n">
        <v>13</v>
      </c>
      <c r="K1318" s="76" t="s">
        <v>2114</v>
      </c>
      <c r="L1318" s="77" t="s">
        <v>1114</v>
      </c>
    </row>
    <row r="1319" customFormat="false" ht="15" hidden="false" customHeight="false" outlineLevel="0" collapsed="false">
      <c r="A1319" s="76" t="s">
        <v>2111</v>
      </c>
      <c r="B1319" s="76" t="s">
        <v>120</v>
      </c>
      <c r="C1319" s="76" t="s">
        <v>2076</v>
      </c>
      <c r="D1319" s="76" t="s">
        <v>1198</v>
      </c>
      <c r="E1319" s="76" t="s">
        <v>1162</v>
      </c>
      <c r="F1319" s="35" t="s">
        <v>2112</v>
      </c>
      <c r="G1319" s="76" t="s">
        <v>883</v>
      </c>
      <c r="H1319" s="76" t="n">
        <v>16</v>
      </c>
      <c r="I1319" s="76" t="s">
        <v>2115</v>
      </c>
      <c r="J1319" s="76" t="n">
        <v>16</v>
      </c>
      <c r="K1319" s="76" t="s">
        <v>2115</v>
      </c>
      <c r="L1319" s="77" t="s">
        <v>1114</v>
      </c>
    </row>
    <row r="1320" customFormat="false" ht="15" hidden="false" customHeight="false" outlineLevel="0" collapsed="false">
      <c r="A1320" s="76" t="s">
        <v>2111</v>
      </c>
      <c r="B1320" s="76" t="s">
        <v>120</v>
      </c>
      <c r="C1320" s="76" t="s">
        <v>2076</v>
      </c>
      <c r="D1320" s="76" t="s">
        <v>1198</v>
      </c>
      <c r="E1320" s="76" t="s">
        <v>1162</v>
      </c>
      <c r="F1320" s="35" t="s">
        <v>2112</v>
      </c>
      <c r="G1320" s="76" t="s">
        <v>885</v>
      </c>
      <c r="H1320" s="76" t="n">
        <v>19</v>
      </c>
      <c r="I1320" s="76" t="s">
        <v>1404</v>
      </c>
      <c r="J1320" s="76" t="n">
        <v>19</v>
      </c>
      <c r="K1320" s="76" t="s">
        <v>1404</v>
      </c>
      <c r="L1320" s="77" t="s">
        <v>1114</v>
      </c>
    </row>
    <row r="1321" customFormat="false" ht="15" hidden="false" customHeight="false" outlineLevel="0" collapsed="false">
      <c r="A1321" s="76" t="s">
        <v>2111</v>
      </c>
      <c r="B1321" s="76" t="s">
        <v>120</v>
      </c>
      <c r="C1321" s="76" t="s">
        <v>2076</v>
      </c>
      <c r="D1321" s="76" t="s">
        <v>1198</v>
      </c>
      <c r="E1321" s="76" t="s">
        <v>1162</v>
      </c>
      <c r="F1321" s="35" t="s">
        <v>2112</v>
      </c>
      <c r="G1321" s="76" t="s">
        <v>860</v>
      </c>
      <c r="H1321" s="76"/>
      <c r="I1321" s="76" t="s">
        <v>1618</v>
      </c>
      <c r="J1321" s="78" t="n">
        <v>0.035</v>
      </c>
      <c r="K1321" s="76" t="s">
        <v>1618</v>
      </c>
      <c r="L1321" s="77" t="s">
        <v>1114</v>
      </c>
    </row>
    <row r="1322" customFormat="false" ht="15" hidden="false" customHeight="false" outlineLevel="0" collapsed="false">
      <c r="A1322" s="76" t="s">
        <v>2116</v>
      </c>
      <c r="B1322" s="76" t="s">
        <v>125</v>
      </c>
      <c r="C1322" s="76" t="s">
        <v>2117</v>
      </c>
      <c r="D1322" s="76" t="s">
        <v>1111</v>
      </c>
      <c r="E1322" s="76" t="s">
        <v>1112</v>
      </c>
      <c r="F1322" s="35" t="s">
        <v>2118</v>
      </c>
      <c r="G1322" s="76" t="s">
        <v>419</v>
      </c>
      <c r="H1322" s="76"/>
      <c r="I1322" s="76" t="s">
        <v>707</v>
      </c>
      <c r="J1322" s="76"/>
      <c r="K1322" s="76" t="s">
        <v>707</v>
      </c>
      <c r="L1322" s="77" t="s">
        <v>1114</v>
      </c>
    </row>
    <row r="1323" customFormat="false" ht="15" hidden="false" customHeight="false" outlineLevel="0" collapsed="false">
      <c r="A1323" s="76" t="s">
        <v>2116</v>
      </c>
      <c r="B1323" s="76" t="s">
        <v>125</v>
      </c>
      <c r="C1323" s="76" t="s">
        <v>2117</v>
      </c>
      <c r="D1323" s="76" t="s">
        <v>1111</v>
      </c>
      <c r="E1323" s="76" t="s">
        <v>1112</v>
      </c>
      <c r="F1323" s="35" t="s">
        <v>2118</v>
      </c>
      <c r="G1323" s="76" t="s">
        <v>422</v>
      </c>
      <c r="H1323" s="78" t="n">
        <v>30893.4851978172</v>
      </c>
      <c r="I1323" s="76" t="s">
        <v>2119</v>
      </c>
      <c r="J1323" s="78" t="n">
        <v>30893.4851978172</v>
      </c>
      <c r="K1323" s="76" t="s">
        <v>2119</v>
      </c>
      <c r="L1323" s="77" t="s">
        <v>1114</v>
      </c>
    </row>
    <row r="1324" customFormat="false" ht="15" hidden="false" customHeight="false" outlineLevel="0" collapsed="false">
      <c r="A1324" s="76" t="s">
        <v>2116</v>
      </c>
      <c r="B1324" s="76" t="s">
        <v>125</v>
      </c>
      <c r="C1324" s="76" t="s">
        <v>2117</v>
      </c>
      <c r="D1324" s="76" t="s">
        <v>1111</v>
      </c>
      <c r="E1324" s="76" t="s">
        <v>1112</v>
      </c>
      <c r="F1324" s="35" t="s">
        <v>2118</v>
      </c>
      <c r="G1324" s="76" t="s">
        <v>891</v>
      </c>
      <c r="H1324" s="78" t="n">
        <v>41578.5635882274</v>
      </c>
      <c r="I1324" s="76" t="s">
        <v>2120</v>
      </c>
      <c r="J1324" s="78" t="n">
        <v>41578.5635882274</v>
      </c>
      <c r="K1324" s="76" t="s">
        <v>2120</v>
      </c>
      <c r="L1324" s="77" t="s">
        <v>1114</v>
      </c>
    </row>
    <row r="1325" customFormat="false" ht="15" hidden="false" customHeight="false" outlineLevel="0" collapsed="false">
      <c r="A1325" s="76" t="s">
        <v>2116</v>
      </c>
      <c r="B1325" s="76" t="s">
        <v>125</v>
      </c>
      <c r="C1325" s="76" t="s">
        <v>2117</v>
      </c>
      <c r="D1325" s="76" t="s">
        <v>1111</v>
      </c>
      <c r="E1325" s="76" t="s">
        <v>1112</v>
      </c>
      <c r="F1325" s="35" t="s">
        <v>2118</v>
      </c>
      <c r="G1325" s="76" t="s">
        <v>711</v>
      </c>
      <c r="H1325" s="78" t="n">
        <v>0.0294117647058825</v>
      </c>
      <c r="I1325" s="76" t="s">
        <v>2121</v>
      </c>
      <c r="J1325" s="78" t="n">
        <v>0.0294117647058825</v>
      </c>
      <c r="K1325" s="76" t="s">
        <v>2121</v>
      </c>
      <c r="L1325" s="77" t="s">
        <v>1114</v>
      </c>
    </row>
    <row r="1326" customFormat="false" ht="15" hidden="false" customHeight="false" outlineLevel="0" collapsed="false">
      <c r="A1326" s="76" t="s">
        <v>2116</v>
      </c>
      <c r="B1326" s="76" t="s">
        <v>125</v>
      </c>
      <c r="C1326" s="76" t="s">
        <v>2117</v>
      </c>
      <c r="D1326" s="76" t="s">
        <v>1111</v>
      </c>
      <c r="E1326" s="76" t="s">
        <v>1112</v>
      </c>
      <c r="F1326" s="35" t="s">
        <v>2118</v>
      </c>
      <c r="G1326" s="76" t="s">
        <v>894</v>
      </c>
      <c r="H1326" s="78" t="n">
        <v>30893.4851978172</v>
      </c>
      <c r="I1326" s="76" t="s">
        <v>2119</v>
      </c>
      <c r="J1326" s="78" t="n">
        <v>30893.4851978172</v>
      </c>
      <c r="K1326" s="76" t="s">
        <v>2119</v>
      </c>
      <c r="L1326" s="77" t="s">
        <v>1114</v>
      </c>
    </row>
    <row r="1327" customFormat="false" ht="15" hidden="false" customHeight="false" outlineLevel="0" collapsed="false">
      <c r="A1327" s="76" t="s">
        <v>2116</v>
      </c>
      <c r="B1327" s="76" t="s">
        <v>125</v>
      </c>
      <c r="C1327" s="76" t="s">
        <v>2117</v>
      </c>
      <c r="D1327" s="76" t="s">
        <v>1111</v>
      </c>
      <c r="E1327" s="76" t="s">
        <v>1112</v>
      </c>
      <c r="F1327" s="35" t="s">
        <v>2118</v>
      </c>
      <c r="G1327" s="76" t="s">
        <v>899</v>
      </c>
      <c r="H1327" s="78" t="n">
        <v>0.0294117647058825</v>
      </c>
      <c r="I1327" s="76" t="s">
        <v>2122</v>
      </c>
      <c r="J1327" s="78" t="n">
        <v>0.0294117647058825</v>
      </c>
      <c r="K1327" s="76" t="s">
        <v>2122</v>
      </c>
      <c r="L1327" s="77" t="s">
        <v>1114</v>
      </c>
    </row>
    <row r="1328" customFormat="false" ht="15" hidden="false" customHeight="false" outlineLevel="0" collapsed="false">
      <c r="A1328" s="76" t="s">
        <v>2123</v>
      </c>
      <c r="B1328" s="76" t="s">
        <v>125</v>
      </c>
      <c r="C1328" s="76" t="s">
        <v>2117</v>
      </c>
      <c r="D1328" s="76" t="s">
        <v>1124</v>
      </c>
      <c r="E1328" s="76" t="s">
        <v>1125</v>
      </c>
      <c r="F1328" s="35" t="s">
        <v>2124</v>
      </c>
      <c r="G1328" s="76" t="s">
        <v>419</v>
      </c>
      <c r="H1328" s="76"/>
      <c r="I1328" s="76" t="s">
        <v>891</v>
      </c>
      <c r="J1328" s="76"/>
      <c r="K1328" s="76" t="s">
        <v>891</v>
      </c>
      <c r="L1328" s="77" t="s">
        <v>1114</v>
      </c>
    </row>
    <row r="1329" customFormat="false" ht="15" hidden="false" customHeight="false" outlineLevel="0" collapsed="false">
      <c r="A1329" s="76" t="s">
        <v>2123</v>
      </c>
      <c r="B1329" s="76" t="s">
        <v>125</v>
      </c>
      <c r="C1329" s="76" t="s">
        <v>2117</v>
      </c>
      <c r="D1329" s="76" t="s">
        <v>1124</v>
      </c>
      <c r="E1329" s="76" t="s">
        <v>1125</v>
      </c>
      <c r="F1329" s="35" t="s">
        <v>2124</v>
      </c>
      <c r="G1329" s="76" t="s">
        <v>422</v>
      </c>
      <c r="H1329" s="76" t="n">
        <v>500</v>
      </c>
      <c r="I1329" s="76" t="s">
        <v>1612</v>
      </c>
      <c r="J1329" s="76" t="n">
        <v>500</v>
      </c>
      <c r="K1329" s="76" t="s">
        <v>1612</v>
      </c>
      <c r="L1329" s="77" t="s">
        <v>1114</v>
      </c>
    </row>
    <row r="1330" customFormat="false" ht="15" hidden="false" customHeight="false" outlineLevel="0" collapsed="false">
      <c r="A1330" s="76" t="s">
        <v>2123</v>
      </c>
      <c r="B1330" s="76" t="s">
        <v>125</v>
      </c>
      <c r="C1330" s="76" t="s">
        <v>2117</v>
      </c>
      <c r="D1330" s="76" t="s">
        <v>1124</v>
      </c>
      <c r="E1330" s="76" t="s">
        <v>1125</v>
      </c>
      <c r="F1330" s="35" t="s">
        <v>2124</v>
      </c>
      <c r="G1330" s="76" t="s">
        <v>891</v>
      </c>
      <c r="H1330" s="76" t="n">
        <v>500</v>
      </c>
      <c r="I1330" s="76" t="s">
        <v>1612</v>
      </c>
      <c r="J1330" s="76" t="n">
        <v>500</v>
      </c>
      <c r="K1330" s="76" t="s">
        <v>1612</v>
      </c>
      <c r="L1330" s="77" t="s">
        <v>1114</v>
      </c>
    </row>
    <row r="1331" customFormat="false" ht="15" hidden="false" customHeight="false" outlineLevel="0" collapsed="false">
      <c r="A1331" s="76" t="s">
        <v>2123</v>
      </c>
      <c r="B1331" s="76" t="s">
        <v>125</v>
      </c>
      <c r="C1331" s="76" t="s">
        <v>2117</v>
      </c>
      <c r="D1331" s="76" t="s">
        <v>1124</v>
      </c>
      <c r="E1331" s="76" t="s">
        <v>1125</v>
      </c>
      <c r="F1331" s="35" t="s">
        <v>2124</v>
      </c>
      <c r="G1331" s="76" t="s">
        <v>711</v>
      </c>
      <c r="H1331" s="76"/>
      <c r="I1331" s="76"/>
      <c r="J1331" s="76"/>
      <c r="K1331" s="76"/>
      <c r="L1331" s="77" t="s">
        <v>1114</v>
      </c>
    </row>
    <row r="1332" customFormat="false" ht="15" hidden="false" customHeight="false" outlineLevel="0" collapsed="false">
      <c r="A1332" s="76" t="s">
        <v>2123</v>
      </c>
      <c r="B1332" s="76" t="s">
        <v>125</v>
      </c>
      <c r="C1332" s="76" t="s">
        <v>2117</v>
      </c>
      <c r="D1332" s="76" t="s">
        <v>1124</v>
      </c>
      <c r="E1332" s="76" t="s">
        <v>1125</v>
      </c>
      <c r="F1332" s="35" t="s">
        <v>2124</v>
      </c>
      <c r="G1332" s="76" t="s">
        <v>894</v>
      </c>
      <c r="H1332" s="76"/>
      <c r="I1332" s="76"/>
      <c r="J1332" s="76"/>
      <c r="K1332" s="76"/>
      <c r="L1332" s="77" t="s">
        <v>1114</v>
      </c>
    </row>
    <row r="1333" customFormat="false" ht="15" hidden="false" customHeight="false" outlineLevel="0" collapsed="false">
      <c r="A1333" s="76" t="s">
        <v>2123</v>
      </c>
      <c r="B1333" s="76" t="s">
        <v>125</v>
      </c>
      <c r="C1333" s="76" t="s">
        <v>2117</v>
      </c>
      <c r="D1333" s="76" t="s">
        <v>1124</v>
      </c>
      <c r="E1333" s="76" t="s">
        <v>1125</v>
      </c>
      <c r="F1333" s="35" t="s">
        <v>2124</v>
      </c>
      <c r="G1333" s="76" t="s">
        <v>899</v>
      </c>
      <c r="H1333" s="76"/>
      <c r="I1333" s="76"/>
      <c r="J1333" s="76"/>
      <c r="K1333" s="76"/>
      <c r="L1333" s="77" t="s">
        <v>1114</v>
      </c>
    </row>
    <row r="1334" customFormat="false" ht="15" hidden="false" customHeight="false" outlineLevel="0" collapsed="false">
      <c r="A1334" s="76" t="s">
        <v>2125</v>
      </c>
      <c r="B1334" s="76" t="s">
        <v>125</v>
      </c>
      <c r="C1334" s="76" t="s">
        <v>2117</v>
      </c>
      <c r="D1334" s="76" t="s">
        <v>1132</v>
      </c>
      <c r="E1334" s="76" t="s">
        <v>1133</v>
      </c>
      <c r="F1334" s="35" t="s">
        <v>2126</v>
      </c>
      <c r="G1334" s="76" t="s">
        <v>419</v>
      </c>
      <c r="H1334" s="76"/>
      <c r="I1334" s="76" t="s">
        <v>707</v>
      </c>
      <c r="J1334" s="76"/>
      <c r="K1334" s="76" t="s">
        <v>707</v>
      </c>
      <c r="L1334" s="77" t="s">
        <v>1114</v>
      </c>
    </row>
    <row r="1335" customFormat="false" ht="15" hidden="false" customHeight="false" outlineLevel="0" collapsed="false">
      <c r="A1335" s="76" t="s">
        <v>2125</v>
      </c>
      <c r="B1335" s="76" t="s">
        <v>125</v>
      </c>
      <c r="C1335" s="76" t="s">
        <v>2117</v>
      </c>
      <c r="D1335" s="76" t="s">
        <v>1132</v>
      </c>
      <c r="E1335" s="76" t="s">
        <v>1133</v>
      </c>
      <c r="F1335" s="35" t="s">
        <v>2126</v>
      </c>
      <c r="G1335" s="76" t="s">
        <v>422</v>
      </c>
      <c r="H1335" s="78" t="n">
        <v>5715620.94375193</v>
      </c>
      <c r="I1335" s="76" t="s">
        <v>2127</v>
      </c>
      <c r="J1335" s="78" t="n">
        <v>5715620.94375193</v>
      </c>
      <c r="K1335" s="76" t="s">
        <v>2127</v>
      </c>
      <c r="L1335" s="77" t="s">
        <v>1114</v>
      </c>
    </row>
    <row r="1336" customFormat="false" ht="15" hidden="false" customHeight="false" outlineLevel="0" collapsed="false">
      <c r="A1336" s="76" t="s">
        <v>2125</v>
      </c>
      <c r="B1336" s="76" t="s">
        <v>125</v>
      </c>
      <c r="C1336" s="76" t="s">
        <v>2117</v>
      </c>
      <c r="D1336" s="76" t="s">
        <v>1132</v>
      </c>
      <c r="E1336" s="76" t="s">
        <v>1133</v>
      </c>
      <c r="F1336" s="35" t="s">
        <v>2126</v>
      </c>
      <c r="G1336" s="76" t="s">
        <v>891</v>
      </c>
      <c r="H1336" s="78" t="n">
        <v>22629627.7840881</v>
      </c>
      <c r="I1336" s="76" t="s">
        <v>2128</v>
      </c>
      <c r="J1336" s="78" t="n">
        <v>22629627.7840881</v>
      </c>
      <c r="K1336" s="76" t="s">
        <v>2128</v>
      </c>
      <c r="L1336" s="77" t="s">
        <v>1114</v>
      </c>
    </row>
    <row r="1337" customFormat="false" ht="15" hidden="false" customHeight="false" outlineLevel="0" collapsed="false">
      <c r="A1337" s="76" t="s">
        <v>2125</v>
      </c>
      <c r="B1337" s="76" t="s">
        <v>125</v>
      </c>
      <c r="C1337" s="76" t="s">
        <v>2117</v>
      </c>
      <c r="D1337" s="76" t="s">
        <v>1132</v>
      </c>
      <c r="E1337" s="76" t="s">
        <v>1133</v>
      </c>
      <c r="F1337" s="35" t="s">
        <v>2126</v>
      </c>
      <c r="G1337" s="76" t="s">
        <v>711</v>
      </c>
      <c r="H1337" s="78" t="n">
        <v>0.06280193236715</v>
      </c>
      <c r="I1337" s="76" t="s">
        <v>2129</v>
      </c>
      <c r="J1337" s="78" t="n">
        <v>0.06280193236715</v>
      </c>
      <c r="K1337" s="76" t="s">
        <v>2129</v>
      </c>
      <c r="L1337" s="77" t="s">
        <v>1114</v>
      </c>
    </row>
    <row r="1338" customFormat="false" ht="15" hidden="false" customHeight="false" outlineLevel="0" collapsed="false">
      <c r="A1338" s="76" t="s">
        <v>2125</v>
      </c>
      <c r="B1338" s="76" t="s">
        <v>125</v>
      </c>
      <c r="C1338" s="76" t="s">
        <v>2117</v>
      </c>
      <c r="D1338" s="76" t="s">
        <v>1132</v>
      </c>
      <c r="E1338" s="76" t="s">
        <v>1133</v>
      </c>
      <c r="F1338" s="35" t="s">
        <v>2126</v>
      </c>
      <c r="G1338" s="76" t="s">
        <v>894</v>
      </c>
      <c r="H1338" s="78" t="n">
        <v>5715620.94375193</v>
      </c>
      <c r="I1338" s="76" t="s">
        <v>2127</v>
      </c>
      <c r="J1338" s="78" t="n">
        <v>5715620.94375193</v>
      </c>
      <c r="K1338" s="76" t="s">
        <v>2127</v>
      </c>
      <c r="L1338" s="77" t="s">
        <v>1114</v>
      </c>
    </row>
    <row r="1339" customFormat="false" ht="15" hidden="false" customHeight="false" outlineLevel="0" collapsed="false">
      <c r="A1339" s="76" t="s">
        <v>2125</v>
      </c>
      <c r="B1339" s="76" t="s">
        <v>125</v>
      </c>
      <c r="C1339" s="76" t="s">
        <v>2117</v>
      </c>
      <c r="D1339" s="76" t="s">
        <v>1132</v>
      </c>
      <c r="E1339" s="76" t="s">
        <v>1133</v>
      </c>
      <c r="F1339" s="35" t="s">
        <v>2126</v>
      </c>
      <c r="G1339" s="76" t="s">
        <v>899</v>
      </c>
      <c r="H1339" s="78" t="n">
        <v>0.06280193236715</v>
      </c>
      <c r="I1339" s="76" t="s">
        <v>2130</v>
      </c>
      <c r="J1339" s="78" t="n">
        <v>0.06280193236715</v>
      </c>
      <c r="K1339" s="76" t="s">
        <v>2130</v>
      </c>
      <c r="L1339" s="77" t="s">
        <v>1114</v>
      </c>
    </row>
    <row r="1340" customFormat="false" ht="15" hidden="false" customHeight="false" outlineLevel="0" collapsed="false">
      <c r="A1340" s="76" t="s">
        <v>2131</v>
      </c>
      <c r="B1340" s="76" t="s">
        <v>125</v>
      </c>
      <c r="C1340" s="76" t="s">
        <v>2117</v>
      </c>
      <c r="D1340" s="76" t="s">
        <v>1141</v>
      </c>
      <c r="E1340" s="76" t="s">
        <v>1142</v>
      </c>
      <c r="F1340" s="35" t="s">
        <v>2132</v>
      </c>
      <c r="G1340" s="76" t="s">
        <v>419</v>
      </c>
      <c r="H1340" s="76"/>
      <c r="I1340" s="76" t="s">
        <v>707</v>
      </c>
      <c r="J1340" s="76"/>
      <c r="K1340" s="76" t="s">
        <v>707</v>
      </c>
      <c r="L1340" s="77" t="s">
        <v>1114</v>
      </c>
    </row>
    <row r="1341" customFormat="false" ht="15" hidden="false" customHeight="false" outlineLevel="0" collapsed="false">
      <c r="A1341" s="76" t="s">
        <v>2131</v>
      </c>
      <c r="B1341" s="76" t="s">
        <v>125</v>
      </c>
      <c r="C1341" s="76" t="s">
        <v>2117</v>
      </c>
      <c r="D1341" s="76" t="s">
        <v>1141</v>
      </c>
      <c r="E1341" s="76" t="s">
        <v>1142</v>
      </c>
      <c r="F1341" s="35" t="s">
        <v>2132</v>
      </c>
      <c r="G1341" s="76" t="s">
        <v>422</v>
      </c>
      <c r="H1341" s="78" t="n">
        <v>583977.791390352</v>
      </c>
      <c r="I1341" s="76" t="s">
        <v>2133</v>
      </c>
      <c r="J1341" s="78" t="n">
        <v>583977.791390352</v>
      </c>
      <c r="K1341" s="76" t="s">
        <v>2133</v>
      </c>
      <c r="L1341" s="77" t="s">
        <v>1114</v>
      </c>
    </row>
    <row r="1342" customFormat="false" ht="15" hidden="false" customHeight="false" outlineLevel="0" collapsed="false">
      <c r="A1342" s="76" t="s">
        <v>2131</v>
      </c>
      <c r="B1342" s="76" t="s">
        <v>125</v>
      </c>
      <c r="C1342" s="76" t="s">
        <v>2117</v>
      </c>
      <c r="D1342" s="76" t="s">
        <v>1141</v>
      </c>
      <c r="E1342" s="76" t="s">
        <v>1142</v>
      </c>
      <c r="F1342" s="35" t="s">
        <v>2132</v>
      </c>
      <c r="G1342" s="76" t="s">
        <v>891</v>
      </c>
      <c r="H1342" s="78" t="n">
        <v>706104.769622343</v>
      </c>
      <c r="I1342" s="76" t="s">
        <v>2134</v>
      </c>
      <c r="J1342" s="78" t="n">
        <v>706104.769622343</v>
      </c>
      <c r="K1342" s="76" t="s">
        <v>2134</v>
      </c>
      <c r="L1342" s="77" t="s">
        <v>1114</v>
      </c>
    </row>
    <row r="1343" customFormat="false" ht="15" hidden="false" customHeight="false" outlineLevel="0" collapsed="false">
      <c r="A1343" s="76" t="s">
        <v>2131</v>
      </c>
      <c r="B1343" s="76" t="s">
        <v>125</v>
      </c>
      <c r="C1343" s="76" t="s">
        <v>2117</v>
      </c>
      <c r="D1343" s="76" t="s">
        <v>1141</v>
      </c>
      <c r="E1343" s="76" t="s">
        <v>1142</v>
      </c>
      <c r="F1343" s="35" t="s">
        <v>2132</v>
      </c>
      <c r="G1343" s="76" t="s">
        <v>711</v>
      </c>
      <c r="H1343" s="78" t="n">
        <v>0.0316301703163018</v>
      </c>
      <c r="I1343" s="76" t="s">
        <v>2135</v>
      </c>
      <c r="J1343" s="78" t="n">
        <v>0.0316301703163018</v>
      </c>
      <c r="K1343" s="76" t="s">
        <v>2135</v>
      </c>
      <c r="L1343" s="77" t="s">
        <v>1114</v>
      </c>
    </row>
    <row r="1344" customFormat="false" ht="15" hidden="false" customHeight="false" outlineLevel="0" collapsed="false">
      <c r="A1344" s="76" t="s">
        <v>2131</v>
      </c>
      <c r="B1344" s="76" t="s">
        <v>125</v>
      </c>
      <c r="C1344" s="76" t="s">
        <v>2117</v>
      </c>
      <c r="D1344" s="76" t="s">
        <v>1141</v>
      </c>
      <c r="E1344" s="76" t="s">
        <v>1142</v>
      </c>
      <c r="F1344" s="35" t="s">
        <v>2132</v>
      </c>
      <c r="G1344" s="76" t="s">
        <v>894</v>
      </c>
      <c r="H1344" s="78" t="n">
        <v>583977.791390352</v>
      </c>
      <c r="I1344" s="76" t="s">
        <v>2133</v>
      </c>
      <c r="J1344" s="78" t="n">
        <v>583977.791390352</v>
      </c>
      <c r="K1344" s="76" t="s">
        <v>2133</v>
      </c>
      <c r="L1344" s="77" t="s">
        <v>1114</v>
      </c>
    </row>
    <row r="1345" customFormat="false" ht="15" hidden="false" customHeight="false" outlineLevel="0" collapsed="false">
      <c r="A1345" s="76" t="s">
        <v>2131</v>
      </c>
      <c r="B1345" s="76" t="s">
        <v>125</v>
      </c>
      <c r="C1345" s="76" t="s">
        <v>2117</v>
      </c>
      <c r="D1345" s="76" t="s">
        <v>1141</v>
      </c>
      <c r="E1345" s="76" t="s">
        <v>1142</v>
      </c>
      <c r="F1345" s="35" t="s">
        <v>2132</v>
      </c>
      <c r="G1345" s="76" t="s">
        <v>899</v>
      </c>
      <c r="H1345" s="78" t="n">
        <v>0.0316301703163018</v>
      </c>
      <c r="I1345" s="76" t="s">
        <v>2136</v>
      </c>
      <c r="J1345" s="78" t="n">
        <v>0.0316301703163018</v>
      </c>
      <c r="K1345" s="76" t="s">
        <v>2136</v>
      </c>
      <c r="L1345" s="77" t="s">
        <v>1114</v>
      </c>
    </row>
    <row r="1346" customFormat="false" ht="15" hidden="false" customHeight="false" outlineLevel="0" collapsed="false">
      <c r="A1346" s="76" t="s">
        <v>2137</v>
      </c>
      <c r="B1346" s="76" t="s">
        <v>125</v>
      </c>
      <c r="C1346" s="76" t="s">
        <v>2117</v>
      </c>
      <c r="D1346" s="76" t="s">
        <v>1151</v>
      </c>
      <c r="E1346" s="76" t="s">
        <v>1152</v>
      </c>
      <c r="F1346" s="35" t="s">
        <v>2138</v>
      </c>
      <c r="G1346" s="76" t="s">
        <v>419</v>
      </c>
      <c r="H1346" s="76"/>
      <c r="I1346" s="76" t="s">
        <v>707</v>
      </c>
      <c r="J1346" s="76"/>
      <c r="K1346" s="76" t="s">
        <v>707</v>
      </c>
      <c r="L1346" s="77" t="s">
        <v>1114</v>
      </c>
    </row>
    <row r="1347" customFormat="false" ht="15" hidden="false" customHeight="false" outlineLevel="0" collapsed="false">
      <c r="A1347" s="76" t="s">
        <v>2137</v>
      </c>
      <c r="B1347" s="76" t="s">
        <v>125</v>
      </c>
      <c r="C1347" s="76" t="s">
        <v>2117</v>
      </c>
      <c r="D1347" s="76" t="s">
        <v>1151</v>
      </c>
      <c r="E1347" s="76" t="s">
        <v>1152</v>
      </c>
      <c r="F1347" s="35" t="s">
        <v>2138</v>
      </c>
      <c r="G1347" s="76" t="s">
        <v>422</v>
      </c>
      <c r="H1347" s="76" t="n">
        <v>20000</v>
      </c>
      <c r="I1347" s="76" t="s">
        <v>1166</v>
      </c>
      <c r="J1347" s="76" t="n">
        <v>20000</v>
      </c>
      <c r="K1347" s="76" t="s">
        <v>1166</v>
      </c>
      <c r="L1347" s="77" t="s">
        <v>1114</v>
      </c>
    </row>
    <row r="1348" customFormat="false" ht="15" hidden="false" customHeight="false" outlineLevel="0" collapsed="false">
      <c r="A1348" s="76" t="s">
        <v>2137</v>
      </c>
      <c r="B1348" s="76" t="s">
        <v>125</v>
      </c>
      <c r="C1348" s="76" t="s">
        <v>2117</v>
      </c>
      <c r="D1348" s="76" t="s">
        <v>1151</v>
      </c>
      <c r="E1348" s="76" t="s">
        <v>1152</v>
      </c>
      <c r="F1348" s="35" t="s">
        <v>2138</v>
      </c>
      <c r="G1348" s="76" t="s">
        <v>891</v>
      </c>
      <c r="H1348" s="78" t="n">
        <v>26917.3667664826</v>
      </c>
      <c r="I1348" s="76" t="s">
        <v>2139</v>
      </c>
      <c r="J1348" s="78" t="n">
        <v>26917.3667664826</v>
      </c>
      <c r="K1348" s="76" t="s">
        <v>2139</v>
      </c>
      <c r="L1348" s="77" t="s">
        <v>1114</v>
      </c>
    </row>
    <row r="1349" customFormat="false" ht="15" hidden="false" customHeight="false" outlineLevel="0" collapsed="false">
      <c r="A1349" s="76" t="s">
        <v>2137</v>
      </c>
      <c r="B1349" s="76" t="s">
        <v>125</v>
      </c>
      <c r="C1349" s="76" t="s">
        <v>2117</v>
      </c>
      <c r="D1349" s="76" t="s">
        <v>1151</v>
      </c>
      <c r="E1349" s="76" t="s">
        <v>1152</v>
      </c>
      <c r="F1349" s="35" t="s">
        <v>2138</v>
      </c>
      <c r="G1349" s="76" t="s">
        <v>711</v>
      </c>
      <c r="H1349" s="76" t="n">
        <v>0</v>
      </c>
      <c r="I1349" s="76" t="s">
        <v>2140</v>
      </c>
      <c r="J1349" s="76" t="n">
        <v>0</v>
      </c>
      <c r="K1349" s="76" t="s">
        <v>2140</v>
      </c>
      <c r="L1349" s="77" t="s">
        <v>1114</v>
      </c>
    </row>
    <row r="1350" customFormat="false" ht="15" hidden="false" customHeight="false" outlineLevel="0" collapsed="false">
      <c r="A1350" s="76" t="s">
        <v>2137</v>
      </c>
      <c r="B1350" s="76" t="s">
        <v>125</v>
      </c>
      <c r="C1350" s="76" t="s">
        <v>2117</v>
      </c>
      <c r="D1350" s="76" t="s">
        <v>1151</v>
      </c>
      <c r="E1350" s="76" t="s">
        <v>1152</v>
      </c>
      <c r="F1350" s="35" t="s">
        <v>2138</v>
      </c>
      <c r="G1350" s="76" t="s">
        <v>894</v>
      </c>
      <c r="H1350" s="76" t="n">
        <v>20000</v>
      </c>
      <c r="I1350" s="76" t="s">
        <v>1166</v>
      </c>
      <c r="J1350" s="76" t="n">
        <v>20000</v>
      </c>
      <c r="K1350" s="76" t="s">
        <v>1166</v>
      </c>
      <c r="L1350" s="77" t="s">
        <v>1114</v>
      </c>
    </row>
    <row r="1351" customFormat="false" ht="15" hidden="false" customHeight="false" outlineLevel="0" collapsed="false">
      <c r="A1351" s="76" t="s">
        <v>2137</v>
      </c>
      <c r="B1351" s="76" t="s">
        <v>125</v>
      </c>
      <c r="C1351" s="76" t="s">
        <v>2117</v>
      </c>
      <c r="D1351" s="76" t="s">
        <v>1151</v>
      </c>
      <c r="E1351" s="76" t="s">
        <v>1152</v>
      </c>
      <c r="F1351" s="35" t="s">
        <v>2138</v>
      </c>
      <c r="G1351" s="76" t="s">
        <v>899</v>
      </c>
      <c r="H1351" s="76" t="n">
        <v>0</v>
      </c>
      <c r="I1351" s="76" t="s">
        <v>2037</v>
      </c>
      <c r="J1351" s="76" t="n">
        <v>0</v>
      </c>
      <c r="K1351" s="76" t="s">
        <v>2037</v>
      </c>
      <c r="L1351" s="77" t="s">
        <v>1114</v>
      </c>
    </row>
    <row r="1352" customFormat="false" ht="15" hidden="false" customHeight="false" outlineLevel="0" collapsed="false">
      <c r="A1352" s="76" t="s">
        <v>2141</v>
      </c>
      <c r="B1352" s="76" t="s">
        <v>125</v>
      </c>
      <c r="C1352" s="76" t="s">
        <v>2117</v>
      </c>
      <c r="D1352" s="76" t="s">
        <v>1161</v>
      </c>
      <c r="E1352" s="76" t="s">
        <v>1162</v>
      </c>
      <c r="F1352" s="35" t="s">
        <v>2142</v>
      </c>
      <c r="G1352" s="76" t="s">
        <v>419</v>
      </c>
      <c r="H1352" s="76"/>
      <c r="I1352" s="76" t="s">
        <v>707</v>
      </c>
      <c r="J1352" s="76"/>
      <c r="K1352" s="76" t="s">
        <v>707</v>
      </c>
      <c r="L1352" s="77" t="s">
        <v>1114</v>
      </c>
    </row>
    <row r="1353" customFormat="false" ht="15" hidden="false" customHeight="false" outlineLevel="0" collapsed="false">
      <c r="A1353" s="76" t="s">
        <v>2141</v>
      </c>
      <c r="B1353" s="76" t="s">
        <v>125</v>
      </c>
      <c r="C1353" s="76" t="s">
        <v>2117</v>
      </c>
      <c r="D1353" s="76" t="s">
        <v>1161</v>
      </c>
      <c r="E1353" s="76" t="s">
        <v>1162</v>
      </c>
      <c r="F1353" s="35" t="s">
        <v>2142</v>
      </c>
      <c r="G1353" s="76" t="s">
        <v>422</v>
      </c>
      <c r="H1353" s="78" t="n">
        <v>11937.8123724961</v>
      </c>
      <c r="I1353" s="76" t="s">
        <v>2143</v>
      </c>
      <c r="J1353" s="78" t="n">
        <v>11937.8123724961</v>
      </c>
      <c r="K1353" s="76" t="s">
        <v>2143</v>
      </c>
      <c r="L1353" s="77" t="s">
        <v>1114</v>
      </c>
    </row>
    <row r="1354" customFormat="false" ht="15" hidden="false" customHeight="false" outlineLevel="0" collapsed="false">
      <c r="A1354" s="76" t="s">
        <v>2141</v>
      </c>
      <c r="B1354" s="76" t="s">
        <v>125</v>
      </c>
      <c r="C1354" s="76" t="s">
        <v>2117</v>
      </c>
      <c r="D1354" s="76" t="s">
        <v>1161</v>
      </c>
      <c r="E1354" s="76" t="s">
        <v>1162</v>
      </c>
      <c r="F1354" s="35" t="s">
        <v>2142</v>
      </c>
      <c r="G1354" s="76" t="s">
        <v>891</v>
      </c>
      <c r="H1354" s="76" t="n">
        <v>20000</v>
      </c>
      <c r="I1354" s="76" t="s">
        <v>1166</v>
      </c>
      <c r="J1354" s="76" t="n">
        <v>20000</v>
      </c>
      <c r="K1354" s="76" t="s">
        <v>1166</v>
      </c>
      <c r="L1354" s="77" t="s">
        <v>1114</v>
      </c>
    </row>
    <row r="1355" customFormat="false" ht="15" hidden="false" customHeight="false" outlineLevel="0" collapsed="false">
      <c r="A1355" s="76" t="s">
        <v>2141</v>
      </c>
      <c r="B1355" s="76" t="s">
        <v>125</v>
      </c>
      <c r="C1355" s="76" t="s">
        <v>2117</v>
      </c>
      <c r="D1355" s="76" t="s">
        <v>1161</v>
      </c>
      <c r="E1355" s="76" t="s">
        <v>1162</v>
      </c>
      <c r="F1355" s="35" t="s">
        <v>2142</v>
      </c>
      <c r="G1355" s="76" t="s">
        <v>711</v>
      </c>
      <c r="H1355" s="78" t="n">
        <v>-0.0338164251207729</v>
      </c>
      <c r="I1355" s="76" t="s">
        <v>2144</v>
      </c>
      <c r="J1355" s="78" t="n">
        <v>-0.0338164251207729</v>
      </c>
      <c r="K1355" s="76" t="s">
        <v>2144</v>
      </c>
      <c r="L1355" s="77" t="s">
        <v>1114</v>
      </c>
    </row>
    <row r="1356" customFormat="false" ht="15" hidden="false" customHeight="false" outlineLevel="0" collapsed="false">
      <c r="A1356" s="76" t="s">
        <v>2141</v>
      </c>
      <c r="B1356" s="76" t="s">
        <v>125</v>
      </c>
      <c r="C1356" s="76" t="s">
        <v>2117</v>
      </c>
      <c r="D1356" s="76" t="s">
        <v>1161</v>
      </c>
      <c r="E1356" s="76" t="s">
        <v>1162</v>
      </c>
      <c r="F1356" s="35" t="s">
        <v>2142</v>
      </c>
      <c r="G1356" s="76" t="s">
        <v>894</v>
      </c>
      <c r="H1356" s="78" t="n">
        <v>11937.8123724961</v>
      </c>
      <c r="I1356" s="76" t="s">
        <v>2143</v>
      </c>
      <c r="J1356" s="78" t="n">
        <v>11937.8123724961</v>
      </c>
      <c r="K1356" s="76" t="s">
        <v>2143</v>
      </c>
      <c r="L1356" s="77" t="s">
        <v>1114</v>
      </c>
    </row>
    <row r="1357" customFormat="false" ht="15" hidden="false" customHeight="false" outlineLevel="0" collapsed="false">
      <c r="A1357" s="76" t="s">
        <v>2141</v>
      </c>
      <c r="B1357" s="76" t="s">
        <v>125</v>
      </c>
      <c r="C1357" s="76" t="s">
        <v>2117</v>
      </c>
      <c r="D1357" s="76" t="s">
        <v>1161</v>
      </c>
      <c r="E1357" s="76" t="s">
        <v>1162</v>
      </c>
      <c r="F1357" s="35" t="s">
        <v>2142</v>
      </c>
      <c r="G1357" s="76" t="s">
        <v>899</v>
      </c>
      <c r="H1357" s="78" t="n">
        <v>-0.0338164251207729</v>
      </c>
      <c r="I1357" s="76" t="s">
        <v>2145</v>
      </c>
      <c r="J1357" s="78" t="n">
        <v>-0.0338164251207729</v>
      </c>
      <c r="K1357" s="76" t="s">
        <v>2145</v>
      </c>
      <c r="L1357" s="77" t="s">
        <v>1114</v>
      </c>
    </row>
    <row r="1358" customFormat="false" ht="15" hidden="false" customHeight="false" outlineLevel="0" collapsed="false">
      <c r="A1358" s="76" t="s">
        <v>2146</v>
      </c>
      <c r="B1358" s="76" t="s">
        <v>125</v>
      </c>
      <c r="C1358" s="76" t="s">
        <v>2117</v>
      </c>
      <c r="D1358" s="76" t="s">
        <v>1170</v>
      </c>
      <c r="E1358" s="76" t="s">
        <v>1171</v>
      </c>
      <c r="F1358" s="35" t="s">
        <v>2147</v>
      </c>
      <c r="G1358" s="76" t="s">
        <v>419</v>
      </c>
      <c r="H1358" s="76"/>
      <c r="I1358" s="76" t="s">
        <v>891</v>
      </c>
      <c r="J1358" s="76"/>
      <c r="K1358" s="76" t="s">
        <v>891</v>
      </c>
      <c r="L1358" s="77" t="s">
        <v>1114</v>
      </c>
    </row>
    <row r="1359" customFormat="false" ht="15" hidden="false" customHeight="false" outlineLevel="0" collapsed="false">
      <c r="A1359" s="76" t="s">
        <v>2146</v>
      </c>
      <c r="B1359" s="76" t="s">
        <v>125</v>
      </c>
      <c r="C1359" s="76" t="s">
        <v>2117</v>
      </c>
      <c r="D1359" s="76" t="s">
        <v>1170</v>
      </c>
      <c r="E1359" s="76" t="s">
        <v>1171</v>
      </c>
      <c r="F1359" s="35" t="s">
        <v>2147</v>
      </c>
      <c r="G1359" s="76" t="s">
        <v>422</v>
      </c>
      <c r="H1359" s="78" t="n">
        <v>201437.778797648</v>
      </c>
      <c r="I1359" s="76" t="s">
        <v>2148</v>
      </c>
      <c r="J1359" s="78" t="n">
        <v>201437.778797648</v>
      </c>
      <c r="K1359" s="76" t="s">
        <v>2148</v>
      </c>
      <c r="L1359" s="77" t="s">
        <v>1114</v>
      </c>
    </row>
    <row r="1360" customFormat="false" ht="15" hidden="false" customHeight="false" outlineLevel="0" collapsed="false">
      <c r="A1360" s="76" t="s">
        <v>2146</v>
      </c>
      <c r="B1360" s="76" t="s">
        <v>125</v>
      </c>
      <c r="C1360" s="76" t="s">
        <v>2117</v>
      </c>
      <c r="D1360" s="76" t="s">
        <v>1170</v>
      </c>
      <c r="E1360" s="76" t="s">
        <v>1171</v>
      </c>
      <c r="F1360" s="35" t="s">
        <v>2147</v>
      </c>
      <c r="G1360" s="76" t="s">
        <v>891</v>
      </c>
      <c r="H1360" s="78" t="n">
        <v>201437.778797648</v>
      </c>
      <c r="I1360" s="76" t="s">
        <v>2148</v>
      </c>
      <c r="J1360" s="78" t="n">
        <v>201437.778797648</v>
      </c>
      <c r="K1360" s="76" t="s">
        <v>2148</v>
      </c>
      <c r="L1360" s="77" t="s">
        <v>1114</v>
      </c>
    </row>
    <row r="1361" customFormat="false" ht="15" hidden="false" customHeight="false" outlineLevel="0" collapsed="false">
      <c r="A1361" s="76" t="s">
        <v>2146</v>
      </c>
      <c r="B1361" s="76" t="s">
        <v>125</v>
      </c>
      <c r="C1361" s="76" t="s">
        <v>2117</v>
      </c>
      <c r="D1361" s="76" t="s">
        <v>1170</v>
      </c>
      <c r="E1361" s="76" t="s">
        <v>1171</v>
      </c>
      <c r="F1361" s="35" t="s">
        <v>2147</v>
      </c>
      <c r="G1361" s="76" t="s">
        <v>711</v>
      </c>
      <c r="H1361" s="76"/>
      <c r="I1361" s="76"/>
      <c r="J1361" s="76"/>
      <c r="K1361" s="76"/>
      <c r="L1361" s="77" t="s">
        <v>1114</v>
      </c>
    </row>
    <row r="1362" customFormat="false" ht="15" hidden="false" customHeight="false" outlineLevel="0" collapsed="false">
      <c r="A1362" s="76" t="s">
        <v>2146</v>
      </c>
      <c r="B1362" s="76" t="s">
        <v>125</v>
      </c>
      <c r="C1362" s="76" t="s">
        <v>2117</v>
      </c>
      <c r="D1362" s="76" t="s">
        <v>1170</v>
      </c>
      <c r="E1362" s="76" t="s">
        <v>1171</v>
      </c>
      <c r="F1362" s="35" t="s">
        <v>2147</v>
      </c>
      <c r="G1362" s="76" t="s">
        <v>894</v>
      </c>
      <c r="H1362" s="76"/>
      <c r="I1362" s="76"/>
      <c r="J1362" s="76"/>
      <c r="K1362" s="76"/>
      <c r="L1362" s="77" t="s">
        <v>1114</v>
      </c>
    </row>
    <row r="1363" customFormat="false" ht="15" hidden="false" customHeight="false" outlineLevel="0" collapsed="false">
      <c r="A1363" s="76" t="s">
        <v>2146</v>
      </c>
      <c r="B1363" s="76" t="s">
        <v>125</v>
      </c>
      <c r="C1363" s="76" t="s">
        <v>2117</v>
      </c>
      <c r="D1363" s="76" t="s">
        <v>1170</v>
      </c>
      <c r="E1363" s="76" t="s">
        <v>1171</v>
      </c>
      <c r="F1363" s="35" t="s">
        <v>2147</v>
      </c>
      <c r="G1363" s="76" t="s">
        <v>899</v>
      </c>
      <c r="H1363" s="76"/>
      <c r="I1363" s="76"/>
      <c r="J1363" s="76"/>
      <c r="K1363" s="76"/>
      <c r="L1363" s="77" t="s">
        <v>1114</v>
      </c>
    </row>
    <row r="1364" customFormat="false" ht="15" hidden="false" customHeight="false" outlineLevel="0" collapsed="false">
      <c r="A1364" s="76" t="s">
        <v>2149</v>
      </c>
      <c r="B1364" s="76" t="s">
        <v>125</v>
      </c>
      <c r="C1364" s="76" t="s">
        <v>2117</v>
      </c>
      <c r="D1364" s="76" t="s">
        <v>1180</v>
      </c>
      <c r="E1364" s="76" t="s">
        <v>1152</v>
      </c>
      <c r="F1364" s="35" t="s">
        <v>2150</v>
      </c>
      <c r="G1364" s="76" t="s">
        <v>419</v>
      </c>
      <c r="H1364" s="76"/>
      <c r="I1364" s="76" t="s">
        <v>707</v>
      </c>
      <c r="J1364" s="76"/>
      <c r="K1364" s="76" t="s">
        <v>707</v>
      </c>
      <c r="L1364" s="77" t="s">
        <v>1114</v>
      </c>
    </row>
    <row r="1365" customFormat="false" ht="15" hidden="false" customHeight="false" outlineLevel="0" collapsed="false">
      <c r="A1365" s="76" t="s">
        <v>2149</v>
      </c>
      <c r="B1365" s="76" t="s">
        <v>125</v>
      </c>
      <c r="C1365" s="76" t="s">
        <v>2117</v>
      </c>
      <c r="D1365" s="76" t="s">
        <v>1180</v>
      </c>
      <c r="E1365" s="76" t="s">
        <v>1152</v>
      </c>
      <c r="F1365" s="35" t="s">
        <v>2150</v>
      </c>
      <c r="G1365" s="76" t="s">
        <v>422</v>
      </c>
      <c r="H1365" s="78" t="n">
        <v>238483.728557265</v>
      </c>
      <c r="I1365" s="76" t="s">
        <v>2151</v>
      </c>
      <c r="J1365" s="78" t="n">
        <v>238483.728557265</v>
      </c>
      <c r="K1365" s="76" t="s">
        <v>2151</v>
      </c>
      <c r="L1365" s="77" t="s">
        <v>1114</v>
      </c>
    </row>
    <row r="1366" customFormat="false" ht="15" hidden="false" customHeight="false" outlineLevel="0" collapsed="false">
      <c r="A1366" s="76" t="s">
        <v>2149</v>
      </c>
      <c r="B1366" s="76" t="s">
        <v>125</v>
      </c>
      <c r="C1366" s="76" t="s">
        <v>2117</v>
      </c>
      <c r="D1366" s="76" t="s">
        <v>1180</v>
      </c>
      <c r="E1366" s="76" t="s">
        <v>1152</v>
      </c>
      <c r="F1366" s="35" t="s">
        <v>2150</v>
      </c>
      <c r="G1366" s="76" t="s">
        <v>891</v>
      </c>
      <c r="H1366" s="78" t="n">
        <v>314674.215167362</v>
      </c>
      <c r="I1366" s="76" t="s">
        <v>2152</v>
      </c>
      <c r="J1366" s="78" t="n">
        <v>314674.215167362</v>
      </c>
      <c r="K1366" s="76" t="s">
        <v>2152</v>
      </c>
      <c r="L1366" s="77" t="s">
        <v>1114</v>
      </c>
    </row>
    <row r="1367" customFormat="false" ht="15" hidden="false" customHeight="false" outlineLevel="0" collapsed="false">
      <c r="A1367" s="76" t="s">
        <v>2149</v>
      </c>
      <c r="B1367" s="76" t="s">
        <v>125</v>
      </c>
      <c r="C1367" s="76" t="s">
        <v>2117</v>
      </c>
      <c r="D1367" s="76" t="s">
        <v>1180</v>
      </c>
      <c r="E1367" s="76" t="s">
        <v>1152</v>
      </c>
      <c r="F1367" s="35" t="s">
        <v>2150</v>
      </c>
      <c r="G1367" s="76" t="s">
        <v>711</v>
      </c>
      <c r="H1367" s="78" t="n">
        <v>0.0147058823529411</v>
      </c>
      <c r="I1367" s="76" t="s">
        <v>2153</v>
      </c>
      <c r="J1367" s="78" t="n">
        <v>0.0147058823529411</v>
      </c>
      <c r="K1367" s="76" t="s">
        <v>2153</v>
      </c>
      <c r="L1367" s="77" t="s">
        <v>1114</v>
      </c>
    </row>
    <row r="1368" customFormat="false" ht="15" hidden="false" customHeight="false" outlineLevel="0" collapsed="false">
      <c r="A1368" s="76" t="s">
        <v>2149</v>
      </c>
      <c r="B1368" s="76" t="s">
        <v>125</v>
      </c>
      <c r="C1368" s="76" t="s">
        <v>2117</v>
      </c>
      <c r="D1368" s="76" t="s">
        <v>1180</v>
      </c>
      <c r="E1368" s="76" t="s">
        <v>1152</v>
      </c>
      <c r="F1368" s="35" t="s">
        <v>2150</v>
      </c>
      <c r="G1368" s="76" t="s">
        <v>894</v>
      </c>
      <c r="H1368" s="78" t="n">
        <v>238483.728557265</v>
      </c>
      <c r="I1368" s="76" t="s">
        <v>2151</v>
      </c>
      <c r="J1368" s="78" t="n">
        <v>238483.728557265</v>
      </c>
      <c r="K1368" s="76" t="s">
        <v>2151</v>
      </c>
      <c r="L1368" s="77" t="s">
        <v>1114</v>
      </c>
    </row>
    <row r="1369" customFormat="false" ht="15" hidden="false" customHeight="false" outlineLevel="0" collapsed="false">
      <c r="A1369" s="76" t="s">
        <v>2149</v>
      </c>
      <c r="B1369" s="76" t="s">
        <v>125</v>
      </c>
      <c r="C1369" s="76" t="s">
        <v>2117</v>
      </c>
      <c r="D1369" s="76" t="s">
        <v>1180</v>
      </c>
      <c r="E1369" s="76" t="s">
        <v>1152</v>
      </c>
      <c r="F1369" s="35" t="s">
        <v>2150</v>
      </c>
      <c r="G1369" s="76" t="s">
        <v>899</v>
      </c>
      <c r="H1369" s="78" t="n">
        <v>0.0147058823529411</v>
      </c>
      <c r="I1369" s="76" t="s">
        <v>2154</v>
      </c>
      <c r="J1369" s="78" t="n">
        <v>0.0147058823529411</v>
      </c>
      <c r="K1369" s="76" t="s">
        <v>2154</v>
      </c>
      <c r="L1369" s="77" t="s">
        <v>1114</v>
      </c>
    </row>
    <row r="1370" customFormat="false" ht="15" hidden="false" customHeight="false" outlineLevel="0" collapsed="false">
      <c r="A1370" s="76" t="s">
        <v>2155</v>
      </c>
      <c r="B1370" s="76" t="s">
        <v>125</v>
      </c>
      <c r="C1370" s="76" t="s">
        <v>2117</v>
      </c>
      <c r="D1370" s="76" t="s">
        <v>1189</v>
      </c>
      <c r="E1370" s="76" t="s">
        <v>1125</v>
      </c>
      <c r="F1370" s="35" t="s">
        <v>2156</v>
      </c>
      <c r="G1370" s="76" t="s">
        <v>419</v>
      </c>
      <c r="H1370" s="76"/>
      <c r="I1370" s="76" t="s">
        <v>891</v>
      </c>
      <c r="J1370" s="76"/>
      <c r="K1370" s="76" t="s">
        <v>891</v>
      </c>
      <c r="L1370" s="77" t="s">
        <v>1114</v>
      </c>
    </row>
    <row r="1371" customFormat="false" ht="15" hidden="false" customHeight="false" outlineLevel="0" collapsed="false">
      <c r="A1371" s="76" t="s">
        <v>2155</v>
      </c>
      <c r="B1371" s="76" t="s">
        <v>125</v>
      </c>
      <c r="C1371" s="76" t="s">
        <v>2117</v>
      </c>
      <c r="D1371" s="76" t="s">
        <v>1189</v>
      </c>
      <c r="E1371" s="76" t="s">
        <v>1125</v>
      </c>
      <c r="F1371" s="35" t="s">
        <v>2156</v>
      </c>
      <c r="G1371" s="76" t="s">
        <v>422</v>
      </c>
      <c r="H1371" s="78" t="n">
        <v>925052.42693655</v>
      </c>
      <c r="I1371" s="76" t="s">
        <v>2157</v>
      </c>
      <c r="J1371" s="78" t="n">
        <v>925052.42693655</v>
      </c>
      <c r="K1371" s="76" t="s">
        <v>2157</v>
      </c>
      <c r="L1371" s="77" t="s">
        <v>1114</v>
      </c>
    </row>
    <row r="1372" customFormat="false" ht="15" hidden="false" customHeight="false" outlineLevel="0" collapsed="false">
      <c r="A1372" s="76" t="s">
        <v>2155</v>
      </c>
      <c r="B1372" s="76" t="s">
        <v>125</v>
      </c>
      <c r="C1372" s="76" t="s">
        <v>2117</v>
      </c>
      <c r="D1372" s="76" t="s">
        <v>1189</v>
      </c>
      <c r="E1372" s="76" t="s">
        <v>1125</v>
      </c>
      <c r="F1372" s="35" t="s">
        <v>2156</v>
      </c>
      <c r="G1372" s="76" t="s">
        <v>891</v>
      </c>
      <c r="H1372" s="78" t="n">
        <v>925052.42693655</v>
      </c>
      <c r="I1372" s="76" t="s">
        <v>2157</v>
      </c>
      <c r="J1372" s="78" t="n">
        <v>925052.42693655</v>
      </c>
      <c r="K1372" s="76" t="s">
        <v>2157</v>
      </c>
      <c r="L1372" s="77" t="s">
        <v>1114</v>
      </c>
    </row>
    <row r="1373" customFormat="false" ht="15" hidden="false" customHeight="false" outlineLevel="0" collapsed="false">
      <c r="A1373" s="76" t="s">
        <v>2155</v>
      </c>
      <c r="B1373" s="76" t="s">
        <v>125</v>
      </c>
      <c r="C1373" s="76" t="s">
        <v>2117</v>
      </c>
      <c r="D1373" s="76" t="s">
        <v>1189</v>
      </c>
      <c r="E1373" s="76" t="s">
        <v>1125</v>
      </c>
      <c r="F1373" s="35" t="s">
        <v>2156</v>
      </c>
      <c r="G1373" s="76" t="s">
        <v>711</v>
      </c>
      <c r="H1373" s="76"/>
      <c r="I1373" s="76"/>
      <c r="J1373" s="76"/>
      <c r="K1373" s="76"/>
      <c r="L1373" s="77" t="s">
        <v>1114</v>
      </c>
    </row>
    <row r="1374" customFormat="false" ht="15" hidden="false" customHeight="false" outlineLevel="0" collapsed="false">
      <c r="A1374" s="76" t="s">
        <v>2155</v>
      </c>
      <c r="B1374" s="76" t="s">
        <v>125</v>
      </c>
      <c r="C1374" s="76" t="s">
        <v>2117</v>
      </c>
      <c r="D1374" s="76" t="s">
        <v>1189</v>
      </c>
      <c r="E1374" s="76" t="s">
        <v>1125</v>
      </c>
      <c r="F1374" s="35" t="s">
        <v>2156</v>
      </c>
      <c r="G1374" s="76" t="s">
        <v>894</v>
      </c>
      <c r="H1374" s="76"/>
      <c r="I1374" s="76"/>
      <c r="J1374" s="76"/>
      <c r="K1374" s="76"/>
      <c r="L1374" s="77" t="s">
        <v>1114</v>
      </c>
    </row>
    <row r="1375" customFormat="false" ht="15" hidden="false" customHeight="false" outlineLevel="0" collapsed="false">
      <c r="A1375" s="76" t="s">
        <v>2155</v>
      </c>
      <c r="B1375" s="76" t="s">
        <v>125</v>
      </c>
      <c r="C1375" s="76" t="s">
        <v>2117</v>
      </c>
      <c r="D1375" s="76" t="s">
        <v>1189</v>
      </c>
      <c r="E1375" s="76" t="s">
        <v>1125</v>
      </c>
      <c r="F1375" s="35" t="s">
        <v>2156</v>
      </c>
      <c r="G1375" s="76" t="s">
        <v>899</v>
      </c>
      <c r="H1375" s="76"/>
      <c r="I1375" s="76"/>
      <c r="J1375" s="76"/>
      <c r="K1375" s="76"/>
      <c r="L1375" s="77" t="s">
        <v>1114</v>
      </c>
    </row>
    <row r="1376" customFormat="false" ht="15" hidden="false" customHeight="false" outlineLevel="0" collapsed="false">
      <c r="A1376" s="76" t="s">
        <v>2158</v>
      </c>
      <c r="B1376" s="76" t="s">
        <v>125</v>
      </c>
      <c r="C1376" s="76" t="s">
        <v>2117</v>
      </c>
      <c r="D1376" s="76" t="s">
        <v>1198</v>
      </c>
      <c r="E1376" s="76" t="s">
        <v>1162</v>
      </c>
      <c r="F1376" s="35" t="s">
        <v>2159</v>
      </c>
      <c r="G1376" s="76" t="s">
        <v>419</v>
      </c>
      <c r="H1376" s="76"/>
      <c r="I1376" s="76" t="s">
        <v>707</v>
      </c>
      <c r="J1376" s="76"/>
      <c r="K1376" s="76" t="s">
        <v>707</v>
      </c>
      <c r="L1376" s="77" t="s">
        <v>1114</v>
      </c>
    </row>
    <row r="1377" customFormat="false" ht="15" hidden="false" customHeight="false" outlineLevel="0" collapsed="false">
      <c r="A1377" s="76" t="s">
        <v>2158</v>
      </c>
      <c r="B1377" s="76" t="s">
        <v>125</v>
      </c>
      <c r="C1377" s="76" t="s">
        <v>2117</v>
      </c>
      <c r="D1377" s="76" t="s">
        <v>1198</v>
      </c>
      <c r="E1377" s="76" t="s">
        <v>1162</v>
      </c>
      <c r="F1377" s="35" t="s">
        <v>2159</v>
      </c>
      <c r="G1377" s="76" t="s">
        <v>422</v>
      </c>
      <c r="H1377" s="78" t="n">
        <v>895254.863590365</v>
      </c>
      <c r="I1377" s="76" t="s">
        <v>2160</v>
      </c>
      <c r="J1377" s="78" t="n">
        <v>895254.863590365</v>
      </c>
      <c r="K1377" s="76" t="s">
        <v>2160</v>
      </c>
      <c r="L1377" s="77" t="s">
        <v>1114</v>
      </c>
    </row>
    <row r="1378" customFormat="false" ht="15" hidden="false" customHeight="false" outlineLevel="0" collapsed="false">
      <c r="A1378" s="76" t="s">
        <v>2158</v>
      </c>
      <c r="B1378" s="76" t="s">
        <v>125</v>
      </c>
      <c r="C1378" s="76" t="s">
        <v>2117</v>
      </c>
      <c r="D1378" s="76" t="s">
        <v>1198</v>
      </c>
      <c r="E1378" s="76" t="s">
        <v>1162</v>
      </c>
      <c r="F1378" s="35" t="s">
        <v>2159</v>
      </c>
      <c r="G1378" s="76" t="s">
        <v>891</v>
      </c>
      <c r="H1378" s="78" t="n">
        <v>3308872.10585758</v>
      </c>
      <c r="I1378" s="76" t="s">
        <v>2161</v>
      </c>
      <c r="J1378" s="78" t="n">
        <v>3308872.10585758</v>
      </c>
      <c r="K1378" s="76" t="s">
        <v>2161</v>
      </c>
      <c r="L1378" s="77" t="s">
        <v>1114</v>
      </c>
    </row>
    <row r="1379" customFormat="false" ht="15" hidden="false" customHeight="false" outlineLevel="0" collapsed="false">
      <c r="A1379" s="76" t="s">
        <v>2158</v>
      </c>
      <c r="B1379" s="76" t="s">
        <v>125</v>
      </c>
      <c r="C1379" s="76" t="s">
        <v>2117</v>
      </c>
      <c r="D1379" s="76" t="s">
        <v>1198</v>
      </c>
      <c r="E1379" s="76" t="s">
        <v>1162</v>
      </c>
      <c r="F1379" s="35" t="s">
        <v>2159</v>
      </c>
      <c r="G1379" s="76" t="s">
        <v>711</v>
      </c>
      <c r="H1379" s="78" t="n">
        <v>0.0193236714975846</v>
      </c>
      <c r="I1379" s="76" t="s">
        <v>2162</v>
      </c>
      <c r="J1379" s="78" t="n">
        <v>0.0193236714975846</v>
      </c>
      <c r="K1379" s="76" t="s">
        <v>2162</v>
      </c>
      <c r="L1379" s="77" t="s">
        <v>1114</v>
      </c>
    </row>
    <row r="1380" customFormat="false" ht="15" hidden="false" customHeight="false" outlineLevel="0" collapsed="false">
      <c r="A1380" s="76" t="s">
        <v>2158</v>
      </c>
      <c r="B1380" s="76" t="s">
        <v>125</v>
      </c>
      <c r="C1380" s="76" t="s">
        <v>2117</v>
      </c>
      <c r="D1380" s="76" t="s">
        <v>1198</v>
      </c>
      <c r="E1380" s="76" t="s">
        <v>1162</v>
      </c>
      <c r="F1380" s="35" t="s">
        <v>2159</v>
      </c>
      <c r="G1380" s="76" t="s">
        <v>894</v>
      </c>
      <c r="H1380" s="78" t="n">
        <v>895254.863590365</v>
      </c>
      <c r="I1380" s="76" t="s">
        <v>2160</v>
      </c>
      <c r="J1380" s="78" t="n">
        <v>895254.863590365</v>
      </c>
      <c r="K1380" s="76" t="s">
        <v>2160</v>
      </c>
      <c r="L1380" s="77" t="s">
        <v>1114</v>
      </c>
    </row>
    <row r="1381" customFormat="false" ht="15" hidden="false" customHeight="false" outlineLevel="0" collapsed="false">
      <c r="A1381" s="76" t="s">
        <v>2158</v>
      </c>
      <c r="B1381" s="76" t="s">
        <v>125</v>
      </c>
      <c r="C1381" s="76" t="s">
        <v>2117</v>
      </c>
      <c r="D1381" s="76" t="s">
        <v>1198</v>
      </c>
      <c r="E1381" s="76" t="s">
        <v>1162</v>
      </c>
      <c r="F1381" s="35" t="s">
        <v>2159</v>
      </c>
      <c r="G1381" s="76" t="s">
        <v>899</v>
      </c>
      <c r="H1381" s="78" t="n">
        <v>0.0193236714975846</v>
      </c>
      <c r="I1381" s="76" t="s">
        <v>2163</v>
      </c>
      <c r="J1381" s="78" t="n">
        <v>0.0193236714975846</v>
      </c>
      <c r="K1381" s="76" t="s">
        <v>2163</v>
      </c>
      <c r="L1381" s="77" t="s">
        <v>1114</v>
      </c>
    </row>
    <row r="1382" customFormat="false" ht="15" hidden="false" customHeight="false" outlineLevel="0" collapsed="false">
      <c r="A1382" s="76" t="s">
        <v>2164</v>
      </c>
      <c r="B1382" s="76" t="s">
        <v>130</v>
      </c>
      <c r="C1382" s="76" t="s">
        <v>131</v>
      </c>
      <c r="D1382" s="76" t="s">
        <v>1111</v>
      </c>
      <c r="E1382" s="76" t="s">
        <v>1112</v>
      </c>
      <c r="F1382" s="35" t="s">
        <v>2165</v>
      </c>
      <c r="G1382" s="76" t="s">
        <v>419</v>
      </c>
      <c r="H1382" s="76"/>
      <c r="I1382" s="76" t="s">
        <v>1758</v>
      </c>
      <c r="J1382" s="76"/>
      <c r="K1382" s="76" t="s">
        <v>1758</v>
      </c>
      <c r="L1382" s="77" t="s">
        <v>1114</v>
      </c>
    </row>
    <row r="1383" customFormat="false" ht="15" hidden="false" customHeight="false" outlineLevel="0" collapsed="false">
      <c r="A1383" s="76" t="s">
        <v>2164</v>
      </c>
      <c r="B1383" s="76" t="s">
        <v>130</v>
      </c>
      <c r="C1383" s="76" t="s">
        <v>131</v>
      </c>
      <c r="D1383" s="76" t="s">
        <v>1111</v>
      </c>
      <c r="E1383" s="76" t="s">
        <v>1112</v>
      </c>
      <c r="F1383" s="35" t="s">
        <v>2165</v>
      </c>
      <c r="G1383" s="76" t="s">
        <v>422</v>
      </c>
      <c r="H1383" s="78" t="n">
        <v>73108.7854450597</v>
      </c>
      <c r="I1383" s="76" t="s">
        <v>2166</v>
      </c>
      <c r="J1383" s="78" t="n">
        <v>73108.7854450597</v>
      </c>
      <c r="K1383" s="76" t="s">
        <v>2166</v>
      </c>
      <c r="L1383" s="77" t="s">
        <v>1114</v>
      </c>
    </row>
    <row r="1384" customFormat="false" ht="15" hidden="false" customHeight="false" outlineLevel="0" collapsed="false">
      <c r="A1384" s="76" t="s">
        <v>2164</v>
      </c>
      <c r="B1384" s="76" t="s">
        <v>130</v>
      </c>
      <c r="C1384" s="76" t="s">
        <v>131</v>
      </c>
      <c r="D1384" s="76" t="s">
        <v>1111</v>
      </c>
      <c r="E1384" s="76" t="s">
        <v>1112</v>
      </c>
      <c r="F1384" s="35" t="s">
        <v>2165</v>
      </c>
      <c r="G1384" s="76" t="s">
        <v>714</v>
      </c>
      <c r="H1384" s="76"/>
      <c r="I1384" s="76"/>
      <c r="J1384" s="76"/>
      <c r="K1384" s="76"/>
      <c r="L1384" s="77" t="s">
        <v>1114</v>
      </c>
    </row>
    <row r="1385" customFormat="false" ht="15" hidden="false" customHeight="false" outlineLevel="0" collapsed="false">
      <c r="A1385" s="76" t="s">
        <v>2164</v>
      </c>
      <c r="B1385" s="76" t="s">
        <v>130</v>
      </c>
      <c r="C1385" s="76" t="s">
        <v>131</v>
      </c>
      <c r="D1385" s="76" t="s">
        <v>1111</v>
      </c>
      <c r="E1385" s="76" t="s">
        <v>1112</v>
      </c>
      <c r="F1385" s="35" t="s">
        <v>2165</v>
      </c>
      <c r="G1385" s="76" t="s">
        <v>716</v>
      </c>
      <c r="H1385" s="76"/>
      <c r="I1385" s="76"/>
      <c r="J1385" s="76"/>
      <c r="K1385" s="76"/>
      <c r="L1385" s="77" t="s">
        <v>1114</v>
      </c>
    </row>
    <row r="1386" customFormat="false" ht="15" hidden="false" customHeight="false" outlineLevel="0" collapsed="false">
      <c r="A1386" s="76" t="s">
        <v>2164</v>
      </c>
      <c r="B1386" s="76" t="s">
        <v>130</v>
      </c>
      <c r="C1386" s="76" t="s">
        <v>131</v>
      </c>
      <c r="D1386" s="76" t="s">
        <v>1111</v>
      </c>
      <c r="E1386" s="76" t="s">
        <v>1112</v>
      </c>
      <c r="F1386" s="35" t="s">
        <v>2165</v>
      </c>
      <c r="G1386" s="76" t="s">
        <v>916</v>
      </c>
      <c r="H1386" s="76"/>
      <c r="I1386" s="76" t="s">
        <v>2167</v>
      </c>
      <c r="J1386" s="78" t="n">
        <v>0.01</v>
      </c>
      <c r="K1386" s="76" t="s">
        <v>2167</v>
      </c>
      <c r="L1386" s="77" t="s">
        <v>1114</v>
      </c>
    </row>
    <row r="1387" customFormat="false" ht="15" hidden="false" customHeight="false" outlineLevel="0" collapsed="false">
      <c r="A1387" s="76" t="s">
        <v>2164</v>
      </c>
      <c r="B1387" s="76" t="s">
        <v>130</v>
      </c>
      <c r="C1387" s="76" t="s">
        <v>131</v>
      </c>
      <c r="D1387" s="76" t="s">
        <v>1111</v>
      </c>
      <c r="E1387" s="76" t="s">
        <v>1112</v>
      </c>
      <c r="F1387" s="35" t="s">
        <v>2165</v>
      </c>
      <c r="G1387" s="76" t="s">
        <v>917</v>
      </c>
      <c r="H1387" s="78" t="n">
        <v>6338.59293910017</v>
      </c>
      <c r="I1387" s="76" t="s">
        <v>2168</v>
      </c>
      <c r="J1387" s="78" t="n">
        <v>6338.59293910017</v>
      </c>
      <c r="K1387" s="76" t="s">
        <v>2168</v>
      </c>
      <c r="L1387" s="77" t="s">
        <v>1114</v>
      </c>
    </row>
    <row r="1388" customFormat="false" ht="15" hidden="false" customHeight="false" outlineLevel="0" collapsed="false">
      <c r="A1388" s="76" t="s">
        <v>2164</v>
      </c>
      <c r="B1388" s="76" t="s">
        <v>130</v>
      </c>
      <c r="C1388" s="76" t="s">
        <v>131</v>
      </c>
      <c r="D1388" s="76" t="s">
        <v>1111</v>
      </c>
      <c r="E1388" s="76" t="s">
        <v>1112</v>
      </c>
      <c r="F1388" s="35" t="s">
        <v>2165</v>
      </c>
      <c r="G1388" s="76" t="s">
        <v>675</v>
      </c>
      <c r="H1388" s="76" t="n">
        <v>54000</v>
      </c>
      <c r="I1388" s="76" t="s">
        <v>1184</v>
      </c>
      <c r="J1388" s="76" t="n">
        <v>54000</v>
      </c>
      <c r="K1388" s="76" t="s">
        <v>1184</v>
      </c>
      <c r="L1388" s="77" t="s">
        <v>1114</v>
      </c>
    </row>
    <row r="1389" customFormat="false" ht="15" hidden="false" customHeight="false" outlineLevel="0" collapsed="false">
      <c r="A1389" s="76" t="s">
        <v>2164</v>
      </c>
      <c r="B1389" s="76" t="s">
        <v>130</v>
      </c>
      <c r="C1389" s="76" t="s">
        <v>131</v>
      </c>
      <c r="D1389" s="76" t="s">
        <v>1111</v>
      </c>
      <c r="E1389" s="76" t="s">
        <v>1112</v>
      </c>
      <c r="F1389" s="35" t="s">
        <v>2165</v>
      </c>
      <c r="G1389" s="76" t="s">
        <v>907</v>
      </c>
      <c r="H1389" s="78" t="n">
        <v>79447.3783841599</v>
      </c>
      <c r="I1389" s="76" t="s">
        <v>2169</v>
      </c>
      <c r="J1389" s="78" t="n">
        <v>79447.3783841599</v>
      </c>
      <c r="K1389" s="76" t="s">
        <v>2169</v>
      </c>
      <c r="L1389" s="77" t="s">
        <v>1114</v>
      </c>
    </row>
    <row r="1390" customFormat="false" ht="15" hidden="false" customHeight="false" outlineLevel="0" collapsed="false">
      <c r="A1390" s="76" t="s">
        <v>2164</v>
      </c>
      <c r="B1390" s="76" t="s">
        <v>130</v>
      </c>
      <c r="C1390" s="76" t="s">
        <v>131</v>
      </c>
      <c r="D1390" s="76" t="s">
        <v>1111</v>
      </c>
      <c r="E1390" s="76" t="s">
        <v>1112</v>
      </c>
      <c r="F1390" s="35" t="s">
        <v>2165</v>
      </c>
      <c r="G1390" s="76" t="s">
        <v>720</v>
      </c>
      <c r="H1390" s="78" t="n">
        <v>6338.59293910017</v>
      </c>
      <c r="I1390" s="76" t="s">
        <v>2168</v>
      </c>
      <c r="J1390" s="78" t="n">
        <v>6338.59293910017</v>
      </c>
      <c r="K1390" s="76" t="s">
        <v>2168</v>
      </c>
      <c r="L1390" s="77" t="s">
        <v>1114</v>
      </c>
    </row>
    <row r="1391" customFormat="false" ht="15" hidden="false" customHeight="false" outlineLevel="0" collapsed="false">
      <c r="A1391" s="76" t="s">
        <v>2164</v>
      </c>
      <c r="B1391" s="76" t="s">
        <v>130</v>
      </c>
      <c r="C1391" s="76" t="s">
        <v>131</v>
      </c>
      <c r="D1391" s="76" t="s">
        <v>1111</v>
      </c>
      <c r="E1391" s="76" t="s">
        <v>1112</v>
      </c>
      <c r="F1391" s="35" t="s">
        <v>2165</v>
      </c>
      <c r="G1391" s="76" t="s">
        <v>682</v>
      </c>
      <c r="H1391" s="76"/>
      <c r="I1391" s="76"/>
      <c r="J1391" s="76"/>
      <c r="K1391" s="76"/>
      <c r="L1391" s="77" t="s">
        <v>1114</v>
      </c>
    </row>
    <row r="1392" customFormat="false" ht="15" hidden="false" customHeight="false" outlineLevel="0" collapsed="false">
      <c r="A1392" s="76" t="s">
        <v>2164</v>
      </c>
      <c r="B1392" s="76" t="s">
        <v>130</v>
      </c>
      <c r="C1392" s="76" t="s">
        <v>131</v>
      </c>
      <c r="D1392" s="76" t="s">
        <v>1111</v>
      </c>
      <c r="E1392" s="76" t="s">
        <v>1112</v>
      </c>
      <c r="F1392" s="35" t="s">
        <v>2165</v>
      </c>
      <c r="G1392" s="76" t="s">
        <v>685</v>
      </c>
      <c r="H1392" s="78" t="n">
        <v>73109</v>
      </c>
      <c r="I1392" s="76" t="s">
        <v>2170</v>
      </c>
      <c r="J1392" s="76" t="n">
        <v>73109</v>
      </c>
      <c r="K1392" s="76" t="s">
        <v>2170</v>
      </c>
      <c r="L1392" s="77" t="s">
        <v>1114</v>
      </c>
    </row>
    <row r="1393" customFormat="false" ht="15" hidden="false" customHeight="false" outlineLevel="0" collapsed="false">
      <c r="A1393" s="76" t="s">
        <v>2164</v>
      </c>
      <c r="B1393" s="76" t="s">
        <v>130</v>
      </c>
      <c r="C1393" s="76" t="s">
        <v>131</v>
      </c>
      <c r="D1393" s="76" t="s">
        <v>1111</v>
      </c>
      <c r="E1393" s="76" t="s">
        <v>1112</v>
      </c>
      <c r="F1393" s="35" t="s">
        <v>2165</v>
      </c>
      <c r="G1393" s="76" t="s">
        <v>434</v>
      </c>
      <c r="H1393" s="78" t="n">
        <v>15</v>
      </c>
      <c r="I1393" s="76" t="s">
        <v>1646</v>
      </c>
      <c r="J1393" s="76" t="n">
        <v>15</v>
      </c>
      <c r="K1393" s="76" t="s">
        <v>1646</v>
      </c>
      <c r="L1393" s="77" t="s">
        <v>1114</v>
      </c>
    </row>
    <row r="1394" customFormat="false" ht="15" hidden="false" customHeight="false" outlineLevel="0" collapsed="false">
      <c r="A1394" s="76" t="s">
        <v>2171</v>
      </c>
      <c r="B1394" s="76" t="s">
        <v>130</v>
      </c>
      <c r="C1394" s="76" t="s">
        <v>131</v>
      </c>
      <c r="D1394" s="76" t="s">
        <v>1124</v>
      </c>
      <c r="E1394" s="76" t="s">
        <v>1125</v>
      </c>
      <c r="F1394" s="35" t="s">
        <v>2172</v>
      </c>
      <c r="G1394" s="76" t="s">
        <v>419</v>
      </c>
      <c r="H1394" s="76"/>
      <c r="I1394" s="76" t="s">
        <v>1758</v>
      </c>
      <c r="J1394" s="76"/>
      <c r="K1394" s="76" t="s">
        <v>1758</v>
      </c>
      <c r="L1394" s="77" t="s">
        <v>1114</v>
      </c>
    </row>
    <row r="1395" customFormat="false" ht="15" hidden="false" customHeight="false" outlineLevel="0" collapsed="false">
      <c r="A1395" s="76" t="s">
        <v>2171</v>
      </c>
      <c r="B1395" s="76" t="s">
        <v>130</v>
      </c>
      <c r="C1395" s="76" t="s">
        <v>131</v>
      </c>
      <c r="D1395" s="76" t="s">
        <v>1124</v>
      </c>
      <c r="E1395" s="76" t="s">
        <v>1125</v>
      </c>
      <c r="F1395" s="35" t="s">
        <v>2172</v>
      </c>
      <c r="G1395" s="76" t="s">
        <v>422</v>
      </c>
      <c r="H1395" s="76" t="n">
        <v>300</v>
      </c>
      <c r="I1395" s="76" t="s">
        <v>1984</v>
      </c>
      <c r="J1395" s="76" t="n">
        <v>300</v>
      </c>
      <c r="K1395" s="76" t="s">
        <v>1984</v>
      </c>
      <c r="L1395" s="77" t="s">
        <v>1114</v>
      </c>
    </row>
    <row r="1396" customFormat="false" ht="15" hidden="false" customHeight="false" outlineLevel="0" collapsed="false">
      <c r="A1396" s="76" t="s">
        <v>2171</v>
      </c>
      <c r="B1396" s="76" t="s">
        <v>130</v>
      </c>
      <c r="C1396" s="76" t="s">
        <v>131</v>
      </c>
      <c r="D1396" s="76" t="s">
        <v>1124</v>
      </c>
      <c r="E1396" s="76" t="s">
        <v>1125</v>
      </c>
      <c r="F1396" s="35" t="s">
        <v>2172</v>
      </c>
      <c r="G1396" s="76" t="s">
        <v>714</v>
      </c>
      <c r="H1396" s="76"/>
      <c r="I1396" s="76"/>
      <c r="J1396" s="76"/>
      <c r="K1396" s="76"/>
      <c r="L1396" s="77" t="s">
        <v>1114</v>
      </c>
    </row>
    <row r="1397" customFormat="false" ht="15" hidden="false" customHeight="false" outlineLevel="0" collapsed="false">
      <c r="A1397" s="76" t="s">
        <v>2171</v>
      </c>
      <c r="B1397" s="76" t="s">
        <v>130</v>
      </c>
      <c r="C1397" s="76" t="s">
        <v>131</v>
      </c>
      <c r="D1397" s="76" t="s">
        <v>1124</v>
      </c>
      <c r="E1397" s="76" t="s">
        <v>1125</v>
      </c>
      <c r="F1397" s="35" t="s">
        <v>2172</v>
      </c>
      <c r="G1397" s="76" t="s">
        <v>716</v>
      </c>
      <c r="H1397" s="76"/>
      <c r="I1397" s="76"/>
      <c r="J1397" s="76"/>
      <c r="K1397" s="76"/>
      <c r="L1397" s="77" t="s">
        <v>1114</v>
      </c>
    </row>
    <row r="1398" customFormat="false" ht="15" hidden="false" customHeight="false" outlineLevel="0" collapsed="false">
      <c r="A1398" s="76" t="s">
        <v>2171</v>
      </c>
      <c r="B1398" s="76" t="s">
        <v>130</v>
      </c>
      <c r="C1398" s="76" t="s">
        <v>131</v>
      </c>
      <c r="D1398" s="76" t="s">
        <v>1124</v>
      </c>
      <c r="E1398" s="76" t="s">
        <v>1125</v>
      </c>
      <c r="F1398" s="35" t="s">
        <v>2172</v>
      </c>
      <c r="G1398" s="76" t="s">
        <v>916</v>
      </c>
      <c r="H1398" s="76"/>
      <c r="I1398" s="76" t="s">
        <v>2140</v>
      </c>
      <c r="J1398" s="76" t="n">
        <v>0</v>
      </c>
      <c r="K1398" s="76" t="s">
        <v>2140</v>
      </c>
      <c r="L1398" s="77" t="s">
        <v>1114</v>
      </c>
    </row>
    <row r="1399" customFormat="false" ht="15" hidden="false" customHeight="false" outlineLevel="0" collapsed="false">
      <c r="A1399" s="76" t="s">
        <v>2171</v>
      </c>
      <c r="B1399" s="76" t="s">
        <v>130</v>
      </c>
      <c r="C1399" s="76" t="s">
        <v>131</v>
      </c>
      <c r="D1399" s="76" t="s">
        <v>1124</v>
      </c>
      <c r="E1399" s="76" t="s">
        <v>1125</v>
      </c>
      <c r="F1399" s="35" t="s">
        <v>2172</v>
      </c>
      <c r="G1399" s="76" t="s">
        <v>917</v>
      </c>
      <c r="H1399" s="76" t="n">
        <v>0</v>
      </c>
      <c r="I1399" s="76" t="s">
        <v>1127</v>
      </c>
      <c r="J1399" s="76" t="n">
        <v>0</v>
      </c>
      <c r="K1399" s="76" t="s">
        <v>1127</v>
      </c>
      <c r="L1399" s="77" t="s">
        <v>1114</v>
      </c>
    </row>
    <row r="1400" customFormat="false" ht="15" hidden="false" customHeight="false" outlineLevel="0" collapsed="false">
      <c r="A1400" s="76" t="s">
        <v>2171</v>
      </c>
      <c r="B1400" s="76" t="s">
        <v>130</v>
      </c>
      <c r="C1400" s="76" t="s">
        <v>131</v>
      </c>
      <c r="D1400" s="76" t="s">
        <v>1124</v>
      </c>
      <c r="E1400" s="76" t="s">
        <v>1125</v>
      </c>
      <c r="F1400" s="35" t="s">
        <v>2172</v>
      </c>
      <c r="G1400" s="76" t="s">
        <v>675</v>
      </c>
      <c r="H1400" s="76" t="n">
        <v>300</v>
      </c>
      <c r="I1400" s="76" t="s">
        <v>1984</v>
      </c>
      <c r="J1400" s="76" t="n">
        <v>300</v>
      </c>
      <c r="K1400" s="76" t="s">
        <v>1984</v>
      </c>
      <c r="L1400" s="77" t="s">
        <v>1114</v>
      </c>
    </row>
    <row r="1401" customFormat="false" ht="15" hidden="false" customHeight="false" outlineLevel="0" collapsed="false">
      <c r="A1401" s="76" t="s">
        <v>2171</v>
      </c>
      <c r="B1401" s="76" t="s">
        <v>130</v>
      </c>
      <c r="C1401" s="76" t="s">
        <v>131</v>
      </c>
      <c r="D1401" s="76" t="s">
        <v>1124</v>
      </c>
      <c r="E1401" s="76" t="s">
        <v>1125</v>
      </c>
      <c r="F1401" s="35" t="s">
        <v>2172</v>
      </c>
      <c r="G1401" s="76" t="s">
        <v>907</v>
      </c>
      <c r="H1401" s="76" t="n">
        <v>300</v>
      </c>
      <c r="I1401" s="76" t="s">
        <v>1984</v>
      </c>
      <c r="J1401" s="76" t="n">
        <v>300</v>
      </c>
      <c r="K1401" s="76" t="s">
        <v>1984</v>
      </c>
      <c r="L1401" s="77" t="s">
        <v>1114</v>
      </c>
    </row>
    <row r="1402" customFormat="false" ht="15" hidden="false" customHeight="false" outlineLevel="0" collapsed="false">
      <c r="A1402" s="76" t="s">
        <v>2171</v>
      </c>
      <c r="B1402" s="76" t="s">
        <v>130</v>
      </c>
      <c r="C1402" s="76" t="s">
        <v>131</v>
      </c>
      <c r="D1402" s="76" t="s">
        <v>1124</v>
      </c>
      <c r="E1402" s="76" t="s">
        <v>1125</v>
      </c>
      <c r="F1402" s="35" t="s">
        <v>2172</v>
      </c>
      <c r="G1402" s="76" t="s">
        <v>720</v>
      </c>
      <c r="H1402" s="76" t="n">
        <v>0</v>
      </c>
      <c r="I1402" s="76" t="s">
        <v>1127</v>
      </c>
      <c r="J1402" s="76" t="n">
        <v>0</v>
      </c>
      <c r="K1402" s="76" t="s">
        <v>1127</v>
      </c>
      <c r="L1402" s="77" t="s">
        <v>1114</v>
      </c>
    </row>
    <row r="1403" customFormat="false" ht="15" hidden="false" customHeight="false" outlineLevel="0" collapsed="false">
      <c r="A1403" s="76" t="s">
        <v>2171</v>
      </c>
      <c r="B1403" s="76" t="s">
        <v>130</v>
      </c>
      <c r="C1403" s="76" t="s">
        <v>131</v>
      </c>
      <c r="D1403" s="76" t="s">
        <v>1124</v>
      </c>
      <c r="E1403" s="76" t="s">
        <v>1125</v>
      </c>
      <c r="F1403" s="35" t="s">
        <v>2172</v>
      </c>
      <c r="G1403" s="76" t="s">
        <v>682</v>
      </c>
      <c r="H1403" s="76"/>
      <c r="I1403" s="76"/>
      <c r="J1403" s="76"/>
      <c r="K1403" s="76"/>
      <c r="L1403" s="77" t="s">
        <v>1114</v>
      </c>
    </row>
    <row r="1404" customFormat="false" ht="15" hidden="false" customHeight="false" outlineLevel="0" collapsed="false">
      <c r="A1404" s="76" t="s">
        <v>2171</v>
      </c>
      <c r="B1404" s="76" t="s">
        <v>130</v>
      </c>
      <c r="C1404" s="76" t="s">
        <v>131</v>
      </c>
      <c r="D1404" s="76" t="s">
        <v>1124</v>
      </c>
      <c r="E1404" s="76" t="s">
        <v>1125</v>
      </c>
      <c r="F1404" s="35" t="s">
        <v>2172</v>
      </c>
      <c r="G1404" s="76" t="s">
        <v>685</v>
      </c>
      <c r="H1404" s="78" t="n">
        <v>300</v>
      </c>
      <c r="I1404" s="76" t="s">
        <v>2173</v>
      </c>
      <c r="J1404" s="76" t="n">
        <v>300</v>
      </c>
      <c r="K1404" s="76" t="s">
        <v>2173</v>
      </c>
      <c r="L1404" s="77" t="s">
        <v>1114</v>
      </c>
    </row>
    <row r="1405" customFormat="false" ht="15" hidden="false" customHeight="false" outlineLevel="0" collapsed="false">
      <c r="A1405" s="76" t="s">
        <v>2171</v>
      </c>
      <c r="B1405" s="76" t="s">
        <v>130</v>
      </c>
      <c r="C1405" s="76" t="s">
        <v>131</v>
      </c>
      <c r="D1405" s="76" t="s">
        <v>1124</v>
      </c>
      <c r="E1405" s="76" t="s">
        <v>1125</v>
      </c>
      <c r="F1405" s="35" t="s">
        <v>2172</v>
      </c>
      <c r="G1405" s="76" t="s">
        <v>434</v>
      </c>
      <c r="H1405" s="78" t="n">
        <v>1</v>
      </c>
      <c r="I1405" s="76" t="s">
        <v>1297</v>
      </c>
      <c r="J1405" s="76" t="n">
        <v>1</v>
      </c>
      <c r="K1405" s="76" t="s">
        <v>1297</v>
      </c>
      <c r="L1405" s="77" t="s">
        <v>1114</v>
      </c>
    </row>
    <row r="1406" customFormat="false" ht="15" hidden="false" customHeight="false" outlineLevel="0" collapsed="false">
      <c r="A1406" s="76" t="s">
        <v>2174</v>
      </c>
      <c r="B1406" s="76" t="s">
        <v>130</v>
      </c>
      <c r="C1406" s="76" t="s">
        <v>131</v>
      </c>
      <c r="D1406" s="76" t="s">
        <v>1132</v>
      </c>
      <c r="E1406" s="76" t="s">
        <v>1133</v>
      </c>
      <c r="F1406" s="35" t="s">
        <v>2175</v>
      </c>
      <c r="G1406" s="76" t="s">
        <v>419</v>
      </c>
      <c r="H1406" s="76"/>
      <c r="I1406" s="76" t="s">
        <v>1726</v>
      </c>
      <c r="J1406" s="76"/>
      <c r="K1406" s="76" t="s">
        <v>1726</v>
      </c>
      <c r="L1406" s="77" t="s">
        <v>1114</v>
      </c>
    </row>
    <row r="1407" customFormat="false" ht="15" hidden="false" customHeight="false" outlineLevel="0" collapsed="false">
      <c r="A1407" s="76" t="s">
        <v>2174</v>
      </c>
      <c r="B1407" s="76" t="s">
        <v>130</v>
      </c>
      <c r="C1407" s="76" t="s">
        <v>131</v>
      </c>
      <c r="D1407" s="76" t="s">
        <v>1132</v>
      </c>
      <c r="E1407" s="76" t="s">
        <v>1133</v>
      </c>
      <c r="F1407" s="35" t="s">
        <v>2175</v>
      </c>
      <c r="G1407" s="76" t="s">
        <v>422</v>
      </c>
      <c r="H1407" s="78" t="n">
        <v>1764256.63905441</v>
      </c>
      <c r="I1407" s="76" t="s">
        <v>2176</v>
      </c>
      <c r="J1407" s="78" t="n">
        <v>1764256.63905441</v>
      </c>
      <c r="K1407" s="76" t="s">
        <v>2176</v>
      </c>
      <c r="L1407" s="77" t="s">
        <v>1114</v>
      </c>
    </row>
    <row r="1408" customFormat="false" ht="15" hidden="false" customHeight="false" outlineLevel="0" collapsed="false">
      <c r="A1408" s="76" t="s">
        <v>2174</v>
      </c>
      <c r="B1408" s="76" t="s">
        <v>130</v>
      </c>
      <c r="C1408" s="76" t="s">
        <v>131</v>
      </c>
      <c r="D1408" s="76" t="s">
        <v>1132</v>
      </c>
      <c r="E1408" s="76" t="s">
        <v>1133</v>
      </c>
      <c r="F1408" s="35" t="s">
        <v>2175</v>
      </c>
      <c r="G1408" s="76" t="s">
        <v>714</v>
      </c>
      <c r="H1408" s="78" t="n">
        <v>0.0121739130434784</v>
      </c>
      <c r="I1408" s="76" t="s">
        <v>1728</v>
      </c>
      <c r="J1408" s="78" t="n">
        <v>0.0121739130434784</v>
      </c>
      <c r="K1408" s="76" t="s">
        <v>1728</v>
      </c>
      <c r="L1408" s="77" t="s">
        <v>1114</v>
      </c>
    </row>
    <row r="1409" customFormat="false" ht="15" hidden="false" customHeight="false" outlineLevel="0" collapsed="false">
      <c r="A1409" s="76" t="s">
        <v>2174</v>
      </c>
      <c r="B1409" s="76" t="s">
        <v>130</v>
      </c>
      <c r="C1409" s="76" t="s">
        <v>131</v>
      </c>
      <c r="D1409" s="76" t="s">
        <v>1132</v>
      </c>
      <c r="E1409" s="76" t="s">
        <v>1133</v>
      </c>
      <c r="F1409" s="35" t="s">
        <v>2175</v>
      </c>
      <c r="G1409" s="76" t="s">
        <v>716</v>
      </c>
      <c r="H1409" s="76"/>
      <c r="I1409" s="76" t="s">
        <v>1729</v>
      </c>
      <c r="J1409" s="78" t="n">
        <v>0.0476000000000001</v>
      </c>
      <c r="K1409" s="76" t="s">
        <v>1729</v>
      </c>
      <c r="L1409" s="77" t="s">
        <v>1114</v>
      </c>
    </row>
    <row r="1410" customFormat="false" ht="15" hidden="false" customHeight="false" outlineLevel="0" collapsed="false">
      <c r="A1410" s="76" t="s">
        <v>2174</v>
      </c>
      <c r="B1410" s="76" t="s">
        <v>130</v>
      </c>
      <c r="C1410" s="76" t="s">
        <v>131</v>
      </c>
      <c r="D1410" s="76" t="s">
        <v>1132</v>
      </c>
      <c r="E1410" s="76" t="s">
        <v>1133</v>
      </c>
      <c r="F1410" s="35" t="s">
        <v>2175</v>
      </c>
      <c r="G1410" s="76" t="s">
        <v>916</v>
      </c>
      <c r="H1410" s="76"/>
      <c r="I1410" s="76" t="s">
        <v>1860</v>
      </c>
      <c r="J1410" s="78" t="n">
        <v>0.03</v>
      </c>
      <c r="K1410" s="76" t="s">
        <v>1860</v>
      </c>
      <c r="L1410" s="77" t="s">
        <v>1114</v>
      </c>
    </row>
    <row r="1411" customFormat="false" ht="15" hidden="false" customHeight="false" outlineLevel="0" collapsed="false">
      <c r="A1411" s="76" t="s">
        <v>2174</v>
      </c>
      <c r="B1411" s="76" t="s">
        <v>130</v>
      </c>
      <c r="C1411" s="76" t="s">
        <v>131</v>
      </c>
      <c r="D1411" s="76" t="s">
        <v>1132</v>
      </c>
      <c r="E1411" s="76" t="s">
        <v>1133</v>
      </c>
      <c r="F1411" s="35" t="s">
        <v>2175</v>
      </c>
      <c r="G1411" s="76" t="s">
        <v>917</v>
      </c>
      <c r="H1411" s="78" t="n">
        <v>9120246.47956819</v>
      </c>
      <c r="I1411" s="76" t="s">
        <v>2177</v>
      </c>
      <c r="J1411" s="78" t="n">
        <v>9120246.47956819</v>
      </c>
      <c r="K1411" s="76" t="s">
        <v>2177</v>
      </c>
      <c r="L1411" s="77" t="s">
        <v>1114</v>
      </c>
    </row>
    <row r="1412" customFormat="false" ht="15" hidden="false" customHeight="false" outlineLevel="0" collapsed="false">
      <c r="A1412" s="76" t="s">
        <v>2174</v>
      </c>
      <c r="B1412" s="76" t="s">
        <v>130</v>
      </c>
      <c r="C1412" s="76" t="s">
        <v>131</v>
      </c>
      <c r="D1412" s="76" t="s">
        <v>1132</v>
      </c>
      <c r="E1412" s="76" t="s">
        <v>1133</v>
      </c>
      <c r="F1412" s="35" t="s">
        <v>2175</v>
      </c>
      <c r="G1412" s="76" t="s">
        <v>675</v>
      </c>
      <c r="H1412" s="76" t="n">
        <v>2400000</v>
      </c>
      <c r="I1412" s="76" t="s">
        <v>2178</v>
      </c>
      <c r="J1412" s="76" t="n">
        <v>2400000</v>
      </c>
      <c r="K1412" s="76" t="s">
        <v>2178</v>
      </c>
      <c r="L1412" s="77" t="s">
        <v>1114</v>
      </c>
    </row>
    <row r="1413" customFormat="false" ht="15" hidden="false" customHeight="false" outlineLevel="0" collapsed="false">
      <c r="A1413" s="76" t="s">
        <v>2174</v>
      </c>
      <c r="B1413" s="76" t="s">
        <v>130</v>
      </c>
      <c r="C1413" s="76" t="s">
        <v>131</v>
      </c>
      <c r="D1413" s="76" t="s">
        <v>1132</v>
      </c>
      <c r="E1413" s="76" t="s">
        <v>1133</v>
      </c>
      <c r="F1413" s="35" t="s">
        <v>2175</v>
      </c>
      <c r="G1413" s="76" t="s">
        <v>907</v>
      </c>
      <c r="H1413" s="78" t="n">
        <v>16105396.7283878</v>
      </c>
      <c r="I1413" s="76" t="s">
        <v>2179</v>
      </c>
      <c r="J1413" s="78" t="n">
        <v>16105396.7283878</v>
      </c>
      <c r="K1413" s="76" t="s">
        <v>2179</v>
      </c>
      <c r="L1413" s="77" t="s">
        <v>1114</v>
      </c>
    </row>
    <row r="1414" customFormat="false" ht="15" hidden="false" customHeight="false" outlineLevel="0" collapsed="false">
      <c r="A1414" s="76" t="s">
        <v>2174</v>
      </c>
      <c r="B1414" s="76" t="s">
        <v>130</v>
      </c>
      <c r="C1414" s="76" t="s">
        <v>131</v>
      </c>
      <c r="D1414" s="76" t="s">
        <v>1132</v>
      </c>
      <c r="E1414" s="76" t="s">
        <v>1133</v>
      </c>
      <c r="F1414" s="35" t="s">
        <v>2175</v>
      </c>
      <c r="G1414" s="76" t="s">
        <v>720</v>
      </c>
      <c r="H1414" s="78" t="n">
        <v>9120246.47956819</v>
      </c>
      <c r="I1414" s="76" t="s">
        <v>2177</v>
      </c>
      <c r="J1414" s="78" t="n">
        <v>9120246.47956819</v>
      </c>
      <c r="K1414" s="76" t="s">
        <v>2177</v>
      </c>
      <c r="L1414" s="77" t="s">
        <v>1114</v>
      </c>
    </row>
    <row r="1415" customFormat="false" ht="15" hidden="false" customHeight="false" outlineLevel="0" collapsed="false">
      <c r="A1415" s="76" t="s">
        <v>2174</v>
      </c>
      <c r="B1415" s="76" t="s">
        <v>130</v>
      </c>
      <c r="C1415" s="76" t="s">
        <v>131</v>
      </c>
      <c r="D1415" s="76" t="s">
        <v>1132</v>
      </c>
      <c r="E1415" s="76" t="s">
        <v>1133</v>
      </c>
      <c r="F1415" s="35" t="s">
        <v>2175</v>
      </c>
      <c r="G1415" s="76" t="s">
        <v>682</v>
      </c>
      <c r="H1415" s="78" t="n">
        <v>1764256.63905441</v>
      </c>
      <c r="I1415" s="76" t="s">
        <v>2176</v>
      </c>
      <c r="J1415" s="78" t="n">
        <v>1764256.63905441</v>
      </c>
      <c r="K1415" s="76" t="s">
        <v>2176</v>
      </c>
      <c r="L1415" s="77" t="s">
        <v>1114</v>
      </c>
    </row>
    <row r="1416" customFormat="false" ht="15" hidden="false" customHeight="false" outlineLevel="0" collapsed="false">
      <c r="A1416" s="76" t="s">
        <v>2174</v>
      </c>
      <c r="B1416" s="76" t="s">
        <v>130</v>
      </c>
      <c r="C1416" s="76" t="s">
        <v>131</v>
      </c>
      <c r="D1416" s="76" t="s">
        <v>1132</v>
      </c>
      <c r="E1416" s="76" t="s">
        <v>1133</v>
      </c>
      <c r="F1416" s="35" t="s">
        <v>2175</v>
      </c>
      <c r="G1416" s="76" t="s">
        <v>685</v>
      </c>
      <c r="H1416" s="78" t="n">
        <v>6985150</v>
      </c>
      <c r="I1416" s="76" t="s">
        <v>2180</v>
      </c>
      <c r="J1416" s="76" t="n">
        <v>6985150</v>
      </c>
      <c r="K1416" s="76" t="s">
        <v>2180</v>
      </c>
      <c r="L1416" s="77" t="s">
        <v>1114</v>
      </c>
    </row>
    <row r="1417" customFormat="false" ht="15" hidden="false" customHeight="false" outlineLevel="0" collapsed="false">
      <c r="A1417" s="76" t="s">
        <v>2174</v>
      </c>
      <c r="B1417" s="76" t="s">
        <v>130</v>
      </c>
      <c r="C1417" s="76" t="s">
        <v>131</v>
      </c>
      <c r="D1417" s="76" t="s">
        <v>1132</v>
      </c>
      <c r="E1417" s="76" t="s">
        <v>1133</v>
      </c>
      <c r="F1417" s="35" t="s">
        <v>2175</v>
      </c>
      <c r="G1417" s="76" t="s">
        <v>434</v>
      </c>
      <c r="H1417" s="78" t="n">
        <v>40</v>
      </c>
      <c r="I1417" s="76" t="s">
        <v>1675</v>
      </c>
      <c r="J1417" s="76" t="n">
        <v>40</v>
      </c>
      <c r="K1417" s="76" t="s">
        <v>1675</v>
      </c>
      <c r="L1417" s="77" t="s">
        <v>1114</v>
      </c>
    </row>
    <row r="1418" customFormat="false" ht="15" hidden="false" customHeight="false" outlineLevel="0" collapsed="false">
      <c r="A1418" s="76" t="s">
        <v>2181</v>
      </c>
      <c r="B1418" s="76" t="s">
        <v>130</v>
      </c>
      <c r="C1418" s="76" t="s">
        <v>131</v>
      </c>
      <c r="D1418" s="76" t="s">
        <v>1141</v>
      </c>
      <c r="E1418" s="76" t="s">
        <v>1142</v>
      </c>
      <c r="F1418" s="35" t="s">
        <v>2182</v>
      </c>
      <c r="G1418" s="76" t="s">
        <v>419</v>
      </c>
      <c r="H1418" s="76"/>
      <c r="I1418" s="76" t="s">
        <v>1758</v>
      </c>
      <c r="J1418" s="76"/>
      <c r="K1418" s="76" t="s">
        <v>1758</v>
      </c>
      <c r="L1418" s="77" t="s">
        <v>1114</v>
      </c>
    </row>
    <row r="1419" customFormat="false" ht="15" hidden="false" customHeight="false" outlineLevel="0" collapsed="false">
      <c r="A1419" s="76" t="s">
        <v>2181</v>
      </c>
      <c r="B1419" s="76" t="s">
        <v>130</v>
      </c>
      <c r="C1419" s="76" t="s">
        <v>131</v>
      </c>
      <c r="D1419" s="76" t="s">
        <v>1141</v>
      </c>
      <c r="E1419" s="76" t="s">
        <v>1142</v>
      </c>
      <c r="F1419" s="35" t="s">
        <v>2182</v>
      </c>
      <c r="G1419" s="76" t="s">
        <v>422</v>
      </c>
      <c r="H1419" s="78" t="n">
        <v>79967.621833156</v>
      </c>
      <c r="I1419" s="76" t="s">
        <v>2183</v>
      </c>
      <c r="J1419" s="78" t="n">
        <v>79967.621833156</v>
      </c>
      <c r="K1419" s="76" t="s">
        <v>2183</v>
      </c>
      <c r="L1419" s="77" t="s">
        <v>1114</v>
      </c>
    </row>
    <row r="1420" customFormat="false" ht="15" hidden="false" customHeight="false" outlineLevel="0" collapsed="false">
      <c r="A1420" s="76" t="s">
        <v>2181</v>
      </c>
      <c r="B1420" s="76" t="s">
        <v>130</v>
      </c>
      <c r="C1420" s="76" t="s">
        <v>131</v>
      </c>
      <c r="D1420" s="76" t="s">
        <v>1141</v>
      </c>
      <c r="E1420" s="76" t="s">
        <v>1142</v>
      </c>
      <c r="F1420" s="35" t="s">
        <v>2182</v>
      </c>
      <c r="G1420" s="76" t="s">
        <v>714</v>
      </c>
      <c r="H1420" s="76"/>
      <c r="I1420" s="76"/>
      <c r="J1420" s="76"/>
      <c r="K1420" s="76"/>
      <c r="L1420" s="77" t="s">
        <v>1114</v>
      </c>
    </row>
    <row r="1421" customFormat="false" ht="15" hidden="false" customHeight="false" outlineLevel="0" collapsed="false">
      <c r="A1421" s="76" t="s">
        <v>2181</v>
      </c>
      <c r="B1421" s="76" t="s">
        <v>130</v>
      </c>
      <c r="C1421" s="76" t="s">
        <v>131</v>
      </c>
      <c r="D1421" s="76" t="s">
        <v>1141</v>
      </c>
      <c r="E1421" s="76" t="s">
        <v>1142</v>
      </c>
      <c r="F1421" s="35" t="s">
        <v>2182</v>
      </c>
      <c r="G1421" s="76" t="s">
        <v>716</v>
      </c>
      <c r="H1421" s="76"/>
      <c r="I1421" s="76"/>
      <c r="J1421" s="76"/>
      <c r="K1421" s="76"/>
      <c r="L1421" s="77" t="s">
        <v>1114</v>
      </c>
    </row>
    <row r="1422" customFormat="false" ht="15" hidden="false" customHeight="false" outlineLevel="0" collapsed="false">
      <c r="A1422" s="76" t="s">
        <v>2181</v>
      </c>
      <c r="B1422" s="76" t="s">
        <v>130</v>
      </c>
      <c r="C1422" s="76" t="s">
        <v>131</v>
      </c>
      <c r="D1422" s="76" t="s">
        <v>1141</v>
      </c>
      <c r="E1422" s="76" t="s">
        <v>1142</v>
      </c>
      <c r="F1422" s="35" t="s">
        <v>2182</v>
      </c>
      <c r="G1422" s="76" t="s">
        <v>916</v>
      </c>
      <c r="H1422" s="76"/>
      <c r="I1422" s="76" t="s">
        <v>2184</v>
      </c>
      <c r="J1422" s="78" t="n">
        <v>0.0215</v>
      </c>
      <c r="K1422" s="76" t="s">
        <v>2184</v>
      </c>
      <c r="L1422" s="77" t="s">
        <v>1114</v>
      </c>
    </row>
    <row r="1423" customFormat="false" ht="15" hidden="false" customHeight="false" outlineLevel="0" collapsed="false">
      <c r="A1423" s="76" t="s">
        <v>2181</v>
      </c>
      <c r="B1423" s="76" t="s">
        <v>130</v>
      </c>
      <c r="C1423" s="76" t="s">
        <v>131</v>
      </c>
      <c r="D1423" s="76" t="s">
        <v>1141</v>
      </c>
      <c r="E1423" s="76" t="s">
        <v>1142</v>
      </c>
      <c r="F1423" s="35" t="s">
        <v>2182</v>
      </c>
      <c r="G1423" s="76" t="s">
        <v>917</v>
      </c>
      <c r="H1423" s="78" t="n">
        <v>3534.06160231125</v>
      </c>
      <c r="I1423" s="76" t="s">
        <v>2185</v>
      </c>
      <c r="J1423" s="78" t="n">
        <v>3534.06160231125</v>
      </c>
      <c r="K1423" s="76" t="s">
        <v>2185</v>
      </c>
      <c r="L1423" s="77" t="s">
        <v>1114</v>
      </c>
    </row>
    <row r="1424" customFormat="false" ht="15" hidden="false" customHeight="false" outlineLevel="0" collapsed="false">
      <c r="A1424" s="76" t="s">
        <v>2181</v>
      </c>
      <c r="B1424" s="76" t="s">
        <v>130</v>
      </c>
      <c r="C1424" s="76" t="s">
        <v>131</v>
      </c>
      <c r="D1424" s="76" t="s">
        <v>1141</v>
      </c>
      <c r="E1424" s="76" t="s">
        <v>1142</v>
      </c>
      <c r="F1424" s="35" t="s">
        <v>2182</v>
      </c>
      <c r="G1424" s="76" t="s">
        <v>675</v>
      </c>
      <c r="H1424" s="76" t="n">
        <v>78000</v>
      </c>
      <c r="I1424" s="76" t="s">
        <v>2186</v>
      </c>
      <c r="J1424" s="76" t="n">
        <v>78000</v>
      </c>
      <c r="K1424" s="76" t="s">
        <v>2186</v>
      </c>
      <c r="L1424" s="77" t="s">
        <v>1114</v>
      </c>
    </row>
    <row r="1425" customFormat="false" ht="15" hidden="false" customHeight="false" outlineLevel="0" collapsed="false">
      <c r="A1425" s="76" t="s">
        <v>2181</v>
      </c>
      <c r="B1425" s="76" t="s">
        <v>130</v>
      </c>
      <c r="C1425" s="76" t="s">
        <v>131</v>
      </c>
      <c r="D1425" s="76" t="s">
        <v>1141</v>
      </c>
      <c r="E1425" s="76" t="s">
        <v>1142</v>
      </c>
      <c r="F1425" s="35" t="s">
        <v>2182</v>
      </c>
      <c r="G1425" s="76" t="s">
        <v>907</v>
      </c>
      <c r="H1425" s="78" t="n">
        <v>83501.6834354673</v>
      </c>
      <c r="I1425" s="76" t="s">
        <v>2187</v>
      </c>
      <c r="J1425" s="78" t="n">
        <v>83501.6834354673</v>
      </c>
      <c r="K1425" s="76" t="s">
        <v>2187</v>
      </c>
      <c r="L1425" s="77" t="s">
        <v>1114</v>
      </c>
    </row>
    <row r="1426" customFormat="false" ht="15" hidden="false" customHeight="false" outlineLevel="0" collapsed="false">
      <c r="A1426" s="76" t="s">
        <v>2181</v>
      </c>
      <c r="B1426" s="76" t="s">
        <v>130</v>
      </c>
      <c r="C1426" s="76" t="s">
        <v>131</v>
      </c>
      <c r="D1426" s="76" t="s">
        <v>1141</v>
      </c>
      <c r="E1426" s="76" t="s">
        <v>1142</v>
      </c>
      <c r="F1426" s="35" t="s">
        <v>2182</v>
      </c>
      <c r="G1426" s="76" t="s">
        <v>720</v>
      </c>
      <c r="H1426" s="78" t="n">
        <v>3534.06160231125</v>
      </c>
      <c r="I1426" s="76" t="s">
        <v>2185</v>
      </c>
      <c r="J1426" s="78" t="n">
        <v>3534.06160231125</v>
      </c>
      <c r="K1426" s="76" t="s">
        <v>2185</v>
      </c>
      <c r="L1426" s="77" t="s">
        <v>1114</v>
      </c>
    </row>
    <row r="1427" customFormat="false" ht="15" hidden="false" customHeight="false" outlineLevel="0" collapsed="false">
      <c r="A1427" s="76" t="s">
        <v>2181</v>
      </c>
      <c r="B1427" s="76" t="s">
        <v>130</v>
      </c>
      <c r="C1427" s="76" t="s">
        <v>131</v>
      </c>
      <c r="D1427" s="76" t="s">
        <v>1141</v>
      </c>
      <c r="E1427" s="76" t="s">
        <v>1142</v>
      </c>
      <c r="F1427" s="35" t="s">
        <v>2182</v>
      </c>
      <c r="G1427" s="76" t="s">
        <v>682</v>
      </c>
      <c r="H1427" s="76"/>
      <c r="I1427" s="76"/>
      <c r="J1427" s="76"/>
      <c r="K1427" s="76"/>
      <c r="L1427" s="77" t="s">
        <v>1114</v>
      </c>
    </row>
    <row r="1428" customFormat="false" ht="15" hidden="false" customHeight="false" outlineLevel="0" collapsed="false">
      <c r="A1428" s="76" t="s">
        <v>2181</v>
      </c>
      <c r="B1428" s="76" t="s">
        <v>130</v>
      </c>
      <c r="C1428" s="76" t="s">
        <v>131</v>
      </c>
      <c r="D1428" s="76" t="s">
        <v>1141</v>
      </c>
      <c r="E1428" s="76" t="s">
        <v>1142</v>
      </c>
      <c r="F1428" s="35" t="s">
        <v>2182</v>
      </c>
      <c r="G1428" s="76" t="s">
        <v>685</v>
      </c>
      <c r="H1428" s="78" t="n">
        <v>79968</v>
      </c>
      <c r="I1428" s="76" t="s">
        <v>2188</v>
      </c>
      <c r="J1428" s="76" t="n">
        <v>79968</v>
      </c>
      <c r="K1428" s="76" t="s">
        <v>2188</v>
      </c>
      <c r="L1428" s="77" t="s">
        <v>1114</v>
      </c>
    </row>
    <row r="1429" customFormat="false" ht="15" hidden="false" customHeight="false" outlineLevel="0" collapsed="false">
      <c r="A1429" s="76" t="s">
        <v>2181</v>
      </c>
      <c r="B1429" s="76" t="s">
        <v>130</v>
      </c>
      <c r="C1429" s="76" t="s">
        <v>131</v>
      </c>
      <c r="D1429" s="76" t="s">
        <v>1141</v>
      </c>
      <c r="E1429" s="76" t="s">
        <v>1142</v>
      </c>
      <c r="F1429" s="35" t="s">
        <v>2182</v>
      </c>
      <c r="G1429" s="76" t="s">
        <v>434</v>
      </c>
      <c r="H1429" s="78" t="n">
        <v>4</v>
      </c>
      <c r="I1429" s="76" t="s">
        <v>871</v>
      </c>
      <c r="J1429" s="76" t="n">
        <v>4</v>
      </c>
      <c r="K1429" s="76" t="s">
        <v>871</v>
      </c>
      <c r="L1429" s="77" t="s">
        <v>1114</v>
      </c>
    </row>
    <row r="1430" customFormat="false" ht="15" hidden="false" customHeight="false" outlineLevel="0" collapsed="false">
      <c r="A1430" s="76" t="s">
        <v>2189</v>
      </c>
      <c r="B1430" s="76" t="s">
        <v>130</v>
      </c>
      <c r="C1430" s="76" t="s">
        <v>131</v>
      </c>
      <c r="D1430" s="76" t="s">
        <v>1151</v>
      </c>
      <c r="E1430" s="76" t="s">
        <v>1152</v>
      </c>
      <c r="F1430" s="35" t="s">
        <v>2190</v>
      </c>
      <c r="G1430" s="76" t="s">
        <v>419</v>
      </c>
      <c r="H1430" s="76"/>
      <c r="I1430" s="76" t="s">
        <v>1726</v>
      </c>
      <c r="J1430" s="76"/>
      <c r="K1430" s="76" t="s">
        <v>1726</v>
      </c>
      <c r="L1430" s="77" t="s">
        <v>1114</v>
      </c>
    </row>
    <row r="1431" customFormat="false" ht="15" hidden="false" customHeight="false" outlineLevel="0" collapsed="false">
      <c r="A1431" s="76" t="s">
        <v>2189</v>
      </c>
      <c r="B1431" s="76" t="s">
        <v>130</v>
      </c>
      <c r="C1431" s="76" t="s">
        <v>131</v>
      </c>
      <c r="D1431" s="76" t="s">
        <v>1151</v>
      </c>
      <c r="E1431" s="76" t="s">
        <v>1152</v>
      </c>
      <c r="F1431" s="35" t="s">
        <v>2190</v>
      </c>
      <c r="G1431" s="76" t="s">
        <v>422</v>
      </c>
      <c r="H1431" s="78" t="n">
        <v>54320.9044772496</v>
      </c>
      <c r="I1431" s="76" t="s">
        <v>2191</v>
      </c>
      <c r="J1431" s="78" t="n">
        <v>54320.9044772496</v>
      </c>
      <c r="K1431" s="76" t="s">
        <v>2191</v>
      </c>
      <c r="L1431" s="77" t="s">
        <v>1114</v>
      </c>
    </row>
    <row r="1432" customFormat="false" ht="15" hidden="false" customHeight="false" outlineLevel="0" collapsed="false">
      <c r="A1432" s="76" t="s">
        <v>2189</v>
      </c>
      <c r="B1432" s="76" t="s">
        <v>130</v>
      </c>
      <c r="C1432" s="76" t="s">
        <v>131</v>
      </c>
      <c r="D1432" s="76" t="s">
        <v>1151</v>
      </c>
      <c r="E1432" s="76" t="s">
        <v>1152</v>
      </c>
      <c r="F1432" s="35" t="s">
        <v>2190</v>
      </c>
      <c r="G1432" s="76" t="s">
        <v>714</v>
      </c>
      <c r="H1432" s="78" t="n">
        <v>0.0191176470588237</v>
      </c>
      <c r="I1432" s="76" t="s">
        <v>2163</v>
      </c>
      <c r="J1432" s="78" t="n">
        <v>0.0191176470588237</v>
      </c>
      <c r="K1432" s="76" t="s">
        <v>2163</v>
      </c>
      <c r="L1432" s="77" t="s">
        <v>1114</v>
      </c>
    </row>
    <row r="1433" customFormat="false" ht="15" hidden="false" customHeight="false" outlineLevel="0" collapsed="false">
      <c r="A1433" s="76" t="s">
        <v>2189</v>
      </c>
      <c r="B1433" s="76" t="s">
        <v>130</v>
      </c>
      <c r="C1433" s="76" t="s">
        <v>131</v>
      </c>
      <c r="D1433" s="76" t="s">
        <v>1151</v>
      </c>
      <c r="E1433" s="76" t="s">
        <v>1152</v>
      </c>
      <c r="F1433" s="35" t="s">
        <v>2190</v>
      </c>
      <c r="G1433" s="76" t="s">
        <v>716</v>
      </c>
      <c r="H1433" s="76"/>
      <c r="I1433" s="76" t="s">
        <v>2192</v>
      </c>
      <c r="J1433" s="78" t="n">
        <v>0.0395000000000001</v>
      </c>
      <c r="K1433" s="76" t="s">
        <v>2192</v>
      </c>
      <c r="L1433" s="77" t="s">
        <v>1114</v>
      </c>
    </row>
    <row r="1434" customFormat="false" ht="15" hidden="false" customHeight="false" outlineLevel="0" collapsed="false">
      <c r="A1434" s="76" t="s">
        <v>2189</v>
      </c>
      <c r="B1434" s="76" t="s">
        <v>130</v>
      </c>
      <c r="C1434" s="76" t="s">
        <v>131</v>
      </c>
      <c r="D1434" s="76" t="s">
        <v>1151</v>
      </c>
      <c r="E1434" s="76" t="s">
        <v>1152</v>
      </c>
      <c r="F1434" s="35" t="s">
        <v>2190</v>
      </c>
      <c r="G1434" s="76" t="s">
        <v>916</v>
      </c>
      <c r="H1434" s="76"/>
      <c r="I1434" s="76" t="s">
        <v>2167</v>
      </c>
      <c r="J1434" s="78" t="n">
        <v>0.01</v>
      </c>
      <c r="K1434" s="76" t="s">
        <v>2167</v>
      </c>
      <c r="L1434" s="77" t="s">
        <v>1114</v>
      </c>
    </row>
    <row r="1435" customFormat="false" ht="15" hidden="false" customHeight="false" outlineLevel="0" collapsed="false">
      <c r="A1435" s="76" t="s">
        <v>2189</v>
      </c>
      <c r="B1435" s="76" t="s">
        <v>130</v>
      </c>
      <c r="C1435" s="76" t="s">
        <v>131</v>
      </c>
      <c r="D1435" s="76" t="s">
        <v>1151</v>
      </c>
      <c r="E1435" s="76" t="s">
        <v>1152</v>
      </c>
      <c r="F1435" s="35" t="s">
        <v>2190</v>
      </c>
      <c r="G1435" s="76" t="s">
        <v>917</v>
      </c>
      <c r="H1435" s="78" t="n">
        <v>6338.59293910017</v>
      </c>
      <c r="I1435" s="76" t="s">
        <v>2168</v>
      </c>
      <c r="J1435" s="78" t="n">
        <v>6338.59293910017</v>
      </c>
      <c r="K1435" s="76" t="s">
        <v>2168</v>
      </c>
      <c r="L1435" s="77" t="s">
        <v>1114</v>
      </c>
    </row>
    <row r="1436" customFormat="false" ht="15" hidden="false" customHeight="false" outlineLevel="0" collapsed="false">
      <c r="A1436" s="76" t="s">
        <v>2189</v>
      </c>
      <c r="B1436" s="76" t="s">
        <v>130</v>
      </c>
      <c r="C1436" s="76" t="s">
        <v>131</v>
      </c>
      <c r="D1436" s="76" t="s">
        <v>1151</v>
      </c>
      <c r="E1436" s="76" t="s">
        <v>1152</v>
      </c>
      <c r="F1436" s="35" t="s">
        <v>2190</v>
      </c>
      <c r="G1436" s="76" t="s">
        <v>675</v>
      </c>
      <c r="H1436" s="76" t="n">
        <v>54000</v>
      </c>
      <c r="I1436" s="76" t="s">
        <v>1184</v>
      </c>
      <c r="J1436" s="76" t="n">
        <v>54000</v>
      </c>
      <c r="K1436" s="76" t="s">
        <v>1184</v>
      </c>
      <c r="L1436" s="77" t="s">
        <v>1114</v>
      </c>
    </row>
    <row r="1437" customFormat="false" ht="15" hidden="false" customHeight="false" outlineLevel="0" collapsed="false">
      <c r="A1437" s="76" t="s">
        <v>2189</v>
      </c>
      <c r="B1437" s="76" t="s">
        <v>130</v>
      </c>
      <c r="C1437" s="76" t="s">
        <v>131</v>
      </c>
      <c r="D1437" s="76" t="s">
        <v>1151</v>
      </c>
      <c r="E1437" s="76" t="s">
        <v>1152</v>
      </c>
      <c r="F1437" s="35" t="s">
        <v>2190</v>
      </c>
      <c r="G1437" s="76" t="s">
        <v>907</v>
      </c>
      <c r="H1437" s="78" t="n">
        <v>79447.3783841599</v>
      </c>
      <c r="I1437" s="76" t="s">
        <v>2169</v>
      </c>
      <c r="J1437" s="78" t="n">
        <v>79447.3783841599</v>
      </c>
      <c r="K1437" s="76" t="s">
        <v>2169</v>
      </c>
      <c r="L1437" s="77" t="s">
        <v>1114</v>
      </c>
    </row>
    <row r="1438" customFormat="false" ht="15" hidden="false" customHeight="false" outlineLevel="0" collapsed="false">
      <c r="A1438" s="76" t="s">
        <v>2189</v>
      </c>
      <c r="B1438" s="76" t="s">
        <v>130</v>
      </c>
      <c r="C1438" s="76" t="s">
        <v>131</v>
      </c>
      <c r="D1438" s="76" t="s">
        <v>1151</v>
      </c>
      <c r="E1438" s="76" t="s">
        <v>1152</v>
      </c>
      <c r="F1438" s="35" t="s">
        <v>2190</v>
      </c>
      <c r="G1438" s="76" t="s">
        <v>720</v>
      </c>
      <c r="H1438" s="78" t="n">
        <v>6338.59293910017</v>
      </c>
      <c r="I1438" s="76" t="s">
        <v>2168</v>
      </c>
      <c r="J1438" s="78" t="n">
        <v>6338.59293910017</v>
      </c>
      <c r="K1438" s="76" t="s">
        <v>2168</v>
      </c>
      <c r="L1438" s="77" t="s">
        <v>1114</v>
      </c>
    </row>
    <row r="1439" customFormat="false" ht="15" hidden="false" customHeight="false" outlineLevel="0" collapsed="false">
      <c r="A1439" s="76" t="s">
        <v>2189</v>
      </c>
      <c r="B1439" s="76" t="s">
        <v>130</v>
      </c>
      <c r="C1439" s="76" t="s">
        <v>131</v>
      </c>
      <c r="D1439" s="76" t="s">
        <v>1151</v>
      </c>
      <c r="E1439" s="76" t="s">
        <v>1152</v>
      </c>
      <c r="F1439" s="35" t="s">
        <v>2190</v>
      </c>
      <c r="G1439" s="76" t="s">
        <v>682</v>
      </c>
      <c r="H1439" s="78" t="n">
        <v>54320.9044772496</v>
      </c>
      <c r="I1439" s="76" t="s">
        <v>2191</v>
      </c>
      <c r="J1439" s="78" t="n">
        <v>54320.9044772496</v>
      </c>
      <c r="K1439" s="76" t="s">
        <v>2191</v>
      </c>
      <c r="L1439" s="77" t="s">
        <v>1114</v>
      </c>
    </row>
    <row r="1440" customFormat="false" ht="15" hidden="false" customHeight="false" outlineLevel="0" collapsed="false">
      <c r="A1440" s="76" t="s">
        <v>2189</v>
      </c>
      <c r="B1440" s="76" t="s">
        <v>130</v>
      </c>
      <c r="C1440" s="76" t="s">
        <v>131</v>
      </c>
      <c r="D1440" s="76" t="s">
        <v>1151</v>
      </c>
      <c r="E1440" s="76" t="s">
        <v>1152</v>
      </c>
      <c r="F1440" s="35" t="s">
        <v>2190</v>
      </c>
      <c r="G1440" s="76" t="s">
        <v>685</v>
      </c>
      <c r="H1440" s="78" t="n">
        <v>73109</v>
      </c>
      <c r="I1440" s="76" t="s">
        <v>2170</v>
      </c>
      <c r="J1440" s="76" t="n">
        <v>73109</v>
      </c>
      <c r="K1440" s="76" t="s">
        <v>2170</v>
      </c>
      <c r="L1440" s="77" t="s">
        <v>1114</v>
      </c>
    </row>
    <row r="1441" customFormat="false" ht="15" hidden="false" customHeight="false" outlineLevel="0" collapsed="false">
      <c r="A1441" s="76" t="s">
        <v>2189</v>
      </c>
      <c r="B1441" s="76" t="s">
        <v>130</v>
      </c>
      <c r="C1441" s="76" t="s">
        <v>131</v>
      </c>
      <c r="D1441" s="76" t="s">
        <v>1151</v>
      </c>
      <c r="E1441" s="76" t="s">
        <v>1152</v>
      </c>
      <c r="F1441" s="35" t="s">
        <v>2190</v>
      </c>
      <c r="G1441" s="76" t="s">
        <v>434</v>
      </c>
      <c r="H1441" s="78" t="n">
        <v>15</v>
      </c>
      <c r="I1441" s="76" t="s">
        <v>1646</v>
      </c>
      <c r="J1441" s="76" t="n">
        <v>15</v>
      </c>
      <c r="K1441" s="76" t="s">
        <v>1646</v>
      </c>
      <c r="L1441" s="77" t="s">
        <v>1114</v>
      </c>
    </row>
    <row r="1442" customFormat="false" ht="15" hidden="false" customHeight="false" outlineLevel="0" collapsed="false">
      <c r="A1442" s="76" t="s">
        <v>2193</v>
      </c>
      <c r="B1442" s="76" t="s">
        <v>130</v>
      </c>
      <c r="C1442" s="76" t="s">
        <v>131</v>
      </c>
      <c r="D1442" s="76" t="s">
        <v>1161</v>
      </c>
      <c r="E1442" s="76" t="s">
        <v>1162</v>
      </c>
      <c r="F1442" s="35" t="s">
        <v>2194</v>
      </c>
      <c r="G1442" s="76" t="s">
        <v>419</v>
      </c>
      <c r="H1442" s="76"/>
      <c r="I1442" s="76" t="s">
        <v>1758</v>
      </c>
      <c r="J1442" s="76"/>
      <c r="K1442" s="76" t="s">
        <v>1758</v>
      </c>
      <c r="L1442" s="77" t="s">
        <v>1114</v>
      </c>
    </row>
    <row r="1443" customFormat="false" ht="15" hidden="false" customHeight="false" outlineLevel="0" collapsed="false">
      <c r="A1443" s="76" t="s">
        <v>2193</v>
      </c>
      <c r="B1443" s="76" t="s">
        <v>130</v>
      </c>
      <c r="C1443" s="76" t="s">
        <v>131</v>
      </c>
      <c r="D1443" s="76" t="s">
        <v>1161</v>
      </c>
      <c r="E1443" s="76" t="s">
        <v>1162</v>
      </c>
      <c r="F1443" s="35" t="s">
        <v>2194</v>
      </c>
      <c r="G1443" s="76" t="s">
        <v>422</v>
      </c>
      <c r="H1443" s="78" t="n">
        <v>43401.3938267024</v>
      </c>
      <c r="I1443" s="76" t="s">
        <v>2195</v>
      </c>
      <c r="J1443" s="78" t="n">
        <v>43401.3938267024</v>
      </c>
      <c r="K1443" s="76" t="s">
        <v>2195</v>
      </c>
      <c r="L1443" s="77" t="s">
        <v>1114</v>
      </c>
    </row>
    <row r="1444" customFormat="false" ht="15" hidden="false" customHeight="false" outlineLevel="0" collapsed="false">
      <c r="A1444" s="76" t="s">
        <v>2193</v>
      </c>
      <c r="B1444" s="76" t="s">
        <v>130</v>
      </c>
      <c r="C1444" s="76" t="s">
        <v>131</v>
      </c>
      <c r="D1444" s="76" t="s">
        <v>1161</v>
      </c>
      <c r="E1444" s="76" t="s">
        <v>1162</v>
      </c>
      <c r="F1444" s="35" t="s">
        <v>2194</v>
      </c>
      <c r="G1444" s="76" t="s">
        <v>714</v>
      </c>
      <c r="H1444" s="76"/>
      <c r="I1444" s="76"/>
      <c r="J1444" s="76"/>
      <c r="K1444" s="76"/>
      <c r="L1444" s="77" t="s">
        <v>1114</v>
      </c>
    </row>
    <row r="1445" customFormat="false" ht="15" hidden="false" customHeight="false" outlineLevel="0" collapsed="false">
      <c r="A1445" s="76" t="s">
        <v>2193</v>
      </c>
      <c r="B1445" s="76" t="s">
        <v>130</v>
      </c>
      <c r="C1445" s="76" t="s">
        <v>131</v>
      </c>
      <c r="D1445" s="76" t="s">
        <v>1161</v>
      </c>
      <c r="E1445" s="76" t="s">
        <v>1162</v>
      </c>
      <c r="F1445" s="35" t="s">
        <v>2194</v>
      </c>
      <c r="G1445" s="76" t="s">
        <v>716</v>
      </c>
      <c r="H1445" s="76"/>
      <c r="I1445" s="76"/>
      <c r="J1445" s="76"/>
      <c r="K1445" s="76"/>
      <c r="L1445" s="77" t="s">
        <v>1114</v>
      </c>
    </row>
    <row r="1446" customFormat="false" ht="15" hidden="false" customHeight="false" outlineLevel="0" collapsed="false">
      <c r="A1446" s="76" t="s">
        <v>2193</v>
      </c>
      <c r="B1446" s="76" t="s">
        <v>130</v>
      </c>
      <c r="C1446" s="76" t="s">
        <v>131</v>
      </c>
      <c r="D1446" s="76" t="s">
        <v>1161</v>
      </c>
      <c r="E1446" s="76" t="s">
        <v>1162</v>
      </c>
      <c r="F1446" s="35" t="s">
        <v>2194</v>
      </c>
      <c r="G1446" s="76" t="s">
        <v>916</v>
      </c>
      <c r="H1446" s="76"/>
      <c r="I1446" s="76" t="s">
        <v>1860</v>
      </c>
      <c r="J1446" s="78" t="n">
        <v>0.03</v>
      </c>
      <c r="K1446" s="76" t="s">
        <v>1860</v>
      </c>
      <c r="L1446" s="77" t="s">
        <v>1114</v>
      </c>
    </row>
    <row r="1447" customFormat="false" ht="15" hidden="false" customHeight="false" outlineLevel="0" collapsed="false">
      <c r="A1447" s="76" t="s">
        <v>2193</v>
      </c>
      <c r="B1447" s="76" t="s">
        <v>130</v>
      </c>
      <c r="C1447" s="76" t="s">
        <v>131</v>
      </c>
      <c r="D1447" s="76" t="s">
        <v>1161</v>
      </c>
      <c r="E1447" s="76" t="s">
        <v>1162</v>
      </c>
      <c r="F1447" s="35" t="s">
        <v>2194</v>
      </c>
      <c r="G1447" s="76" t="s">
        <v>917</v>
      </c>
      <c r="H1447" s="78" t="n">
        <v>10598.6061732976</v>
      </c>
      <c r="I1447" s="76" t="s">
        <v>2196</v>
      </c>
      <c r="J1447" s="78" t="n">
        <v>10598.6061732976</v>
      </c>
      <c r="K1447" s="76" t="s">
        <v>2196</v>
      </c>
      <c r="L1447" s="77" t="s">
        <v>1114</v>
      </c>
    </row>
    <row r="1448" customFormat="false" ht="15" hidden="false" customHeight="false" outlineLevel="0" collapsed="false">
      <c r="A1448" s="76" t="s">
        <v>2193</v>
      </c>
      <c r="B1448" s="76" t="s">
        <v>130</v>
      </c>
      <c r="C1448" s="76" t="s">
        <v>131</v>
      </c>
      <c r="D1448" s="76" t="s">
        <v>1161</v>
      </c>
      <c r="E1448" s="76" t="s">
        <v>1162</v>
      </c>
      <c r="F1448" s="35" t="s">
        <v>2194</v>
      </c>
      <c r="G1448" s="76" t="s">
        <v>675</v>
      </c>
      <c r="H1448" s="76" t="n">
        <v>54000</v>
      </c>
      <c r="I1448" s="76" t="s">
        <v>1184</v>
      </c>
      <c r="J1448" s="76" t="n">
        <v>54000</v>
      </c>
      <c r="K1448" s="76" t="s">
        <v>1184</v>
      </c>
      <c r="L1448" s="77" t="s">
        <v>1114</v>
      </c>
    </row>
    <row r="1449" customFormat="false" ht="15" hidden="false" customHeight="false" outlineLevel="0" collapsed="false">
      <c r="A1449" s="76" t="s">
        <v>2193</v>
      </c>
      <c r="B1449" s="76" t="s">
        <v>130</v>
      </c>
      <c r="C1449" s="76" t="s">
        <v>131</v>
      </c>
      <c r="D1449" s="76" t="s">
        <v>1161</v>
      </c>
      <c r="E1449" s="76" t="s">
        <v>1162</v>
      </c>
      <c r="F1449" s="35" t="s">
        <v>2194</v>
      </c>
      <c r="G1449" s="76" t="s">
        <v>907</v>
      </c>
      <c r="H1449" s="76" t="n">
        <v>54000</v>
      </c>
      <c r="I1449" s="76" t="s">
        <v>1184</v>
      </c>
      <c r="J1449" s="76" t="n">
        <v>54000</v>
      </c>
      <c r="K1449" s="76" t="s">
        <v>1184</v>
      </c>
      <c r="L1449" s="77" t="s">
        <v>1114</v>
      </c>
    </row>
    <row r="1450" customFormat="false" ht="15" hidden="false" customHeight="false" outlineLevel="0" collapsed="false">
      <c r="A1450" s="76" t="s">
        <v>2193</v>
      </c>
      <c r="B1450" s="76" t="s">
        <v>130</v>
      </c>
      <c r="C1450" s="76" t="s">
        <v>131</v>
      </c>
      <c r="D1450" s="76" t="s">
        <v>1161</v>
      </c>
      <c r="E1450" s="76" t="s">
        <v>1162</v>
      </c>
      <c r="F1450" s="35" t="s">
        <v>2194</v>
      </c>
      <c r="G1450" s="76" t="s">
        <v>720</v>
      </c>
      <c r="H1450" s="78" t="n">
        <v>10598.6061732976</v>
      </c>
      <c r="I1450" s="76" t="s">
        <v>2196</v>
      </c>
      <c r="J1450" s="78" t="n">
        <v>10598.6061732976</v>
      </c>
      <c r="K1450" s="76" t="s">
        <v>2196</v>
      </c>
      <c r="L1450" s="77" t="s">
        <v>1114</v>
      </c>
    </row>
    <row r="1451" customFormat="false" ht="15" hidden="false" customHeight="false" outlineLevel="0" collapsed="false">
      <c r="A1451" s="76" t="s">
        <v>2193</v>
      </c>
      <c r="B1451" s="76" t="s">
        <v>130</v>
      </c>
      <c r="C1451" s="76" t="s">
        <v>131</v>
      </c>
      <c r="D1451" s="76" t="s">
        <v>1161</v>
      </c>
      <c r="E1451" s="76" t="s">
        <v>1162</v>
      </c>
      <c r="F1451" s="35" t="s">
        <v>2194</v>
      </c>
      <c r="G1451" s="76" t="s">
        <v>682</v>
      </c>
      <c r="H1451" s="76"/>
      <c r="I1451" s="76"/>
      <c r="J1451" s="76"/>
      <c r="K1451" s="76"/>
      <c r="L1451" s="77" t="s">
        <v>1114</v>
      </c>
    </row>
    <row r="1452" customFormat="false" ht="15" hidden="false" customHeight="false" outlineLevel="0" collapsed="false">
      <c r="A1452" s="76" t="s">
        <v>2193</v>
      </c>
      <c r="B1452" s="76" t="s">
        <v>130</v>
      </c>
      <c r="C1452" s="76" t="s">
        <v>131</v>
      </c>
      <c r="D1452" s="76" t="s">
        <v>1161</v>
      </c>
      <c r="E1452" s="76" t="s">
        <v>1162</v>
      </c>
      <c r="F1452" s="35" t="s">
        <v>2194</v>
      </c>
      <c r="G1452" s="76" t="s">
        <v>685</v>
      </c>
      <c r="H1452" s="78" t="n">
        <v>43401</v>
      </c>
      <c r="I1452" s="76" t="s">
        <v>2197</v>
      </c>
      <c r="J1452" s="76" t="n">
        <v>43401</v>
      </c>
      <c r="K1452" s="76" t="s">
        <v>2197</v>
      </c>
      <c r="L1452" s="77" t="s">
        <v>1114</v>
      </c>
    </row>
    <row r="1453" customFormat="false" ht="15" hidden="false" customHeight="false" outlineLevel="0" collapsed="false">
      <c r="A1453" s="76" t="s">
        <v>2193</v>
      </c>
      <c r="B1453" s="76" t="s">
        <v>130</v>
      </c>
      <c r="C1453" s="76" t="s">
        <v>131</v>
      </c>
      <c r="D1453" s="76" t="s">
        <v>1161</v>
      </c>
      <c r="E1453" s="76" t="s">
        <v>1162</v>
      </c>
      <c r="F1453" s="35" t="s">
        <v>2194</v>
      </c>
      <c r="G1453" s="76" t="s">
        <v>434</v>
      </c>
      <c r="H1453" s="78" t="n">
        <v>15</v>
      </c>
      <c r="I1453" s="76" t="s">
        <v>1646</v>
      </c>
      <c r="J1453" s="76" t="n">
        <v>15</v>
      </c>
      <c r="K1453" s="76" t="s">
        <v>1646</v>
      </c>
      <c r="L1453" s="77" t="s">
        <v>1114</v>
      </c>
    </row>
    <row r="1454" customFormat="false" ht="15" hidden="false" customHeight="false" outlineLevel="0" collapsed="false">
      <c r="A1454" s="76" t="s">
        <v>2198</v>
      </c>
      <c r="B1454" s="76" t="s">
        <v>130</v>
      </c>
      <c r="C1454" s="76" t="s">
        <v>131</v>
      </c>
      <c r="D1454" s="76" t="s">
        <v>1180</v>
      </c>
      <c r="E1454" s="76" t="s">
        <v>1152</v>
      </c>
      <c r="F1454" s="35" t="s">
        <v>2199</v>
      </c>
      <c r="G1454" s="76" t="s">
        <v>419</v>
      </c>
      <c r="H1454" s="76"/>
      <c r="I1454" s="76" t="s">
        <v>1726</v>
      </c>
      <c r="J1454" s="76"/>
      <c r="K1454" s="76" t="s">
        <v>1726</v>
      </c>
      <c r="L1454" s="77" t="s">
        <v>1114</v>
      </c>
    </row>
    <row r="1455" customFormat="false" ht="15" hidden="false" customHeight="false" outlineLevel="0" collapsed="false">
      <c r="A1455" s="76" t="s">
        <v>2198</v>
      </c>
      <c r="B1455" s="76" t="s">
        <v>130</v>
      </c>
      <c r="C1455" s="76" t="s">
        <v>131</v>
      </c>
      <c r="D1455" s="76" t="s">
        <v>1180</v>
      </c>
      <c r="E1455" s="76" t="s">
        <v>1152</v>
      </c>
      <c r="F1455" s="35" t="s">
        <v>2199</v>
      </c>
      <c r="G1455" s="76" t="s">
        <v>422</v>
      </c>
      <c r="H1455" s="78" t="n">
        <v>1298219.11670354</v>
      </c>
      <c r="I1455" s="76" t="s">
        <v>2200</v>
      </c>
      <c r="J1455" s="78" t="n">
        <v>1298219.11670354</v>
      </c>
      <c r="K1455" s="76" t="s">
        <v>2200</v>
      </c>
      <c r="L1455" s="77" t="s">
        <v>1114</v>
      </c>
    </row>
    <row r="1456" customFormat="false" ht="15" hidden="false" customHeight="false" outlineLevel="0" collapsed="false">
      <c r="A1456" s="76" t="s">
        <v>2198</v>
      </c>
      <c r="B1456" s="76" t="s">
        <v>130</v>
      </c>
      <c r="C1456" s="76" t="s">
        <v>131</v>
      </c>
      <c r="D1456" s="76" t="s">
        <v>1180</v>
      </c>
      <c r="E1456" s="76" t="s">
        <v>1152</v>
      </c>
      <c r="F1456" s="35" t="s">
        <v>2199</v>
      </c>
      <c r="G1456" s="76" t="s">
        <v>714</v>
      </c>
      <c r="H1456" s="78" t="n">
        <v>0.0375857843137255</v>
      </c>
      <c r="I1456" s="76" t="s">
        <v>2201</v>
      </c>
      <c r="J1456" s="78" t="n">
        <v>0.0375857843137255</v>
      </c>
      <c r="K1456" s="76" t="s">
        <v>2201</v>
      </c>
      <c r="L1456" s="77" t="s">
        <v>1114</v>
      </c>
    </row>
    <row r="1457" customFormat="false" ht="15" hidden="false" customHeight="false" outlineLevel="0" collapsed="false">
      <c r="A1457" s="76" t="s">
        <v>2198</v>
      </c>
      <c r="B1457" s="76" t="s">
        <v>130</v>
      </c>
      <c r="C1457" s="76" t="s">
        <v>131</v>
      </c>
      <c r="D1457" s="76" t="s">
        <v>1180</v>
      </c>
      <c r="E1457" s="76" t="s">
        <v>1152</v>
      </c>
      <c r="F1457" s="35" t="s">
        <v>2199</v>
      </c>
      <c r="G1457" s="76" t="s">
        <v>716</v>
      </c>
      <c r="H1457" s="76"/>
      <c r="I1457" s="76" t="s">
        <v>2202</v>
      </c>
      <c r="J1457" s="78" t="n">
        <v>0.0583374999999999</v>
      </c>
      <c r="K1457" s="76" t="s">
        <v>2202</v>
      </c>
      <c r="L1457" s="77" t="s">
        <v>1114</v>
      </c>
    </row>
    <row r="1458" customFormat="false" ht="15" hidden="false" customHeight="false" outlineLevel="0" collapsed="false">
      <c r="A1458" s="76" t="s">
        <v>2198</v>
      </c>
      <c r="B1458" s="76" t="s">
        <v>130</v>
      </c>
      <c r="C1458" s="76" t="s">
        <v>131</v>
      </c>
      <c r="D1458" s="76" t="s">
        <v>1180</v>
      </c>
      <c r="E1458" s="76" t="s">
        <v>1152</v>
      </c>
      <c r="F1458" s="35" t="s">
        <v>2199</v>
      </c>
      <c r="G1458" s="76" t="s">
        <v>916</v>
      </c>
      <c r="H1458" s="76"/>
      <c r="I1458" s="76" t="s">
        <v>2203</v>
      </c>
      <c r="J1458" s="78" t="n">
        <v>0.0155</v>
      </c>
      <c r="K1458" s="76" t="s">
        <v>2203</v>
      </c>
      <c r="L1458" s="77" t="s">
        <v>1114</v>
      </c>
    </row>
    <row r="1459" customFormat="false" ht="15" hidden="false" customHeight="false" outlineLevel="0" collapsed="false">
      <c r="A1459" s="76" t="s">
        <v>2198</v>
      </c>
      <c r="B1459" s="76" t="s">
        <v>130</v>
      </c>
      <c r="C1459" s="76" t="s">
        <v>131</v>
      </c>
      <c r="D1459" s="76" t="s">
        <v>1180</v>
      </c>
      <c r="E1459" s="76" t="s">
        <v>1152</v>
      </c>
      <c r="F1459" s="35" t="s">
        <v>2199</v>
      </c>
      <c r="G1459" s="76" t="s">
        <v>917</v>
      </c>
      <c r="H1459" s="78" t="n">
        <v>366940.269175048</v>
      </c>
      <c r="I1459" s="76" t="s">
        <v>2204</v>
      </c>
      <c r="J1459" s="78" t="n">
        <v>366940.269175048</v>
      </c>
      <c r="K1459" s="76" t="s">
        <v>2204</v>
      </c>
      <c r="L1459" s="77" t="s">
        <v>1114</v>
      </c>
    </row>
    <row r="1460" customFormat="false" ht="15" hidden="false" customHeight="false" outlineLevel="0" collapsed="false">
      <c r="A1460" s="76" t="s">
        <v>2198</v>
      </c>
      <c r="B1460" s="76" t="s">
        <v>130</v>
      </c>
      <c r="C1460" s="76" t="s">
        <v>131</v>
      </c>
      <c r="D1460" s="76" t="s">
        <v>1180</v>
      </c>
      <c r="E1460" s="76" t="s">
        <v>1152</v>
      </c>
      <c r="F1460" s="35" t="s">
        <v>2199</v>
      </c>
      <c r="G1460" s="76" t="s">
        <v>675</v>
      </c>
      <c r="H1460" s="76" t="n">
        <v>1054500</v>
      </c>
      <c r="I1460" s="76" t="s">
        <v>2205</v>
      </c>
      <c r="J1460" s="76" t="n">
        <v>1054500</v>
      </c>
      <c r="K1460" s="76" t="s">
        <v>2205</v>
      </c>
      <c r="L1460" s="77" t="s">
        <v>1114</v>
      </c>
    </row>
    <row r="1461" customFormat="false" ht="15" hidden="false" customHeight="false" outlineLevel="0" collapsed="false">
      <c r="A1461" s="76" t="s">
        <v>2198</v>
      </c>
      <c r="B1461" s="76" t="s">
        <v>130</v>
      </c>
      <c r="C1461" s="76" t="s">
        <v>131</v>
      </c>
      <c r="D1461" s="76" t="s">
        <v>1180</v>
      </c>
      <c r="E1461" s="76" t="s">
        <v>1152</v>
      </c>
      <c r="F1461" s="35" t="s">
        <v>2199</v>
      </c>
      <c r="G1461" s="76" t="s">
        <v>907</v>
      </c>
      <c r="H1461" s="78" t="n">
        <v>2258200.38277793</v>
      </c>
      <c r="I1461" s="76" t="s">
        <v>2206</v>
      </c>
      <c r="J1461" s="78" t="n">
        <v>2258200.38277793</v>
      </c>
      <c r="K1461" s="76" t="s">
        <v>2206</v>
      </c>
      <c r="L1461" s="77" t="s">
        <v>1114</v>
      </c>
    </row>
    <row r="1462" customFormat="false" ht="15" hidden="false" customHeight="false" outlineLevel="0" collapsed="false">
      <c r="A1462" s="76" t="s">
        <v>2198</v>
      </c>
      <c r="B1462" s="76" t="s">
        <v>130</v>
      </c>
      <c r="C1462" s="76" t="s">
        <v>131</v>
      </c>
      <c r="D1462" s="76" t="s">
        <v>1180</v>
      </c>
      <c r="E1462" s="76" t="s">
        <v>1152</v>
      </c>
      <c r="F1462" s="35" t="s">
        <v>2199</v>
      </c>
      <c r="G1462" s="76" t="s">
        <v>720</v>
      </c>
      <c r="H1462" s="78" t="n">
        <v>366940.269175048</v>
      </c>
      <c r="I1462" s="76" t="s">
        <v>2204</v>
      </c>
      <c r="J1462" s="78" t="n">
        <v>366940.269175048</v>
      </c>
      <c r="K1462" s="76" t="s">
        <v>2204</v>
      </c>
      <c r="L1462" s="77" t="s">
        <v>1114</v>
      </c>
    </row>
    <row r="1463" customFormat="false" ht="15" hidden="false" customHeight="false" outlineLevel="0" collapsed="false">
      <c r="A1463" s="76" t="s">
        <v>2198</v>
      </c>
      <c r="B1463" s="76" t="s">
        <v>130</v>
      </c>
      <c r="C1463" s="76" t="s">
        <v>131</v>
      </c>
      <c r="D1463" s="76" t="s">
        <v>1180</v>
      </c>
      <c r="E1463" s="76" t="s">
        <v>1152</v>
      </c>
      <c r="F1463" s="35" t="s">
        <v>2199</v>
      </c>
      <c r="G1463" s="76" t="s">
        <v>682</v>
      </c>
      <c r="H1463" s="78" t="n">
        <v>1298219.11670354</v>
      </c>
      <c r="I1463" s="76" t="s">
        <v>2200</v>
      </c>
      <c r="J1463" s="78" t="n">
        <v>1298219.11670354</v>
      </c>
      <c r="K1463" s="76" t="s">
        <v>2200</v>
      </c>
      <c r="L1463" s="77" t="s">
        <v>1114</v>
      </c>
    </row>
    <row r="1464" customFormat="false" ht="15" hidden="false" customHeight="false" outlineLevel="0" collapsed="false">
      <c r="A1464" s="76" t="s">
        <v>2198</v>
      </c>
      <c r="B1464" s="76" t="s">
        <v>130</v>
      </c>
      <c r="C1464" s="76" t="s">
        <v>131</v>
      </c>
      <c r="D1464" s="76" t="s">
        <v>1180</v>
      </c>
      <c r="E1464" s="76" t="s">
        <v>1152</v>
      </c>
      <c r="F1464" s="35" t="s">
        <v>2199</v>
      </c>
      <c r="G1464" s="76" t="s">
        <v>685</v>
      </c>
      <c r="H1464" s="78" t="n">
        <v>1891260</v>
      </c>
      <c r="I1464" s="76" t="s">
        <v>2207</v>
      </c>
      <c r="J1464" s="76" t="n">
        <v>1891260</v>
      </c>
      <c r="K1464" s="76" t="s">
        <v>2207</v>
      </c>
      <c r="L1464" s="77" t="s">
        <v>1114</v>
      </c>
    </row>
    <row r="1465" customFormat="false" ht="15" hidden="false" customHeight="false" outlineLevel="0" collapsed="false">
      <c r="A1465" s="76" t="s">
        <v>2198</v>
      </c>
      <c r="B1465" s="76" t="s">
        <v>130</v>
      </c>
      <c r="C1465" s="76" t="s">
        <v>131</v>
      </c>
      <c r="D1465" s="76" t="s">
        <v>1180</v>
      </c>
      <c r="E1465" s="76" t="s">
        <v>1152</v>
      </c>
      <c r="F1465" s="35" t="s">
        <v>2199</v>
      </c>
      <c r="G1465" s="76" t="s">
        <v>434</v>
      </c>
      <c r="H1465" s="78" t="n">
        <v>19</v>
      </c>
      <c r="I1465" s="76" t="s">
        <v>2208</v>
      </c>
      <c r="J1465" s="76" t="n">
        <v>19</v>
      </c>
      <c r="K1465" s="76" t="s">
        <v>2208</v>
      </c>
      <c r="L1465" s="77" t="s">
        <v>1114</v>
      </c>
    </row>
    <row r="1466" customFormat="false" ht="15" hidden="false" customHeight="false" outlineLevel="0" collapsed="false">
      <c r="A1466" s="76" t="s">
        <v>2209</v>
      </c>
      <c r="B1466" s="76" t="s">
        <v>130</v>
      </c>
      <c r="C1466" s="76" t="s">
        <v>131</v>
      </c>
      <c r="D1466" s="76" t="s">
        <v>1189</v>
      </c>
      <c r="E1466" s="76" t="s">
        <v>1125</v>
      </c>
      <c r="F1466" s="35" t="s">
        <v>2210</v>
      </c>
      <c r="G1466" s="76" t="s">
        <v>419</v>
      </c>
      <c r="H1466" s="76"/>
      <c r="I1466" s="76" t="s">
        <v>1758</v>
      </c>
      <c r="J1466" s="76"/>
      <c r="K1466" s="76" t="s">
        <v>1758</v>
      </c>
      <c r="L1466" s="77" t="s">
        <v>1114</v>
      </c>
    </row>
    <row r="1467" customFormat="false" ht="15" hidden="false" customHeight="false" outlineLevel="0" collapsed="false">
      <c r="A1467" s="76" t="s">
        <v>2209</v>
      </c>
      <c r="B1467" s="76" t="s">
        <v>130</v>
      </c>
      <c r="C1467" s="76" t="s">
        <v>131</v>
      </c>
      <c r="D1467" s="76" t="s">
        <v>1189</v>
      </c>
      <c r="E1467" s="76" t="s">
        <v>1125</v>
      </c>
      <c r="F1467" s="35" t="s">
        <v>2210</v>
      </c>
      <c r="G1467" s="76" t="s">
        <v>422</v>
      </c>
      <c r="H1467" s="78" t="n">
        <v>1602646.52405236</v>
      </c>
      <c r="I1467" s="76" t="s">
        <v>2211</v>
      </c>
      <c r="J1467" s="78" t="n">
        <v>1602646.52405235</v>
      </c>
      <c r="K1467" s="76" t="s">
        <v>2211</v>
      </c>
      <c r="L1467" s="77" t="s">
        <v>1114</v>
      </c>
    </row>
    <row r="1468" customFormat="false" ht="15" hidden="false" customHeight="false" outlineLevel="0" collapsed="false">
      <c r="A1468" s="76" t="s">
        <v>2209</v>
      </c>
      <c r="B1468" s="76" t="s">
        <v>130</v>
      </c>
      <c r="C1468" s="76" t="s">
        <v>131</v>
      </c>
      <c r="D1468" s="76" t="s">
        <v>1189</v>
      </c>
      <c r="E1468" s="76" t="s">
        <v>1125</v>
      </c>
      <c r="F1468" s="35" t="s">
        <v>2210</v>
      </c>
      <c r="G1468" s="76" t="s">
        <v>714</v>
      </c>
      <c r="H1468" s="76"/>
      <c r="I1468" s="76"/>
      <c r="J1468" s="76"/>
      <c r="K1468" s="76"/>
      <c r="L1468" s="77" t="s">
        <v>1114</v>
      </c>
    </row>
    <row r="1469" customFormat="false" ht="15" hidden="false" customHeight="false" outlineLevel="0" collapsed="false">
      <c r="A1469" s="76" t="s">
        <v>2209</v>
      </c>
      <c r="B1469" s="76" t="s">
        <v>130</v>
      </c>
      <c r="C1469" s="76" t="s">
        <v>131</v>
      </c>
      <c r="D1469" s="76" t="s">
        <v>1189</v>
      </c>
      <c r="E1469" s="76" t="s">
        <v>1125</v>
      </c>
      <c r="F1469" s="35" t="s">
        <v>2210</v>
      </c>
      <c r="G1469" s="76" t="s">
        <v>716</v>
      </c>
      <c r="H1469" s="76"/>
      <c r="I1469" s="76"/>
      <c r="J1469" s="76"/>
      <c r="K1469" s="76"/>
      <c r="L1469" s="77" t="s">
        <v>1114</v>
      </c>
    </row>
    <row r="1470" customFormat="false" ht="15" hidden="false" customHeight="false" outlineLevel="0" collapsed="false">
      <c r="A1470" s="76" t="s">
        <v>2209</v>
      </c>
      <c r="B1470" s="76" t="s">
        <v>130</v>
      </c>
      <c r="C1470" s="76" t="s">
        <v>131</v>
      </c>
      <c r="D1470" s="76" t="s">
        <v>1189</v>
      </c>
      <c r="E1470" s="76" t="s">
        <v>1125</v>
      </c>
      <c r="F1470" s="35" t="s">
        <v>2210</v>
      </c>
      <c r="G1470" s="76" t="s">
        <v>916</v>
      </c>
      <c r="H1470" s="76"/>
      <c r="I1470" s="76" t="s">
        <v>2212</v>
      </c>
      <c r="J1470" s="78" t="n">
        <v>0.027</v>
      </c>
      <c r="K1470" s="76" t="s">
        <v>2212</v>
      </c>
      <c r="L1470" s="77" t="s">
        <v>1114</v>
      </c>
    </row>
    <row r="1471" customFormat="false" ht="15" hidden="false" customHeight="false" outlineLevel="0" collapsed="false">
      <c r="A1471" s="76" t="s">
        <v>2209</v>
      </c>
      <c r="B1471" s="76" t="s">
        <v>130</v>
      </c>
      <c r="C1471" s="76" t="s">
        <v>131</v>
      </c>
      <c r="D1471" s="76" t="s">
        <v>1189</v>
      </c>
      <c r="E1471" s="76" t="s">
        <v>1125</v>
      </c>
      <c r="F1471" s="35" t="s">
        <v>2210</v>
      </c>
      <c r="G1471" s="76" t="s">
        <v>917</v>
      </c>
      <c r="H1471" s="78" t="n">
        <v>914744.553099627</v>
      </c>
      <c r="I1471" s="76" t="s">
        <v>2213</v>
      </c>
      <c r="J1471" s="78" t="n">
        <v>914744.553099627</v>
      </c>
      <c r="K1471" s="76" t="s">
        <v>2213</v>
      </c>
      <c r="L1471" s="77" t="s">
        <v>1114</v>
      </c>
    </row>
    <row r="1472" customFormat="false" ht="15" hidden="false" customHeight="false" outlineLevel="0" collapsed="false">
      <c r="A1472" s="76" t="s">
        <v>2209</v>
      </c>
      <c r="B1472" s="76" t="s">
        <v>130</v>
      </c>
      <c r="C1472" s="76" t="s">
        <v>131</v>
      </c>
      <c r="D1472" s="76" t="s">
        <v>1189</v>
      </c>
      <c r="E1472" s="76" t="s">
        <v>1125</v>
      </c>
      <c r="F1472" s="35" t="s">
        <v>2210</v>
      </c>
      <c r="G1472" s="76" t="s">
        <v>675</v>
      </c>
      <c r="H1472" s="76" t="n">
        <v>1440000</v>
      </c>
      <c r="I1472" s="76" t="s">
        <v>2214</v>
      </c>
      <c r="J1472" s="76" t="n">
        <v>1440000</v>
      </c>
      <c r="K1472" s="76" t="s">
        <v>2214</v>
      </c>
      <c r="L1472" s="77" t="s">
        <v>1114</v>
      </c>
    </row>
    <row r="1473" customFormat="false" ht="15" hidden="false" customHeight="false" outlineLevel="0" collapsed="false">
      <c r="A1473" s="76" t="s">
        <v>2209</v>
      </c>
      <c r="B1473" s="76" t="s">
        <v>130</v>
      </c>
      <c r="C1473" s="76" t="s">
        <v>131</v>
      </c>
      <c r="D1473" s="76" t="s">
        <v>1189</v>
      </c>
      <c r="E1473" s="76" t="s">
        <v>1125</v>
      </c>
      <c r="F1473" s="35" t="s">
        <v>2210</v>
      </c>
      <c r="G1473" s="76" t="s">
        <v>907</v>
      </c>
      <c r="H1473" s="78" t="n">
        <v>2517391.07715198</v>
      </c>
      <c r="I1473" s="76" t="s">
        <v>2215</v>
      </c>
      <c r="J1473" s="78" t="n">
        <v>2517391.07715198</v>
      </c>
      <c r="K1473" s="76" t="s">
        <v>2215</v>
      </c>
      <c r="L1473" s="77" t="s">
        <v>1114</v>
      </c>
    </row>
    <row r="1474" customFormat="false" ht="15" hidden="false" customHeight="false" outlineLevel="0" collapsed="false">
      <c r="A1474" s="76" t="s">
        <v>2209</v>
      </c>
      <c r="B1474" s="76" t="s">
        <v>130</v>
      </c>
      <c r="C1474" s="76" t="s">
        <v>131</v>
      </c>
      <c r="D1474" s="76" t="s">
        <v>1189</v>
      </c>
      <c r="E1474" s="76" t="s">
        <v>1125</v>
      </c>
      <c r="F1474" s="35" t="s">
        <v>2210</v>
      </c>
      <c r="G1474" s="76" t="s">
        <v>720</v>
      </c>
      <c r="H1474" s="78" t="n">
        <v>914744.553099627</v>
      </c>
      <c r="I1474" s="76" t="s">
        <v>2213</v>
      </c>
      <c r="J1474" s="78" t="n">
        <v>914744.553099627</v>
      </c>
      <c r="K1474" s="76" t="s">
        <v>2213</v>
      </c>
      <c r="L1474" s="77" t="s">
        <v>1114</v>
      </c>
    </row>
    <row r="1475" customFormat="false" ht="15" hidden="false" customHeight="false" outlineLevel="0" collapsed="false">
      <c r="A1475" s="76" t="s">
        <v>2209</v>
      </c>
      <c r="B1475" s="76" t="s">
        <v>130</v>
      </c>
      <c r="C1475" s="76" t="s">
        <v>131</v>
      </c>
      <c r="D1475" s="76" t="s">
        <v>1189</v>
      </c>
      <c r="E1475" s="76" t="s">
        <v>1125</v>
      </c>
      <c r="F1475" s="35" t="s">
        <v>2210</v>
      </c>
      <c r="G1475" s="76" t="s">
        <v>682</v>
      </c>
      <c r="H1475" s="76"/>
      <c r="I1475" s="76"/>
      <c r="J1475" s="76"/>
      <c r="K1475" s="76"/>
      <c r="L1475" s="77" t="s">
        <v>1114</v>
      </c>
    </row>
    <row r="1476" customFormat="false" ht="15" hidden="false" customHeight="false" outlineLevel="0" collapsed="false">
      <c r="A1476" s="76" t="s">
        <v>2209</v>
      </c>
      <c r="B1476" s="76" t="s">
        <v>130</v>
      </c>
      <c r="C1476" s="76" t="s">
        <v>131</v>
      </c>
      <c r="D1476" s="76" t="s">
        <v>1189</v>
      </c>
      <c r="E1476" s="76" t="s">
        <v>1125</v>
      </c>
      <c r="F1476" s="35" t="s">
        <v>2210</v>
      </c>
      <c r="G1476" s="76" t="s">
        <v>685</v>
      </c>
      <c r="H1476" s="78" t="n">
        <v>1602647</v>
      </c>
      <c r="I1476" s="76" t="s">
        <v>2216</v>
      </c>
      <c r="J1476" s="76" t="n">
        <v>1602647</v>
      </c>
      <c r="K1476" s="76" t="s">
        <v>2216</v>
      </c>
      <c r="L1476" s="77" t="s">
        <v>1114</v>
      </c>
    </row>
    <row r="1477" customFormat="false" ht="15" hidden="false" customHeight="false" outlineLevel="0" collapsed="false">
      <c r="A1477" s="76" t="s">
        <v>2209</v>
      </c>
      <c r="B1477" s="76" t="s">
        <v>130</v>
      </c>
      <c r="C1477" s="76" t="s">
        <v>131</v>
      </c>
      <c r="D1477" s="76" t="s">
        <v>1189</v>
      </c>
      <c r="E1477" s="76" t="s">
        <v>1125</v>
      </c>
      <c r="F1477" s="35" t="s">
        <v>2210</v>
      </c>
      <c r="G1477" s="76" t="s">
        <v>434</v>
      </c>
      <c r="H1477" s="78" t="n">
        <v>30</v>
      </c>
      <c r="I1477" s="76" t="s">
        <v>1620</v>
      </c>
      <c r="J1477" s="76" t="n">
        <v>30</v>
      </c>
      <c r="K1477" s="76" t="s">
        <v>1620</v>
      </c>
      <c r="L1477" s="77" t="s">
        <v>1114</v>
      </c>
    </row>
    <row r="1478" customFormat="false" ht="15" hidden="false" customHeight="false" outlineLevel="0" collapsed="false">
      <c r="A1478" s="76" t="s">
        <v>2217</v>
      </c>
      <c r="B1478" s="76" t="s">
        <v>130</v>
      </c>
      <c r="C1478" s="76" t="s">
        <v>131</v>
      </c>
      <c r="D1478" s="76" t="s">
        <v>1198</v>
      </c>
      <c r="E1478" s="76" t="s">
        <v>1162</v>
      </c>
      <c r="F1478" s="35" t="s">
        <v>2218</v>
      </c>
      <c r="G1478" s="76" t="s">
        <v>419</v>
      </c>
      <c r="H1478" s="76"/>
      <c r="I1478" s="76" t="s">
        <v>1758</v>
      </c>
      <c r="J1478" s="76"/>
      <c r="K1478" s="76" t="s">
        <v>1758</v>
      </c>
      <c r="L1478" s="77" t="s">
        <v>1114</v>
      </c>
    </row>
    <row r="1479" customFormat="false" ht="15" hidden="false" customHeight="false" outlineLevel="0" collapsed="false">
      <c r="A1479" s="76" t="s">
        <v>2217</v>
      </c>
      <c r="B1479" s="76" t="s">
        <v>130</v>
      </c>
      <c r="C1479" s="76" t="s">
        <v>131</v>
      </c>
      <c r="D1479" s="76" t="s">
        <v>1198</v>
      </c>
      <c r="E1479" s="76" t="s">
        <v>1162</v>
      </c>
      <c r="F1479" s="35" t="s">
        <v>2218</v>
      </c>
      <c r="G1479" s="76" t="s">
        <v>422</v>
      </c>
      <c r="H1479" s="78" t="n">
        <v>1569517.23803858</v>
      </c>
      <c r="I1479" s="76" t="s">
        <v>2219</v>
      </c>
      <c r="J1479" s="78" t="n">
        <v>1569517.23803858</v>
      </c>
      <c r="K1479" s="76" t="s">
        <v>2219</v>
      </c>
      <c r="L1479" s="77" t="s">
        <v>1114</v>
      </c>
    </row>
    <row r="1480" customFormat="false" ht="15" hidden="false" customHeight="false" outlineLevel="0" collapsed="false">
      <c r="A1480" s="76" t="s">
        <v>2217</v>
      </c>
      <c r="B1480" s="76" t="s">
        <v>130</v>
      </c>
      <c r="C1480" s="76" t="s">
        <v>131</v>
      </c>
      <c r="D1480" s="76" t="s">
        <v>1198</v>
      </c>
      <c r="E1480" s="76" t="s">
        <v>1162</v>
      </c>
      <c r="F1480" s="35" t="s">
        <v>2218</v>
      </c>
      <c r="G1480" s="76" t="s">
        <v>714</v>
      </c>
      <c r="H1480" s="76"/>
      <c r="I1480" s="76"/>
      <c r="J1480" s="76"/>
      <c r="K1480" s="76"/>
      <c r="L1480" s="77" t="s">
        <v>1114</v>
      </c>
    </row>
    <row r="1481" customFormat="false" ht="15" hidden="false" customHeight="false" outlineLevel="0" collapsed="false">
      <c r="A1481" s="76" t="s">
        <v>2217</v>
      </c>
      <c r="B1481" s="76" t="s">
        <v>130</v>
      </c>
      <c r="C1481" s="76" t="s">
        <v>131</v>
      </c>
      <c r="D1481" s="76" t="s">
        <v>1198</v>
      </c>
      <c r="E1481" s="76" t="s">
        <v>1162</v>
      </c>
      <c r="F1481" s="35" t="s">
        <v>2218</v>
      </c>
      <c r="G1481" s="76" t="s">
        <v>716</v>
      </c>
      <c r="H1481" s="76"/>
      <c r="I1481" s="76"/>
      <c r="J1481" s="76"/>
      <c r="K1481" s="76"/>
      <c r="L1481" s="77" t="s">
        <v>1114</v>
      </c>
    </row>
    <row r="1482" customFormat="false" ht="15" hidden="false" customHeight="false" outlineLevel="0" collapsed="false">
      <c r="A1482" s="76" t="s">
        <v>2217</v>
      </c>
      <c r="B1482" s="76" t="s">
        <v>130</v>
      </c>
      <c r="C1482" s="76" t="s">
        <v>131</v>
      </c>
      <c r="D1482" s="76" t="s">
        <v>1198</v>
      </c>
      <c r="E1482" s="76" t="s">
        <v>1162</v>
      </c>
      <c r="F1482" s="35" t="s">
        <v>2218</v>
      </c>
      <c r="G1482" s="76" t="s">
        <v>916</v>
      </c>
      <c r="H1482" s="76"/>
      <c r="I1482" s="76" t="s">
        <v>2220</v>
      </c>
      <c r="J1482" s="78" t="n">
        <v>0.008</v>
      </c>
      <c r="K1482" s="76" t="s">
        <v>2220</v>
      </c>
      <c r="L1482" s="77" t="s">
        <v>1114</v>
      </c>
    </row>
    <row r="1483" customFormat="false" ht="15" hidden="false" customHeight="false" outlineLevel="0" collapsed="false">
      <c r="A1483" s="76" t="s">
        <v>2217</v>
      </c>
      <c r="B1483" s="76" t="s">
        <v>130</v>
      </c>
      <c r="C1483" s="76" t="s">
        <v>131</v>
      </c>
      <c r="D1483" s="76" t="s">
        <v>1198</v>
      </c>
      <c r="E1483" s="76" t="s">
        <v>1162</v>
      </c>
      <c r="F1483" s="35" t="s">
        <v>2218</v>
      </c>
      <c r="G1483" s="76" t="s">
        <v>917</v>
      </c>
      <c r="H1483" s="78" t="n">
        <v>312336.68312272</v>
      </c>
      <c r="I1483" s="76" t="s">
        <v>2221</v>
      </c>
      <c r="J1483" s="78" t="n">
        <v>312336.68312272</v>
      </c>
      <c r="K1483" s="76" t="s">
        <v>2221</v>
      </c>
      <c r="L1483" s="77" t="s">
        <v>1114</v>
      </c>
    </row>
    <row r="1484" customFormat="false" ht="15" hidden="false" customHeight="false" outlineLevel="0" collapsed="false">
      <c r="A1484" s="76" t="s">
        <v>2217</v>
      </c>
      <c r="B1484" s="76" t="s">
        <v>130</v>
      </c>
      <c r="C1484" s="76" t="s">
        <v>131</v>
      </c>
      <c r="D1484" s="76" t="s">
        <v>1198</v>
      </c>
      <c r="E1484" s="76" t="s">
        <v>1162</v>
      </c>
      <c r="F1484" s="35" t="s">
        <v>2218</v>
      </c>
      <c r="G1484" s="76" t="s">
        <v>675</v>
      </c>
      <c r="H1484" s="76" t="n">
        <v>691200</v>
      </c>
      <c r="I1484" s="76" t="s">
        <v>2222</v>
      </c>
      <c r="J1484" s="76" t="n">
        <v>691200</v>
      </c>
      <c r="K1484" s="76" t="s">
        <v>2222</v>
      </c>
      <c r="L1484" s="77" t="s">
        <v>1114</v>
      </c>
    </row>
    <row r="1485" customFormat="false" ht="15" hidden="false" customHeight="false" outlineLevel="0" collapsed="false">
      <c r="A1485" s="76" t="s">
        <v>2217</v>
      </c>
      <c r="B1485" s="76" t="s">
        <v>130</v>
      </c>
      <c r="C1485" s="76" t="s">
        <v>131</v>
      </c>
      <c r="D1485" s="76" t="s">
        <v>1198</v>
      </c>
      <c r="E1485" s="76" t="s">
        <v>1162</v>
      </c>
      <c r="F1485" s="35" t="s">
        <v>2218</v>
      </c>
      <c r="G1485" s="76" t="s">
        <v>907</v>
      </c>
      <c r="H1485" s="78" t="n">
        <v>1881853.9211613</v>
      </c>
      <c r="I1485" s="76" t="s">
        <v>2223</v>
      </c>
      <c r="J1485" s="78" t="n">
        <v>1881853.9211613</v>
      </c>
      <c r="K1485" s="76" t="s">
        <v>2223</v>
      </c>
      <c r="L1485" s="77" t="s">
        <v>1114</v>
      </c>
    </row>
    <row r="1486" customFormat="false" ht="15" hidden="false" customHeight="false" outlineLevel="0" collapsed="false">
      <c r="A1486" s="76" t="s">
        <v>2217</v>
      </c>
      <c r="B1486" s="76" t="s">
        <v>130</v>
      </c>
      <c r="C1486" s="76" t="s">
        <v>131</v>
      </c>
      <c r="D1486" s="76" t="s">
        <v>1198</v>
      </c>
      <c r="E1486" s="76" t="s">
        <v>1162</v>
      </c>
      <c r="F1486" s="35" t="s">
        <v>2218</v>
      </c>
      <c r="G1486" s="76" t="s">
        <v>720</v>
      </c>
      <c r="H1486" s="78" t="n">
        <v>312336.68312272</v>
      </c>
      <c r="I1486" s="76" t="s">
        <v>2221</v>
      </c>
      <c r="J1486" s="78" t="n">
        <v>312336.68312272</v>
      </c>
      <c r="K1486" s="76" t="s">
        <v>2221</v>
      </c>
      <c r="L1486" s="77" t="s">
        <v>1114</v>
      </c>
    </row>
    <row r="1487" customFormat="false" ht="15" hidden="false" customHeight="false" outlineLevel="0" collapsed="false">
      <c r="A1487" s="76" t="s">
        <v>2217</v>
      </c>
      <c r="B1487" s="76" t="s">
        <v>130</v>
      </c>
      <c r="C1487" s="76" t="s">
        <v>131</v>
      </c>
      <c r="D1487" s="76" t="s">
        <v>1198</v>
      </c>
      <c r="E1487" s="76" t="s">
        <v>1162</v>
      </c>
      <c r="F1487" s="35" t="s">
        <v>2218</v>
      </c>
      <c r="G1487" s="76" t="s">
        <v>682</v>
      </c>
      <c r="H1487" s="76"/>
      <c r="I1487" s="76"/>
      <c r="J1487" s="76"/>
      <c r="K1487" s="76"/>
      <c r="L1487" s="77" t="s">
        <v>1114</v>
      </c>
    </row>
    <row r="1488" customFormat="false" ht="15" hidden="false" customHeight="false" outlineLevel="0" collapsed="false">
      <c r="A1488" s="76" t="s">
        <v>2217</v>
      </c>
      <c r="B1488" s="76" t="s">
        <v>130</v>
      </c>
      <c r="C1488" s="76" t="s">
        <v>131</v>
      </c>
      <c r="D1488" s="76" t="s">
        <v>1198</v>
      </c>
      <c r="E1488" s="76" t="s">
        <v>1162</v>
      </c>
      <c r="F1488" s="35" t="s">
        <v>2218</v>
      </c>
      <c r="G1488" s="76" t="s">
        <v>685</v>
      </c>
      <c r="H1488" s="78" t="n">
        <v>1569517</v>
      </c>
      <c r="I1488" s="76" t="s">
        <v>2224</v>
      </c>
      <c r="J1488" s="76" t="n">
        <v>1569517</v>
      </c>
      <c r="K1488" s="76" t="s">
        <v>2224</v>
      </c>
      <c r="L1488" s="77" t="s">
        <v>1114</v>
      </c>
    </row>
    <row r="1489" customFormat="false" ht="15" hidden="false" customHeight="false" outlineLevel="0" collapsed="false">
      <c r="A1489" s="76" t="s">
        <v>2217</v>
      </c>
      <c r="B1489" s="76" t="s">
        <v>130</v>
      </c>
      <c r="C1489" s="76" t="s">
        <v>131</v>
      </c>
      <c r="D1489" s="76" t="s">
        <v>1198</v>
      </c>
      <c r="E1489" s="76" t="s">
        <v>1162</v>
      </c>
      <c r="F1489" s="35" t="s">
        <v>2218</v>
      </c>
      <c r="G1489" s="76" t="s">
        <v>434</v>
      </c>
      <c r="H1489" s="78" t="n">
        <v>36</v>
      </c>
      <c r="I1489" s="76" t="s">
        <v>1683</v>
      </c>
      <c r="J1489" s="76" t="n">
        <v>36</v>
      </c>
      <c r="K1489" s="76" t="s">
        <v>1683</v>
      </c>
      <c r="L1489" s="77" t="s">
        <v>1114</v>
      </c>
    </row>
    <row r="1490" customFormat="false" ht="15" hidden="false" customHeight="false" outlineLevel="0" collapsed="false">
      <c r="A1490" s="76" t="s">
        <v>2225</v>
      </c>
      <c r="B1490" s="76" t="s">
        <v>135</v>
      </c>
      <c r="C1490" s="76" t="s">
        <v>136</v>
      </c>
      <c r="D1490" s="76" t="s">
        <v>1111</v>
      </c>
      <c r="E1490" s="76" t="s">
        <v>1112</v>
      </c>
      <c r="F1490" s="35" t="s">
        <v>2226</v>
      </c>
      <c r="G1490" s="76" t="s">
        <v>419</v>
      </c>
      <c r="H1490" s="76"/>
      <c r="I1490" s="76" t="s">
        <v>932</v>
      </c>
      <c r="J1490" s="76"/>
      <c r="K1490" s="76" t="s">
        <v>932</v>
      </c>
      <c r="L1490" s="77" t="s">
        <v>1114</v>
      </c>
    </row>
    <row r="1491" customFormat="false" ht="15" hidden="false" customHeight="false" outlineLevel="0" collapsed="false">
      <c r="A1491" s="76" t="s">
        <v>2225</v>
      </c>
      <c r="B1491" s="76" t="s">
        <v>135</v>
      </c>
      <c r="C1491" s="76" t="s">
        <v>136</v>
      </c>
      <c r="D1491" s="76" t="s">
        <v>1111</v>
      </c>
      <c r="E1491" s="76" t="s">
        <v>1112</v>
      </c>
      <c r="F1491" s="35" t="s">
        <v>2226</v>
      </c>
      <c r="G1491" s="76" t="s">
        <v>932</v>
      </c>
      <c r="H1491" s="78" t="n">
        <v>21952.5954486869</v>
      </c>
      <c r="I1491" s="76" t="s">
        <v>2227</v>
      </c>
      <c r="J1491" s="78" t="n">
        <v>21952.5954486869</v>
      </c>
      <c r="K1491" s="76" t="s">
        <v>2227</v>
      </c>
      <c r="L1491" s="77" t="s">
        <v>1114</v>
      </c>
    </row>
    <row r="1492" customFormat="false" ht="15" hidden="false" customHeight="false" outlineLevel="0" collapsed="false">
      <c r="A1492" s="76" t="s">
        <v>2225</v>
      </c>
      <c r="B1492" s="76" t="s">
        <v>135</v>
      </c>
      <c r="C1492" s="76" t="s">
        <v>136</v>
      </c>
      <c r="D1492" s="76" t="s">
        <v>1111</v>
      </c>
      <c r="E1492" s="76" t="s">
        <v>1112</v>
      </c>
      <c r="F1492" s="35" t="s">
        <v>2226</v>
      </c>
      <c r="G1492" s="76" t="s">
        <v>933</v>
      </c>
      <c r="H1492" s="78" t="n">
        <v>0.01</v>
      </c>
      <c r="I1492" s="76" t="s">
        <v>2228</v>
      </c>
      <c r="J1492" s="78" t="n">
        <v>0.01</v>
      </c>
      <c r="K1492" s="76" t="s">
        <v>2228</v>
      </c>
      <c r="L1492" s="77" t="s">
        <v>1114</v>
      </c>
    </row>
    <row r="1493" customFormat="false" ht="15" hidden="false" customHeight="false" outlineLevel="0" collapsed="false">
      <c r="A1493" s="76" t="s">
        <v>2225</v>
      </c>
      <c r="B1493" s="76" t="s">
        <v>135</v>
      </c>
      <c r="C1493" s="76" t="s">
        <v>136</v>
      </c>
      <c r="D1493" s="76" t="s">
        <v>1111</v>
      </c>
      <c r="E1493" s="76" t="s">
        <v>1112</v>
      </c>
      <c r="F1493" s="35" t="s">
        <v>2226</v>
      </c>
      <c r="G1493" s="76" t="s">
        <v>934</v>
      </c>
      <c r="H1493" s="78" t="n">
        <v>120010.045568112</v>
      </c>
      <c r="I1493" s="76" t="s">
        <v>2229</v>
      </c>
      <c r="J1493" s="78" t="n">
        <v>120010.045568112</v>
      </c>
      <c r="K1493" s="76" t="s">
        <v>2229</v>
      </c>
      <c r="L1493" s="77" t="s">
        <v>1114</v>
      </c>
    </row>
    <row r="1494" customFormat="false" ht="15" hidden="false" customHeight="false" outlineLevel="0" collapsed="false">
      <c r="A1494" s="76" t="s">
        <v>2225</v>
      </c>
      <c r="B1494" s="76" t="s">
        <v>135</v>
      </c>
      <c r="C1494" s="76" t="s">
        <v>136</v>
      </c>
      <c r="D1494" s="76" t="s">
        <v>1111</v>
      </c>
      <c r="E1494" s="76" t="s">
        <v>1112</v>
      </c>
      <c r="F1494" s="35" t="s">
        <v>2226</v>
      </c>
      <c r="G1494" s="76" t="s">
        <v>935</v>
      </c>
      <c r="H1494" s="78" t="n">
        <v>98057.4501194251</v>
      </c>
      <c r="I1494" s="76" t="s">
        <v>2230</v>
      </c>
      <c r="J1494" s="78" t="n">
        <v>98057.4501194251</v>
      </c>
      <c r="K1494" s="76" t="s">
        <v>2230</v>
      </c>
      <c r="L1494" s="77" t="s">
        <v>1114</v>
      </c>
    </row>
    <row r="1495" customFormat="false" ht="15" hidden="false" customHeight="false" outlineLevel="0" collapsed="false">
      <c r="A1495" s="76" t="s">
        <v>2231</v>
      </c>
      <c r="B1495" s="76" t="s">
        <v>135</v>
      </c>
      <c r="C1495" s="76" t="s">
        <v>136</v>
      </c>
      <c r="D1495" s="76" t="s">
        <v>1124</v>
      </c>
      <c r="E1495" s="76" t="s">
        <v>1125</v>
      </c>
      <c r="F1495" s="35" t="s">
        <v>2232</v>
      </c>
      <c r="G1495" s="76" t="s">
        <v>419</v>
      </c>
      <c r="H1495" s="76"/>
      <c r="I1495" s="76" t="s">
        <v>932</v>
      </c>
      <c r="J1495" s="76"/>
      <c r="K1495" s="76" t="s">
        <v>932</v>
      </c>
      <c r="L1495" s="77" t="s">
        <v>1114</v>
      </c>
    </row>
    <row r="1496" customFormat="false" ht="15" hidden="false" customHeight="false" outlineLevel="0" collapsed="false">
      <c r="A1496" s="76" t="s">
        <v>2231</v>
      </c>
      <c r="B1496" s="76" t="s">
        <v>135</v>
      </c>
      <c r="C1496" s="76" t="s">
        <v>136</v>
      </c>
      <c r="D1496" s="76" t="s">
        <v>1124</v>
      </c>
      <c r="E1496" s="76" t="s">
        <v>1125</v>
      </c>
      <c r="F1496" s="35" t="s">
        <v>2232</v>
      </c>
      <c r="G1496" s="76" t="s">
        <v>932</v>
      </c>
      <c r="H1496" s="76" t="n">
        <v>0</v>
      </c>
      <c r="I1496" s="76" t="s">
        <v>1127</v>
      </c>
      <c r="J1496" s="76" t="n">
        <v>0</v>
      </c>
      <c r="K1496" s="76" t="s">
        <v>1127</v>
      </c>
      <c r="L1496" s="77" t="s">
        <v>1114</v>
      </c>
    </row>
    <row r="1497" customFormat="false" ht="15" hidden="false" customHeight="false" outlineLevel="0" collapsed="false">
      <c r="A1497" s="76" t="s">
        <v>2231</v>
      </c>
      <c r="B1497" s="76" t="s">
        <v>135</v>
      </c>
      <c r="C1497" s="76" t="s">
        <v>136</v>
      </c>
      <c r="D1497" s="76" t="s">
        <v>1124</v>
      </c>
      <c r="E1497" s="76" t="s">
        <v>1125</v>
      </c>
      <c r="F1497" s="35" t="s">
        <v>2232</v>
      </c>
      <c r="G1497" s="76" t="s">
        <v>933</v>
      </c>
      <c r="H1497" s="76" t="n">
        <v>0</v>
      </c>
      <c r="I1497" s="76" t="s">
        <v>2037</v>
      </c>
      <c r="J1497" s="76" t="n">
        <v>0</v>
      </c>
      <c r="K1497" s="76" t="s">
        <v>2037</v>
      </c>
      <c r="L1497" s="77" t="s">
        <v>1114</v>
      </c>
    </row>
    <row r="1498" customFormat="false" ht="15" hidden="false" customHeight="false" outlineLevel="0" collapsed="false">
      <c r="A1498" s="76" t="s">
        <v>2231</v>
      </c>
      <c r="B1498" s="76" t="s">
        <v>135</v>
      </c>
      <c r="C1498" s="76" t="s">
        <v>136</v>
      </c>
      <c r="D1498" s="76" t="s">
        <v>1124</v>
      </c>
      <c r="E1498" s="76" t="s">
        <v>1125</v>
      </c>
      <c r="F1498" s="35" t="s">
        <v>2232</v>
      </c>
      <c r="G1498" s="76" t="s">
        <v>934</v>
      </c>
      <c r="H1498" s="76" t="n">
        <v>1000</v>
      </c>
      <c r="I1498" s="76" t="s">
        <v>2036</v>
      </c>
      <c r="J1498" s="76" t="n">
        <v>1000</v>
      </c>
      <c r="K1498" s="76" t="s">
        <v>2036</v>
      </c>
      <c r="L1498" s="77" t="s">
        <v>1114</v>
      </c>
    </row>
    <row r="1499" customFormat="false" ht="15" hidden="false" customHeight="false" outlineLevel="0" collapsed="false">
      <c r="A1499" s="76" t="s">
        <v>2231</v>
      </c>
      <c r="B1499" s="76" t="s">
        <v>135</v>
      </c>
      <c r="C1499" s="76" t="s">
        <v>136</v>
      </c>
      <c r="D1499" s="76" t="s">
        <v>1124</v>
      </c>
      <c r="E1499" s="76" t="s">
        <v>1125</v>
      </c>
      <c r="F1499" s="35" t="s">
        <v>2232</v>
      </c>
      <c r="G1499" s="76" t="s">
        <v>935</v>
      </c>
      <c r="H1499" s="76" t="n">
        <v>1000</v>
      </c>
      <c r="I1499" s="76" t="s">
        <v>2036</v>
      </c>
      <c r="J1499" s="76" t="n">
        <v>1000</v>
      </c>
      <c r="K1499" s="76" t="s">
        <v>2036</v>
      </c>
      <c r="L1499" s="77" t="s">
        <v>1114</v>
      </c>
    </row>
    <row r="1500" customFormat="false" ht="15" hidden="false" customHeight="false" outlineLevel="0" collapsed="false">
      <c r="A1500" s="76" t="s">
        <v>2233</v>
      </c>
      <c r="B1500" s="76" t="s">
        <v>135</v>
      </c>
      <c r="C1500" s="76" t="s">
        <v>136</v>
      </c>
      <c r="D1500" s="76" t="s">
        <v>1132</v>
      </c>
      <c r="E1500" s="76" t="s">
        <v>1133</v>
      </c>
      <c r="F1500" s="35" t="s">
        <v>2234</v>
      </c>
      <c r="G1500" s="76" t="s">
        <v>419</v>
      </c>
      <c r="H1500" s="76"/>
      <c r="I1500" s="76" t="s">
        <v>932</v>
      </c>
      <c r="J1500" s="76"/>
      <c r="K1500" s="76" t="s">
        <v>932</v>
      </c>
      <c r="L1500" s="77" t="s">
        <v>1114</v>
      </c>
    </row>
    <row r="1501" customFormat="false" ht="15" hidden="false" customHeight="false" outlineLevel="0" collapsed="false">
      <c r="A1501" s="76" t="s">
        <v>2233</v>
      </c>
      <c r="B1501" s="76" t="s">
        <v>135</v>
      </c>
      <c r="C1501" s="76" t="s">
        <v>136</v>
      </c>
      <c r="D1501" s="76" t="s">
        <v>1132</v>
      </c>
      <c r="E1501" s="76" t="s">
        <v>1133</v>
      </c>
      <c r="F1501" s="35" t="s">
        <v>2234</v>
      </c>
      <c r="G1501" s="76" t="s">
        <v>932</v>
      </c>
      <c r="H1501" s="78" t="n">
        <v>15300313.5523296</v>
      </c>
      <c r="I1501" s="76" t="s">
        <v>2235</v>
      </c>
      <c r="J1501" s="78" t="n">
        <v>15300313.5523296</v>
      </c>
      <c r="K1501" s="76" t="s">
        <v>2235</v>
      </c>
      <c r="L1501" s="77" t="s">
        <v>1114</v>
      </c>
    </row>
    <row r="1502" customFormat="false" ht="15" hidden="false" customHeight="false" outlineLevel="0" collapsed="false">
      <c r="A1502" s="76" t="s">
        <v>2233</v>
      </c>
      <c r="B1502" s="76" t="s">
        <v>135</v>
      </c>
      <c r="C1502" s="76" t="s">
        <v>136</v>
      </c>
      <c r="D1502" s="76" t="s">
        <v>1132</v>
      </c>
      <c r="E1502" s="76" t="s">
        <v>1133</v>
      </c>
      <c r="F1502" s="35" t="s">
        <v>2234</v>
      </c>
      <c r="G1502" s="76" t="s">
        <v>933</v>
      </c>
      <c r="H1502" s="78" t="n">
        <v>0.03</v>
      </c>
      <c r="I1502" s="76" t="s">
        <v>2236</v>
      </c>
      <c r="J1502" s="78" t="n">
        <v>0.03</v>
      </c>
      <c r="K1502" s="76" t="s">
        <v>2236</v>
      </c>
      <c r="L1502" s="77" t="s">
        <v>1114</v>
      </c>
    </row>
    <row r="1503" customFormat="false" ht="15" hidden="false" customHeight="false" outlineLevel="0" collapsed="false">
      <c r="A1503" s="76" t="s">
        <v>2233</v>
      </c>
      <c r="B1503" s="76" t="s">
        <v>135</v>
      </c>
      <c r="C1503" s="76" t="s">
        <v>136</v>
      </c>
      <c r="D1503" s="76" t="s">
        <v>1132</v>
      </c>
      <c r="E1503" s="76" t="s">
        <v>1133</v>
      </c>
      <c r="F1503" s="35" t="s">
        <v>2234</v>
      </c>
      <c r="G1503" s="76" t="s">
        <v>934</v>
      </c>
      <c r="H1503" s="78" t="n">
        <v>6424207.94447034</v>
      </c>
      <c r="I1503" s="76" t="s">
        <v>2237</v>
      </c>
      <c r="J1503" s="78" t="n">
        <v>6424207.94447034</v>
      </c>
      <c r="K1503" s="76" t="s">
        <v>2237</v>
      </c>
      <c r="L1503" s="77" t="s">
        <v>1114</v>
      </c>
    </row>
    <row r="1504" customFormat="false" ht="15" hidden="false" customHeight="false" outlineLevel="0" collapsed="false">
      <c r="A1504" s="76" t="s">
        <v>2233</v>
      </c>
      <c r="B1504" s="76" t="s">
        <v>135</v>
      </c>
      <c r="C1504" s="76" t="s">
        <v>136</v>
      </c>
      <c r="D1504" s="76" t="s">
        <v>1132</v>
      </c>
      <c r="E1504" s="76" t="s">
        <v>1133</v>
      </c>
      <c r="F1504" s="35" t="s">
        <v>2234</v>
      </c>
      <c r="G1504" s="76" t="s">
        <v>935</v>
      </c>
      <c r="H1504" s="78" t="n">
        <v>21724521.4967999</v>
      </c>
      <c r="I1504" s="76" t="s">
        <v>2238</v>
      </c>
      <c r="J1504" s="78" t="n">
        <v>21724521.4967999</v>
      </c>
      <c r="K1504" s="76" t="s">
        <v>2238</v>
      </c>
      <c r="L1504" s="77" t="s">
        <v>1114</v>
      </c>
    </row>
    <row r="1505" customFormat="false" ht="15" hidden="false" customHeight="false" outlineLevel="0" collapsed="false">
      <c r="A1505" s="76" t="s">
        <v>2239</v>
      </c>
      <c r="B1505" s="76" t="s">
        <v>135</v>
      </c>
      <c r="C1505" s="76" t="s">
        <v>136</v>
      </c>
      <c r="D1505" s="76" t="s">
        <v>1141</v>
      </c>
      <c r="E1505" s="76" t="s">
        <v>1142</v>
      </c>
      <c r="F1505" s="35" t="s">
        <v>2240</v>
      </c>
      <c r="G1505" s="76" t="s">
        <v>419</v>
      </c>
      <c r="H1505" s="76"/>
      <c r="I1505" s="76" t="s">
        <v>932</v>
      </c>
      <c r="J1505" s="76"/>
      <c r="K1505" s="76" t="s">
        <v>932</v>
      </c>
      <c r="L1505" s="77" t="s">
        <v>1114</v>
      </c>
    </row>
    <row r="1506" customFormat="false" ht="15" hidden="false" customHeight="false" outlineLevel="0" collapsed="false">
      <c r="A1506" s="76" t="s">
        <v>2239</v>
      </c>
      <c r="B1506" s="76" t="s">
        <v>135</v>
      </c>
      <c r="C1506" s="76" t="s">
        <v>136</v>
      </c>
      <c r="D1506" s="76" t="s">
        <v>1141</v>
      </c>
      <c r="E1506" s="76" t="s">
        <v>1142</v>
      </c>
      <c r="F1506" s="35" t="s">
        <v>2240</v>
      </c>
      <c r="G1506" s="76" t="s">
        <v>932</v>
      </c>
      <c r="H1506" s="78" t="n">
        <v>1027479.7014463</v>
      </c>
      <c r="I1506" s="76" t="s">
        <v>2241</v>
      </c>
      <c r="J1506" s="78" t="n">
        <v>1027479.7014463</v>
      </c>
      <c r="K1506" s="76" t="s">
        <v>2241</v>
      </c>
      <c r="L1506" s="77" t="s">
        <v>1114</v>
      </c>
    </row>
    <row r="1507" customFormat="false" ht="15" hidden="false" customHeight="false" outlineLevel="0" collapsed="false">
      <c r="A1507" s="76" t="s">
        <v>2239</v>
      </c>
      <c r="B1507" s="76" t="s">
        <v>135</v>
      </c>
      <c r="C1507" s="76" t="s">
        <v>136</v>
      </c>
      <c r="D1507" s="76" t="s">
        <v>1141</v>
      </c>
      <c r="E1507" s="76" t="s">
        <v>1142</v>
      </c>
      <c r="F1507" s="35" t="s">
        <v>2240</v>
      </c>
      <c r="G1507" s="76" t="s">
        <v>933</v>
      </c>
      <c r="H1507" s="78" t="n">
        <v>0.01</v>
      </c>
      <c r="I1507" s="76" t="s">
        <v>2228</v>
      </c>
      <c r="J1507" s="78" t="n">
        <v>0.01</v>
      </c>
      <c r="K1507" s="76" t="s">
        <v>2228</v>
      </c>
      <c r="L1507" s="77" t="s">
        <v>1114</v>
      </c>
    </row>
    <row r="1508" customFormat="false" ht="15" hidden="false" customHeight="false" outlineLevel="0" collapsed="false">
      <c r="A1508" s="76" t="s">
        <v>2239</v>
      </c>
      <c r="B1508" s="76" t="s">
        <v>135</v>
      </c>
      <c r="C1508" s="76" t="s">
        <v>136</v>
      </c>
      <c r="D1508" s="76" t="s">
        <v>1141</v>
      </c>
      <c r="E1508" s="76" t="s">
        <v>1142</v>
      </c>
      <c r="F1508" s="35" t="s">
        <v>2240</v>
      </c>
      <c r="G1508" s="76" t="s">
        <v>934</v>
      </c>
      <c r="H1508" s="78" t="n">
        <v>3117773.14118063</v>
      </c>
      <c r="I1508" s="76" t="s">
        <v>2242</v>
      </c>
      <c r="J1508" s="78" t="n">
        <v>3117773.14118063</v>
      </c>
      <c r="K1508" s="76" t="s">
        <v>2242</v>
      </c>
      <c r="L1508" s="77" t="s">
        <v>1114</v>
      </c>
    </row>
    <row r="1509" customFormat="false" ht="15" hidden="false" customHeight="false" outlineLevel="0" collapsed="false">
      <c r="A1509" s="76" t="s">
        <v>2239</v>
      </c>
      <c r="B1509" s="76" t="s">
        <v>135</v>
      </c>
      <c r="C1509" s="76" t="s">
        <v>136</v>
      </c>
      <c r="D1509" s="76" t="s">
        <v>1141</v>
      </c>
      <c r="E1509" s="76" t="s">
        <v>1142</v>
      </c>
      <c r="F1509" s="35" t="s">
        <v>2240</v>
      </c>
      <c r="G1509" s="76" t="s">
        <v>935</v>
      </c>
      <c r="H1509" s="78" t="n">
        <v>4145252.84262693</v>
      </c>
      <c r="I1509" s="76" t="s">
        <v>2243</v>
      </c>
      <c r="J1509" s="78" t="n">
        <v>4145252.84262693</v>
      </c>
      <c r="K1509" s="76" t="s">
        <v>2243</v>
      </c>
      <c r="L1509" s="77" t="s">
        <v>1114</v>
      </c>
    </row>
    <row r="1510" customFormat="false" ht="15" hidden="false" customHeight="false" outlineLevel="0" collapsed="false">
      <c r="A1510" s="76" t="s">
        <v>2244</v>
      </c>
      <c r="B1510" s="76" t="s">
        <v>135</v>
      </c>
      <c r="C1510" s="76" t="s">
        <v>136</v>
      </c>
      <c r="D1510" s="76" t="s">
        <v>1151</v>
      </c>
      <c r="E1510" s="76" t="s">
        <v>1152</v>
      </c>
      <c r="F1510" s="35" t="s">
        <v>2245</v>
      </c>
      <c r="G1510" s="76" t="s">
        <v>419</v>
      </c>
      <c r="H1510" s="76"/>
      <c r="I1510" s="76" t="s">
        <v>932</v>
      </c>
      <c r="J1510" s="76"/>
      <c r="K1510" s="76" t="s">
        <v>932</v>
      </c>
      <c r="L1510" s="77" t="s">
        <v>1114</v>
      </c>
    </row>
    <row r="1511" customFormat="false" ht="15" hidden="false" customHeight="false" outlineLevel="0" collapsed="false">
      <c r="A1511" s="76" t="s">
        <v>2244</v>
      </c>
      <c r="B1511" s="76" t="s">
        <v>135</v>
      </c>
      <c r="C1511" s="76" t="s">
        <v>136</v>
      </c>
      <c r="D1511" s="76" t="s">
        <v>1151</v>
      </c>
      <c r="E1511" s="76" t="s">
        <v>1152</v>
      </c>
      <c r="F1511" s="35" t="s">
        <v>2245</v>
      </c>
      <c r="G1511" s="76" t="s">
        <v>932</v>
      </c>
      <c r="H1511" s="78" t="n">
        <v>11070.0297457363</v>
      </c>
      <c r="I1511" s="76" t="s">
        <v>2246</v>
      </c>
      <c r="J1511" s="78" t="n">
        <v>11070.0297457363</v>
      </c>
      <c r="K1511" s="76" t="s">
        <v>2246</v>
      </c>
      <c r="L1511" s="77" t="s">
        <v>1114</v>
      </c>
    </row>
    <row r="1512" customFormat="false" ht="15" hidden="false" customHeight="false" outlineLevel="0" collapsed="false">
      <c r="A1512" s="76" t="s">
        <v>2244</v>
      </c>
      <c r="B1512" s="76" t="s">
        <v>135</v>
      </c>
      <c r="C1512" s="76" t="s">
        <v>136</v>
      </c>
      <c r="D1512" s="76" t="s">
        <v>1151</v>
      </c>
      <c r="E1512" s="76" t="s">
        <v>1152</v>
      </c>
      <c r="F1512" s="35" t="s">
        <v>2245</v>
      </c>
      <c r="G1512" s="76" t="s">
        <v>933</v>
      </c>
      <c r="H1512" s="78" t="n">
        <v>0.005</v>
      </c>
      <c r="I1512" s="76" t="s">
        <v>2247</v>
      </c>
      <c r="J1512" s="78" t="n">
        <v>0.005</v>
      </c>
      <c r="K1512" s="76" t="s">
        <v>2247</v>
      </c>
      <c r="L1512" s="77" t="s">
        <v>1114</v>
      </c>
    </row>
    <row r="1513" customFormat="false" ht="15" hidden="false" customHeight="false" outlineLevel="0" collapsed="false">
      <c r="A1513" s="76" t="s">
        <v>2244</v>
      </c>
      <c r="B1513" s="76" t="s">
        <v>135</v>
      </c>
      <c r="C1513" s="76" t="s">
        <v>136</v>
      </c>
      <c r="D1513" s="76" t="s">
        <v>1151</v>
      </c>
      <c r="E1513" s="76" t="s">
        <v>1152</v>
      </c>
      <c r="F1513" s="35" t="s">
        <v>2245</v>
      </c>
      <c r="G1513" s="76" t="s">
        <v>934</v>
      </c>
      <c r="H1513" s="78" t="n">
        <v>104206.516331171</v>
      </c>
      <c r="I1513" s="76" t="s">
        <v>2248</v>
      </c>
      <c r="J1513" s="78" t="n">
        <v>104206.516331171</v>
      </c>
      <c r="K1513" s="76" t="s">
        <v>2248</v>
      </c>
      <c r="L1513" s="77" t="s">
        <v>1114</v>
      </c>
    </row>
    <row r="1514" customFormat="false" ht="15" hidden="false" customHeight="false" outlineLevel="0" collapsed="false">
      <c r="A1514" s="76" t="s">
        <v>2244</v>
      </c>
      <c r="B1514" s="76" t="s">
        <v>135</v>
      </c>
      <c r="C1514" s="76" t="s">
        <v>136</v>
      </c>
      <c r="D1514" s="76" t="s">
        <v>1151</v>
      </c>
      <c r="E1514" s="76" t="s">
        <v>1152</v>
      </c>
      <c r="F1514" s="35" t="s">
        <v>2245</v>
      </c>
      <c r="G1514" s="76" t="s">
        <v>935</v>
      </c>
      <c r="H1514" s="78" t="n">
        <v>115276.546076908</v>
      </c>
      <c r="I1514" s="76" t="s">
        <v>2249</v>
      </c>
      <c r="J1514" s="78" t="n">
        <v>115276.546076908</v>
      </c>
      <c r="K1514" s="76" t="s">
        <v>2249</v>
      </c>
      <c r="L1514" s="77" t="s">
        <v>1114</v>
      </c>
    </row>
    <row r="1515" customFormat="false" ht="15" hidden="false" customHeight="false" outlineLevel="0" collapsed="false">
      <c r="A1515" s="76" t="s">
        <v>2250</v>
      </c>
      <c r="B1515" s="76" t="s">
        <v>135</v>
      </c>
      <c r="C1515" s="76" t="s">
        <v>136</v>
      </c>
      <c r="D1515" s="76" t="s">
        <v>1161</v>
      </c>
      <c r="E1515" s="76" t="s">
        <v>1162</v>
      </c>
      <c r="F1515" s="35" t="s">
        <v>2251</v>
      </c>
      <c r="G1515" s="76" t="s">
        <v>419</v>
      </c>
      <c r="H1515" s="76"/>
      <c r="I1515" s="76" t="s">
        <v>932</v>
      </c>
      <c r="J1515" s="76"/>
      <c r="K1515" s="76" t="s">
        <v>932</v>
      </c>
      <c r="L1515" s="77" t="s">
        <v>1114</v>
      </c>
    </row>
    <row r="1516" customFormat="false" ht="15" hidden="false" customHeight="false" outlineLevel="0" collapsed="false">
      <c r="A1516" s="76" t="s">
        <v>2250</v>
      </c>
      <c r="B1516" s="76" t="s">
        <v>135</v>
      </c>
      <c r="C1516" s="76" t="s">
        <v>136</v>
      </c>
      <c r="D1516" s="76" t="s">
        <v>1161</v>
      </c>
      <c r="E1516" s="76" t="s">
        <v>1162</v>
      </c>
      <c r="F1516" s="35" t="s">
        <v>2251</v>
      </c>
      <c r="G1516" s="76" t="s">
        <v>932</v>
      </c>
      <c r="H1516" s="78" t="n">
        <v>59858.2076460391</v>
      </c>
      <c r="I1516" s="76" t="s">
        <v>2252</v>
      </c>
      <c r="J1516" s="78" t="n">
        <v>59858.2076460391</v>
      </c>
      <c r="K1516" s="76" t="s">
        <v>2252</v>
      </c>
      <c r="L1516" s="77" t="s">
        <v>1114</v>
      </c>
    </row>
    <row r="1517" customFormat="false" ht="15" hidden="false" customHeight="false" outlineLevel="0" collapsed="false">
      <c r="A1517" s="76" t="s">
        <v>2250</v>
      </c>
      <c r="B1517" s="76" t="s">
        <v>135</v>
      </c>
      <c r="C1517" s="76" t="s">
        <v>136</v>
      </c>
      <c r="D1517" s="76" t="s">
        <v>1161</v>
      </c>
      <c r="E1517" s="76" t="s">
        <v>1162</v>
      </c>
      <c r="F1517" s="35" t="s">
        <v>2251</v>
      </c>
      <c r="G1517" s="76" t="s">
        <v>933</v>
      </c>
      <c r="H1517" s="78" t="n">
        <v>0.019</v>
      </c>
      <c r="I1517" s="76" t="s">
        <v>2163</v>
      </c>
      <c r="J1517" s="78" t="n">
        <v>0.019</v>
      </c>
      <c r="K1517" s="76" t="s">
        <v>2163</v>
      </c>
      <c r="L1517" s="77" t="s">
        <v>1114</v>
      </c>
    </row>
    <row r="1518" customFormat="false" ht="15" hidden="false" customHeight="false" outlineLevel="0" collapsed="false">
      <c r="A1518" s="76" t="s">
        <v>2250</v>
      </c>
      <c r="B1518" s="76" t="s">
        <v>135</v>
      </c>
      <c r="C1518" s="76" t="s">
        <v>136</v>
      </c>
      <c r="D1518" s="76" t="s">
        <v>1161</v>
      </c>
      <c r="E1518" s="76" t="s">
        <v>1162</v>
      </c>
      <c r="F1518" s="35" t="s">
        <v>2251</v>
      </c>
      <c r="G1518" s="76" t="s">
        <v>934</v>
      </c>
      <c r="H1518" s="78" t="n">
        <v>187391.725856993</v>
      </c>
      <c r="I1518" s="76" t="s">
        <v>2253</v>
      </c>
      <c r="J1518" s="78" t="n">
        <v>187391.725856993</v>
      </c>
      <c r="K1518" s="76" t="s">
        <v>2253</v>
      </c>
      <c r="L1518" s="77" t="s">
        <v>1114</v>
      </c>
    </row>
    <row r="1519" customFormat="false" ht="15" hidden="false" customHeight="false" outlineLevel="0" collapsed="false">
      <c r="A1519" s="76" t="s">
        <v>2250</v>
      </c>
      <c r="B1519" s="76" t="s">
        <v>135</v>
      </c>
      <c r="C1519" s="76" t="s">
        <v>136</v>
      </c>
      <c r="D1519" s="76" t="s">
        <v>1161</v>
      </c>
      <c r="E1519" s="76" t="s">
        <v>1162</v>
      </c>
      <c r="F1519" s="35" t="s">
        <v>2251</v>
      </c>
      <c r="G1519" s="76" t="s">
        <v>935</v>
      </c>
      <c r="H1519" s="78" t="n">
        <v>127533.518210954</v>
      </c>
      <c r="I1519" s="76" t="s">
        <v>2254</v>
      </c>
      <c r="J1519" s="78" t="n">
        <v>127533.518210954</v>
      </c>
      <c r="K1519" s="76" t="s">
        <v>2254</v>
      </c>
      <c r="L1519" s="77" t="s">
        <v>1114</v>
      </c>
    </row>
    <row r="1520" customFormat="false" ht="15" hidden="false" customHeight="false" outlineLevel="0" collapsed="false">
      <c r="A1520" s="76" t="s">
        <v>2255</v>
      </c>
      <c r="B1520" s="76" t="s">
        <v>135</v>
      </c>
      <c r="C1520" s="76" t="s">
        <v>136</v>
      </c>
      <c r="D1520" s="76" t="s">
        <v>1180</v>
      </c>
      <c r="E1520" s="76" t="s">
        <v>1152</v>
      </c>
      <c r="F1520" s="35" t="s">
        <v>2256</v>
      </c>
      <c r="G1520" s="76" t="s">
        <v>419</v>
      </c>
      <c r="H1520" s="76"/>
      <c r="I1520" s="76" t="s">
        <v>932</v>
      </c>
      <c r="J1520" s="76"/>
      <c r="K1520" s="76" t="s">
        <v>932</v>
      </c>
      <c r="L1520" s="77" t="s">
        <v>1114</v>
      </c>
    </row>
    <row r="1521" customFormat="false" ht="15" hidden="false" customHeight="false" outlineLevel="0" collapsed="false">
      <c r="A1521" s="76" t="s">
        <v>2255</v>
      </c>
      <c r="B1521" s="76" t="s">
        <v>135</v>
      </c>
      <c r="C1521" s="76" t="s">
        <v>136</v>
      </c>
      <c r="D1521" s="76" t="s">
        <v>1180</v>
      </c>
      <c r="E1521" s="76" t="s">
        <v>1152</v>
      </c>
      <c r="F1521" s="35" t="s">
        <v>2256</v>
      </c>
      <c r="G1521" s="76" t="s">
        <v>932</v>
      </c>
      <c r="H1521" s="76" t="n">
        <v>0</v>
      </c>
      <c r="I1521" s="76" t="s">
        <v>1127</v>
      </c>
      <c r="J1521" s="76" t="n">
        <v>0</v>
      </c>
      <c r="K1521" s="76" t="s">
        <v>1127</v>
      </c>
      <c r="L1521" s="77" t="s">
        <v>1114</v>
      </c>
    </row>
    <row r="1522" customFormat="false" ht="15" hidden="false" customHeight="false" outlineLevel="0" collapsed="false">
      <c r="A1522" s="76" t="s">
        <v>2255</v>
      </c>
      <c r="B1522" s="76" t="s">
        <v>135</v>
      </c>
      <c r="C1522" s="76" t="s">
        <v>136</v>
      </c>
      <c r="D1522" s="76" t="s">
        <v>1180</v>
      </c>
      <c r="E1522" s="76" t="s">
        <v>1152</v>
      </c>
      <c r="F1522" s="35" t="s">
        <v>2256</v>
      </c>
      <c r="G1522" s="76" t="s">
        <v>933</v>
      </c>
      <c r="H1522" s="76" t="n">
        <v>0</v>
      </c>
      <c r="I1522" s="76" t="s">
        <v>2037</v>
      </c>
      <c r="J1522" s="76" t="n">
        <v>0</v>
      </c>
      <c r="K1522" s="76" t="s">
        <v>2037</v>
      </c>
      <c r="L1522" s="77" t="s">
        <v>1114</v>
      </c>
    </row>
    <row r="1523" customFormat="false" ht="15" hidden="false" customHeight="false" outlineLevel="0" collapsed="false">
      <c r="A1523" s="76" t="s">
        <v>2255</v>
      </c>
      <c r="B1523" s="76" t="s">
        <v>135</v>
      </c>
      <c r="C1523" s="76" t="s">
        <v>136</v>
      </c>
      <c r="D1523" s="76" t="s">
        <v>1180</v>
      </c>
      <c r="E1523" s="76" t="s">
        <v>1152</v>
      </c>
      <c r="F1523" s="35" t="s">
        <v>2256</v>
      </c>
      <c r="G1523" s="76" t="s">
        <v>934</v>
      </c>
      <c r="H1523" s="78" t="n">
        <v>498171.648</v>
      </c>
      <c r="I1523" s="76" t="s">
        <v>2257</v>
      </c>
      <c r="J1523" s="78" t="n">
        <v>498171.648</v>
      </c>
      <c r="K1523" s="76" t="s">
        <v>2257</v>
      </c>
      <c r="L1523" s="77" t="s">
        <v>1114</v>
      </c>
    </row>
    <row r="1524" customFormat="false" ht="15" hidden="false" customHeight="false" outlineLevel="0" collapsed="false">
      <c r="A1524" s="76" t="s">
        <v>2255</v>
      </c>
      <c r="B1524" s="76" t="s">
        <v>135</v>
      </c>
      <c r="C1524" s="76" t="s">
        <v>136</v>
      </c>
      <c r="D1524" s="76" t="s">
        <v>1180</v>
      </c>
      <c r="E1524" s="76" t="s">
        <v>1152</v>
      </c>
      <c r="F1524" s="35" t="s">
        <v>2256</v>
      </c>
      <c r="G1524" s="76" t="s">
        <v>935</v>
      </c>
      <c r="H1524" s="78" t="n">
        <v>498171.648</v>
      </c>
      <c r="I1524" s="76" t="s">
        <v>2257</v>
      </c>
      <c r="J1524" s="78" t="n">
        <v>498171.648</v>
      </c>
      <c r="K1524" s="76" t="s">
        <v>2257</v>
      </c>
      <c r="L1524" s="77" t="s">
        <v>1114</v>
      </c>
    </row>
    <row r="1525" customFormat="false" ht="15" hidden="false" customHeight="false" outlineLevel="0" collapsed="false">
      <c r="A1525" s="76" t="s">
        <v>2258</v>
      </c>
      <c r="B1525" s="76" t="s">
        <v>135</v>
      </c>
      <c r="C1525" s="76" t="s">
        <v>136</v>
      </c>
      <c r="D1525" s="76" t="s">
        <v>1189</v>
      </c>
      <c r="E1525" s="76" t="s">
        <v>1125</v>
      </c>
      <c r="F1525" s="35" t="s">
        <v>2259</v>
      </c>
      <c r="G1525" s="76" t="s">
        <v>419</v>
      </c>
      <c r="H1525" s="76"/>
      <c r="I1525" s="76" t="s">
        <v>932</v>
      </c>
      <c r="J1525" s="76"/>
      <c r="K1525" s="76" t="s">
        <v>932</v>
      </c>
      <c r="L1525" s="77" t="s">
        <v>1114</v>
      </c>
    </row>
    <row r="1526" customFormat="false" ht="15" hidden="false" customHeight="false" outlineLevel="0" collapsed="false">
      <c r="A1526" s="76" t="s">
        <v>2258</v>
      </c>
      <c r="B1526" s="76" t="s">
        <v>135</v>
      </c>
      <c r="C1526" s="76" t="s">
        <v>136</v>
      </c>
      <c r="D1526" s="76" t="s">
        <v>1189</v>
      </c>
      <c r="E1526" s="76" t="s">
        <v>1125</v>
      </c>
      <c r="F1526" s="35" t="s">
        <v>2259</v>
      </c>
      <c r="G1526" s="76" t="s">
        <v>932</v>
      </c>
      <c r="H1526" s="78" t="n">
        <v>1871.34415019999</v>
      </c>
      <c r="I1526" s="76" t="s">
        <v>2260</v>
      </c>
      <c r="J1526" s="78" t="n">
        <v>1871.34415019999</v>
      </c>
      <c r="K1526" s="76" t="s">
        <v>2260</v>
      </c>
      <c r="L1526" s="77" t="s">
        <v>1114</v>
      </c>
    </row>
    <row r="1527" customFormat="false" ht="15" hidden="false" customHeight="false" outlineLevel="0" collapsed="false">
      <c r="A1527" s="76" t="s">
        <v>2258</v>
      </c>
      <c r="B1527" s="76" t="s">
        <v>135</v>
      </c>
      <c r="C1527" s="76" t="s">
        <v>136</v>
      </c>
      <c r="D1527" s="76" t="s">
        <v>1189</v>
      </c>
      <c r="E1527" s="76" t="s">
        <v>1125</v>
      </c>
      <c r="F1527" s="35" t="s">
        <v>2259</v>
      </c>
      <c r="G1527" s="76" t="s">
        <v>933</v>
      </c>
      <c r="H1527" s="78" t="n">
        <v>0.003</v>
      </c>
      <c r="I1527" s="76" t="s">
        <v>1738</v>
      </c>
      <c r="J1527" s="78" t="n">
        <v>0.003</v>
      </c>
      <c r="K1527" s="76" t="s">
        <v>1738</v>
      </c>
      <c r="L1527" s="77" t="s">
        <v>1114</v>
      </c>
    </row>
    <row r="1528" customFormat="false" ht="15" hidden="false" customHeight="false" outlineLevel="0" collapsed="false">
      <c r="A1528" s="76" t="s">
        <v>2258</v>
      </c>
      <c r="B1528" s="76" t="s">
        <v>135</v>
      </c>
      <c r="C1528" s="76" t="s">
        <v>136</v>
      </c>
      <c r="D1528" s="76" t="s">
        <v>1189</v>
      </c>
      <c r="E1528" s="76" t="s">
        <v>1125</v>
      </c>
      <c r="F1528" s="35" t="s">
        <v>2259</v>
      </c>
      <c r="G1528" s="76" t="s">
        <v>934</v>
      </c>
      <c r="H1528" s="78" t="n">
        <v>203354.0007714</v>
      </c>
      <c r="I1528" s="76" t="s">
        <v>2261</v>
      </c>
      <c r="J1528" s="78" t="n">
        <v>203354.0007714</v>
      </c>
      <c r="K1528" s="76" t="s">
        <v>2261</v>
      </c>
      <c r="L1528" s="77" t="s">
        <v>1114</v>
      </c>
    </row>
    <row r="1529" customFormat="false" ht="15" hidden="false" customHeight="false" outlineLevel="0" collapsed="false">
      <c r="A1529" s="76" t="s">
        <v>2258</v>
      </c>
      <c r="B1529" s="76" t="s">
        <v>135</v>
      </c>
      <c r="C1529" s="76" t="s">
        <v>136</v>
      </c>
      <c r="D1529" s="76" t="s">
        <v>1189</v>
      </c>
      <c r="E1529" s="76" t="s">
        <v>1125</v>
      </c>
      <c r="F1529" s="35" t="s">
        <v>2259</v>
      </c>
      <c r="G1529" s="76" t="s">
        <v>935</v>
      </c>
      <c r="H1529" s="78" t="n">
        <v>205225.3449216</v>
      </c>
      <c r="I1529" s="76" t="s">
        <v>2262</v>
      </c>
      <c r="J1529" s="78" t="n">
        <v>205225.3449216</v>
      </c>
      <c r="K1529" s="76" t="s">
        <v>2262</v>
      </c>
      <c r="L1529" s="77" t="s">
        <v>1114</v>
      </c>
    </row>
    <row r="1530" customFormat="false" ht="15" hidden="false" customHeight="false" outlineLevel="0" collapsed="false">
      <c r="A1530" s="76" t="s">
        <v>2263</v>
      </c>
      <c r="B1530" s="76" t="s">
        <v>135</v>
      </c>
      <c r="C1530" s="76" t="s">
        <v>136</v>
      </c>
      <c r="D1530" s="76" t="s">
        <v>1198</v>
      </c>
      <c r="E1530" s="76" t="s">
        <v>1162</v>
      </c>
      <c r="F1530" s="35" t="s">
        <v>2264</v>
      </c>
      <c r="G1530" s="76" t="s">
        <v>419</v>
      </c>
      <c r="H1530" s="76"/>
      <c r="I1530" s="76" t="s">
        <v>932</v>
      </c>
      <c r="J1530" s="76"/>
      <c r="K1530" s="76" t="s">
        <v>932</v>
      </c>
      <c r="L1530" s="77" t="s">
        <v>1114</v>
      </c>
    </row>
    <row r="1531" customFormat="false" ht="15" hidden="false" customHeight="false" outlineLevel="0" collapsed="false">
      <c r="A1531" s="76" t="s">
        <v>2263</v>
      </c>
      <c r="B1531" s="76" t="s">
        <v>135</v>
      </c>
      <c r="C1531" s="76" t="s">
        <v>136</v>
      </c>
      <c r="D1531" s="76" t="s">
        <v>1198</v>
      </c>
      <c r="E1531" s="76" t="s">
        <v>1162</v>
      </c>
      <c r="F1531" s="35" t="s">
        <v>2264</v>
      </c>
      <c r="G1531" s="76" t="s">
        <v>932</v>
      </c>
      <c r="H1531" s="78" t="n">
        <v>21447.9478219596</v>
      </c>
      <c r="I1531" s="76" t="s">
        <v>2265</v>
      </c>
      <c r="J1531" s="78" t="n">
        <v>21447.9478219596</v>
      </c>
      <c r="K1531" s="76" t="s">
        <v>2265</v>
      </c>
      <c r="L1531" s="77" t="s">
        <v>1114</v>
      </c>
    </row>
    <row r="1532" customFormat="false" ht="15" hidden="false" customHeight="false" outlineLevel="0" collapsed="false">
      <c r="A1532" s="76" t="s">
        <v>2263</v>
      </c>
      <c r="B1532" s="76" t="s">
        <v>135</v>
      </c>
      <c r="C1532" s="76" t="s">
        <v>136</v>
      </c>
      <c r="D1532" s="76" t="s">
        <v>1198</v>
      </c>
      <c r="E1532" s="76" t="s">
        <v>1162</v>
      </c>
      <c r="F1532" s="35" t="s">
        <v>2264</v>
      </c>
      <c r="G1532" s="76" t="s">
        <v>933</v>
      </c>
      <c r="H1532" s="78" t="n">
        <v>0.005</v>
      </c>
      <c r="I1532" s="76" t="s">
        <v>2247</v>
      </c>
      <c r="J1532" s="78" t="n">
        <v>0.005</v>
      </c>
      <c r="K1532" s="76" t="s">
        <v>2247</v>
      </c>
      <c r="L1532" s="77" t="s">
        <v>1114</v>
      </c>
    </row>
    <row r="1533" customFormat="false" ht="15" hidden="false" customHeight="false" outlineLevel="0" collapsed="false">
      <c r="A1533" s="76" t="s">
        <v>2263</v>
      </c>
      <c r="B1533" s="76" t="s">
        <v>135</v>
      </c>
      <c r="C1533" s="76" t="s">
        <v>136</v>
      </c>
      <c r="D1533" s="76" t="s">
        <v>1198</v>
      </c>
      <c r="E1533" s="76" t="s">
        <v>1162</v>
      </c>
      <c r="F1533" s="35" t="s">
        <v>2264</v>
      </c>
      <c r="G1533" s="76" t="s">
        <v>934</v>
      </c>
      <c r="H1533" s="78" t="n">
        <v>372123.727257365</v>
      </c>
      <c r="I1533" s="76" t="s">
        <v>2266</v>
      </c>
      <c r="J1533" s="78" t="n">
        <v>372123.727257365</v>
      </c>
      <c r="K1533" s="76" t="s">
        <v>2266</v>
      </c>
      <c r="L1533" s="77" t="s">
        <v>1114</v>
      </c>
    </row>
    <row r="1534" customFormat="false" ht="15" hidden="false" customHeight="false" outlineLevel="0" collapsed="false">
      <c r="A1534" s="76" t="s">
        <v>2263</v>
      </c>
      <c r="B1534" s="76" t="s">
        <v>135</v>
      </c>
      <c r="C1534" s="76" t="s">
        <v>136</v>
      </c>
      <c r="D1534" s="76" t="s">
        <v>1198</v>
      </c>
      <c r="E1534" s="76" t="s">
        <v>1162</v>
      </c>
      <c r="F1534" s="35" t="s">
        <v>2264</v>
      </c>
      <c r="G1534" s="76" t="s">
        <v>935</v>
      </c>
      <c r="H1534" s="78" t="n">
        <v>393571.675079325</v>
      </c>
      <c r="I1534" s="76" t="s">
        <v>2267</v>
      </c>
      <c r="J1534" s="78" t="n">
        <v>393571.675079325</v>
      </c>
      <c r="K1534" s="76" t="s">
        <v>2267</v>
      </c>
      <c r="L1534" s="77" t="s">
        <v>1114</v>
      </c>
    </row>
    <row r="1535" customFormat="false" ht="15" hidden="false" customHeight="false" outlineLevel="0" collapsed="false">
      <c r="A1535" s="76" t="s">
        <v>2268</v>
      </c>
      <c r="B1535" s="76" t="s">
        <v>140</v>
      </c>
      <c r="C1535" s="76" t="s">
        <v>2269</v>
      </c>
      <c r="D1535" s="76" t="s">
        <v>1111</v>
      </c>
      <c r="E1535" s="76" t="s">
        <v>1112</v>
      </c>
      <c r="F1535" s="35" t="s">
        <v>2270</v>
      </c>
      <c r="G1535" s="76" t="s">
        <v>419</v>
      </c>
      <c r="H1535" s="76"/>
      <c r="I1535" s="76" t="s">
        <v>2271</v>
      </c>
      <c r="J1535" s="76"/>
      <c r="K1535" s="76" t="s">
        <v>2271</v>
      </c>
      <c r="L1535" s="77" t="s">
        <v>1114</v>
      </c>
    </row>
    <row r="1536" customFormat="false" ht="15" hidden="false" customHeight="false" outlineLevel="0" collapsed="false">
      <c r="A1536" s="76" t="s">
        <v>2268</v>
      </c>
      <c r="B1536" s="76" t="s">
        <v>140</v>
      </c>
      <c r="C1536" s="76" t="s">
        <v>2269</v>
      </c>
      <c r="D1536" s="76" t="s">
        <v>1111</v>
      </c>
      <c r="E1536" s="76" t="s">
        <v>1112</v>
      </c>
      <c r="F1536" s="35" t="s">
        <v>2270</v>
      </c>
      <c r="G1536" s="76" t="s">
        <v>957</v>
      </c>
      <c r="H1536" s="78" t="n">
        <v>29604.8856983669</v>
      </c>
      <c r="I1536" s="76" t="s">
        <v>2272</v>
      </c>
      <c r="J1536" s="78" t="n">
        <v>29604.8856983669</v>
      </c>
      <c r="K1536" s="76" t="s">
        <v>2272</v>
      </c>
      <c r="L1536" s="77" t="s">
        <v>1114</v>
      </c>
    </row>
    <row r="1537" customFormat="false" ht="15" hidden="false" customHeight="false" outlineLevel="0" collapsed="false">
      <c r="A1537" s="76" t="s">
        <v>2268</v>
      </c>
      <c r="B1537" s="76" t="s">
        <v>140</v>
      </c>
      <c r="C1537" s="76" t="s">
        <v>2269</v>
      </c>
      <c r="D1537" s="76" t="s">
        <v>1111</v>
      </c>
      <c r="E1537" s="76" t="s">
        <v>1112</v>
      </c>
      <c r="F1537" s="35" t="s">
        <v>2270</v>
      </c>
      <c r="G1537" s="76" t="s">
        <v>958</v>
      </c>
      <c r="H1537" s="76" t="n">
        <v>16</v>
      </c>
      <c r="I1537" s="76" t="s">
        <v>2273</v>
      </c>
      <c r="J1537" s="76" t="n">
        <v>16</v>
      </c>
      <c r="K1537" s="76" t="s">
        <v>2273</v>
      </c>
      <c r="L1537" s="77" t="s">
        <v>1114</v>
      </c>
    </row>
    <row r="1538" customFormat="false" ht="15" hidden="false" customHeight="false" outlineLevel="0" collapsed="false">
      <c r="A1538" s="76" t="s">
        <v>2268</v>
      </c>
      <c r="B1538" s="76" t="s">
        <v>140</v>
      </c>
      <c r="C1538" s="76" t="s">
        <v>2269</v>
      </c>
      <c r="D1538" s="76" t="s">
        <v>1111</v>
      </c>
      <c r="E1538" s="76" t="s">
        <v>1112</v>
      </c>
      <c r="F1538" s="35" t="s">
        <v>2270</v>
      </c>
      <c r="G1538" s="76" t="s">
        <v>949</v>
      </c>
      <c r="H1538" s="78" t="n">
        <v>21740.0366081633</v>
      </c>
      <c r="I1538" s="76" t="s">
        <v>2274</v>
      </c>
      <c r="J1538" s="78" t="n">
        <v>21740.0366081633</v>
      </c>
      <c r="K1538" s="76" t="s">
        <v>2274</v>
      </c>
      <c r="L1538" s="77" t="s">
        <v>1114</v>
      </c>
    </row>
    <row r="1539" customFormat="false" ht="15" hidden="false" customHeight="false" outlineLevel="0" collapsed="false">
      <c r="A1539" s="76" t="s">
        <v>2268</v>
      </c>
      <c r="B1539" s="76" t="s">
        <v>140</v>
      </c>
      <c r="C1539" s="76" t="s">
        <v>2269</v>
      </c>
      <c r="D1539" s="76" t="s">
        <v>1111</v>
      </c>
      <c r="E1539" s="76" t="s">
        <v>1112</v>
      </c>
      <c r="F1539" s="35" t="s">
        <v>2270</v>
      </c>
      <c r="G1539" s="76" t="s">
        <v>951</v>
      </c>
      <c r="H1539" s="78" t="n">
        <v>29604.8856983669</v>
      </c>
      <c r="I1539" s="76" t="s">
        <v>2272</v>
      </c>
      <c r="J1539" s="78" t="n">
        <v>29604.8856983669</v>
      </c>
      <c r="K1539" s="76" t="s">
        <v>2272</v>
      </c>
      <c r="L1539" s="77" t="s">
        <v>1114</v>
      </c>
    </row>
    <row r="1540" customFormat="false" ht="15" hidden="false" customHeight="false" outlineLevel="0" collapsed="false">
      <c r="A1540" s="76" t="s">
        <v>2268</v>
      </c>
      <c r="B1540" s="76" t="s">
        <v>140</v>
      </c>
      <c r="C1540" s="76" t="s">
        <v>2269</v>
      </c>
      <c r="D1540" s="76" t="s">
        <v>1111</v>
      </c>
      <c r="E1540" s="76" t="s">
        <v>1112</v>
      </c>
      <c r="F1540" s="35" t="s">
        <v>2270</v>
      </c>
      <c r="G1540" s="76" t="s">
        <v>953</v>
      </c>
      <c r="H1540" s="78" t="n">
        <v>39943.7975878141</v>
      </c>
      <c r="I1540" s="76" t="s">
        <v>2275</v>
      </c>
      <c r="J1540" s="78" t="n">
        <v>39943.7975878141</v>
      </c>
      <c r="K1540" s="76" t="s">
        <v>2275</v>
      </c>
      <c r="L1540" s="77" t="s">
        <v>1114</v>
      </c>
    </row>
    <row r="1541" customFormat="false" ht="15" hidden="false" customHeight="false" outlineLevel="0" collapsed="false">
      <c r="A1541" s="76" t="s">
        <v>2276</v>
      </c>
      <c r="B1541" s="76" t="s">
        <v>140</v>
      </c>
      <c r="C1541" s="76" t="s">
        <v>2269</v>
      </c>
      <c r="D1541" s="76" t="s">
        <v>1124</v>
      </c>
      <c r="E1541" s="76" t="s">
        <v>1125</v>
      </c>
      <c r="F1541" s="35" t="s">
        <v>2277</v>
      </c>
      <c r="G1541" s="76" t="s">
        <v>419</v>
      </c>
      <c r="H1541" s="76"/>
      <c r="I1541" s="76" t="s">
        <v>2278</v>
      </c>
      <c r="J1541" s="76"/>
      <c r="K1541" s="76" t="s">
        <v>2278</v>
      </c>
      <c r="L1541" s="77" t="s">
        <v>1114</v>
      </c>
    </row>
    <row r="1542" customFormat="false" ht="15" hidden="false" customHeight="false" outlineLevel="0" collapsed="false">
      <c r="A1542" s="76" t="s">
        <v>2276</v>
      </c>
      <c r="B1542" s="76" t="s">
        <v>140</v>
      </c>
      <c r="C1542" s="76" t="s">
        <v>2269</v>
      </c>
      <c r="D1542" s="76" t="s">
        <v>1124</v>
      </c>
      <c r="E1542" s="76" t="s">
        <v>1125</v>
      </c>
      <c r="F1542" s="35" t="s">
        <v>2277</v>
      </c>
      <c r="G1542" s="76" t="s">
        <v>957</v>
      </c>
      <c r="H1542" s="76" t="n">
        <v>1020</v>
      </c>
      <c r="I1542" s="76" t="s">
        <v>2279</v>
      </c>
      <c r="J1542" s="76" t="n">
        <v>1020</v>
      </c>
      <c r="K1542" s="76" t="s">
        <v>2279</v>
      </c>
      <c r="L1542" s="77" t="s">
        <v>1114</v>
      </c>
    </row>
    <row r="1543" customFormat="false" ht="15" hidden="false" customHeight="false" outlineLevel="0" collapsed="false">
      <c r="A1543" s="76" t="s">
        <v>2276</v>
      </c>
      <c r="B1543" s="76" t="s">
        <v>140</v>
      </c>
      <c r="C1543" s="76" t="s">
        <v>2269</v>
      </c>
      <c r="D1543" s="76" t="s">
        <v>1124</v>
      </c>
      <c r="E1543" s="76" t="s">
        <v>1125</v>
      </c>
      <c r="F1543" s="35" t="s">
        <v>2277</v>
      </c>
      <c r="G1543" s="76" t="s">
        <v>958</v>
      </c>
      <c r="H1543" s="76" t="n">
        <v>8</v>
      </c>
      <c r="I1543" s="76" t="s">
        <v>2280</v>
      </c>
      <c r="J1543" s="76" t="n">
        <v>8</v>
      </c>
      <c r="K1543" s="76" t="s">
        <v>2280</v>
      </c>
      <c r="L1543" s="77" t="s">
        <v>1114</v>
      </c>
    </row>
    <row r="1544" customFormat="false" ht="15" hidden="false" customHeight="false" outlineLevel="0" collapsed="false">
      <c r="A1544" s="76" t="s">
        <v>2276</v>
      </c>
      <c r="B1544" s="76" t="s">
        <v>140</v>
      </c>
      <c r="C1544" s="76" t="s">
        <v>2269</v>
      </c>
      <c r="D1544" s="76" t="s">
        <v>1124</v>
      </c>
      <c r="E1544" s="76" t="s">
        <v>1125</v>
      </c>
      <c r="F1544" s="35" t="s">
        <v>2277</v>
      </c>
      <c r="G1544" s="76" t="s">
        <v>949</v>
      </c>
      <c r="H1544" s="76" t="n">
        <v>970</v>
      </c>
      <c r="I1544" s="76" t="s">
        <v>2281</v>
      </c>
      <c r="J1544" s="76" t="n">
        <v>970</v>
      </c>
      <c r="K1544" s="76" t="s">
        <v>2281</v>
      </c>
      <c r="L1544" s="77" t="s">
        <v>1114</v>
      </c>
    </row>
    <row r="1545" customFormat="false" ht="15" hidden="false" customHeight="false" outlineLevel="0" collapsed="false">
      <c r="A1545" s="76" t="s">
        <v>2276</v>
      </c>
      <c r="B1545" s="76" t="s">
        <v>140</v>
      </c>
      <c r="C1545" s="76" t="s">
        <v>2269</v>
      </c>
      <c r="D1545" s="76" t="s">
        <v>1124</v>
      </c>
      <c r="E1545" s="76" t="s">
        <v>1125</v>
      </c>
      <c r="F1545" s="35" t="s">
        <v>2277</v>
      </c>
      <c r="G1545" s="76" t="s">
        <v>951</v>
      </c>
      <c r="H1545" s="76" t="n">
        <v>1020</v>
      </c>
      <c r="I1545" s="76" t="s">
        <v>2279</v>
      </c>
      <c r="J1545" s="76" t="n">
        <v>1020</v>
      </c>
      <c r="K1545" s="76" t="s">
        <v>2279</v>
      </c>
      <c r="L1545" s="77" t="s">
        <v>1114</v>
      </c>
    </row>
    <row r="1546" customFormat="false" ht="15" hidden="false" customHeight="false" outlineLevel="0" collapsed="false">
      <c r="A1546" s="76" t="s">
        <v>2276</v>
      </c>
      <c r="B1546" s="76" t="s">
        <v>140</v>
      </c>
      <c r="C1546" s="76" t="s">
        <v>2269</v>
      </c>
      <c r="D1546" s="76" t="s">
        <v>1124</v>
      </c>
      <c r="E1546" s="76" t="s">
        <v>1125</v>
      </c>
      <c r="F1546" s="35" t="s">
        <v>2277</v>
      </c>
      <c r="G1546" s="76" t="s">
        <v>953</v>
      </c>
      <c r="H1546" s="76" t="n">
        <v>1070</v>
      </c>
      <c r="I1546" s="76" t="s">
        <v>2282</v>
      </c>
      <c r="J1546" s="76" t="n">
        <v>1070</v>
      </c>
      <c r="K1546" s="76" t="s">
        <v>2282</v>
      </c>
      <c r="L1546" s="77" t="s">
        <v>1114</v>
      </c>
    </row>
    <row r="1547" customFormat="false" ht="15" hidden="false" customHeight="false" outlineLevel="0" collapsed="false">
      <c r="A1547" s="76" t="s">
        <v>2283</v>
      </c>
      <c r="B1547" s="76" t="s">
        <v>140</v>
      </c>
      <c r="C1547" s="76" t="s">
        <v>2269</v>
      </c>
      <c r="D1547" s="76" t="s">
        <v>1132</v>
      </c>
      <c r="E1547" s="76" t="s">
        <v>1133</v>
      </c>
      <c r="F1547" s="35" t="s">
        <v>2284</v>
      </c>
      <c r="G1547" s="76" t="s">
        <v>419</v>
      </c>
      <c r="H1547" s="76"/>
      <c r="I1547" s="76" t="s">
        <v>2285</v>
      </c>
      <c r="J1547" s="76"/>
      <c r="K1547" s="76" t="s">
        <v>2285</v>
      </c>
      <c r="L1547" s="77" t="s">
        <v>1114</v>
      </c>
    </row>
    <row r="1548" customFormat="false" ht="15" hidden="false" customHeight="false" outlineLevel="0" collapsed="false">
      <c r="A1548" s="76" t="s">
        <v>2283</v>
      </c>
      <c r="B1548" s="76" t="s">
        <v>140</v>
      </c>
      <c r="C1548" s="76" t="s">
        <v>2269</v>
      </c>
      <c r="D1548" s="76" t="s">
        <v>1132</v>
      </c>
      <c r="E1548" s="76" t="s">
        <v>1133</v>
      </c>
      <c r="F1548" s="35" t="s">
        <v>2284</v>
      </c>
      <c r="G1548" s="76" t="s">
        <v>957</v>
      </c>
      <c r="H1548" s="78" t="n">
        <v>5743491.17291326</v>
      </c>
      <c r="I1548" s="76" t="s">
        <v>1561</v>
      </c>
      <c r="J1548" s="78" t="n">
        <v>5743491.17291326</v>
      </c>
      <c r="K1548" s="76" t="s">
        <v>1561</v>
      </c>
      <c r="L1548" s="77" t="s">
        <v>1114</v>
      </c>
    </row>
    <row r="1549" customFormat="false" ht="15" hidden="false" customHeight="false" outlineLevel="0" collapsed="false">
      <c r="A1549" s="76" t="s">
        <v>2283</v>
      </c>
      <c r="B1549" s="76" t="s">
        <v>140</v>
      </c>
      <c r="C1549" s="76" t="s">
        <v>2269</v>
      </c>
      <c r="D1549" s="76" t="s">
        <v>1132</v>
      </c>
      <c r="E1549" s="76" t="s">
        <v>1133</v>
      </c>
      <c r="F1549" s="35" t="s">
        <v>2284</v>
      </c>
      <c r="G1549" s="76" t="s">
        <v>958</v>
      </c>
      <c r="H1549" s="76" t="n">
        <v>26</v>
      </c>
      <c r="I1549" s="76" t="s">
        <v>2286</v>
      </c>
      <c r="J1549" s="76" t="n">
        <v>26</v>
      </c>
      <c r="K1549" s="76" t="s">
        <v>2286</v>
      </c>
      <c r="L1549" s="77" t="s">
        <v>1114</v>
      </c>
    </row>
    <row r="1550" customFormat="false" ht="15" hidden="false" customHeight="false" outlineLevel="0" collapsed="false">
      <c r="A1550" s="76" t="s">
        <v>2283</v>
      </c>
      <c r="B1550" s="76" t="s">
        <v>140</v>
      </c>
      <c r="C1550" s="76" t="s">
        <v>2269</v>
      </c>
      <c r="D1550" s="76" t="s">
        <v>1132</v>
      </c>
      <c r="E1550" s="76" t="s">
        <v>1133</v>
      </c>
      <c r="F1550" s="35" t="s">
        <v>2284</v>
      </c>
      <c r="G1550" s="76" t="s">
        <v>949</v>
      </c>
      <c r="H1550" s="78" t="n">
        <v>2483603.52497733</v>
      </c>
      <c r="I1550" s="76" t="s">
        <v>2287</v>
      </c>
      <c r="J1550" s="78" t="n">
        <v>2483603.52497733</v>
      </c>
      <c r="K1550" s="76" t="s">
        <v>2287</v>
      </c>
      <c r="L1550" s="77" t="s">
        <v>1114</v>
      </c>
    </row>
    <row r="1551" customFormat="false" ht="15" hidden="false" customHeight="false" outlineLevel="0" collapsed="false">
      <c r="A1551" s="76" t="s">
        <v>2283</v>
      </c>
      <c r="B1551" s="76" t="s">
        <v>140</v>
      </c>
      <c r="C1551" s="76" t="s">
        <v>2269</v>
      </c>
      <c r="D1551" s="76" t="s">
        <v>1132</v>
      </c>
      <c r="E1551" s="76" t="s">
        <v>1133</v>
      </c>
      <c r="F1551" s="35" t="s">
        <v>2284</v>
      </c>
      <c r="G1551" s="76" t="s">
        <v>951</v>
      </c>
      <c r="H1551" s="78" t="n">
        <v>5743491.17291326</v>
      </c>
      <c r="I1551" s="76" t="s">
        <v>1561</v>
      </c>
      <c r="J1551" s="78" t="n">
        <v>5743491.17291326</v>
      </c>
      <c r="K1551" s="76" t="s">
        <v>1561</v>
      </c>
      <c r="L1551" s="77" t="s">
        <v>1114</v>
      </c>
    </row>
    <row r="1552" customFormat="false" ht="15" hidden="false" customHeight="false" outlineLevel="0" collapsed="false">
      <c r="A1552" s="76" t="s">
        <v>2283</v>
      </c>
      <c r="B1552" s="76" t="s">
        <v>140</v>
      </c>
      <c r="C1552" s="76" t="s">
        <v>2269</v>
      </c>
      <c r="D1552" s="76" t="s">
        <v>1132</v>
      </c>
      <c r="E1552" s="76" t="s">
        <v>1133</v>
      </c>
      <c r="F1552" s="35" t="s">
        <v>2284</v>
      </c>
      <c r="G1552" s="76" t="s">
        <v>953</v>
      </c>
      <c r="H1552" s="78" t="n">
        <v>12982877.6128077</v>
      </c>
      <c r="I1552" s="76" t="s">
        <v>2288</v>
      </c>
      <c r="J1552" s="78" t="n">
        <v>12982877.6128077</v>
      </c>
      <c r="K1552" s="76" t="s">
        <v>2288</v>
      </c>
      <c r="L1552" s="77" t="s">
        <v>1114</v>
      </c>
    </row>
    <row r="1553" customFormat="false" ht="15" hidden="false" customHeight="false" outlineLevel="0" collapsed="false">
      <c r="A1553" s="76" t="s">
        <v>2289</v>
      </c>
      <c r="B1553" s="76" t="s">
        <v>140</v>
      </c>
      <c r="C1553" s="76" t="s">
        <v>2269</v>
      </c>
      <c r="D1553" s="76" t="s">
        <v>1141</v>
      </c>
      <c r="E1553" s="76" t="s">
        <v>1142</v>
      </c>
      <c r="F1553" s="35" t="s">
        <v>2290</v>
      </c>
      <c r="G1553" s="76" t="s">
        <v>419</v>
      </c>
      <c r="H1553" s="76"/>
      <c r="I1553" s="76" t="s">
        <v>2278</v>
      </c>
      <c r="J1553" s="76"/>
      <c r="K1553" s="76" t="s">
        <v>2278</v>
      </c>
      <c r="L1553" s="77" t="s">
        <v>1114</v>
      </c>
    </row>
    <row r="1554" customFormat="false" ht="15" hidden="false" customHeight="false" outlineLevel="0" collapsed="false">
      <c r="A1554" s="76" t="s">
        <v>2289</v>
      </c>
      <c r="B1554" s="76" t="s">
        <v>140</v>
      </c>
      <c r="C1554" s="76" t="s">
        <v>2269</v>
      </c>
      <c r="D1554" s="76" t="s">
        <v>1141</v>
      </c>
      <c r="E1554" s="76" t="s">
        <v>1142</v>
      </c>
      <c r="F1554" s="35" t="s">
        <v>2290</v>
      </c>
      <c r="G1554" s="76" t="s">
        <v>957</v>
      </c>
      <c r="H1554" s="78" t="n">
        <v>1284348.40276671</v>
      </c>
      <c r="I1554" s="76" t="s">
        <v>2291</v>
      </c>
      <c r="J1554" s="78" t="n">
        <v>1284348.40276671</v>
      </c>
      <c r="K1554" s="76" t="s">
        <v>2291</v>
      </c>
      <c r="L1554" s="77" t="s">
        <v>1114</v>
      </c>
    </row>
    <row r="1555" customFormat="false" ht="15" hidden="false" customHeight="false" outlineLevel="0" collapsed="false">
      <c r="A1555" s="76" t="s">
        <v>2289</v>
      </c>
      <c r="B1555" s="76" t="s">
        <v>140</v>
      </c>
      <c r="C1555" s="76" t="s">
        <v>2269</v>
      </c>
      <c r="D1555" s="76" t="s">
        <v>1141</v>
      </c>
      <c r="E1555" s="76" t="s">
        <v>1142</v>
      </c>
      <c r="F1555" s="35" t="s">
        <v>2290</v>
      </c>
      <c r="G1555" s="76" t="s">
        <v>958</v>
      </c>
      <c r="H1555" s="76" t="n">
        <v>8</v>
      </c>
      <c r="I1555" s="76" t="s">
        <v>2280</v>
      </c>
      <c r="J1555" s="76" t="n">
        <v>8</v>
      </c>
      <c r="K1555" s="76" t="s">
        <v>2280</v>
      </c>
      <c r="L1555" s="77" t="s">
        <v>1114</v>
      </c>
    </row>
    <row r="1556" customFormat="false" ht="15" hidden="false" customHeight="false" outlineLevel="0" collapsed="false">
      <c r="A1556" s="76" t="s">
        <v>2289</v>
      </c>
      <c r="B1556" s="76" t="s">
        <v>140</v>
      </c>
      <c r="C1556" s="76" t="s">
        <v>2269</v>
      </c>
      <c r="D1556" s="76" t="s">
        <v>1141</v>
      </c>
      <c r="E1556" s="76" t="s">
        <v>1142</v>
      </c>
      <c r="F1556" s="35" t="s">
        <v>2290</v>
      </c>
      <c r="G1556" s="76" t="s">
        <v>949</v>
      </c>
      <c r="H1556" s="78" t="n">
        <v>999090.769720835</v>
      </c>
      <c r="I1556" s="76" t="s">
        <v>2292</v>
      </c>
      <c r="J1556" s="78" t="n">
        <v>999090.769720835</v>
      </c>
      <c r="K1556" s="76" t="s">
        <v>2292</v>
      </c>
      <c r="L1556" s="77" t="s">
        <v>1114</v>
      </c>
    </row>
    <row r="1557" customFormat="false" ht="15" hidden="false" customHeight="false" outlineLevel="0" collapsed="false">
      <c r="A1557" s="76" t="s">
        <v>2289</v>
      </c>
      <c r="B1557" s="76" t="s">
        <v>140</v>
      </c>
      <c r="C1557" s="76" t="s">
        <v>2269</v>
      </c>
      <c r="D1557" s="76" t="s">
        <v>1141</v>
      </c>
      <c r="E1557" s="76" t="s">
        <v>1142</v>
      </c>
      <c r="F1557" s="35" t="s">
        <v>2290</v>
      </c>
      <c r="G1557" s="76" t="s">
        <v>951</v>
      </c>
      <c r="H1557" s="78" t="n">
        <v>1284348.40276671</v>
      </c>
      <c r="I1557" s="76" t="s">
        <v>2291</v>
      </c>
      <c r="J1557" s="78" t="n">
        <v>1284348.40276671</v>
      </c>
      <c r="K1557" s="76" t="s">
        <v>2291</v>
      </c>
      <c r="L1557" s="77" t="s">
        <v>1114</v>
      </c>
    </row>
    <row r="1558" customFormat="false" ht="15" hidden="false" customHeight="false" outlineLevel="0" collapsed="false">
      <c r="A1558" s="76" t="s">
        <v>2289</v>
      </c>
      <c r="B1558" s="76" t="s">
        <v>140</v>
      </c>
      <c r="C1558" s="76" t="s">
        <v>2269</v>
      </c>
      <c r="D1558" s="76" t="s">
        <v>1141</v>
      </c>
      <c r="E1558" s="76" t="s">
        <v>1142</v>
      </c>
      <c r="F1558" s="35" t="s">
        <v>2290</v>
      </c>
      <c r="G1558" s="76" t="s">
        <v>953</v>
      </c>
      <c r="H1558" s="78" t="n">
        <v>1647089.23695146</v>
      </c>
      <c r="I1558" s="76" t="s">
        <v>2293</v>
      </c>
      <c r="J1558" s="78" t="n">
        <v>1647089.23695146</v>
      </c>
      <c r="K1558" s="76" t="s">
        <v>2293</v>
      </c>
      <c r="L1558" s="77" t="s">
        <v>1114</v>
      </c>
    </row>
    <row r="1559" customFormat="false" ht="15" hidden="false" customHeight="false" outlineLevel="0" collapsed="false">
      <c r="A1559" s="76" t="s">
        <v>2294</v>
      </c>
      <c r="B1559" s="76" t="s">
        <v>140</v>
      </c>
      <c r="C1559" s="76" t="s">
        <v>2269</v>
      </c>
      <c r="D1559" s="76" t="s">
        <v>1151</v>
      </c>
      <c r="E1559" s="76" t="s">
        <v>1152</v>
      </c>
      <c r="F1559" s="35" t="s">
        <v>2295</v>
      </c>
      <c r="G1559" s="76" t="s">
        <v>419</v>
      </c>
      <c r="H1559" s="76"/>
      <c r="I1559" s="76" t="s">
        <v>2285</v>
      </c>
      <c r="J1559" s="76"/>
      <c r="K1559" s="76" t="s">
        <v>2285</v>
      </c>
      <c r="L1559" s="77" t="s">
        <v>1114</v>
      </c>
    </row>
    <row r="1560" customFormat="false" ht="15" hidden="false" customHeight="false" outlineLevel="0" collapsed="false">
      <c r="A1560" s="76" t="s">
        <v>2294</v>
      </c>
      <c r="B1560" s="76" t="s">
        <v>140</v>
      </c>
      <c r="C1560" s="76" t="s">
        <v>2269</v>
      </c>
      <c r="D1560" s="76" t="s">
        <v>1151</v>
      </c>
      <c r="E1560" s="76" t="s">
        <v>1152</v>
      </c>
      <c r="F1560" s="35" t="s">
        <v>2295</v>
      </c>
      <c r="G1560" s="76" t="s">
        <v>957</v>
      </c>
      <c r="H1560" s="76" t="n">
        <v>21200</v>
      </c>
      <c r="I1560" s="76" t="s">
        <v>2296</v>
      </c>
      <c r="J1560" s="76" t="n">
        <v>21200</v>
      </c>
      <c r="K1560" s="76" t="s">
        <v>2296</v>
      </c>
      <c r="L1560" s="77" t="s">
        <v>1114</v>
      </c>
    </row>
    <row r="1561" customFormat="false" ht="15" hidden="false" customHeight="false" outlineLevel="0" collapsed="false">
      <c r="A1561" s="76" t="s">
        <v>2294</v>
      </c>
      <c r="B1561" s="76" t="s">
        <v>140</v>
      </c>
      <c r="C1561" s="76" t="s">
        <v>2269</v>
      </c>
      <c r="D1561" s="76" t="s">
        <v>1151</v>
      </c>
      <c r="E1561" s="76" t="s">
        <v>1152</v>
      </c>
      <c r="F1561" s="35" t="s">
        <v>2295</v>
      </c>
      <c r="G1561" s="76" t="s">
        <v>958</v>
      </c>
      <c r="H1561" s="76" t="n">
        <v>26</v>
      </c>
      <c r="I1561" s="76" t="s">
        <v>2286</v>
      </c>
      <c r="J1561" s="76" t="n">
        <v>26</v>
      </c>
      <c r="K1561" s="76" t="s">
        <v>2286</v>
      </c>
      <c r="L1561" s="77" t="s">
        <v>1114</v>
      </c>
    </row>
    <row r="1562" customFormat="false" ht="15" hidden="false" customHeight="false" outlineLevel="0" collapsed="false">
      <c r="A1562" s="76" t="s">
        <v>2294</v>
      </c>
      <c r="B1562" s="76" t="s">
        <v>140</v>
      </c>
      <c r="C1562" s="76" t="s">
        <v>2269</v>
      </c>
      <c r="D1562" s="76" t="s">
        <v>1151</v>
      </c>
      <c r="E1562" s="76" t="s">
        <v>1152</v>
      </c>
      <c r="F1562" s="35" t="s">
        <v>2295</v>
      </c>
      <c r="G1562" s="76" t="s">
        <v>949</v>
      </c>
      <c r="H1562" s="76" t="n">
        <v>18000</v>
      </c>
      <c r="I1562" s="76" t="s">
        <v>2297</v>
      </c>
      <c r="J1562" s="76" t="n">
        <v>18000</v>
      </c>
      <c r="K1562" s="76" t="s">
        <v>2297</v>
      </c>
      <c r="L1562" s="77" t="s">
        <v>1114</v>
      </c>
    </row>
    <row r="1563" customFormat="false" ht="15" hidden="false" customHeight="false" outlineLevel="0" collapsed="false">
      <c r="A1563" s="76" t="s">
        <v>2294</v>
      </c>
      <c r="B1563" s="76" t="s">
        <v>140</v>
      </c>
      <c r="C1563" s="76" t="s">
        <v>2269</v>
      </c>
      <c r="D1563" s="76" t="s">
        <v>1151</v>
      </c>
      <c r="E1563" s="76" t="s">
        <v>1152</v>
      </c>
      <c r="F1563" s="35" t="s">
        <v>2295</v>
      </c>
      <c r="G1563" s="76" t="s">
        <v>951</v>
      </c>
      <c r="H1563" s="76" t="n">
        <v>21200</v>
      </c>
      <c r="I1563" s="76" t="s">
        <v>2296</v>
      </c>
      <c r="J1563" s="76" t="n">
        <v>21200</v>
      </c>
      <c r="K1563" s="76" t="s">
        <v>2296</v>
      </c>
      <c r="L1563" s="77" t="s">
        <v>1114</v>
      </c>
    </row>
    <row r="1564" customFormat="false" ht="15" hidden="false" customHeight="false" outlineLevel="0" collapsed="false">
      <c r="A1564" s="76" t="s">
        <v>2294</v>
      </c>
      <c r="B1564" s="76" t="s">
        <v>140</v>
      </c>
      <c r="C1564" s="76" t="s">
        <v>2269</v>
      </c>
      <c r="D1564" s="76" t="s">
        <v>1151</v>
      </c>
      <c r="E1564" s="76" t="s">
        <v>1152</v>
      </c>
      <c r="F1564" s="35" t="s">
        <v>2295</v>
      </c>
      <c r="G1564" s="76" t="s">
        <v>953</v>
      </c>
      <c r="H1564" s="76" t="n">
        <v>24400</v>
      </c>
      <c r="I1564" s="76" t="s">
        <v>2298</v>
      </c>
      <c r="J1564" s="76" t="n">
        <v>24400</v>
      </c>
      <c r="K1564" s="76" t="s">
        <v>2298</v>
      </c>
      <c r="L1564" s="77" t="s">
        <v>1114</v>
      </c>
    </row>
    <row r="1565" customFormat="false" ht="15" hidden="false" customHeight="false" outlineLevel="0" collapsed="false">
      <c r="A1565" s="76" t="s">
        <v>2299</v>
      </c>
      <c r="B1565" s="76" t="s">
        <v>140</v>
      </c>
      <c r="C1565" s="76" t="s">
        <v>2269</v>
      </c>
      <c r="D1565" s="76" t="s">
        <v>1161</v>
      </c>
      <c r="E1565" s="76" t="s">
        <v>1162</v>
      </c>
      <c r="F1565" s="35" t="s">
        <v>2300</v>
      </c>
      <c r="G1565" s="76" t="s">
        <v>419</v>
      </c>
      <c r="H1565" s="76"/>
      <c r="I1565" s="76" t="s">
        <v>2278</v>
      </c>
      <c r="J1565" s="76"/>
      <c r="K1565" s="76" t="s">
        <v>2278</v>
      </c>
      <c r="L1565" s="77" t="s">
        <v>1114</v>
      </c>
    </row>
    <row r="1566" customFormat="false" ht="15" hidden="false" customHeight="false" outlineLevel="0" collapsed="false">
      <c r="A1566" s="76" t="s">
        <v>2299</v>
      </c>
      <c r="B1566" s="76" t="s">
        <v>140</v>
      </c>
      <c r="C1566" s="76" t="s">
        <v>2269</v>
      </c>
      <c r="D1566" s="76" t="s">
        <v>1161</v>
      </c>
      <c r="E1566" s="76" t="s">
        <v>1162</v>
      </c>
      <c r="F1566" s="35" t="s">
        <v>2300</v>
      </c>
      <c r="G1566" s="76" t="s">
        <v>957</v>
      </c>
      <c r="H1566" s="78" t="n">
        <v>32812.1198892946</v>
      </c>
      <c r="I1566" s="76" t="s">
        <v>2301</v>
      </c>
      <c r="J1566" s="78" t="n">
        <v>32812.1198892946</v>
      </c>
      <c r="K1566" s="76" t="s">
        <v>2301</v>
      </c>
      <c r="L1566" s="77" t="s">
        <v>1114</v>
      </c>
    </row>
    <row r="1567" customFormat="false" ht="15" hidden="false" customHeight="false" outlineLevel="0" collapsed="false">
      <c r="A1567" s="76" t="s">
        <v>2299</v>
      </c>
      <c r="B1567" s="76" t="s">
        <v>140</v>
      </c>
      <c r="C1567" s="76" t="s">
        <v>2269</v>
      </c>
      <c r="D1567" s="76" t="s">
        <v>1161</v>
      </c>
      <c r="E1567" s="76" t="s">
        <v>1162</v>
      </c>
      <c r="F1567" s="35" t="s">
        <v>2300</v>
      </c>
      <c r="G1567" s="76" t="s">
        <v>958</v>
      </c>
      <c r="H1567" s="76" t="n">
        <v>8</v>
      </c>
      <c r="I1567" s="76" t="s">
        <v>2280</v>
      </c>
      <c r="J1567" s="76" t="n">
        <v>8</v>
      </c>
      <c r="K1567" s="76" t="s">
        <v>2280</v>
      </c>
      <c r="L1567" s="77" t="s">
        <v>1114</v>
      </c>
    </row>
    <row r="1568" customFormat="false" ht="15" hidden="false" customHeight="false" outlineLevel="0" collapsed="false">
      <c r="A1568" s="76" t="s">
        <v>2299</v>
      </c>
      <c r="B1568" s="76" t="s">
        <v>140</v>
      </c>
      <c r="C1568" s="76" t="s">
        <v>2269</v>
      </c>
      <c r="D1568" s="76" t="s">
        <v>1161</v>
      </c>
      <c r="E1568" s="76" t="s">
        <v>1162</v>
      </c>
      <c r="F1568" s="35" t="s">
        <v>2300</v>
      </c>
      <c r="G1568" s="76" t="s">
        <v>949</v>
      </c>
      <c r="H1568" s="78" t="n">
        <v>25648.6399003447</v>
      </c>
      <c r="I1568" s="76" t="s">
        <v>2302</v>
      </c>
      <c r="J1568" s="78" t="n">
        <v>25648.6399003447</v>
      </c>
      <c r="K1568" s="76" t="s">
        <v>2302</v>
      </c>
      <c r="L1568" s="77" t="s">
        <v>1114</v>
      </c>
    </row>
    <row r="1569" customFormat="false" ht="15" hidden="false" customHeight="false" outlineLevel="0" collapsed="false">
      <c r="A1569" s="76" t="s">
        <v>2299</v>
      </c>
      <c r="B1569" s="76" t="s">
        <v>140</v>
      </c>
      <c r="C1569" s="76" t="s">
        <v>2269</v>
      </c>
      <c r="D1569" s="76" t="s">
        <v>1161</v>
      </c>
      <c r="E1569" s="76" t="s">
        <v>1162</v>
      </c>
      <c r="F1569" s="35" t="s">
        <v>2300</v>
      </c>
      <c r="G1569" s="76" t="s">
        <v>951</v>
      </c>
      <c r="H1569" s="78" t="n">
        <v>32812.1198892946</v>
      </c>
      <c r="I1569" s="76" t="s">
        <v>2301</v>
      </c>
      <c r="J1569" s="78" t="n">
        <v>32812.1198892946</v>
      </c>
      <c r="K1569" s="76" t="s">
        <v>2301</v>
      </c>
      <c r="L1569" s="77" t="s">
        <v>1114</v>
      </c>
    </row>
    <row r="1570" customFormat="false" ht="15" hidden="false" customHeight="false" outlineLevel="0" collapsed="false">
      <c r="A1570" s="76" t="s">
        <v>2299</v>
      </c>
      <c r="B1570" s="76" t="s">
        <v>140</v>
      </c>
      <c r="C1570" s="76" t="s">
        <v>2269</v>
      </c>
      <c r="D1570" s="76" t="s">
        <v>1161</v>
      </c>
      <c r="E1570" s="76" t="s">
        <v>1162</v>
      </c>
      <c r="F1570" s="35" t="s">
        <v>2300</v>
      </c>
      <c r="G1570" s="76" t="s">
        <v>953</v>
      </c>
      <c r="H1570" s="78" t="n">
        <v>41875.5585930843</v>
      </c>
      <c r="I1570" s="76" t="s">
        <v>2303</v>
      </c>
      <c r="J1570" s="78" t="n">
        <v>41875.5585930843</v>
      </c>
      <c r="K1570" s="76" t="s">
        <v>2303</v>
      </c>
      <c r="L1570" s="77" t="s">
        <v>1114</v>
      </c>
    </row>
    <row r="1571" customFormat="false" ht="15" hidden="false" customHeight="false" outlineLevel="0" collapsed="false">
      <c r="A1571" s="76" t="s">
        <v>2304</v>
      </c>
      <c r="B1571" s="76" t="s">
        <v>140</v>
      </c>
      <c r="C1571" s="76" t="s">
        <v>2269</v>
      </c>
      <c r="D1571" s="76" t="s">
        <v>1180</v>
      </c>
      <c r="E1571" s="76" t="s">
        <v>1152</v>
      </c>
      <c r="F1571" s="35" t="s">
        <v>2305</v>
      </c>
      <c r="G1571" s="76" t="s">
        <v>419</v>
      </c>
      <c r="H1571" s="76"/>
      <c r="I1571" s="76" t="s">
        <v>2271</v>
      </c>
      <c r="J1571" s="76"/>
      <c r="K1571" s="76" t="s">
        <v>2271</v>
      </c>
      <c r="L1571" s="77" t="s">
        <v>1114</v>
      </c>
    </row>
    <row r="1572" customFormat="false" ht="15" hidden="false" customHeight="false" outlineLevel="0" collapsed="false">
      <c r="A1572" s="76" t="s">
        <v>2304</v>
      </c>
      <c r="B1572" s="76" t="s">
        <v>140</v>
      </c>
      <c r="C1572" s="76" t="s">
        <v>2269</v>
      </c>
      <c r="D1572" s="76" t="s">
        <v>1180</v>
      </c>
      <c r="E1572" s="76" t="s">
        <v>1152</v>
      </c>
      <c r="F1572" s="35" t="s">
        <v>2305</v>
      </c>
      <c r="G1572" s="76" t="s">
        <v>957</v>
      </c>
      <c r="H1572" s="78" t="n">
        <v>888247.612598933</v>
      </c>
      <c r="I1572" s="76" t="s">
        <v>2306</v>
      </c>
      <c r="J1572" s="78" t="n">
        <v>888247.612598933</v>
      </c>
      <c r="K1572" s="76" t="s">
        <v>2306</v>
      </c>
      <c r="L1572" s="77" t="s">
        <v>1114</v>
      </c>
    </row>
    <row r="1573" customFormat="false" ht="15" hidden="false" customHeight="false" outlineLevel="0" collapsed="false">
      <c r="A1573" s="76" t="s">
        <v>2304</v>
      </c>
      <c r="B1573" s="76" t="s">
        <v>140</v>
      </c>
      <c r="C1573" s="76" t="s">
        <v>2269</v>
      </c>
      <c r="D1573" s="76" t="s">
        <v>1180</v>
      </c>
      <c r="E1573" s="76" t="s">
        <v>1152</v>
      </c>
      <c r="F1573" s="35" t="s">
        <v>2305</v>
      </c>
      <c r="G1573" s="76" t="s">
        <v>958</v>
      </c>
      <c r="H1573" s="76" t="n">
        <v>16</v>
      </c>
      <c r="I1573" s="76" t="s">
        <v>2273</v>
      </c>
      <c r="J1573" s="76" t="n">
        <v>16</v>
      </c>
      <c r="K1573" s="76" t="s">
        <v>2273</v>
      </c>
      <c r="L1573" s="77" t="s">
        <v>1114</v>
      </c>
    </row>
    <row r="1574" customFormat="false" ht="15" hidden="false" customHeight="false" outlineLevel="0" collapsed="false">
      <c r="A1574" s="76" t="s">
        <v>2304</v>
      </c>
      <c r="B1574" s="76" t="s">
        <v>140</v>
      </c>
      <c r="C1574" s="76" t="s">
        <v>2269</v>
      </c>
      <c r="D1574" s="76" t="s">
        <v>1180</v>
      </c>
      <c r="E1574" s="76" t="s">
        <v>1152</v>
      </c>
      <c r="F1574" s="35" t="s">
        <v>2305</v>
      </c>
      <c r="G1574" s="76" t="s">
        <v>949</v>
      </c>
      <c r="H1574" s="78" t="n">
        <v>581396.948424632</v>
      </c>
      <c r="I1574" s="76" t="s">
        <v>2307</v>
      </c>
      <c r="J1574" s="78" t="n">
        <v>581396.948424632</v>
      </c>
      <c r="K1574" s="76" t="s">
        <v>2307</v>
      </c>
      <c r="L1574" s="77" t="s">
        <v>1114</v>
      </c>
    </row>
    <row r="1575" customFormat="false" ht="15" hidden="false" customHeight="false" outlineLevel="0" collapsed="false">
      <c r="A1575" s="76" t="s">
        <v>2304</v>
      </c>
      <c r="B1575" s="76" t="s">
        <v>140</v>
      </c>
      <c r="C1575" s="76" t="s">
        <v>2269</v>
      </c>
      <c r="D1575" s="76" t="s">
        <v>1180</v>
      </c>
      <c r="E1575" s="76" t="s">
        <v>1152</v>
      </c>
      <c r="F1575" s="35" t="s">
        <v>2305</v>
      </c>
      <c r="G1575" s="76" t="s">
        <v>951</v>
      </c>
      <c r="H1575" s="78" t="n">
        <v>888247.612598933</v>
      </c>
      <c r="I1575" s="76" t="s">
        <v>2306</v>
      </c>
      <c r="J1575" s="78" t="n">
        <v>888247.612598933</v>
      </c>
      <c r="K1575" s="76" t="s">
        <v>2306</v>
      </c>
      <c r="L1575" s="77" t="s">
        <v>1114</v>
      </c>
    </row>
    <row r="1576" customFormat="false" ht="15" hidden="false" customHeight="false" outlineLevel="0" collapsed="false">
      <c r="A1576" s="76" t="s">
        <v>2304</v>
      </c>
      <c r="B1576" s="76" t="s">
        <v>140</v>
      </c>
      <c r="C1576" s="76" t="s">
        <v>2269</v>
      </c>
      <c r="D1576" s="76" t="s">
        <v>1180</v>
      </c>
      <c r="E1576" s="76" t="s">
        <v>1152</v>
      </c>
      <c r="F1576" s="35" t="s">
        <v>2305</v>
      </c>
      <c r="G1576" s="76" t="s">
        <v>953</v>
      </c>
      <c r="H1576" s="78" t="n">
        <v>1344556.55997779</v>
      </c>
      <c r="I1576" s="76" t="s">
        <v>2308</v>
      </c>
      <c r="J1576" s="78" t="n">
        <v>1344556.55997779</v>
      </c>
      <c r="K1576" s="76" t="s">
        <v>2308</v>
      </c>
      <c r="L1576" s="77" t="s">
        <v>1114</v>
      </c>
    </row>
    <row r="1577" customFormat="false" ht="15" hidden="false" customHeight="false" outlineLevel="0" collapsed="false">
      <c r="A1577" s="76" t="s">
        <v>2309</v>
      </c>
      <c r="B1577" s="76" t="s">
        <v>140</v>
      </c>
      <c r="C1577" s="76" t="s">
        <v>2269</v>
      </c>
      <c r="D1577" s="76" t="s">
        <v>1189</v>
      </c>
      <c r="E1577" s="76" t="s">
        <v>1125</v>
      </c>
      <c r="F1577" s="35" t="s">
        <v>2310</v>
      </c>
      <c r="G1577" s="76" t="s">
        <v>419</v>
      </c>
      <c r="H1577" s="76"/>
      <c r="I1577" s="76" t="s">
        <v>2278</v>
      </c>
      <c r="J1577" s="76"/>
      <c r="K1577" s="76" t="s">
        <v>2278</v>
      </c>
      <c r="L1577" s="77" t="s">
        <v>1114</v>
      </c>
    </row>
    <row r="1578" customFormat="false" ht="15" hidden="false" customHeight="false" outlineLevel="0" collapsed="false">
      <c r="A1578" s="76" t="s">
        <v>2309</v>
      </c>
      <c r="B1578" s="76" t="s">
        <v>140</v>
      </c>
      <c r="C1578" s="76" t="s">
        <v>2269</v>
      </c>
      <c r="D1578" s="76" t="s">
        <v>1189</v>
      </c>
      <c r="E1578" s="76" t="s">
        <v>1125</v>
      </c>
      <c r="F1578" s="35" t="s">
        <v>2310</v>
      </c>
      <c r="G1578" s="76" t="s">
        <v>957</v>
      </c>
      <c r="H1578" s="78" t="n">
        <v>1350406.82708337</v>
      </c>
      <c r="I1578" s="76" t="s">
        <v>2311</v>
      </c>
      <c r="J1578" s="78" t="n">
        <v>1350406.82708337</v>
      </c>
      <c r="K1578" s="76" t="s">
        <v>2311</v>
      </c>
      <c r="L1578" s="77" t="s">
        <v>1114</v>
      </c>
    </row>
    <row r="1579" customFormat="false" ht="15" hidden="false" customHeight="false" outlineLevel="0" collapsed="false">
      <c r="A1579" s="76" t="s">
        <v>2309</v>
      </c>
      <c r="B1579" s="76" t="s">
        <v>140</v>
      </c>
      <c r="C1579" s="76" t="s">
        <v>2269</v>
      </c>
      <c r="D1579" s="76" t="s">
        <v>1189</v>
      </c>
      <c r="E1579" s="76" t="s">
        <v>1125</v>
      </c>
      <c r="F1579" s="35" t="s">
        <v>2310</v>
      </c>
      <c r="G1579" s="76" t="s">
        <v>958</v>
      </c>
      <c r="H1579" s="76" t="n">
        <v>8</v>
      </c>
      <c r="I1579" s="76" t="s">
        <v>2280</v>
      </c>
      <c r="J1579" s="76" t="n">
        <v>8</v>
      </c>
      <c r="K1579" s="76" t="s">
        <v>2280</v>
      </c>
      <c r="L1579" s="77" t="s">
        <v>1114</v>
      </c>
    </row>
    <row r="1580" customFormat="false" ht="15" hidden="false" customHeight="false" outlineLevel="0" collapsed="false">
      <c r="A1580" s="76" t="s">
        <v>2309</v>
      </c>
      <c r="B1580" s="76" t="s">
        <v>140</v>
      </c>
      <c r="C1580" s="76" t="s">
        <v>2269</v>
      </c>
      <c r="D1580" s="76" t="s">
        <v>1189</v>
      </c>
      <c r="E1580" s="76" t="s">
        <v>1125</v>
      </c>
      <c r="F1580" s="35" t="s">
        <v>2310</v>
      </c>
      <c r="G1580" s="76" t="s">
        <v>949</v>
      </c>
      <c r="H1580" s="78" t="n">
        <v>1095512.75311074</v>
      </c>
      <c r="I1580" s="76" t="s">
        <v>2312</v>
      </c>
      <c r="J1580" s="78" t="n">
        <v>1095512.75311074</v>
      </c>
      <c r="K1580" s="76" t="s">
        <v>2312</v>
      </c>
      <c r="L1580" s="77" t="s">
        <v>1114</v>
      </c>
    </row>
    <row r="1581" customFormat="false" ht="15" hidden="false" customHeight="false" outlineLevel="0" collapsed="false">
      <c r="A1581" s="76" t="s">
        <v>2309</v>
      </c>
      <c r="B1581" s="76" t="s">
        <v>140</v>
      </c>
      <c r="C1581" s="76" t="s">
        <v>2269</v>
      </c>
      <c r="D1581" s="76" t="s">
        <v>1189</v>
      </c>
      <c r="E1581" s="76" t="s">
        <v>1125</v>
      </c>
      <c r="F1581" s="35" t="s">
        <v>2310</v>
      </c>
      <c r="G1581" s="76" t="s">
        <v>951</v>
      </c>
      <c r="H1581" s="78" t="n">
        <v>1350406.82708337</v>
      </c>
      <c r="I1581" s="76" t="s">
        <v>2311</v>
      </c>
      <c r="J1581" s="78" t="n">
        <v>1350406.82708337</v>
      </c>
      <c r="K1581" s="76" t="s">
        <v>2311</v>
      </c>
      <c r="L1581" s="77" t="s">
        <v>1114</v>
      </c>
    </row>
    <row r="1582" customFormat="false" ht="15" hidden="false" customHeight="false" outlineLevel="0" collapsed="false">
      <c r="A1582" s="76" t="s">
        <v>2309</v>
      </c>
      <c r="B1582" s="76" t="s">
        <v>140</v>
      </c>
      <c r="C1582" s="76" t="s">
        <v>2269</v>
      </c>
      <c r="D1582" s="76" t="s">
        <v>1189</v>
      </c>
      <c r="E1582" s="76" t="s">
        <v>1125</v>
      </c>
      <c r="F1582" s="35" t="s">
        <v>2310</v>
      </c>
      <c r="G1582" s="76" t="s">
        <v>953</v>
      </c>
      <c r="H1582" s="78" t="n">
        <v>1660611.98018588</v>
      </c>
      <c r="I1582" s="76" t="s">
        <v>2313</v>
      </c>
      <c r="J1582" s="78" t="n">
        <v>1660611.98018588</v>
      </c>
      <c r="K1582" s="76" t="s">
        <v>2313</v>
      </c>
      <c r="L1582" s="77" t="s">
        <v>1114</v>
      </c>
    </row>
    <row r="1583" customFormat="false" ht="15" hidden="false" customHeight="false" outlineLevel="0" collapsed="false">
      <c r="A1583" s="76" t="s">
        <v>2314</v>
      </c>
      <c r="B1583" s="76" t="s">
        <v>140</v>
      </c>
      <c r="C1583" s="76" t="s">
        <v>2269</v>
      </c>
      <c r="D1583" s="76" t="s">
        <v>1198</v>
      </c>
      <c r="E1583" s="76" t="s">
        <v>1162</v>
      </c>
      <c r="F1583" s="35" t="s">
        <v>2315</v>
      </c>
      <c r="G1583" s="76" t="s">
        <v>419</v>
      </c>
      <c r="H1583" s="76"/>
      <c r="I1583" s="76" t="s">
        <v>2285</v>
      </c>
      <c r="J1583" s="76"/>
      <c r="K1583" s="76" t="s">
        <v>2285</v>
      </c>
      <c r="L1583" s="77" t="s">
        <v>1114</v>
      </c>
    </row>
    <row r="1584" customFormat="false" ht="15" hidden="false" customHeight="false" outlineLevel="0" collapsed="false">
      <c r="A1584" s="76" t="s">
        <v>2314</v>
      </c>
      <c r="B1584" s="76" t="s">
        <v>140</v>
      </c>
      <c r="C1584" s="76" t="s">
        <v>2269</v>
      </c>
      <c r="D1584" s="76" t="s">
        <v>1198</v>
      </c>
      <c r="E1584" s="76" t="s">
        <v>1162</v>
      </c>
      <c r="F1584" s="35" t="s">
        <v>2315</v>
      </c>
      <c r="G1584" s="76" t="s">
        <v>957</v>
      </c>
      <c r="H1584" s="76" t="n">
        <v>82892</v>
      </c>
      <c r="I1584" s="76" t="s">
        <v>2316</v>
      </c>
      <c r="J1584" s="76" t="n">
        <v>82892</v>
      </c>
      <c r="K1584" s="76" t="s">
        <v>2316</v>
      </c>
      <c r="L1584" s="77" t="s">
        <v>1114</v>
      </c>
    </row>
    <row r="1585" customFormat="false" ht="15" hidden="false" customHeight="false" outlineLevel="0" collapsed="false">
      <c r="A1585" s="76" t="s">
        <v>2314</v>
      </c>
      <c r="B1585" s="76" t="s">
        <v>140</v>
      </c>
      <c r="C1585" s="76" t="s">
        <v>2269</v>
      </c>
      <c r="D1585" s="76" t="s">
        <v>1198</v>
      </c>
      <c r="E1585" s="76" t="s">
        <v>1162</v>
      </c>
      <c r="F1585" s="35" t="s">
        <v>2315</v>
      </c>
      <c r="G1585" s="76" t="s">
        <v>958</v>
      </c>
      <c r="H1585" s="76" t="n">
        <v>26</v>
      </c>
      <c r="I1585" s="76" t="s">
        <v>2286</v>
      </c>
      <c r="J1585" s="76" t="n">
        <v>26</v>
      </c>
      <c r="K1585" s="76" t="s">
        <v>2286</v>
      </c>
      <c r="L1585" s="77" t="s">
        <v>1114</v>
      </c>
    </row>
    <row r="1586" customFormat="false" ht="15" hidden="false" customHeight="false" outlineLevel="0" collapsed="false">
      <c r="A1586" s="76" t="s">
        <v>2314</v>
      </c>
      <c r="B1586" s="76" t="s">
        <v>140</v>
      </c>
      <c r="C1586" s="76" t="s">
        <v>2269</v>
      </c>
      <c r="D1586" s="76" t="s">
        <v>1198</v>
      </c>
      <c r="E1586" s="76" t="s">
        <v>1162</v>
      </c>
      <c r="F1586" s="35" t="s">
        <v>2315</v>
      </c>
      <c r="G1586" s="76" t="s">
        <v>949</v>
      </c>
      <c r="H1586" s="76" t="n">
        <v>70380</v>
      </c>
      <c r="I1586" s="76" t="s">
        <v>2317</v>
      </c>
      <c r="J1586" s="76" t="n">
        <v>70380</v>
      </c>
      <c r="K1586" s="76" t="s">
        <v>2317</v>
      </c>
      <c r="L1586" s="77" t="s">
        <v>1114</v>
      </c>
    </row>
    <row r="1587" customFormat="false" ht="15" hidden="false" customHeight="false" outlineLevel="0" collapsed="false">
      <c r="A1587" s="76" t="s">
        <v>2314</v>
      </c>
      <c r="B1587" s="76" t="s">
        <v>140</v>
      </c>
      <c r="C1587" s="76" t="s">
        <v>2269</v>
      </c>
      <c r="D1587" s="76" t="s">
        <v>1198</v>
      </c>
      <c r="E1587" s="76" t="s">
        <v>1162</v>
      </c>
      <c r="F1587" s="35" t="s">
        <v>2315</v>
      </c>
      <c r="G1587" s="76" t="s">
        <v>951</v>
      </c>
      <c r="H1587" s="76" t="n">
        <v>82892</v>
      </c>
      <c r="I1587" s="76" t="s">
        <v>2316</v>
      </c>
      <c r="J1587" s="76" t="n">
        <v>82892</v>
      </c>
      <c r="K1587" s="76" t="s">
        <v>2316</v>
      </c>
      <c r="L1587" s="77" t="s">
        <v>1114</v>
      </c>
    </row>
    <row r="1588" customFormat="false" ht="15" hidden="false" customHeight="false" outlineLevel="0" collapsed="false">
      <c r="A1588" s="76" t="s">
        <v>2314</v>
      </c>
      <c r="B1588" s="76" t="s">
        <v>140</v>
      </c>
      <c r="C1588" s="76" t="s">
        <v>2269</v>
      </c>
      <c r="D1588" s="76" t="s">
        <v>1198</v>
      </c>
      <c r="E1588" s="76" t="s">
        <v>1162</v>
      </c>
      <c r="F1588" s="35" t="s">
        <v>2315</v>
      </c>
      <c r="G1588" s="76" t="s">
        <v>953</v>
      </c>
      <c r="H1588" s="76" t="n">
        <v>95404</v>
      </c>
      <c r="I1588" s="76" t="s">
        <v>2318</v>
      </c>
      <c r="J1588" s="76" t="n">
        <v>95404</v>
      </c>
      <c r="K1588" s="76" t="s">
        <v>2318</v>
      </c>
      <c r="L1588" s="77" t="s">
        <v>1114</v>
      </c>
    </row>
    <row r="1589" customFormat="false" ht="15" hidden="false" customHeight="false" outlineLevel="0" collapsed="false">
      <c r="A1589" s="76" t="s">
        <v>2319</v>
      </c>
      <c r="B1589" s="76" t="s">
        <v>145</v>
      </c>
      <c r="C1589" s="76" t="s">
        <v>2320</v>
      </c>
      <c r="D1589" s="76" t="s">
        <v>1111</v>
      </c>
      <c r="E1589" s="76" t="s">
        <v>1112</v>
      </c>
      <c r="F1589" s="35" t="s">
        <v>2321</v>
      </c>
      <c r="G1589" s="76" t="s">
        <v>419</v>
      </c>
      <c r="H1589" s="76"/>
      <c r="I1589" s="76" t="s">
        <v>975</v>
      </c>
      <c r="J1589" s="76"/>
      <c r="K1589" s="76" t="s">
        <v>975</v>
      </c>
      <c r="L1589" s="77" t="s">
        <v>1114</v>
      </c>
    </row>
    <row r="1590" customFormat="false" ht="15" hidden="false" customHeight="false" outlineLevel="0" collapsed="false">
      <c r="A1590" s="76" t="s">
        <v>2319</v>
      </c>
      <c r="B1590" s="76" t="s">
        <v>145</v>
      </c>
      <c r="C1590" s="76" t="s">
        <v>2320</v>
      </c>
      <c r="D1590" s="76" t="s">
        <v>1111</v>
      </c>
      <c r="E1590" s="76" t="s">
        <v>1112</v>
      </c>
      <c r="F1590" s="35" t="s">
        <v>2321</v>
      </c>
      <c r="G1590" s="76" t="s">
        <v>975</v>
      </c>
      <c r="H1590" s="76" t="n">
        <v>680000</v>
      </c>
      <c r="I1590" s="76" t="s">
        <v>2322</v>
      </c>
      <c r="J1590" s="76" t="n">
        <v>680000</v>
      </c>
      <c r="K1590" s="76" t="s">
        <v>2322</v>
      </c>
      <c r="L1590" s="77" t="s">
        <v>1114</v>
      </c>
    </row>
    <row r="1591" customFormat="false" ht="15" hidden="false" customHeight="false" outlineLevel="0" collapsed="false">
      <c r="A1591" s="76" t="s">
        <v>2319</v>
      </c>
      <c r="B1591" s="76" t="s">
        <v>145</v>
      </c>
      <c r="C1591" s="76" t="s">
        <v>2320</v>
      </c>
      <c r="D1591" s="76" t="s">
        <v>1111</v>
      </c>
      <c r="E1591" s="76" t="s">
        <v>1112</v>
      </c>
      <c r="F1591" s="35" t="s">
        <v>2321</v>
      </c>
      <c r="G1591" s="76" t="s">
        <v>971</v>
      </c>
      <c r="H1591" s="76" t="n">
        <v>540000</v>
      </c>
      <c r="I1591" s="76" t="s">
        <v>2323</v>
      </c>
      <c r="J1591" s="76" t="n">
        <v>540000</v>
      </c>
      <c r="K1591" s="76" t="s">
        <v>2323</v>
      </c>
      <c r="L1591" s="77" t="s">
        <v>1114</v>
      </c>
    </row>
    <row r="1592" customFormat="false" ht="15" hidden="false" customHeight="false" outlineLevel="0" collapsed="false">
      <c r="A1592" s="76" t="s">
        <v>2319</v>
      </c>
      <c r="B1592" s="76" t="s">
        <v>145</v>
      </c>
      <c r="C1592" s="76" t="s">
        <v>2320</v>
      </c>
      <c r="D1592" s="76" t="s">
        <v>1111</v>
      </c>
      <c r="E1592" s="76" t="s">
        <v>1112</v>
      </c>
      <c r="F1592" s="35" t="s">
        <v>2321</v>
      </c>
      <c r="G1592" s="76" t="s">
        <v>976</v>
      </c>
      <c r="H1592" s="76" t="n">
        <v>260000</v>
      </c>
      <c r="I1592" s="76" t="s">
        <v>2324</v>
      </c>
      <c r="J1592" s="76" t="n">
        <v>260000</v>
      </c>
      <c r="K1592" s="76" t="s">
        <v>2324</v>
      </c>
      <c r="L1592" s="77" t="s">
        <v>1114</v>
      </c>
    </row>
    <row r="1593" customFormat="false" ht="15" hidden="false" customHeight="false" outlineLevel="0" collapsed="false">
      <c r="A1593" s="76" t="s">
        <v>2319</v>
      </c>
      <c r="B1593" s="76" t="s">
        <v>145</v>
      </c>
      <c r="C1593" s="76" t="s">
        <v>2320</v>
      </c>
      <c r="D1593" s="76" t="s">
        <v>1111</v>
      </c>
      <c r="E1593" s="76" t="s">
        <v>1112</v>
      </c>
      <c r="F1593" s="35" t="s">
        <v>2321</v>
      </c>
      <c r="G1593" s="76" t="s">
        <v>977</v>
      </c>
      <c r="H1593" s="76" t="n">
        <v>120000</v>
      </c>
      <c r="I1593" s="76" t="s">
        <v>1816</v>
      </c>
      <c r="J1593" s="76" t="n">
        <v>120000</v>
      </c>
      <c r="K1593" s="76" t="s">
        <v>1816</v>
      </c>
      <c r="L1593" s="77" t="s">
        <v>1114</v>
      </c>
    </row>
    <row r="1594" customFormat="false" ht="15" hidden="false" customHeight="false" outlineLevel="0" collapsed="false">
      <c r="A1594" s="76" t="s">
        <v>2319</v>
      </c>
      <c r="B1594" s="76" t="s">
        <v>145</v>
      </c>
      <c r="C1594" s="76" t="s">
        <v>2320</v>
      </c>
      <c r="D1594" s="76" t="s">
        <v>1111</v>
      </c>
      <c r="E1594" s="76" t="s">
        <v>1112</v>
      </c>
      <c r="F1594" s="35" t="s">
        <v>2321</v>
      </c>
      <c r="G1594" s="76" t="s">
        <v>978</v>
      </c>
      <c r="H1594" s="78" t="n">
        <v>680000</v>
      </c>
      <c r="I1594" s="76" t="s">
        <v>2325</v>
      </c>
      <c r="J1594" s="76" t="n">
        <v>680000</v>
      </c>
      <c r="K1594" s="76" t="s">
        <v>2325</v>
      </c>
      <c r="L1594" s="77" t="s">
        <v>1114</v>
      </c>
    </row>
    <row r="1595" customFormat="false" ht="15" hidden="false" customHeight="false" outlineLevel="0" collapsed="false">
      <c r="A1595" s="76" t="s">
        <v>2319</v>
      </c>
      <c r="B1595" s="76" t="s">
        <v>145</v>
      </c>
      <c r="C1595" s="76" t="s">
        <v>2320</v>
      </c>
      <c r="D1595" s="76" t="s">
        <v>1111</v>
      </c>
      <c r="E1595" s="76" t="s">
        <v>1112</v>
      </c>
      <c r="F1595" s="35" t="s">
        <v>2321</v>
      </c>
      <c r="G1595" s="76" t="s">
        <v>434</v>
      </c>
      <c r="H1595" s="78" t="n">
        <v>1</v>
      </c>
      <c r="I1595" s="76" t="s">
        <v>1297</v>
      </c>
      <c r="J1595" s="76" t="n">
        <v>1</v>
      </c>
      <c r="K1595" s="76" t="s">
        <v>1297</v>
      </c>
      <c r="L1595" s="77" t="s">
        <v>1114</v>
      </c>
    </row>
    <row r="1596" customFormat="false" ht="15" hidden="false" customHeight="false" outlineLevel="0" collapsed="false">
      <c r="A1596" s="76" t="s">
        <v>2326</v>
      </c>
      <c r="B1596" s="76" t="s">
        <v>145</v>
      </c>
      <c r="C1596" s="76" t="s">
        <v>2320</v>
      </c>
      <c r="D1596" s="76" t="s">
        <v>1124</v>
      </c>
      <c r="E1596" s="76" t="s">
        <v>1125</v>
      </c>
      <c r="F1596" s="35" t="s">
        <v>2327</v>
      </c>
      <c r="G1596" s="76" t="s">
        <v>419</v>
      </c>
      <c r="H1596" s="76"/>
      <c r="I1596" s="76" t="s">
        <v>975</v>
      </c>
      <c r="J1596" s="76"/>
      <c r="K1596" s="76" t="s">
        <v>975</v>
      </c>
      <c r="L1596" s="77" t="s">
        <v>1114</v>
      </c>
    </row>
    <row r="1597" customFormat="false" ht="15" hidden="false" customHeight="false" outlineLevel="0" collapsed="false">
      <c r="A1597" s="76" t="s">
        <v>2326</v>
      </c>
      <c r="B1597" s="76" t="s">
        <v>145</v>
      </c>
      <c r="C1597" s="76" t="s">
        <v>2320</v>
      </c>
      <c r="D1597" s="76" t="s">
        <v>1124</v>
      </c>
      <c r="E1597" s="76" t="s">
        <v>1125</v>
      </c>
      <c r="F1597" s="35" t="s">
        <v>2327</v>
      </c>
      <c r="G1597" s="76" t="s">
        <v>975</v>
      </c>
      <c r="H1597" s="76" t="n">
        <v>0</v>
      </c>
      <c r="I1597" s="76" t="s">
        <v>1127</v>
      </c>
      <c r="J1597" s="76" t="n">
        <v>0</v>
      </c>
      <c r="K1597" s="76" t="s">
        <v>1127</v>
      </c>
      <c r="L1597" s="77" t="s">
        <v>1114</v>
      </c>
    </row>
    <row r="1598" customFormat="false" ht="15" hidden="false" customHeight="false" outlineLevel="0" collapsed="false">
      <c r="A1598" s="76" t="s">
        <v>2326</v>
      </c>
      <c r="B1598" s="76" t="s">
        <v>145</v>
      </c>
      <c r="C1598" s="76" t="s">
        <v>2320</v>
      </c>
      <c r="D1598" s="76" t="s">
        <v>1124</v>
      </c>
      <c r="E1598" s="76" t="s">
        <v>1125</v>
      </c>
      <c r="F1598" s="35" t="s">
        <v>2327</v>
      </c>
      <c r="G1598" s="76" t="s">
        <v>971</v>
      </c>
      <c r="H1598" s="76" t="n">
        <v>0</v>
      </c>
      <c r="I1598" s="76" t="s">
        <v>1127</v>
      </c>
      <c r="J1598" s="76" t="n">
        <v>0</v>
      </c>
      <c r="K1598" s="76" t="s">
        <v>1127</v>
      </c>
      <c r="L1598" s="77" t="s">
        <v>1114</v>
      </c>
    </row>
    <row r="1599" customFormat="false" ht="15" hidden="false" customHeight="false" outlineLevel="0" collapsed="false">
      <c r="A1599" s="76" t="s">
        <v>2326</v>
      </c>
      <c r="B1599" s="76" t="s">
        <v>145</v>
      </c>
      <c r="C1599" s="76" t="s">
        <v>2320</v>
      </c>
      <c r="D1599" s="76" t="s">
        <v>1124</v>
      </c>
      <c r="E1599" s="76" t="s">
        <v>1125</v>
      </c>
      <c r="F1599" s="35" t="s">
        <v>2327</v>
      </c>
      <c r="G1599" s="76" t="s">
        <v>976</v>
      </c>
      <c r="H1599" s="76" t="n">
        <v>0</v>
      </c>
      <c r="I1599" s="76" t="s">
        <v>1127</v>
      </c>
      <c r="J1599" s="76" t="n">
        <v>0</v>
      </c>
      <c r="K1599" s="76" t="s">
        <v>1127</v>
      </c>
      <c r="L1599" s="77" t="s">
        <v>1114</v>
      </c>
    </row>
    <row r="1600" customFormat="false" ht="15" hidden="false" customHeight="false" outlineLevel="0" collapsed="false">
      <c r="A1600" s="76" t="s">
        <v>2326</v>
      </c>
      <c r="B1600" s="76" t="s">
        <v>145</v>
      </c>
      <c r="C1600" s="76" t="s">
        <v>2320</v>
      </c>
      <c r="D1600" s="76" t="s">
        <v>1124</v>
      </c>
      <c r="E1600" s="76" t="s">
        <v>1125</v>
      </c>
      <c r="F1600" s="35" t="s">
        <v>2327</v>
      </c>
      <c r="G1600" s="76" t="s">
        <v>977</v>
      </c>
      <c r="H1600" s="76" t="n">
        <v>3000000</v>
      </c>
      <c r="I1600" s="76" t="s">
        <v>2328</v>
      </c>
      <c r="J1600" s="76" t="n">
        <v>3000000</v>
      </c>
      <c r="K1600" s="76" t="s">
        <v>2328</v>
      </c>
      <c r="L1600" s="77" t="s">
        <v>1114</v>
      </c>
    </row>
    <row r="1601" customFormat="false" ht="15" hidden="false" customHeight="false" outlineLevel="0" collapsed="false">
      <c r="A1601" s="76" t="s">
        <v>2326</v>
      </c>
      <c r="B1601" s="76" t="s">
        <v>145</v>
      </c>
      <c r="C1601" s="76" t="s">
        <v>2320</v>
      </c>
      <c r="D1601" s="76" t="s">
        <v>1124</v>
      </c>
      <c r="E1601" s="76" t="s">
        <v>1125</v>
      </c>
      <c r="F1601" s="35" t="s">
        <v>2327</v>
      </c>
      <c r="G1601" s="76" t="s">
        <v>978</v>
      </c>
      <c r="H1601" s="76"/>
      <c r="I1601" s="76"/>
      <c r="J1601" s="76"/>
      <c r="K1601" s="76"/>
      <c r="L1601" s="77" t="s">
        <v>1114</v>
      </c>
    </row>
    <row r="1602" customFormat="false" ht="15" hidden="false" customHeight="false" outlineLevel="0" collapsed="false">
      <c r="A1602" s="76" t="s">
        <v>2326</v>
      </c>
      <c r="B1602" s="76" t="s">
        <v>145</v>
      </c>
      <c r="C1602" s="76" t="s">
        <v>2320</v>
      </c>
      <c r="D1602" s="76" t="s">
        <v>1124</v>
      </c>
      <c r="E1602" s="76" t="s">
        <v>1125</v>
      </c>
      <c r="F1602" s="35" t="s">
        <v>2327</v>
      </c>
      <c r="G1602" s="76" t="s">
        <v>434</v>
      </c>
      <c r="H1602" s="76"/>
      <c r="I1602" s="76"/>
      <c r="J1602" s="76"/>
      <c r="K1602" s="76"/>
      <c r="L1602" s="77" t="s">
        <v>1114</v>
      </c>
    </row>
    <row r="1603" customFormat="false" ht="15" hidden="false" customHeight="false" outlineLevel="0" collapsed="false">
      <c r="A1603" s="76" t="s">
        <v>2329</v>
      </c>
      <c r="B1603" s="76" t="s">
        <v>145</v>
      </c>
      <c r="C1603" s="76" t="s">
        <v>2320</v>
      </c>
      <c r="D1603" s="76" t="s">
        <v>1132</v>
      </c>
      <c r="E1603" s="76" t="s">
        <v>1133</v>
      </c>
      <c r="F1603" s="35" t="s">
        <v>2330</v>
      </c>
      <c r="G1603" s="76" t="s">
        <v>419</v>
      </c>
      <c r="H1603" s="76"/>
      <c r="I1603" s="76" t="s">
        <v>975</v>
      </c>
      <c r="J1603" s="76"/>
      <c r="K1603" s="76" t="s">
        <v>975</v>
      </c>
      <c r="L1603" s="77" t="s">
        <v>1114</v>
      </c>
    </row>
    <row r="1604" customFormat="false" ht="15" hidden="false" customHeight="false" outlineLevel="0" collapsed="false">
      <c r="A1604" s="76" t="s">
        <v>2329</v>
      </c>
      <c r="B1604" s="76" t="s">
        <v>145</v>
      </c>
      <c r="C1604" s="76" t="s">
        <v>2320</v>
      </c>
      <c r="D1604" s="76" t="s">
        <v>1132</v>
      </c>
      <c r="E1604" s="76" t="s">
        <v>1133</v>
      </c>
      <c r="F1604" s="35" t="s">
        <v>2330</v>
      </c>
      <c r="G1604" s="76" t="s">
        <v>975</v>
      </c>
      <c r="H1604" s="76" t="n">
        <v>6600000</v>
      </c>
      <c r="I1604" s="76" t="s">
        <v>2331</v>
      </c>
      <c r="J1604" s="76" t="n">
        <v>6600000</v>
      </c>
      <c r="K1604" s="76" t="s">
        <v>2331</v>
      </c>
      <c r="L1604" s="77" t="s">
        <v>1114</v>
      </c>
    </row>
    <row r="1605" customFormat="false" ht="15" hidden="false" customHeight="false" outlineLevel="0" collapsed="false">
      <c r="A1605" s="76" t="s">
        <v>2329</v>
      </c>
      <c r="B1605" s="76" t="s">
        <v>145</v>
      </c>
      <c r="C1605" s="76" t="s">
        <v>2320</v>
      </c>
      <c r="D1605" s="76" t="s">
        <v>1132</v>
      </c>
      <c r="E1605" s="76" t="s">
        <v>1133</v>
      </c>
      <c r="F1605" s="35" t="s">
        <v>2330</v>
      </c>
      <c r="G1605" s="76" t="s">
        <v>971</v>
      </c>
      <c r="H1605" s="76" t="n">
        <v>5400000</v>
      </c>
      <c r="I1605" s="76" t="s">
        <v>2332</v>
      </c>
      <c r="J1605" s="76" t="n">
        <v>5400000</v>
      </c>
      <c r="K1605" s="76" t="s">
        <v>2332</v>
      </c>
      <c r="L1605" s="77" t="s">
        <v>1114</v>
      </c>
    </row>
    <row r="1606" customFormat="false" ht="15" hidden="false" customHeight="false" outlineLevel="0" collapsed="false">
      <c r="A1606" s="76" t="s">
        <v>2329</v>
      </c>
      <c r="B1606" s="76" t="s">
        <v>145</v>
      </c>
      <c r="C1606" s="76" t="s">
        <v>2320</v>
      </c>
      <c r="D1606" s="76" t="s">
        <v>1132</v>
      </c>
      <c r="E1606" s="76" t="s">
        <v>1133</v>
      </c>
      <c r="F1606" s="35" t="s">
        <v>2330</v>
      </c>
      <c r="G1606" s="76" t="s">
        <v>976</v>
      </c>
      <c r="H1606" s="76" t="n">
        <v>1200000</v>
      </c>
      <c r="I1606" s="76" t="s">
        <v>2333</v>
      </c>
      <c r="J1606" s="76" t="n">
        <v>1200000</v>
      </c>
      <c r="K1606" s="76" t="s">
        <v>2333</v>
      </c>
      <c r="L1606" s="77" t="s">
        <v>1114</v>
      </c>
    </row>
    <row r="1607" customFormat="false" ht="15" hidden="false" customHeight="false" outlineLevel="0" collapsed="false">
      <c r="A1607" s="76" t="s">
        <v>2329</v>
      </c>
      <c r="B1607" s="76" t="s">
        <v>145</v>
      </c>
      <c r="C1607" s="76" t="s">
        <v>2320</v>
      </c>
      <c r="D1607" s="76" t="s">
        <v>1132</v>
      </c>
      <c r="E1607" s="76" t="s">
        <v>1133</v>
      </c>
      <c r="F1607" s="35" t="s">
        <v>2330</v>
      </c>
      <c r="G1607" s="76" t="s">
        <v>977</v>
      </c>
      <c r="H1607" s="76" t="n">
        <v>0</v>
      </c>
      <c r="I1607" s="76" t="s">
        <v>1127</v>
      </c>
      <c r="J1607" s="76" t="n">
        <v>0</v>
      </c>
      <c r="K1607" s="76" t="s">
        <v>1127</v>
      </c>
      <c r="L1607" s="77" t="s">
        <v>1114</v>
      </c>
    </row>
    <row r="1608" customFormat="false" ht="15" hidden="false" customHeight="false" outlineLevel="0" collapsed="false">
      <c r="A1608" s="76" t="s">
        <v>2329</v>
      </c>
      <c r="B1608" s="76" t="s">
        <v>145</v>
      </c>
      <c r="C1608" s="76" t="s">
        <v>2320</v>
      </c>
      <c r="D1608" s="76" t="s">
        <v>1132</v>
      </c>
      <c r="E1608" s="76" t="s">
        <v>1133</v>
      </c>
      <c r="F1608" s="35" t="s">
        <v>2330</v>
      </c>
      <c r="G1608" s="76" t="s">
        <v>978</v>
      </c>
      <c r="H1608" s="78" t="n">
        <v>6600000</v>
      </c>
      <c r="I1608" s="76" t="s">
        <v>2334</v>
      </c>
      <c r="J1608" s="76" t="n">
        <v>6600000</v>
      </c>
      <c r="K1608" s="76" t="s">
        <v>2334</v>
      </c>
      <c r="L1608" s="77" t="s">
        <v>1114</v>
      </c>
    </row>
    <row r="1609" customFormat="false" ht="15" hidden="false" customHeight="false" outlineLevel="0" collapsed="false">
      <c r="A1609" s="76" t="s">
        <v>2329</v>
      </c>
      <c r="B1609" s="76" t="s">
        <v>145</v>
      </c>
      <c r="C1609" s="76" t="s">
        <v>2320</v>
      </c>
      <c r="D1609" s="76" t="s">
        <v>1132</v>
      </c>
      <c r="E1609" s="76" t="s">
        <v>1133</v>
      </c>
      <c r="F1609" s="35" t="s">
        <v>2330</v>
      </c>
      <c r="G1609" s="76" t="s">
        <v>434</v>
      </c>
      <c r="H1609" s="78" t="n">
        <v>1</v>
      </c>
      <c r="I1609" s="76" t="s">
        <v>1297</v>
      </c>
      <c r="J1609" s="76" t="n">
        <v>1</v>
      </c>
      <c r="K1609" s="76" t="s">
        <v>1297</v>
      </c>
      <c r="L1609" s="77" t="s">
        <v>1114</v>
      </c>
    </row>
    <row r="1610" customFormat="false" ht="15" hidden="false" customHeight="false" outlineLevel="0" collapsed="false">
      <c r="A1610" s="76" t="s">
        <v>2335</v>
      </c>
      <c r="B1610" s="76" t="s">
        <v>145</v>
      </c>
      <c r="C1610" s="76" t="s">
        <v>2320</v>
      </c>
      <c r="D1610" s="76" t="s">
        <v>1141</v>
      </c>
      <c r="E1610" s="76" t="s">
        <v>1142</v>
      </c>
      <c r="F1610" s="35" t="s">
        <v>2336</v>
      </c>
      <c r="G1610" s="76" t="s">
        <v>419</v>
      </c>
      <c r="H1610" s="76"/>
      <c r="I1610" s="76" t="s">
        <v>975</v>
      </c>
      <c r="J1610" s="76"/>
      <c r="K1610" s="76" t="s">
        <v>975</v>
      </c>
      <c r="L1610" s="77" t="s">
        <v>1114</v>
      </c>
    </row>
    <row r="1611" customFormat="false" ht="15" hidden="false" customHeight="false" outlineLevel="0" collapsed="false">
      <c r="A1611" s="76" t="s">
        <v>2335</v>
      </c>
      <c r="B1611" s="76" t="s">
        <v>145</v>
      </c>
      <c r="C1611" s="76" t="s">
        <v>2320</v>
      </c>
      <c r="D1611" s="76" t="s">
        <v>1141</v>
      </c>
      <c r="E1611" s="76" t="s">
        <v>1142</v>
      </c>
      <c r="F1611" s="35" t="s">
        <v>2336</v>
      </c>
      <c r="G1611" s="76" t="s">
        <v>975</v>
      </c>
      <c r="H1611" s="76" t="n">
        <v>676600</v>
      </c>
      <c r="I1611" s="76" t="s">
        <v>2337</v>
      </c>
      <c r="J1611" s="76" t="n">
        <v>676600</v>
      </c>
      <c r="K1611" s="76" t="s">
        <v>2337</v>
      </c>
      <c r="L1611" s="77" t="s">
        <v>1114</v>
      </c>
    </row>
    <row r="1612" customFormat="false" ht="15" hidden="false" customHeight="false" outlineLevel="0" collapsed="false">
      <c r="A1612" s="76" t="s">
        <v>2335</v>
      </c>
      <c r="B1612" s="76" t="s">
        <v>145</v>
      </c>
      <c r="C1612" s="76" t="s">
        <v>2320</v>
      </c>
      <c r="D1612" s="76" t="s">
        <v>1141</v>
      </c>
      <c r="E1612" s="76" t="s">
        <v>1142</v>
      </c>
      <c r="F1612" s="35" t="s">
        <v>2336</v>
      </c>
      <c r="G1612" s="76" t="s">
        <v>971</v>
      </c>
      <c r="H1612" s="76" t="n">
        <v>2937600</v>
      </c>
      <c r="I1612" s="76" t="s">
        <v>2338</v>
      </c>
      <c r="J1612" s="76" t="n">
        <v>2937600</v>
      </c>
      <c r="K1612" s="76" t="s">
        <v>2338</v>
      </c>
      <c r="L1612" s="77" t="s">
        <v>1114</v>
      </c>
    </row>
    <row r="1613" customFormat="false" ht="15" hidden="false" customHeight="false" outlineLevel="0" collapsed="false">
      <c r="A1613" s="76" t="s">
        <v>2335</v>
      </c>
      <c r="B1613" s="76" t="s">
        <v>145</v>
      </c>
      <c r="C1613" s="76" t="s">
        <v>2320</v>
      </c>
      <c r="D1613" s="76" t="s">
        <v>1141</v>
      </c>
      <c r="E1613" s="76" t="s">
        <v>1142</v>
      </c>
      <c r="F1613" s="35" t="s">
        <v>2336</v>
      </c>
      <c r="G1613" s="76" t="s">
        <v>976</v>
      </c>
      <c r="H1613" s="76" t="n">
        <v>192000</v>
      </c>
      <c r="I1613" s="76" t="s">
        <v>2339</v>
      </c>
      <c r="J1613" s="76" t="n">
        <v>192000</v>
      </c>
      <c r="K1613" s="76" t="s">
        <v>2339</v>
      </c>
      <c r="L1613" s="77" t="s">
        <v>1114</v>
      </c>
    </row>
    <row r="1614" customFormat="false" ht="15" hidden="false" customHeight="false" outlineLevel="0" collapsed="false">
      <c r="A1614" s="76" t="s">
        <v>2335</v>
      </c>
      <c r="B1614" s="76" t="s">
        <v>145</v>
      </c>
      <c r="C1614" s="76" t="s">
        <v>2320</v>
      </c>
      <c r="D1614" s="76" t="s">
        <v>1141</v>
      </c>
      <c r="E1614" s="76" t="s">
        <v>1142</v>
      </c>
      <c r="F1614" s="35" t="s">
        <v>2336</v>
      </c>
      <c r="G1614" s="76" t="s">
        <v>977</v>
      </c>
      <c r="H1614" s="76" t="n">
        <v>2453000</v>
      </c>
      <c r="I1614" s="76" t="s">
        <v>2340</v>
      </c>
      <c r="J1614" s="76" t="n">
        <v>2453000</v>
      </c>
      <c r="K1614" s="76" t="s">
        <v>2340</v>
      </c>
      <c r="L1614" s="77" t="s">
        <v>1114</v>
      </c>
    </row>
    <row r="1615" customFormat="false" ht="15" hidden="false" customHeight="false" outlineLevel="0" collapsed="false">
      <c r="A1615" s="76" t="s">
        <v>2335</v>
      </c>
      <c r="B1615" s="76" t="s">
        <v>145</v>
      </c>
      <c r="C1615" s="76" t="s">
        <v>2320</v>
      </c>
      <c r="D1615" s="76" t="s">
        <v>1141</v>
      </c>
      <c r="E1615" s="76" t="s">
        <v>1142</v>
      </c>
      <c r="F1615" s="35" t="s">
        <v>2336</v>
      </c>
      <c r="G1615" s="76" t="s">
        <v>978</v>
      </c>
      <c r="H1615" s="78" t="n">
        <v>676600</v>
      </c>
      <c r="I1615" s="76" t="s">
        <v>2341</v>
      </c>
      <c r="J1615" s="76" t="n">
        <v>676600</v>
      </c>
      <c r="K1615" s="76" t="s">
        <v>2341</v>
      </c>
      <c r="L1615" s="77" t="s">
        <v>1114</v>
      </c>
    </row>
    <row r="1616" customFormat="false" ht="15" hidden="false" customHeight="false" outlineLevel="0" collapsed="false">
      <c r="A1616" s="76" t="s">
        <v>2335</v>
      </c>
      <c r="B1616" s="76" t="s">
        <v>145</v>
      </c>
      <c r="C1616" s="76" t="s">
        <v>2320</v>
      </c>
      <c r="D1616" s="76" t="s">
        <v>1141</v>
      </c>
      <c r="E1616" s="76" t="s">
        <v>1142</v>
      </c>
      <c r="F1616" s="35" t="s">
        <v>2336</v>
      </c>
      <c r="G1616" s="76" t="s">
        <v>434</v>
      </c>
      <c r="H1616" s="78" t="n">
        <v>1</v>
      </c>
      <c r="I1616" s="76" t="s">
        <v>1297</v>
      </c>
      <c r="J1616" s="76" t="n">
        <v>1</v>
      </c>
      <c r="K1616" s="76" t="s">
        <v>1297</v>
      </c>
      <c r="L1616" s="77" t="s">
        <v>1114</v>
      </c>
    </row>
    <row r="1617" customFormat="false" ht="15" hidden="false" customHeight="false" outlineLevel="0" collapsed="false">
      <c r="A1617" s="76" t="s">
        <v>2342</v>
      </c>
      <c r="B1617" s="76" t="s">
        <v>145</v>
      </c>
      <c r="C1617" s="76" t="s">
        <v>2320</v>
      </c>
      <c r="D1617" s="76" t="s">
        <v>1151</v>
      </c>
      <c r="E1617" s="76" t="s">
        <v>1152</v>
      </c>
      <c r="F1617" s="35" t="s">
        <v>2343</v>
      </c>
      <c r="G1617" s="76" t="s">
        <v>419</v>
      </c>
      <c r="H1617" s="76"/>
      <c r="I1617" s="76" t="s">
        <v>975</v>
      </c>
      <c r="J1617" s="76"/>
      <c r="K1617" s="76" t="s">
        <v>975</v>
      </c>
      <c r="L1617" s="77" t="s">
        <v>1114</v>
      </c>
    </row>
    <row r="1618" customFormat="false" ht="15" hidden="false" customHeight="false" outlineLevel="0" collapsed="false">
      <c r="A1618" s="76" t="s">
        <v>2342</v>
      </c>
      <c r="B1618" s="76" t="s">
        <v>145</v>
      </c>
      <c r="C1618" s="76" t="s">
        <v>2320</v>
      </c>
      <c r="D1618" s="76" t="s">
        <v>1151</v>
      </c>
      <c r="E1618" s="76" t="s">
        <v>1152</v>
      </c>
      <c r="F1618" s="35" t="s">
        <v>2343</v>
      </c>
      <c r="G1618" s="76" t="s">
        <v>975</v>
      </c>
      <c r="H1618" s="76" t="n">
        <v>0</v>
      </c>
      <c r="I1618" s="76" t="s">
        <v>1127</v>
      </c>
      <c r="J1618" s="76" t="n">
        <v>0</v>
      </c>
      <c r="K1618" s="76" t="s">
        <v>1127</v>
      </c>
      <c r="L1618" s="77" t="s">
        <v>1114</v>
      </c>
    </row>
    <row r="1619" customFormat="false" ht="15" hidden="false" customHeight="false" outlineLevel="0" collapsed="false">
      <c r="A1619" s="76" t="s">
        <v>2342</v>
      </c>
      <c r="B1619" s="76" t="s">
        <v>145</v>
      </c>
      <c r="C1619" s="76" t="s">
        <v>2320</v>
      </c>
      <c r="D1619" s="76" t="s">
        <v>1151</v>
      </c>
      <c r="E1619" s="76" t="s">
        <v>1152</v>
      </c>
      <c r="F1619" s="35" t="s">
        <v>2343</v>
      </c>
      <c r="G1619" s="76" t="s">
        <v>971</v>
      </c>
      <c r="H1619" s="76" t="n">
        <v>0</v>
      </c>
      <c r="I1619" s="76" t="s">
        <v>1127</v>
      </c>
      <c r="J1619" s="76" t="n">
        <v>0</v>
      </c>
      <c r="K1619" s="76" t="s">
        <v>1127</v>
      </c>
      <c r="L1619" s="77" t="s">
        <v>1114</v>
      </c>
    </row>
    <row r="1620" customFormat="false" ht="15" hidden="false" customHeight="false" outlineLevel="0" collapsed="false">
      <c r="A1620" s="76" t="s">
        <v>2342</v>
      </c>
      <c r="B1620" s="76" t="s">
        <v>145</v>
      </c>
      <c r="C1620" s="76" t="s">
        <v>2320</v>
      </c>
      <c r="D1620" s="76" t="s">
        <v>1151</v>
      </c>
      <c r="E1620" s="76" t="s">
        <v>1152</v>
      </c>
      <c r="F1620" s="35" t="s">
        <v>2343</v>
      </c>
      <c r="G1620" s="76" t="s">
        <v>976</v>
      </c>
      <c r="H1620" s="76" t="n">
        <v>100000</v>
      </c>
      <c r="I1620" s="76" t="s">
        <v>1557</v>
      </c>
      <c r="J1620" s="76" t="n">
        <v>100000</v>
      </c>
      <c r="K1620" s="76" t="s">
        <v>1557</v>
      </c>
      <c r="L1620" s="77" t="s">
        <v>1114</v>
      </c>
    </row>
    <row r="1621" customFormat="false" ht="15" hidden="false" customHeight="false" outlineLevel="0" collapsed="false">
      <c r="A1621" s="76" t="s">
        <v>2342</v>
      </c>
      <c r="B1621" s="76" t="s">
        <v>145</v>
      </c>
      <c r="C1621" s="76" t="s">
        <v>2320</v>
      </c>
      <c r="D1621" s="76" t="s">
        <v>1151</v>
      </c>
      <c r="E1621" s="76" t="s">
        <v>1152</v>
      </c>
      <c r="F1621" s="35" t="s">
        <v>2343</v>
      </c>
      <c r="G1621" s="76" t="s">
        <v>977</v>
      </c>
      <c r="H1621" s="76" t="n">
        <v>100000</v>
      </c>
      <c r="I1621" s="76" t="s">
        <v>1557</v>
      </c>
      <c r="J1621" s="76" t="n">
        <v>100000</v>
      </c>
      <c r="K1621" s="76" t="s">
        <v>1557</v>
      </c>
      <c r="L1621" s="77" t="s">
        <v>1114</v>
      </c>
    </row>
    <row r="1622" customFormat="false" ht="15" hidden="false" customHeight="false" outlineLevel="0" collapsed="false">
      <c r="A1622" s="76" t="s">
        <v>2342</v>
      </c>
      <c r="B1622" s="76" t="s">
        <v>145</v>
      </c>
      <c r="C1622" s="76" t="s">
        <v>2320</v>
      </c>
      <c r="D1622" s="76" t="s">
        <v>1151</v>
      </c>
      <c r="E1622" s="76" t="s">
        <v>1152</v>
      </c>
      <c r="F1622" s="35" t="s">
        <v>2343</v>
      </c>
      <c r="G1622" s="76" t="s">
        <v>978</v>
      </c>
      <c r="H1622" s="76"/>
      <c r="I1622" s="76"/>
      <c r="J1622" s="76"/>
      <c r="K1622" s="76"/>
      <c r="L1622" s="77" t="s">
        <v>1114</v>
      </c>
    </row>
    <row r="1623" customFormat="false" ht="15" hidden="false" customHeight="false" outlineLevel="0" collapsed="false">
      <c r="A1623" s="76" t="s">
        <v>2342</v>
      </c>
      <c r="B1623" s="76" t="s">
        <v>145</v>
      </c>
      <c r="C1623" s="76" t="s">
        <v>2320</v>
      </c>
      <c r="D1623" s="76" t="s">
        <v>1151</v>
      </c>
      <c r="E1623" s="76" t="s">
        <v>1152</v>
      </c>
      <c r="F1623" s="35" t="s">
        <v>2343</v>
      </c>
      <c r="G1623" s="76" t="s">
        <v>434</v>
      </c>
      <c r="H1623" s="76"/>
      <c r="I1623" s="76"/>
      <c r="J1623" s="76"/>
      <c r="K1623" s="76"/>
      <c r="L1623" s="77" t="s">
        <v>1114</v>
      </c>
    </row>
    <row r="1624" customFormat="false" ht="15" hidden="false" customHeight="false" outlineLevel="0" collapsed="false">
      <c r="A1624" s="76" t="s">
        <v>2344</v>
      </c>
      <c r="B1624" s="76" t="s">
        <v>145</v>
      </c>
      <c r="C1624" s="76" t="s">
        <v>2320</v>
      </c>
      <c r="D1624" s="76" t="s">
        <v>1180</v>
      </c>
      <c r="E1624" s="76" t="s">
        <v>1152</v>
      </c>
      <c r="F1624" s="35" t="s">
        <v>2345</v>
      </c>
      <c r="G1624" s="76" t="s">
        <v>419</v>
      </c>
      <c r="H1624" s="76"/>
      <c r="I1624" s="76" t="s">
        <v>975</v>
      </c>
      <c r="J1624" s="76"/>
      <c r="K1624" s="76" t="s">
        <v>975</v>
      </c>
      <c r="L1624" s="77" t="s">
        <v>1114</v>
      </c>
    </row>
    <row r="1625" customFormat="false" ht="15" hidden="false" customHeight="false" outlineLevel="0" collapsed="false">
      <c r="A1625" s="76" t="s">
        <v>2344</v>
      </c>
      <c r="B1625" s="76" t="s">
        <v>145</v>
      </c>
      <c r="C1625" s="76" t="s">
        <v>2320</v>
      </c>
      <c r="D1625" s="76" t="s">
        <v>1180</v>
      </c>
      <c r="E1625" s="76" t="s">
        <v>1152</v>
      </c>
      <c r="F1625" s="35" t="s">
        <v>2345</v>
      </c>
      <c r="G1625" s="76" t="s">
        <v>975</v>
      </c>
      <c r="H1625" s="76" t="n">
        <v>979400</v>
      </c>
      <c r="I1625" s="76" t="s">
        <v>2346</v>
      </c>
      <c r="J1625" s="76" t="n">
        <v>979400</v>
      </c>
      <c r="K1625" s="76" t="s">
        <v>2346</v>
      </c>
      <c r="L1625" s="77" t="s">
        <v>1114</v>
      </c>
    </row>
    <row r="1626" customFormat="false" ht="15" hidden="false" customHeight="false" outlineLevel="0" collapsed="false">
      <c r="A1626" s="76" t="s">
        <v>2344</v>
      </c>
      <c r="B1626" s="76" t="s">
        <v>145</v>
      </c>
      <c r="C1626" s="76" t="s">
        <v>2320</v>
      </c>
      <c r="D1626" s="76" t="s">
        <v>1180</v>
      </c>
      <c r="E1626" s="76" t="s">
        <v>1152</v>
      </c>
      <c r="F1626" s="35" t="s">
        <v>2345</v>
      </c>
      <c r="G1626" s="76" t="s">
        <v>971</v>
      </c>
      <c r="H1626" s="76" t="n">
        <v>2714400</v>
      </c>
      <c r="I1626" s="76" t="s">
        <v>2347</v>
      </c>
      <c r="J1626" s="76" t="n">
        <v>2714400</v>
      </c>
      <c r="K1626" s="76" t="s">
        <v>2347</v>
      </c>
      <c r="L1626" s="77" t="s">
        <v>1114</v>
      </c>
    </row>
    <row r="1627" customFormat="false" ht="15" hidden="false" customHeight="false" outlineLevel="0" collapsed="false">
      <c r="A1627" s="76" t="s">
        <v>2344</v>
      </c>
      <c r="B1627" s="76" t="s">
        <v>145</v>
      </c>
      <c r="C1627" s="76" t="s">
        <v>2320</v>
      </c>
      <c r="D1627" s="76" t="s">
        <v>1180</v>
      </c>
      <c r="E1627" s="76" t="s">
        <v>1152</v>
      </c>
      <c r="F1627" s="35" t="s">
        <v>2345</v>
      </c>
      <c r="G1627" s="76" t="s">
        <v>976</v>
      </c>
      <c r="H1627" s="76" t="n">
        <v>657000</v>
      </c>
      <c r="I1627" s="76" t="s">
        <v>2348</v>
      </c>
      <c r="J1627" s="76" t="n">
        <v>657000</v>
      </c>
      <c r="K1627" s="76" t="s">
        <v>2348</v>
      </c>
      <c r="L1627" s="77" t="s">
        <v>1114</v>
      </c>
    </row>
    <row r="1628" customFormat="false" ht="15" hidden="false" customHeight="false" outlineLevel="0" collapsed="false">
      <c r="A1628" s="76" t="s">
        <v>2344</v>
      </c>
      <c r="B1628" s="76" t="s">
        <v>145</v>
      </c>
      <c r="C1628" s="76" t="s">
        <v>2320</v>
      </c>
      <c r="D1628" s="76" t="s">
        <v>1180</v>
      </c>
      <c r="E1628" s="76" t="s">
        <v>1152</v>
      </c>
      <c r="F1628" s="35" t="s">
        <v>2345</v>
      </c>
      <c r="G1628" s="76" t="s">
        <v>977</v>
      </c>
      <c r="H1628" s="76" t="n">
        <v>2392000</v>
      </c>
      <c r="I1628" s="76" t="s">
        <v>2349</v>
      </c>
      <c r="J1628" s="76" t="n">
        <v>2392000</v>
      </c>
      <c r="K1628" s="76" t="s">
        <v>2349</v>
      </c>
      <c r="L1628" s="77" t="s">
        <v>1114</v>
      </c>
    </row>
    <row r="1629" customFormat="false" ht="15" hidden="false" customHeight="false" outlineLevel="0" collapsed="false">
      <c r="A1629" s="76" t="s">
        <v>2344</v>
      </c>
      <c r="B1629" s="76" t="s">
        <v>145</v>
      </c>
      <c r="C1629" s="76" t="s">
        <v>2320</v>
      </c>
      <c r="D1629" s="76" t="s">
        <v>1180</v>
      </c>
      <c r="E1629" s="76" t="s">
        <v>1152</v>
      </c>
      <c r="F1629" s="35" t="s">
        <v>2345</v>
      </c>
      <c r="G1629" s="76" t="s">
        <v>978</v>
      </c>
      <c r="H1629" s="78" t="n">
        <v>979400</v>
      </c>
      <c r="I1629" s="76" t="s">
        <v>2350</v>
      </c>
      <c r="J1629" s="76" t="n">
        <v>979400</v>
      </c>
      <c r="K1629" s="76" t="s">
        <v>2350</v>
      </c>
      <c r="L1629" s="77" t="s">
        <v>1114</v>
      </c>
    </row>
    <row r="1630" customFormat="false" ht="15" hidden="false" customHeight="false" outlineLevel="0" collapsed="false">
      <c r="A1630" s="76" t="s">
        <v>2344</v>
      </c>
      <c r="B1630" s="76" t="s">
        <v>145</v>
      </c>
      <c r="C1630" s="76" t="s">
        <v>2320</v>
      </c>
      <c r="D1630" s="76" t="s">
        <v>1180</v>
      </c>
      <c r="E1630" s="76" t="s">
        <v>1152</v>
      </c>
      <c r="F1630" s="35" t="s">
        <v>2345</v>
      </c>
      <c r="G1630" s="76" t="s">
        <v>434</v>
      </c>
      <c r="H1630" s="78" t="n">
        <v>1</v>
      </c>
      <c r="I1630" s="76" t="s">
        <v>1297</v>
      </c>
      <c r="J1630" s="76" t="n">
        <v>1</v>
      </c>
      <c r="K1630" s="76" t="s">
        <v>1297</v>
      </c>
      <c r="L1630" s="77" t="s">
        <v>1114</v>
      </c>
    </row>
    <row r="1631" customFormat="false" ht="15" hidden="false" customHeight="false" outlineLevel="0" collapsed="false">
      <c r="A1631" s="76" t="s">
        <v>2351</v>
      </c>
      <c r="B1631" s="76" t="s">
        <v>145</v>
      </c>
      <c r="C1631" s="76" t="s">
        <v>2320</v>
      </c>
      <c r="D1631" s="76" t="s">
        <v>1189</v>
      </c>
      <c r="E1631" s="76" t="s">
        <v>1125</v>
      </c>
      <c r="F1631" s="35" t="s">
        <v>2352</v>
      </c>
      <c r="G1631" s="76" t="s">
        <v>419</v>
      </c>
      <c r="H1631" s="76"/>
      <c r="I1631" s="76" t="s">
        <v>975</v>
      </c>
      <c r="J1631" s="76"/>
      <c r="K1631" s="76" t="s">
        <v>975</v>
      </c>
      <c r="L1631" s="77" t="s">
        <v>1114</v>
      </c>
    </row>
    <row r="1632" customFormat="false" ht="15" hidden="false" customHeight="false" outlineLevel="0" collapsed="false">
      <c r="A1632" s="76" t="s">
        <v>2351</v>
      </c>
      <c r="B1632" s="76" t="s">
        <v>145</v>
      </c>
      <c r="C1632" s="76" t="s">
        <v>2320</v>
      </c>
      <c r="D1632" s="76" t="s">
        <v>1189</v>
      </c>
      <c r="E1632" s="76" t="s">
        <v>1125</v>
      </c>
      <c r="F1632" s="35" t="s">
        <v>2352</v>
      </c>
      <c r="G1632" s="76" t="s">
        <v>975</v>
      </c>
      <c r="H1632" s="76" t="n">
        <v>446000</v>
      </c>
      <c r="I1632" s="76" t="s">
        <v>2353</v>
      </c>
      <c r="J1632" s="76" t="n">
        <v>446000</v>
      </c>
      <c r="K1632" s="76" t="s">
        <v>2353</v>
      </c>
      <c r="L1632" s="77" t="s">
        <v>1114</v>
      </c>
    </row>
    <row r="1633" customFormat="false" ht="15" hidden="false" customHeight="false" outlineLevel="0" collapsed="false">
      <c r="A1633" s="76" t="s">
        <v>2351</v>
      </c>
      <c r="B1633" s="76" t="s">
        <v>145</v>
      </c>
      <c r="C1633" s="76" t="s">
        <v>2320</v>
      </c>
      <c r="D1633" s="76" t="s">
        <v>1189</v>
      </c>
      <c r="E1633" s="76" t="s">
        <v>1125</v>
      </c>
      <c r="F1633" s="35" t="s">
        <v>2352</v>
      </c>
      <c r="G1633" s="76" t="s">
        <v>971</v>
      </c>
      <c r="H1633" s="76" t="n">
        <v>204000</v>
      </c>
      <c r="I1633" s="76" t="s">
        <v>2354</v>
      </c>
      <c r="J1633" s="76" t="n">
        <v>204000</v>
      </c>
      <c r="K1633" s="76" t="s">
        <v>2354</v>
      </c>
      <c r="L1633" s="77" t="s">
        <v>1114</v>
      </c>
    </row>
    <row r="1634" customFormat="false" ht="15" hidden="false" customHeight="false" outlineLevel="0" collapsed="false">
      <c r="A1634" s="76" t="s">
        <v>2351</v>
      </c>
      <c r="B1634" s="76" t="s">
        <v>145</v>
      </c>
      <c r="C1634" s="76" t="s">
        <v>2320</v>
      </c>
      <c r="D1634" s="76" t="s">
        <v>1189</v>
      </c>
      <c r="E1634" s="76" t="s">
        <v>1125</v>
      </c>
      <c r="F1634" s="35" t="s">
        <v>2352</v>
      </c>
      <c r="G1634" s="76" t="s">
        <v>976</v>
      </c>
      <c r="H1634" s="76" t="n">
        <v>950000</v>
      </c>
      <c r="I1634" s="76" t="s">
        <v>2355</v>
      </c>
      <c r="J1634" s="76" t="n">
        <v>950000</v>
      </c>
      <c r="K1634" s="76" t="s">
        <v>2355</v>
      </c>
      <c r="L1634" s="77" t="s">
        <v>1114</v>
      </c>
    </row>
    <row r="1635" customFormat="false" ht="15" hidden="false" customHeight="false" outlineLevel="0" collapsed="false">
      <c r="A1635" s="76" t="s">
        <v>2351</v>
      </c>
      <c r="B1635" s="76" t="s">
        <v>145</v>
      </c>
      <c r="C1635" s="76" t="s">
        <v>2320</v>
      </c>
      <c r="D1635" s="76" t="s">
        <v>1189</v>
      </c>
      <c r="E1635" s="76" t="s">
        <v>1125</v>
      </c>
      <c r="F1635" s="35" t="s">
        <v>2352</v>
      </c>
      <c r="G1635" s="76" t="s">
        <v>977</v>
      </c>
      <c r="H1635" s="76" t="n">
        <v>708000</v>
      </c>
      <c r="I1635" s="76" t="s">
        <v>2356</v>
      </c>
      <c r="J1635" s="76" t="n">
        <v>708000</v>
      </c>
      <c r="K1635" s="76" t="s">
        <v>2356</v>
      </c>
      <c r="L1635" s="77" t="s">
        <v>1114</v>
      </c>
    </row>
    <row r="1636" customFormat="false" ht="15" hidden="false" customHeight="false" outlineLevel="0" collapsed="false">
      <c r="A1636" s="76" t="s">
        <v>2351</v>
      </c>
      <c r="B1636" s="76" t="s">
        <v>145</v>
      </c>
      <c r="C1636" s="76" t="s">
        <v>2320</v>
      </c>
      <c r="D1636" s="76" t="s">
        <v>1189</v>
      </c>
      <c r="E1636" s="76" t="s">
        <v>1125</v>
      </c>
      <c r="F1636" s="35" t="s">
        <v>2352</v>
      </c>
      <c r="G1636" s="76" t="s">
        <v>978</v>
      </c>
      <c r="H1636" s="78" t="n">
        <v>446000</v>
      </c>
      <c r="I1636" s="76" t="s">
        <v>2357</v>
      </c>
      <c r="J1636" s="76" t="n">
        <v>446000</v>
      </c>
      <c r="K1636" s="76" t="s">
        <v>2357</v>
      </c>
      <c r="L1636" s="77" t="s">
        <v>1114</v>
      </c>
    </row>
    <row r="1637" customFormat="false" ht="15" hidden="false" customHeight="false" outlineLevel="0" collapsed="false">
      <c r="A1637" s="76" t="s">
        <v>2351</v>
      </c>
      <c r="B1637" s="76" t="s">
        <v>145</v>
      </c>
      <c r="C1637" s="76" t="s">
        <v>2320</v>
      </c>
      <c r="D1637" s="76" t="s">
        <v>1189</v>
      </c>
      <c r="E1637" s="76" t="s">
        <v>1125</v>
      </c>
      <c r="F1637" s="35" t="s">
        <v>2352</v>
      </c>
      <c r="G1637" s="76" t="s">
        <v>434</v>
      </c>
      <c r="H1637" s="78" t="n">
        <v>1</v>
      </c>
      <c r="I1637" s="76" t="s">
        <v>1297</v>
      </c>
      <c r="J1637" s="76" t="n">
        <v>1</v>
      </c>
      <c r="K1637" s="76" t="s">
        <v>1297</v>
      </c>
      <c r="L1637" s="77" t="s">
        <v>1114</v>
      </c>
    </row>
    <row r="1638" customFormat="false" ht="15" hidden="false" customHeight="false" outlineLevel="0" collapsed="false">
      <c r="A1638" s="76" t="s">
        <v>2358</v>
      </c>
      <c r="B1638" s="76" t="s">
        <v>145</v>
      </c>
      <c r="C1638" s="76" t="s">
        <v>2320</v>
      </c>
      <c r="D1638" s="76" t="s">
        <v>1198</v>
      </c>
      <c r="E1638" s="76" t="s">
        <v>1162</v>
      </c>
      <c r="F1638" s="35" t="s">
        <v>2359</v>
      </c>
      <c r="G1638" s="76" t="s">
        <v>419</v>
      </c>
      <c r="H1638" s="76"/>
      <c r="I1638" s="76" t="s">
        <v>975</v>
      </c>
      <c r="J1638" s="76"/>
      <c r="K1638" s="76" t="s">
        <v>975</v>
      </c>
      <c r="L1638" s="77" t="s">
        <v>1114</v>
      </c>
    </row>
    <row r="1639" customFormat="false" ht="15" hidden="false" customHeight="false" outlineLevel="0" collapsed="false">
      <c r="A1639" s="76" t="s">
        <v>2358</v>
      </c>
      <c r="B1639" s="76" t="s">
        <v>145</v>
      </c>
      <c r="C1639" s="76" t="s">
        <v>2320</v>
      </c>
      <c r="D1639" s="76" t="s">
        <v>1198</v>
      </c>
      <c r="E1639" s="76" t="s">
        <v>1162</v>
      </c>
      <c r="F1639" s="35" t="s">
        <v>2359</v>
      </c>
      <c r="G1639" s="76" t="s">
        <v>975</v>
      </c>
      <c r="H1639" s="76" t="n">
        <v>211000</v>
      </c>
      <c r="I1639" s="76" t="s">
        <v>2360</v>
      </c>
      <c r="J1639" s="76" t="n">
        <v>211000</v>
      </c>
      <c r="K1639" s="76" t="s">
        <v>2360</v>
      </c>
      <c r="L1639" s="77" t="s">
        <v>1114</v>
      </c>
    </row>
    <row r="1640" customFormat="false" ht="15" hidden="false" customHeight="false" outlineLevel="0" collapsed="false">
      <c r="A1640" s="76" t="s">
        <v>2358</v>
      </c>
      <c r="B1640" s="76" t="s">
        <v>145</v>
      </c>
      <c r="C1640" s="76" t="s">
        <v>2320</v>
      </c>
      <c r="D1640" s="76" t="s">
        <v>1198</v>
      </c>
      <c r="E1640" s="76" t="s">
        <v>1162</v>
      </c>
      <c r="F1640" s="35" t="s">
        <v>2359</v>
      </c>
      <c r="G1640" s="76" t="s">
        <v>971</v>
      </c>
      <c r="H1640" s="76" t="n">
        <v>513000</v>
      </c>
      <c r="I1640" s="76" t="s">
        <v>2361</v>
      </c>
      <c r="J1640" s="76" t="n">
        <v>513000</v>
      </c>
      <c r="K1640" s="76" t="s">
        <v>2361</v>
      </c>
      <c r="L1640" s="77" t="s">
        <v>1114</v>
      </c>
    </row>
    <row r="1641" customFormat="false" ht="15" hidden="false" customHeight="false" outlineLevel="0" collapsed="false">
      <c r="A1641" s="76" t="s">
        <v>2358</v>
      </c>
      <c r="B1641" s="76" t="s">
        <v>145</v>
      </c>
      <c r="C1641" s="76" t="s">
        <v>2320</v>
      </c>
      <c r="D1641" s="76" t="s">
        <v>1198</v>
      </c>
      <c r="E1641" s="76" t="s">
        <v>1162</v>
      </c>
      <c r="F1641" s="35" t="s">
        <v>2359</v>
      </c>
      <c r="G1641" s="76" t="s">
        <v>976</v>
      </c>
      <c r="H1641" s="76" t="n">
        <v>632000</v>
      </c>
      <c r="I1641" s="76" t="s">
        <v>2362</v>
      </c>
      <c r="J1641" s="76" t="n">
        <v>632000</v>
      </c>
      <c r="K1641" s="76" t="s">
        <v>2362</v>
      </c>
      <c r="L1641" s="77" t="s">
        <v>1114</v>
      </c>
    </row>
    <row r="1642" customFormat="false" ht="15" hidden="false" customHeight="false" outlineLevel="0" collapsed="false">
      <c r="A1642" s="76" t="s">
        <v>2358</v>
      </c>
      <c r="B1642" s="76" t="s">
        <v>145</v>
      </c>
      <c r="C1642" s="76" t="s">
        <v>2320</v>
      </c>
      <c r="D1642" s="76" t="s">
        <v>1198</v>
      </c>
      <c r="E1642" s="76" t="s">
        <v>1162</v>
      </c>
      <c r="F1642" s="35" t="s">
        <v>2359</v>
      </c>
      <c r="G1642" s="76" t="s">
        <v>977</v>
      </c>
      <c r="H1642" s="76" t="n">
        <v>934000</v>
      </c>
      <c r="I1642" s="76" t="s">
        <v>2363</v>
      </c>
      <c r="J1642" s="76" t="n">
        <v>934000</v>
      </c>
      <c r="K1642" s="76" t="s">
        <v>2363</v>
      </c>
      <c r="L1642" s="77" t="s">
        <v>1114</v>
      </c>
    </row>
    <row r="1643" customFormat="false" ht="15" hidden="false" customHeight="false" outlineLevel="0" collapsed="false">
      <c r="A1643" s="76" t="s">
        <v>2358</v>
      </c>
      <c r="B1643" s="76" t="s">
        <v>145</v>
      </c>
      <c r="C1643" s="76" t="s">
        <v>2320</v>
      </c>
      <c r="D1643" s="76" t="s">
        <v>1198</v>
      </c>
      <c r="E1643" s="76" t="s">
        <v>1162</v>
      </c>
      <c r="F1643" s="35" t="s">
        <v>2359</v>
      </c>
      <c r="G1643" s="76" t="s">
        <v>978</v>
      </c>
      <c r="H1643" s="78" t="n">
        <v>211000</v>
      </c>
      <c r="I1643" s="76" t="s">
        <v>2364</v>
      </c>
      <c r="J1643" s="76" t="n">
        <v>211000</v>
      </c>
      <c r="K1643" s="76" t="s">
        <v>2364</v>
      </c>
      <c r="L1643" s="77" t="s">
        <v>1114</v>
      </c>
    </row>
    <row r="1644" customFormat="false" ht="15" hidden="false" customHeight="false" outlineLevel="0" collapsed="false">
      <c r="A1644" s="76" t="s">
        <v>2358</v>
      </c>
      <c r="B1644" s="76" t="s">
        <v>145</v>
      </c>
      <c r="C1644" s="76" t="s">
        <v>2320</v>
      </c>
      <c r="D1644" s="76" t="s">
        <v>1198</v>
      </c>
      <c r="E1644" s="76" t="s">
        <v>1162</v>
      </c>
      <c r="F1644" s="35" t="s">
        <v>2359</v>
      </c>
      <c r="G1644" s="76" t="s">
        <v>434</v>
      </c>
      <c r="H1644" s="78" t="n">
        <v>1</v>
      </c>
      <c r="I1644" s="76" t="s">
        <v>1297</v>
      </c>
      <c r="J1644" s="76" t="n">
        <v>1</v>
      </c>
      <c r="K1644" s="76" t="s">
        <v>1297</v>
      </c>
      <c r="L1644" s="77" t="s">
        <v>1114</v>
      </c>
    </row>
    <row r="1645" customFormat="false" ht="15" hidden="false" customHeight="false" outlineLevel="0" collapsed="false">
      <c r="A1645" s="76" t="s">
        <v>2365</v>
      </c>
      <c r="B1645" s="76" t="s">
        <v>151</v>
      </c>
      <c r="C1645" s="76" t="s">
        <v>152</v>
      </c>
      <c r="D1645" s="76" t="s">
        <v>1111</v>
      </c>
      <c r="E1645" s="76" t="s">
        <v>1112</v>
      </c>
      <c r="F1645" s="35" t="s">
        <v>2366</v>
      </c>
      <c r="G1645" s="76" t="s">
        <v>419</v>
      </c>
      <c r="H1645" s="76"/>
      <c r="I1645" s="76" t="s">
        <v>2367</v>
      </c>
      <c r="J1645" s="76"/>
      <c r="K1645" s="76" t="s">
        <v>2367</v>
      </c>
      <c r="L1645" s="77" t="s">
        <v>1114</v>
      </c>
    </row>
    <row r="1646" customFormat="false" ht="15" hidden="false" customHeight="false" outlineLevel="0" collapsed="false">
      <c r="A1646" s="76" t="s">
        <v>2365</v>
      </c>
      <c r="B1646" s="76" t="s">
        <v>151</v>
      </c>
      <c r="C1646" s="76" t="s">
        <v>152</v>
      </c>
      <c r="D1646" s="76" t="s">
        <v>1111</v>
      </c>
      <c r="E1646" s="76" t="s">
        <v>1112</v>
      </c>
      <c r="F1646" s="35" t="s">
        <v>2366</v>
      </c>
      <c r="G1646" s="76" t="s">
        <v>989</v>
      </c>
      <c r="H1646" s="78" t="n">
        <v>6.2</v>
      </c>
      <c r="I1646" s="76" t="s">
        <v>2368</v>
      </c>
      <c r="J1646" s="78" t="n">
        <v>6.2</v>
      </c>
      <c r="K1646" s="76" t="s">
        <v>2368</v>
      </c>
      <c r="L1646" s="77" t="s">
        <v>1114</v>
      </c>
    </row>
    <row r="1647" customFormat="false" ht="15" hidden="false" customHeight="false" outlineLevel="0" collapsed="false">
      <c r="A1647" s="76" t="s">
        <v>2365</v>
      </c>
      <c r="B1647" s="76" t="s">
        <v>151</v>
      </c>
      <c r="C1647" s="76" t="s">
        <v>152</v>
      </c>
      <c r="D1647" s="76" t="s">
        <v>1111</v>
      </c>
      <c r="E1647" s="76" t="s">
        <v>1112</v>
      </c>
      <c r="F1647" s="35" t="s">
        <v>2366</v>
      </c>
      <c r="G1647" s="76" t="s">
        <v>990</v>
      </c>
      <c r="H1647" s="76" t="n">
        <v>2500</v>
      </c>
      <c r="I1647" s="76" t="s">
        <v>2369</v>
      </c>
      <c r="J1647" s="76" t="n">
        <v>2500</v>
      </c>
      <c r="K1647" s="76" t="s">
        <v>2369</v>
      </c>
      <c r="L1647" s="77" t="s">
        <v>1114</v>
      </c>
    </row>
    <row r="1648" customFormat="false" ht="15" hidden="false" customHeight="false" outlineLevel="0" collapsed="false">
      <c r="A1648" s="76" t="s">
        <v>2365</v>
      </c>
      <c r="B1648" s="76" t="s">
        <v>151</v>
      </c>
      <c r="C1648" s="76" t="s">
        <v>152</v>
      </c>
      <c r="D1648" s="76" t="s">
        <v>1111</v>
      </c>
      <c r="E1648" s="76" t="s">
        <v>1112</v>
      </c>
      <c r="F1648" s="35" t="s">
        <v>2366</v>
      </c>
      <c r="G1648" s="76" t="s">
        <v>991</v>
      </c>
      <c r="H1648" s="76" t="n">
        <v>3</v>
      </c>
      <c r="I1648" s="76" t="s">
        <v>2370</v>
      </c>
      <c r="J1648" s="76" t="n">
        <v>3</v>
      </c>
      <c r="K1648" s="76" t="s">
        <v>2370</v>
      </c>
      <c r="L1648" s="77" t="s">
        <v>1114</v>
      </c>
    </row>
    <row r="1649" customFormat="false" ht="15" hidden="false" customHeight="false" outlineLevel="0" collapsed="false">
      <c r="A1649" s="76" t="s">
        <v>2365</v>
      </c>
      <c r="B1649" s="76" t="s">
        <v>151</v>
      </c>
      <c r="C1649" s="76" t="s">
        <v>152</v>
      </c>
      <c r="D1649" s="76" t="s">
        <v>1111</v>
      </c>
      <c r="E1649" s="76" t="s">
        <v>1112</v>
      </c>
      <c r="F1649" s="35" t="s">
        <v>2366</v>
      </c>
      <c r="G1649" s="76" t="s">
        <v>992</v>
      </c>
      <c r="H1649" s="78" t="n">
        <v>3.2</v>
      </c>
      <c r="I1649" s="76" t="s">
        <v>2371</v>
      </c>
      <c r="J1649" s="78" t="n">
        <v>3.2</v>
      </c>
      <c r="K1649" s="76" t="s">
        <v>2371</v>
      </c>
      <c r="L1649" s="77" t="s">
        <v>1114</v>
      </c>
    </row>
    <row r="1650" customFormat="false" ht="15" hidden="false" customHeight="false" outlineLevel="0" collapsed="false">
      <c r="A1650" s="76" t="s">
        <v>2365</v>
      </c>
      <c r="B1650" s="76" t="s">
        <v>151</v>
      </c>
      <c r="C1650" s="76" t="s">
        <v>152</v>
      </c>
      <c r="D1650" s="76" t="s">
        <v>1111</v>
      </c>
      <c r="E1650" s="76" t="s">
        <v>1112</v>
      </c>
      <c r="F1650" s="35" t="s">
        <v>2366</v>
      </c>
      <c r="G1650" s="76" t="s">
        <v>993</v>
      </c>
      <c r="H1650" s="78" t="n">
        <v>30000</v>
      </c>
      <c r="I1650" s="76" t="s">
        <v>2372</v>
      </c>
      <c r="J1650" s="76" t="n">
        <v>30000</v>
      </c>
      <c r="K1650" s="76" t="s">
        <v>2372</v>
      </c>
      <c r="L1650" s="77" t="s">
        <v>1114</v>
      </c>
    </row>
    <row r="1651" customFormat="false" ht="15" hidden="false" customHeight="false" outlineLevel="0" collapsed="false">
      <c r="A1651" s="76" t="s">
        <v>2365</v>
      </c>
      <c r="B1651" s="76" t="s">
        <v>151</v>
      </c>
      <c r="C1651" s="76" t="s">
        <v>152</v>
      </c>
      <c r="D1651" s="76" t="s">
        <v>1111</v>
      </c>
      <c r="E1651" s="76" t="s">
        <v>1112</v>
      </c>
      <c r="F1651" s="35" t="s">
        <v>2366</v>
      </c>
      <c r="G1651" s="76" t="s">
        <v>434</v>
      </c>
      <c r="H1651" s="78" t="n">
        <v>1</v>
      </c>
      <c r="I1651" s="76" t="s">
        <v>1297</v>
      </c>
      <c r="J1651" s="76" t="n">
        <v>1</v>
      </c>
      <c r="K1651" s="76" t="s">
        <v>1297</v>
      </c>
      <c r="L1651" s="77" t="s">
        <v>1114</v>
      </c>
    </row>
    <row r="1652" customFormat="false" ht="15" hidden="false" customHeight="false" outlineLevel="0" collapsed="false">
      <c r="A1652" s="76" t="s">
        <v>2373</v>
      </c>
      <c r="B1652" s="76" t="s">
        <v>151</v>
      </c>
      <c r="C1652" s="76" t="s">
        <v>152</v>
      </c>
      <c r="D1652" s="76" t="s">
        <v>1124</v>
      </c>
      <c r="E1652" s="76" t="s">
        <v>1125</v>
      </c>
      <c r="F1652" s="35" t="s">
        <v>2374</v>
      </c>
      <c r="G1652" s="76" t="s">
        <v>419</v>
      </c>
      <c r="H1652" s="76"/>
      <c r="I1652" s="76" t="s">
        <v>2367</v>
      </c>
      <c r="J1652" s="76"/>
      <c r="K1652" s="76" t="s">
        <v>2367</v>
      </c>
      <c r="L1652" s="77" t="s">
        <v>1114</v>
      </c>
    </row>
    <row r="1653" customFormat="false" ht="15" hidden="false" customHeight="false" outlineLevel="0" collapsed="false">
      <c r="A1653" s="76" t="s">
        <v>2373</v>
      </c>
      <c r="B1653" s="76" t="s">
        <v>151</v>
      </c>
      <c r="C1653" s="76" t="s">
        <v>152</v>
      </c>
      <c r="D1653" s="76" t="s">
        <v>1124</v>
      </c>
      <c r="E1653" s="76" t="s">
        <v>1125</v>
      </c>
      <c r="F1653" s="35" t="s">
        <v>2374</v>
      </c>
      <c r="G1653" s="76" t="s">
        <v>989</v>
      </c>
      <c r="H1653" s="76" t="n">
        <v>0</v>
      </c>
      <c r="I1653" s="76" t="s">
        <v>1812</v>
      </c>
      <c r="J1653" s="76" t="n">
        <v>0</v>
      </c>
      <c r="K1653" s="76" t="s">
        <v>1812</v>
      </c>
      <c r="L1653" s="77" t="s">
        <v>1114</v>
      </c>
    </row>
    <row r="1654" customFormat="false" ht="15" hidden="false" customHeight="false" outlineLevel="0" collapsed="false">
      <c r="A1654" s="76" t="s">
        <v>2373</v>
      </c>
      <c r="B1654" s="76" t="s">
        <v>151</v>
      </c>
      <c r="C1654" s="76" t="s">
        <v>152</v>
      </c>
      <c r="D1654" s="76" t="s">
        <v>1124</v>
      </c>
      <c r="E1654" s="76" t="s">
        <v>1125</v>
      </c>
      <c r="F1654" s="35" t="s">
        <v>2374</v>
      </c>
      <c r="G1654" s="76" t="s">
        <v>990</v>
      </c>
      <c r="H1654" s="76" t="n">
        <v>500</v>
      </c>
      <c r="I1654" s="76" t="s">
        <v>1612</v>
      </c>
      <c r="J1654" s="76" t="n">
        <v>500</v>
      </c>
      <c r="K1654" s="76" t="s">
        <v>1612</v>
      </c>
      <c r="L1654" s="77" t="s">
        <v>1114</v>
      </c>
    </row>
    <row r="1655" customFormat="false" ht="15" hidden="false" customHeight="false" outlineLevel="0" collapsed="false">
      <c r="A1655" s="76" t="s">
        <v>2373</v>
      </c>
      <c r="B1655" s="76" t="s">
        <v>151</v>
      </c>
      <c r="C1655" s="76" t="s">
        <v>152</v>
      </c>
      <c r="D1655" s="76" t="s">
        <v>1124</v>
      </c>
      <c r="E1655" s="76" t="s">
        <v>1125</v>
      </c>
      <c r="F1655" s="35" t="s">
        <v>2374</v>
      </c>
      <c r="G1655" s="76" t="s">
        <v>991</v>
      </c>
      <c r="H1655" s="76" t="n">
        <v>0</v>
      </c>
      <c r="I1655" s="76" t="s">
        <v>1353</v>
      </c>
      <c r="J1655" s="76" t="n">
        <v>0</v>
      </c>
      <c r="K1655" s="76" t="s">
        <v>1353</v>
      </c>
      <c r="L1655" s="77" t="s">
        <v>1114</v>
      </c>
    </row>
    <row r="1656" customFormat="false" ht="15" hidden="false" customHeight="false" outlineLevel="0" collapsed="false">
      <c r="A1656" s="76" t="s">
        <v>2373</v>
      </c>
      <c r="B1656" s="76" t="s">
        <v>151</v>
      </c>
      <c r="C1656" s="76" t="s">
        <v>152</v>
      </c>
      <c r="D1656" s="76" t="s">
        <v>1124</v>
      </c>
      <c r="E1656" s="76" t="s">
        <v>1125</v>
      </c>
      <c r="F1656" s="35" t="s">
        <v>2374</v>
      </c>
      <c r="G1656" s="76" t="s">
        <v>992</v>
      </c>
      <c r="H1656" s="76" t="n">
        <v>0</v>
      </c>
      <c r="I1656" s="76" t="s">
        <v>1812</v>
      </c>
      <c r="J1656" s="76" t="n">
        <v>0</v>
      </c>
      <c r="K1656" s="76" t="s">
        <v>1812</v>
      </c>
      <c r="L1656" s="77" t="s">
        <v>1114</v>
      </c>
    </row>
    <row r="1657" customFormat="false" ht="15" hidden="false" customHeight="false" outlineLevel="0" collapsed="false">
      <c r="A1657" s="76" t="s">
        <v>2373</v>
      </c>
      <c r="B1657" s="76" t="s">
        <v>151</v>
      </c>
      <c r="C1657" s="76" t="s">
        <v>152</v>
      </c>
      <c r="D1657" s="76" t="s">
        <v>1124</v>
      </c>
      <c r="E1657" s="76" t="s">
        <v>1125</v>
      </c>
      <c r="F1657" s="35" t="s">
        <v>2374</v>
      </c>
      <c r="G1657" s="76" t="s">
        <v>993</v>
      </c>
      <c r="H1657" s="78" t="n">
        <v>6000</v>
      </c>
      <c r="I1657" s="76" t="s">
        <v>1187</v>
      </c>
      <c r="J1657" s="76" t="n">
        <v>6000</v>
      </c>
      <c r="K1657" s="76" t="s">
        <v>1187</v>
      </c>
      <c r="L1657" s="77" t="s">
        <v>1114</v>
      </c>
    </row>
    <row r="1658" customFormat="false" ht="15" hidden="false" customHeight="false" outlineLevel="0" collapsed="false">
      <c r="A1658" s="76" t="s">
        <v>2373</v>
      </c>
      <c r="B1658" s="76" t="s">
        <v>151</v>
      </c>
      <c r="C1658" s="76" t="s">
        <v>152</v>
      </c>
      <c r="D1658" s="76" t="s">
        <v>1124</v>
      </c>
      <c r="E1658" s="76" t="s">
        <v>1125</v>
      </c>
      <c r="F1658" s="35" t="s">
        <v>2374</v>
      </c>
      <c r="G1658" s="76" t="s">
        <v>434</v>
      </c>
      <c r="H1658" s="78" t="n">
        <v>1</v>
      </c>
      <c r="I1658" s="76" t="s">
        <v>1297</v>
      </c>
      <c r="J1658" s="76" t="n">
        <v>1</v>
      </c>
      <c r="K1658" s="76" t="s">
        <v>1297</v>
      </c>
      <c r="L1658" s="77" t="s">
        <v>1114</v>
      </c>
    </row>
    <row r="1659" customFormat="false" ht="15" hidden="false" customHeight="false" outlineLevel="0" collapsed="false">
      <c r="A1659" s="76" t="s">
        <v>2375</v>
      </c>
      <c r="B1659" s="76" t="s">
        <v>151</v>
      </c>
      <c r="C1659" s="76" t="s">
        <v>152</v>
      </c>
      <c r="D1659" s="76" t="s">
        <v>1132</v>
      </c>
      <c r="E1659" s="76" t="s">
        <v>1133</v>
      </c>
      <c r="F1659" s="35" t="s">
        <v>2376</v>
      </c>
      <c r="G1659" s="76" t="s">
        <v>419</v>
      </c>
      <c r="H1659" s="76"/>
      <c r="I1659" s="76" t="s">
        <v>2367</v>
      </c>
      <c r="J1659" s="76"/>
      <c r="K1659" s="76" t="s">
        <v>2367</v>
      </c>
      <c r="L1659" s="77" t="s">
        <v>1114</v>
      </c>
    </row>
    <row r="1660" customFormat="false" ht="15" hidden="false" customHeight="false" outlineLevel="0" collapsed="false">
      <c r="A1660" s="76" t="s">
        <v>2375</v>
      </c>
      <c r="B1660" s="76" t="s">
        <v>151</v>
      </c>
      <c r="C1660" s="76" t="s">
        <v>152</v>
      </c>
      <c r="D1660" s="76" t="s">
        <v>1132</v>
      </c>
      <c r="E1660" s="76" t="s">
        <v>1133</v>
      </c>
      <c r="F1660" s="35" t="s">
        <v>2376</v>
      </c>
      <c r="G1660" s="76" t="s">
        <v>989</v>
      </c>
      <c r="H1660" s="76" t="n">
        <v>32</v>
      </c>
      <c r="I1660" s="76" t="s">
        <v>2377</v>
      </c>
      <c r="J1660" s="76" t="n">
        <v>32</v>
      </c>
      <c r="K1660" s="76" t="s">
        <v>2377</v>
      </c>
      <c r="L1660" s="77" t="s">
        <v>1114</v>
      </c>
    </row>
    <row r="1661" customFormat="false" ht="15" hidden="false" customHeight="false" outlineLevel="0" collapsed="false">
      <c r="A1661" s="76" t="s">
        <v>2375</v>
      </c>
      <c r="B1661" s="76" t="s">
        <v>151</v>
      </c>
      <c r="C1661" s="76" t="s">
        <v>152</v>
      </c>
      <c r="D1661" s="76" t="s">
        <v>1132</v>
      </c>
      <c r="E1661" s="76" t="s">
        <v>1133</v>
      </c>
      <c r="F1661" s="35" t="s">
        <v>2376</v>
      </c>
      <c r="G1661" s="76" t="s">
        <v>990</v>
      </c>
      <c r="H1661" s="76" t="n">
        <v>10000</v>
      </c>
      <c r="I1661" s="76" t="s">
        <v>1803</v>
      </c>
      <c r="J1661" s="76" t="n">
        <v>10000</v>
      </c>
      <c r="K1661" s="76" t="s">
        <v>1803</v>
      </c>
      <c r="L1661" s="77" t="s">
        <v>1114</v>
      </c>
    </row>
    <row r="1662" customFormat="false" ht="15" hidden="false" customHeight="false" outlineLevel="0" collapsed="false">
      <c r="A1662" s="76" t="s">
        <v>2375</v>
      </c>
      <c r="B1662" s="76" t="s">
        <v>151</v>
      </c>
      <c r="C1662" s="76" t="s">
        <v>152</v>
      </c>
      <c r="D1662" s="76" t="s">
        <v>1132</v>
      </c>
      <c r="E1662" s="76" t="s">
        <v>1133</v>
      </c>
      <c r="F1662" s="35" t="s">
        <v>2376</v>
      </c>
      <c r="G1662" s="76" t="s">
        <v>991</v>
      </c>
      <c r="H1662" s="76" t="n">
        <v>12</v>
      </c>
      <c r="I1662" s="76" t="s">
        <v>2378</v>
      </c>
      <c r="J1662" s="76" t="n">
        <v>12</v>
      </c>
      <c r="K1662" s="76" t="s">
        <v>2378</v>
      </c>
      <c r="L1662" s="77" t="s">
        <v>1114</v>
      </c>
    </row>
    <row r="1663" customFormat="false" ht="15" hidden="false" customHeight="false" outlineLevel="0" collapsed="false">
      <c r="A1663" s="76" t="s">
        <v>2375</v>
      </c>
      <c r="B1663" s="76" t="s">
        <v>151</v>
      </c>
      <c r="C1663" s="76" t="s">
        <v>152</v>
      </c>
      <c r="D1663" s="76" t="s">
        <v>1132</v>
      </c>
      <c r="E1663" s="76" t="s">
        <v>1133</v>
      </c>
      <c r="F1663" s="35" t="s">
        <v>2376</v>
      </c>
      <c r="G1663" s="76" t="s">
        <v>992</v>
      </c>
      <c r="H1663" s="76" t="n">
        <v>20</v>
      </c>
      <c r="I1663" s="76" t="s">
        <v>2379</v>
      </c>
      <c r="J1663" s="76" t="n">
        <v>20</v>
      </c>
      <c r="K1663" s="76" t="s">
        <v>2379</v>
      </c>
      <c r="L1663" s="77" t="s">
        <v>1114</v>
      </c>
    </row>
    <row r="1664" customFormat="false" ht="15" hidden="false" customHeight="false" outlineLevel="0" collapsed="false">
      <c r="A1664" s="76" t="s">
        <v>2375</v>
      </c>
      <c r="B1664" s="76" t="s">
        <v>151</v>
      </c>
      <c r="C1664" s="76" t="s">
        <v>152</v>
      </c>
      <c r="D1664" s="76" t="s">
        <v>1132</v>
      </c>
      <c r="E1664" s="76" t="s">
        <v>1133</v>
      </c>
      <c r="F1664" s="35" t="s">
        <v>2376</v>
      </c>
      <c r="G1664" s="76" t="s">
        <v>993</v>
      </c>
      <c r="H1664" s="78" t="n">
        <v>120000</v>
      </c>
      <c r="I1664" s="76" t="s">
        <v>1817</v>
      </c>
      <c r="J1664" s="76" t="n">
        <v>120000</v>
      </c>
      <c r="K1664" s="76" t="s">
        <v>1817</v>
      </c>
      <c r="L1664" s="77" t="s">
        <v>1114</v>
      </c>
    </row>
    <row r="1665" customFormat="false" ht="15" hidden="false" customHeight="false" outlineLevel="0" collapsed="false">
      <c r="A1665" s="76" t="s">
        <v>2375</v>
      </c>
      <c r="B1665" s="76" t="s">
        <v>151</v>
      </c>
      <c r="C1665" s="76" t="s">
        <v>152</v>
      </c>
      <c r="D1665" s="76" t="s">
        <v>1132</v>
      </c>
      <c r="E1665" s="76" t="s">
        <v>1133</v>
      </c>
      <c r="F1665" s="35" t="s">
        <v>2376</v>
      </c>
      <c r="G1665" s="76" t="s">
        <v>434</v>
      </c>
      <c r="H1665" s="78" t="n">
        <v>1</v>
      </c>
      <c r="I1665" s="76" t="s">
        <v>1297</v>
      </c>
      <c r="J1665" s="76" t="n">
        <v>1</v>
      </c>
      <c r="K1665" s="76" t="s">
        <v>1297</v>
      </c>
      <c r="L1665" s="77" t="s">
        <v>1114</v>
      </c>
    </row>
    <row r="1666" customFormat="false" ht="15" hidden="false" customHeight="false" outlineLevel="0" collapsed="false">
      <c r="A1666" s="76" t="s">
        <v>2380</v>
      </c>
      <c r="B1666" s="76" t="s">
        <v>151</v>
      </c>
      <c r="C1666" s="76" t="s">
        <v>152</v>
      </c>
      <c r="D1666" s="76" t="s">
        <v>1141</v>
      </c>
      <c r="E1666" s="76" t="s">
        <v>1142</v>
      </c>
      <c r="F1666" s="35" t="s">
        <v>2381</v>
      </c>
      <c r="G1666" s="76" t="s">
        <v>419</v>
      </c>
      <c r="H1666" s="76"/>
      <c r="I1666" s="76" t="s">
        <v>2367</v>
      </c>
      <c r="J1666" s="76"/>
      <c r="K1666" s="76" t="s">
        <v>2367</v>
      </c>
      <c r="L1666" s="77" t="s">
        <v>1114</v>
      </c>
    </row>
    <row r="1667" customFormat="false" ht="15" hidden="false" customHeight="false" outlineLevel="0" collapsed="false">
      <c r="A1667" s="76" t="s">
        <v>2380</v>
      </c>
      <c r="B1667" s="76" t="s">
        <v>151</v>
      </c>
      <c r="C1667" s="76" t="s">
        <v>152</v>
      </c>
      <c r="D1667" s="76" t="s">
        <v>1141</v>
      </c>
      <c r="E1667" s="76" t="s">
        <v>1142</v>
      </c>
      <c r="F1667" s="35" t="s">
        <v>2381</v>
      </c>
      <c r="G1667" s="76" t="s">
        <v>989</v>
      </c>
      <c r="H1667" s="78" t="n">
        <v>75.6666666666667</v>
      </c>
      <c r="I1667" s="76" t="s">
        <v>2382</v>
      </c>
      <c r="J1667" s="78" t="n">
        <v>75.6666666666667</v>
      </c>
      <c r="K1667" s="76" t="s">
        <v>2382</v>
      </c>
      <c r="L1667" s="77" t="s">
        <v>1114</v>
      </c>
    </row>
    <row r="1668" customFormat="false" ht="15" hidden="false" customHeight="false" outlineLevel="0" collapsed="false">
      <c r="A1668" s="76" t="s">
        <v>2380</v>
      </c>
      <c r="B1668" s="76" t="s">
        <v>151</v>
      </c>
      <c r="C1668" s="76" t="s">
        <v>152</v>
      </c>
      <c r="D1668" s="76" t="s">
        <v>1141</v>
      </c>
      <c r="E1668" s="76" t="s">
        <v>1142</v>
      </c>
      <c r="F1668" s="35" t="s">
        <v>2381</v>
      </c>
      <c r="G1668" s="76" t="s">
        <v>990</v>
      </c>
      <c r="H1668" s="76" t="n">
        <v>900</v>
      </c>
      <c r="I1668" s="76" t="s">
        <v>2383</v>
      </c>
      <c r="J1668" s="76" t="n">
        <v>900</v>
      </c>
      <c r="K1668" s="76" t="s">
        <v>2383</v>
      </c>
      <c r="L1668" s="77" t="s">
        <v>1114</v>
      </c>
    </row>
    <row r="1669" customFormat="false" ht="15" hidden="false" customHeight="false" outlineLevel="0" collapsed="false">
      <c r="A1669" s="76" t="s">
        <v>2380</v>
      </c>
      <c r="B1669" s="76" t="s">
        <v>151</v>
      </c>
      <c r="C1669" s="76" t="s">
        <v>152</v>
      </c>
      <c r="D1669" s="76" t="s">
        <v>1141</v>
      </c>
      <c r="E1669" s="76" t="s">
        <v>1142</v>
      </c>
      <c r="F1669" s="35" t="s">
        <v>2381</v>
      </c>
      <c r="G1669" s="76" t="s">
        <v>991</v>
      </c>
      <c r="H1669" s="76" t="n">
        <v>4</v>
      </c>
      <c r="I1669" s="76" t="s">
        <v>2384</v>
      </c>
      <c r="J1669" s="76" t="n">
        <v>4</v>
      </c>
      <c r="K1669" s="76" t="s">
        <v>2384</v>
      </c>
      <c r="L1669" s="77" t="s">
        <v>1114</v>
      </c>
    </row>
    <row r="1670" customFormat="false" ht="15" hidden="false" customHeight="false" outlineLevel="0" collapsed="false">
      <c r="A1670" s="76" t="s">
        <v>2380</v>
      </c>
      <c r="B1670" s="76" t="s">
        <v>151</v>
      </c>
      <c r="C1670" s="76" t="s">
        <v>152</v>
      </c>
      <c r="D1670" s="76" t="s">
        <v>1141</v>
      </c>
      <c r="E1670" s="76" t="s">
        <v>1142</v>
      </c>
      <c r="F1670" s="35" t="s">
        <v>2381</v>
      </c>
      <c r="G1670" s="76" t="s">
        <v>992</v>
      </c>
      <c r="H1670" s="78" t="n">
        <v>71.6666666666667</v>
      </c>
      <c r="I1670" s="76" t="s">
        <v>2385</v>
      </c>
      <c r="J1670" s="78" t="n">
        <v>71.6666666666667</v>
      </c>
      <c r="K1670" s="76" t="s">
        <v>2385</v>
      </c>
      <c r="L1670" s="77" t="s">
        <v>1114</v>
      </c>
    </row>
    <row r="1671" customFormat="false" ht="15" hidden="false" customHeight="false" outlineLevel="0" collapsed="false">
      <c r="A1671" s="76" t="s">
        <v>2380</v>
      </c>
      <c r="B1671" s="76" t="s">
        <v>151</v>
      </c>
      <c r="C1671" s="76" t="s">
        <v>152</v>
      </c>
      <c r="D1671" s="76" t="s">
        <v>1141</v>
      </c>
      <c r="E1671" s="76" t="s">
        <v>1142</v>
      </c>
      <c r="F1671" s="35" t="s">
        <v>2381</v>
      </c>
      <c r="G1671" s="76" t="s">
        <v>993</v>
      </c>
      <c r="H1671" s="78" t="n">
        <v>10800</v>
      </c>
      <c r="I1671" s="76" t="s">
        <v>2386</v>
      </c>
      <c r="J1671" s="76" t="n">
        <v>10800</v>
      </c>
      <c r="K1671" s="76" t="s">
        <v>2386</v>
      </c>
      <c r="L1671" s="77" t="s">
        <v>1114</v>
      </c>
    </row>
    <row r="1672" customFormat="false" ht="15" hidden="false" customHeight="false" outlineLevel="0" collapsed="false">
      <c r="A1672" s="76" t="s">
        <v>2380</v>
      </c>
      <c r="B1672" s="76" t="s">
        <v>151</v>
      </c>
      <c r="C1672" s="76" t="s">
        <v>152</v>
      </c>
      <c r="D1672" s="76" t="s">
        <v>1141</v>
      </c>
      <c r="E1672" s="76" t="s">
        <v>1142</v>
      </c>
      <c r="F1672" s="35" t="s">
        <v>2381</v>
      </c>
      <c r="G1672" s="76" t="s">
        <v>434</v>
      </c>
      <c r="H1672" s="78" t="n">
        <v>1</v>
      </c>
      <c r="I1672" s="76" t="s">
        <v>1297</v>
      </c>
      <c r="J1672" s="76" t="n">
        <v>1</v>
      </c>
      <c r="K1672" s="76" t="s">
        <v>1297</v>
      </c>
      <c r="L1672" s="77" t="s">
        <v>1114</v>
      </c>
    </row>
    <row r="1673" customFormat="false" ht="15" hidden="false" customHeight="false" outlineLevel="0" collapsed="false">
      <c r="A1673" s="76" t="s">
        <v>2387</v>
      </c>
      <c r="B1673" s="76" t="s">
        <v>151</v>
      </c>
      <c r="C1673" s="76" t="s">
        <v>152</v>
      </c>
      <c r="D1673" s="76" t="s">
        <v>1161</v>
      </c>
      <c r="E1673" s="76" t="s">
        <v>1162</v>
      </c>
      <c r="F1673" s="35" t="s">
        <v>2388</v>
      </c>
      <c r="G1673" s="76" t="s">
        <v>419</v>
      </c>
      <c r="H1673" s="76"/>
      <c r="I1673" s="76" t="s">
        <v>2367</v>
      </c>
      <c r="J1673" s="76"/>
      <c r="K1673" s="76" t="s">
        <v>2367</v>
      </c>
      <c r="L1673" s="77" t="s">
        <v>1114</v>
      </c>
    </row>
    <row r="1674" customFormat="false" ht="15" hidden="false" customHeight="false" outlineLevel="0" collapsed="false">
      <c r="A1674" s="76" t="s">
        <v>2387</v>
      </c>
      <c r="B1674" s="76" t="s">
        <v>151</v>
      </c>
      <c r="C1674" s="76" t="s">
        <v>152</v>
      </c>
      <c r="D1674" s="76" t="s">
        <v>1161</v>
      </c>
      <c r="E1674" s="76" t="s">
        <v>1162</v>
      </c>
      <c r="F1674" s="35" t="s">
        <v>2388</v>
      </c>
      <c r="G1674" s="76" t="s">
        <v>989</v>
      </c>
      <c r="H1674" s="78" t="n">
        <v>1.4936</v>
      </c>
      <c r="I1674" s="76" t="s">
        <v>2389</v>
      </c>
      <c r="J1674" s="78" t="n">
        <v>1.4936</v>
      </c>
      <c r="K1674" s="76" t="s">
        <v>2389</v>
      </c>
      <c r="L1674" s="77" t="s">
        <v>1114</v>
      </c>
    </row>
    <row r="1675" customFormat="false" ht="15" hidden="false" customHeight="false" outlineLevel="0" collapsed="false">
      <c r="A1675" s="76" t="s">
        <v>2387</v>
      </c>
      <c r="B1675" s="76" t="s">
        <v>151</v>
      </c>
      <c r="C1675" s="76" t="s">
        <v>152</v>
      </c>
      <c r="D1675" s="76" t="s">
        <v>1161</v>
      </c>
      <c r="E1675" s="76" t="s">
        <v>1162</v>
      </c>
      <c r="F1675" s="35" t="s">
        <v>2388</v>
      </c>
      <c r="G1675" s="76" t="s">
        <v>990</v>
      </c>
      <c r="H1675" s="76" t="n">
        <v>2500</v>
      </c>
      <c r="I1675" s="76" t="s">
        <v>2369</v>
      </c>
      <c r="J1675" s="76" t="n">
        <v>2500</v>
      </c>
      <c r="K1675" s="76" t="s">
        <v>2369</v>
      </c>
      <c r="L1675" s="77" t="s">
        <v>1114</v>
      </c>
    </row>
    <row r="1676" customFormat="false" ht="15" hidden="false" customHeight="false" outlineLevel="0" collapsed="false">
      <c r="A1676" s="76" t="s">
        <v>2387</v>
      </c>
      <c r="B1676" s="76" t="s">
        <v>151</v>
      </c>
      <c r="C1676" s="76" t="s">
        <v>152</v>
      </c>
      <c r="D1676" s="76" t="s">
        <v>1161</v>
      </c>
      <c r="E1676" s="76" t="s">
        <v>1162</v>
      </c>
      <c r="F1676" s="35" t="s">
        <v>2388</v>
      </c>
      <c r="G1676" s="76" t="s">
        <v>991</v>
      </c>
      <c r="H1676" s="76" t="n">
        <v>1</v>
      </c>
      <c r="I1676" s="76" t="s">
        <v>1339</v>
      </c>
      <c r="J1676" s="76" t="n">
        <v>1</v>
      </c>
      <c r="K1676" s="76" t="s">
        <v>1339</v>
      </c>
      <c r="L1676" s="77" t="s">
        <v>1114</v>
      </c>
    </row>
    <row r="1677" customFormat="false" ht="15" hidden="false" customHeight="false" outlineLevel="0" collapsed="false">
      <c r="A1677" s="76" t="s">
        <v>2387</v>
      </c>
      <c r="B1677" s="76" t="s">
        <v>151</v>
      </c>
      <c r="C1677" s="76" t="s">
        <v>152</v>
      </c>
      <c r="D1677" s="76" t="s">
        <v>1161</v>
      </c>
      <c r="E1677" s="76" t="s">
        <v>1162</v>
      </c>
      <c r="F1677" s="35" t="s">
        <v>2388</v>
      </c>
      <c r="G1677" s="76" t="s">
        <v>992</v>
      </c>
      <c r="H1677" s="78" t="n">
        <v>0.4936</v>
      </c>
      <c r="I1677" s="76" t="s">
        <v>2390</v>
      </c>
      <c r="J1677" s="78" t="n">
        <v>0.4936</v>
      </c>
      <c r="K1677" s="76" t="s">
        <v>2390</v>
      </c>
      <c r="L1677" s="77" t="s">
        <v>1114</v>
      </c>
    </row>
    <row r="1678" customFormat="false" ht="15" hidden="false" customHeight="false" outlineLevel="0" collapsed="false">
      <c r="A1678" s="76" t="s">
        <v>2387</v>
      </c>
      <c r="B1678" s="76" t="s">
        <v>151</v>
      </c>
      <c r="C1678" s="76" t="s">
        <v>152</v>
      </c>
      <c r="D1678" s="76" t="s">
        <v>1161</v>
      </c>
      <c r="E1678" s="76" t="s">
        <v>1162</v>
      </c>
      <c r="F1678" s="35" t="s">
        <v>2388</v>
      </c>
      <c r="G1678" s="76" t="s">
        <v>993</v>
      </c>
      <c r="H1678" s="78" t="n">
        <v>30000</v>
      </c>
      <c r="I1678" s="76" t="s">
        <v>2372</v>
      </c>
      <c r="J1678" s="76" t="n">
        <v>30000</v>
      </c>
      <c r="K1678" s="76" t="s">
        <v>2372</v>
      </c>
      <c r="L1678" s="77" t="s">
        <v>1114</v>
      </c>
    </row>
    <row r="1679" customFormat="false" ht="15" hidden="false" customHeight="false" outlineLevel="0" collapsed="false">
      <c r="A1679" s="76" t="s">
        <v>2387</v>
      </c>
      <c r="B1679" s="76" t="s">
        <v>151</v>
      </c>
      <c r="C1679" s="76" t="s">
        <v>152</v>
      </c>
      <c r="D1679" s="76" t="s">
        <v>1161</v>
      </c>
      <c r="E1679" s="76" t="s">
        <v>1162</v>
      </c>
      <c r="F1679" s="35" t="s">
        <v>2388</v>
      </c>
      <c r="G1679" s="76" t="s">
        <v>434</v>
      </c>
      <c r="H1679" s="78" t="n">
        <v>1</v>
      </c>
      <c r="I1679" s="76" t="s">
        <v>1297</v>
      </c>
      <c r="J1679" s="76" t="n">
        <v>1</v>
      </c>
      <c r="K1679" s="76" t="s">
        <v>1297</v>
      </c>
      <c r="L1679" s="77" t="s">
        <v>1114</v>
      </c>
    </row>
    <row r="1680" customFormat="false" ht="15" hidden="false" customHeight="false" outlineLevel="0" collapsed="false">
      <c r="A1680" s="76" t="s">
        <v>2391</v>
      </c>
      <c r="B1680" s="76" t="s">
        <v>151</v>
      </c>
      <c r="C1680" s="76" t="s">
        <v>152</v>
      </c>
      <c r="D1680" s="76" t="s">
        <v>1180</v>
      </c>
      <c r="E1680" s="76" t="s">
        <v>1152</v>
      </c>
      <c r="F1680" s="35" t="s">
        <v>2392</v>
      </c>
      <c r="G1680" s="76" t="s">
        <v>419</v>
      </c>
      <c r="H1680" s="76"/>
      <c r="I1680" s="76" t="s">
        <v>2367</v>
      </c>
      <c r="J1680" s="76"/>
      <c r="K1680" s="76" t="s">
        <v>2367</v>
      </c>
      <c r="L1680" s="77" t="s">
        <v>1114</v>
      </c>
    </row>
    <row r="1681" customFormat="false" ht="15" hidden="false" customHeight="false" outlineLevel="0" collapsed="false">
      <c r="A1681" s="76" t="s">
        <v>2391</v>
      </c>
      <c r="B1681" s="76" t="s">
        <v>151</v>
      </c>
      <c r="C1681" s="76" t="s">
        <v>152</v>
      </c>
      <c r="D1681" s="76" t="s">
        <v>1180</v>
      </c>
      <c r="E1681" s="76" t="s">
        <v>1152</v>
      </c>
      <c r="F1681" s="35" t="s">
        <v>2392</v>
      </c>
      <c r="G1681" s="76" t="s">
        <v>989</v>
      </c>
      <c r="H1681" s="78" t="n">
        <v>65.7058823529412</v>
      </c>
      <c r="I1681" s="76" t="s">
        <v>2393</v>
      </c>
      <c r="J1681" s="78" t="n">
        <v>65.7058823529412</v>
      </c>
      <c r="K1681" s="76" t="s">
        <v>2393</v>
      </c>
      <c r="L1681" s="77" t="s">
        <v>1114</v>
      </c>
    </row>
    <row r="1682" customFormat="false" ht="15" hidden="false" customHeight="false" outlineLevel="0" collapsed="false">
      <c r="A1682" s="76" t="s">
        <v>2391</v>
      </c>
      <c r="B1682" s="76" t="s">
        <v>151</v>
      </c>
      <c r="C1682" s="76" t="s">
        <v>152</v>
      </c>
      <c r="D1682" s="76" t="s">
        <v>1180</v>
      </c>
      <c r="E1682" s="76" t="s">
        <v>1152</v>
      </c>
      <c r="F1682" s="35" t="s">
        <v>2392</v>
      </c>
      <c r="G1682" s="76" t="s">
        <v>990</v>
      </c>
      <c r="H1682" s="76" t="n">
        <v>1700</v>
      </c>
      <c r="I1682" s="76" t="s">
        <v>2394</v>
      </c>
      <c r="J1682" s="76" t="n">
        <v>1700</v>
      </c>
      <c r="K1682" s="76" t="s">
        <v>2394</v>
      </c>
      <c r="L1682" s="77" t="s">
        <v>1114</v>
      </c>
    </row>
    <row r="1683" customFormat="false" ht="15" hidden="false" customHeight="false" outlineLevel="0" collapsed="false">
      <c r="A1683" s="76" t="s">
        <v>2391</v>
      </c>
      <c r="B1683" s="76" t="s">
        <v>151</v>
      </c>
      <c r="C1683" s="76" t="s">
        <v>152</v>
      </c>
      <c r="D1683" s="76" t="s">
        <v>1180</v>
      </c>
      <c r="E1683" s="76" t="s">
        <v>1152</v>
      </c>
      <c r="F1683" s="35" t="s">
        <v>2392</v>
      </c>
      <c r="G1683" s="76" t="s">
        <v>991</v>
      </c>
      <c r="H1683" s="76" t="n">
        <v>6</v>
      </c>
      <c r="I1683" s="76" t="s">
        <v>1305</v>
      </c>
      <c r="J1683" s="76" t="n">
        <v>6</v>
      </c>
      <c r="K1683" s="76" t="s">
        <v>1305</v>
      </c>
      <c r="L1683" s="77" t="s">
        <v>1114</v>
      </c>
    </row>
    <row r="1684" customFormat="false" ht="15" hidden="false" customHeight="false" outlineLevel="0" collapsed="false">
      <c r="A1684" s="76" t="s">
        <v>2391</v>
      </c>
      <c r="B1684" s="76" t="s">
        <v>151</v>
      </c>
      <c r="C1684" s="76" t="s">
        <v>152</v>
      </c>
      <c r="D1684" s="76" t="s">
        <v>1180</v>
      </c>
      <c r="E1684" s="76" t="s">
        <v>1152</v>
      </c>
      <c r="F1684" s="35" t="s">
        <v>2392</v>
      </c>
      <c r="G1684" s="76" t="s">
        <v>992</v>
      </c>
      <c r="H1684" s="78" t="n">
        <v>59.7058823529412</v>
      </c>
      <c r="I1684" s="76" t="s">
        <v>2395</v>
      </c>
      <c r="J1684" s="78" t="n">
        <v>59.7058823529412</v>
      </c>
      <c r="K1684" s="76" t="s">
        <v>2395</v>
      </c>
      <c r="L1684" s="77" t="s">
        <v>1114</v>
      </c>
    </row>
    <row r="1685" customFormat="false" ht="15" hidden="false" customHeight="false" outlineLevel="0" collapsed="false">
      <c r="A1685" s="76" t="s">
        <v>2391</v>
      </c>
      <c r="B1685" s="76" t="s">
        <v>151</v>
      </c>
      <c r="C1685" s="76" t="s">
        <v>152</v>
      </c>
      <c r="D1685" s="76" t="s">
        <v>1180</v>
      </c>
      <c r="E1685" s="76" t="s">
        <v>1152</v>
      </c>
      <c r="F1685" s="35" t="s">
        <v>2392</v>
      </c>
      <c r="G1685" s="76" t="s">
        <v>993</v>
      </c>
      <c r="H1685" s="78" t="n">
        <v>20400</v>
      </c>
      <c r="I1685" s="76" t="s">
        <v>2396</v>
      </c>
      <c r="J1685" s="76" t="n">
        <v>20400</v>
      </c>
      <c r="K1685" s="76" t="s">
        <v>2396</v>
      </c>
      <c r="L1685" s="77" t="s">
        <v>1114</v>
      </c>
    </row>
    <row r="1686" customFormat="false" ht="15" hidden="false" customHeight="false" outlineLevel="0" collapsed="false">
      <c r="A1686" s="76" t="s">
        <v>2391</v>
      </c>
      <c r="B1686" s="76" t="s">
        <v>151</v>
      </c>
      <c r="C1686" s="76" t="s">
        <v>152</v>
      </c>
      <c r="D1686" s="76" t="s">
        <v>1180</v>
      </c>
      <c r="E1686" s="76" t="s">
        <v>1152</v>
      </c>
      <c r="F1686" s="35" t="s">
        <v>2392</v>
      </c>
      <c r="G1686" s="76" t="s">
        <v>434</v>
      </c>
      <c r="H1686" s="78" t="n">
        <v>1</v>
      </c>
      <c r="I1686" s="76" t="s">
        <v>1297</v>
      </c>
      <c r="J1686" s="76" t="n">
        <v>1</v>
      </c>
      <c r="K1686" s="76" t="s">
        <v>1297</v>
      </c>
      <c r="L1686" s="77" t="s">
        <v>1114</v>
      </c>
    </row>
    <row r="1687" customFormat="false" ht="15" hidden="false" customHeight="false" outlineLevel="0" collapsed="false">
      <c r="A1687" s="76" t="s">
        <v>2397</v>
      </c>
      <c r="B1687" s="76" t="s">
        <v>151</v>
      </c>
      <c r="C1687" s="76" t="s">
        <v>152</v>
      </c>
      <c r="D1687" s="76" t="s">
        <v>1189</v>
      </c>
      <c r="E1687" s="76" t="s">
        <v>1125</v>
      </c>
      <c r="F1687" s="35" t="s">
        <v>2398</v>
      </c>
      <c r="G1687" s="76" t="s">
        <v>419</v>
      </c>
      <c r="H1687" s="76"/>
      <c r="I1687" s="76" t="s">
        <v>2367</v>
      </c>
      <c r="J1687" s="76"/>
      <c r="K1687" s="76" t="s">
        <v>2367</v>
      </c>
      <c r="L1687" s="77" t="s">
        <v>1114</v>
      </c>
    </row>
    <row r="1688" customFormat="false" ht="15" hidden="false" customHeight="false" outlineLevel="0" collapsed="false">
      <c r="A1688" s="76" t="s">
        <v>2397</v>
      </c>
      <c r="B1688" s="76" t="s">
        <v>151</v>
      </c>
      <c r="C1688" s="76" t="s">
        <v>152</v>
      </c>
      <c r="D1688" s="76" t="s">
        <v>1189</v>
      </c>
      <c r="E1688" s="76" t="s">
        <v>1125</v>
      </c>
      <c r="F1688" s="35" t="s">
        <v>2398</v>
      </c>
      <c r="G1688" s="76" t="s">
        <v>989</v>
      </c>
      <c r="H1688" s="78" t="n">
        <v>60.2380952380952</v>
      </c>
      <c r="I1688" s="76" t="s">
        <v>2399</v>
      </c>
      <c r="J1688" s="78" t="n">
        <v>60.2380952380952</v>
      </c>
      <c r="K1688" s="76" t="s">
        <v>2399</v>
      </c>
      <c r="L1688" s="77" t="s">
        <v>1114</v>
      </c>
    </row>
    <row r="1689" customFormat="false" ht="15" hidden="false" customHeight="false" outlineLevel="0" collapsed="false">
      <c r="A1689" s="76" t="s">
        <v>2397</v>
      </c>
      <c r="B1689" s="76" t="s">
        <v>151</v>
      </c>
      <c r="C1689" s="76" t="s">
        <v>152</v>
      </c>
      <c r="D1689" s="76" t="s">
        <v>1189</v>
      </c>
      <c r="E1689" s="76" t="s">
        <v>1125</v>
      </c>
      <c r="F1689" s="35" t="s">
        <v>2398</v>
      </c>
      <c r="G1689" s="76" t="s">
        <v>990</v>
      </c>
      <c r="H1689" s="76" t="n">
        <v>2100</v>
      </c>
      <c r="I1689" s="76" t="s">
        <v>2400</v>
      </c>
      <c r="J1689" s="76" t="n">
        <v>2100</v>
      </c>
      <c r="K1689" s="76" t="s">
        <v>2400</v>
      </c>
      <c r="L1689" s="77" t="s">
        <v>1114</v>
      </c>
    </row>
    <row r="1690" customFormat="false" ht="15" hidden="false" customHeight="false" outlineLevel="0" collapsed="false">
      <c r="A1690" s="76" t="s">
        <v>2397</v>
      </c>
      <c r="B1690" s="76" t="s">
        <v>151</v>
      </c>
      <c r="C1690" s="76" t="s">
        <v>152</v>
      </c>
      <c r="D1690" s="76" t="s">
        <v>1189</v>
      </c>
      <c r="E1690" s="76" t="s">
        <v>1125</v>
      </c>
      <c r="F1690" s="35" t="s">
        <v>2398</v>
      </c>
      <c r="G1690" s="76" t="s">
        <v>991</v>
      </c>
      <c r="H1690" s="76" t="n">
        <v>0</v>
      </c>
      <c r="I1690" s="76" t="s">
        <v>1353</v>
      </c>
      <c r="J1690" s="76" t="n">
        <v>0</v>
      </c>
      <c r="K1690" s="76" t="s">
        <v>1353</v>
      </c>
      <c r="L1690" s="77" t="s">
        <v>1114</v>
      </c>
    </row>
    <row r="1691" customFormat="false" ht="15" hidden="false" customHeight="false" outlineLevel="0" collapsed="false">
      <c r="A1691" s="76" t="s">
        <v>2397</v>
      </c>
      <c r="B1691" s="76" t="s">
        <v>151</v>
      </c>
      <c r="C1691" s="76" t="s">
        <v>152</v>
      </c>
      <c r="D1691" s="76" t="s">
        <v>1189</v>
      </c>
      <c r="E1691" s="76" t="s">
        <v>1125</v>
      </c>
      <c r="F1691" s="35" t="s">
        <v>2398</v>
      </c>
      <c r="G1691" s="76" t="s">
        <v>992</v>
      </c>
      <c r="H1691" s="78" t="n">
        <v>60.2380952380952</v>
      </c>
      <c r="I1691" s="76" t="s">
        <v>2399</v>
      </c>
      <c r="J1691" s="78" t="n">
        <v>60.2380952380952</v>
      </c>
      <c r="K1691" s="76" t="s">
        <v>2399</v>
      </c>
      <c r="L1691" s="77" t="s">
        <v>1114</v>
      </c>
    </row>
    <row r="1692" customFormat="false" ht="15" hidden="false" customHeight="false" outlineLevel="0" collapsed="false">
      <c r="A1692" s="76" t="s">
        <v>2397</v>
      </c>
      <c r="B1692" s="76" t="s">
        <v>151</v>
      </c>
      <c r="C1692" s="76" t="s">
        <v>152</v>
      </c>
      <c r="D1692" s="76" t="s">
        <v>1189</v>
      </c>
      <c r="E1692" s="76" t="s">
        <v>1125</v>
      </c>
      <c r="F1692" s="35" t="s">
        <v>2398</v>
      </c>
      <c r="G1692" s="76" t="s">
        <v>993</v>
      </c>
      <c r="H1692" s="78" t="n">
        <v>25200</v>
      </c>
      <c r="I1692" s="76" t="s">
        <v>2401</v>
      </c>
      <c r="J1692" s="76" t="n">
        <v>25200</v>
      </c>
      <c r="K1692" s="76" t="s">
        <v>2401</v>
      </c>
      <c r="L1692" s="77" t="s">
        <v>1114</v>
      </c>
    </row>
    <row r="1693" customFormat="false" ht="15" hidden="false" customHeight="false" outlineLevel="0" collapsed="false">
      <c r="A1693" s="76" t="s">
        <v>2397</v>
      </c>
      <c r="B1693" s="76" t="s">
        <v>151</v>
      </c>
      <c r="C1693" s="76" t="s">
        <v>152</v>
      </c>
      <c r="D1693" s="76" t="s">
        <v>1189</v>
      </c>
      <c r="E1693" s="76" t="s">
        <v>1125</v>
      </c>
      <c r="F1693" s="35" t="s">
        <v>2398</v>
      </c>
      <c r="G1693" s="76" t="s">
        <v>434</v>
      </c>
      <c r="H1693" s="78" t="n">
        <v>1</v>
      </c>
      <c r="I1693" s="76" t="s">
        <v>1297</v>
      </c>
      <c r="J1693" s="76" t="n">
        <v>1</v>
      </c>
      <c r="K1693" s="76" t="s">
        <v>1297</v>
      </c>
      <c r="L1693" s="77" t="s">
        <v>1114</v>
      </c>
    </row>
    <row r="1694" customFormat="false" ht="15" hidden="false" customHeight="false" outlineLevel="0" collapsed="false">
      <c r="A1694" s="76" t="s">
        <v>2402</v>
      </c>
      <c r="B1694" s="76" t="s">
        <v>151</v>
      </c>
      <c r="C1694" s="76" t="s">
        <v>152</v>
      </c>
      <c r="D1694" s="76" t="s">
        <v>1198</v>
      </c>
      <c r="E1694" s="76" t="s">
        <v>1162</v>
      </c>
      <c r="F1694" s="35" t="s">
        <v>2403</v>
      </c>
      <c r="G1694" s="76" t="s">
        <v>419</v>
      </c>
      <c r="H1694" s="76"/>
      <c r="I1694" s="76" t="s">
        <v>2367</v>
      </c>
      <c r="J1694" s="76"/>
      <c r="K1694" s="76" t="s">
        <v>2367</v>
      </c>
      <c r="L1694" s="77" t="s">
        <v>1114</v>
      </c>
    </row>
    <row r="1695" customFormat="false" ht="15" hidden="false" customHeight="false" outlineLevel="0" collapsed="false">
      <c r="A1695" s="76" t="s">
        <v>2402</v>
      </c>
      <c r="B1695" s="76" t="s">
        <v>151</v>
      </c>
      <c r="C1695" s="76" t="s">
        <v>152</v>
      </c>
      <c r="D1695" s="76" t="s">
        <v>1198</v>
      </c>
      <c r="E1695" s="76" t="s">
        <v>1162</v>
      </c>
      <c r="F1695" s="35" t="s">
        <v>2403</v>
      </c>
      <c r="G1695" s="76" t="s">
        <v>989</v>
      </c>
      <c r="H1695" s="78" t="n">
        <v>35.0408163265306</v>
      </c>
      <c r="I1695" s="76" t="s">
        <v>2404</v>
      </c>
      <c r="J1695" s="78" t="n">
        <v>35.0408163265306</v>
      </c>
      <c r="K1695" s="76" t="s">
        <v>2404</v>
      </c>
      <c r="L1695" s="77" t="s">
        <v>1114</v>
      </c>
    </row>
    <row r="1696" customFormat="false" ht="15" hidden="false" customHeight="false" outlineLevel="0" collapsed="false">
      <c r="A1696" s="76" t="s">
        <v>2402</v>
      </c>
      <c r="B1696" s="76" t="s">
        <v>151</v>
      </c>
      <c r="C1696" s="76" t="s">
        <v>152</v>
      </c>
      <c r="D1696" s="76" t="s">
        <v>1198</v>
      </c>
      <c r="E1696" s="76" t="s">
        <v>1162</v>
      </c>
      <c r="F1696" s="35" t="s">
        <v>2403</v>
      </c>
      <c r="G1696" s="76" t="s">
        <v>990</v>
      </c>
      <c r="H1696" s="76" t="n">
        <v>4900</v>
      </c>
      <c r="I1696" s="76" t="s">
        <v>2405</v>
      </c>
      <c r="J1696" s="76" t="n">
        <v>4900</v>
      </c>
      <c r="K1696" s="76" t="s">
        <v>2405</v>
      </c>
      <c r="L1696" s="77" t="s">
        <v>1114</v>
      </c>
    </row>
    <row r="1697" customFormat="false" ht="15" hidden="false" customHeight="false" outlineLevel="0" collapsed="false">
      <c r="A1697" s="76" t="s">
        <v>2402</v>
      </c>
      <c r="B1697" s="76" t="s">
        <v>151</v>
      </c>
      <c r="C1697" s="76" t="s">
        <v>152</v>
      </c>
      <c r="D1697" s="76" t="s">
        <v>1198</v>
      </c>
      <c r="E1697" s="76" t="s">
        <v>1162</v>
      </c>
      <c r="F1697" s="35" t="s">
        <v>2403</v>
      </c>
      <c r="G1697" s="76" t="s">
        <v>991</v>
      </c>
      <c r="H1697" s="76" t="n">
        <v>8</v>
      </c>
      <c r="I1697" s="76" t="s">
        <v>1393</v>
      </c>
      <c r="J1697" s="76" t="n">
        <v>8</v>
      </c>
      <c r="K1697" s="76" t="s">
        <v>1393</v>
      </c>
      <c r="L1697" s="77" t="s">
        <v>1114</v>
      </c>
    </row>
    <row r="1698" customFormat="false" ht="15" hidden="false" customHeight="false" outlineLevel="0" collapsed="false">
      <c r="A1698" s="76" t="s">
        <v>2402</v>
      </c>
      <c r="B1698" s="76" t="s">
        <v>151</v>
      </c>
      <c r="C1698" s="76" t="s">
        <v>152</v>
      </c>
      <c r="D1698" s="76" t="s">
        <v>1198</v>
      </c>
      <c r="E1698" s="76" t="s">
        <v>1162</v>
      </c>
      <c r="F1698" s="35" t="s">
        <v>2403</v>
      </c>
      <c r="G1698" s="76" t="s">
        <v>992</v>
      </c>
      <c r="H1698" s="78" t="n">
        <v>27.0408163265306</v>
      </c>
      <c r="I1698" s="76" t="s">
        <v>2406</v>
      </c>
      <c r="J1698" s="78" t="n">
        <v>27.0408163265306</v>
      </c>
      <c r="K1698" s="76" t="s">
        <v>2406</v>
      </c>
      <c r="L1698" s="77" t="s">
        <v>1114</v>
      </c>
    </row>
    <row r="1699" customFormat="false" ht="15" hidden="false" customHeight="false" outlineLevel="0" collapsed="false">
      <c r="A1699" s="76" t="s">
        <v>2402</v>
      </c>
      <c r="B1699" s="76" t="s">
        <v>151</v>
      </c>
      <c r="C1699" s="76" t="s">
        <v>152</v>
      </c>
      <c r="D1699" s="76" t="s">
        <v>1198</v>
      </c>
      <c r="E1699" s="76" t="s">
        <v>1162</v>
      </c>
      <c r="F1699" s="35" t="s">
        <v>2403</v>
      </c>
      <c r="G1699" s="76" t="s">
        <v>993</v>
      </c>
      <c r="H1699" s="78" t="n">
        <v>58800</v>
      </c>
      <c r="I1699" s="76" t="s">
        <v>2407</v>
      </c>
      <c r="J1699" s="76" t="n">
        <v>58800</v>
      </c>
      <c r="K1699" s="76" t="s">
        <v>2407</v>
      </c>
      <c r="L1699" s="77" t="s">
        <v>1114</v>
      </c>
    </row>
    <row r="1700" customFormat="false" ht="15" hidden="false" customHeight="false" outlineLevel="0" collapsed="false">
      <c r="A1700" s="76" t="s">
        <v>2402</v>
      </c>
      <c r="B1700" s="76" t="s">
        <v>151</v>
      </c>
      <c r="C1700" s="76" t="s">
        <v>152</v>
      </c>
      <c r="D1700" s="76" t="s">
        <v>1198</v>
      </c>
      <c r="E1700" s="76" t="s">
        <v>1162</v>
      </c>
      <c r="F1700" s="35" t="s">
        <v>2403</v>
      </c>
      <c r="G1700" s="76" t="s">
        <v>434</v>
      </c>
      <c r="H1700" s="78" t="n">
        <v>1</v>
      </c>
      <c r="I1700" s="76" t="s">
        <v>1297</v>
      </c>
      <c r="J1700" s="76" t="n">
        <v>1</v>
      </c>
      <c r="K1700" s="76" t="s">
        <v>1297</v>
      </c>
      <c r="L1700" s="77" t="s">
        <v>1114</v>
      </c>
    </row>
    <row r="1701" customFormat="false" ht="15" hidden="false" customHeight="false" outlineLevel="0" collapsed="false">
      <c r="A1701" s="76" t="s">
        <v>2408</v>
      </c>
      <c r="B1701" s="76" t="s">
        <v>156</v>
      </c>
      <c r="C1701" s="76" t="s">
        <v>157</v>
      </c>
      <c r="D1701" s="76" t="s">
        <v>1111</v>
      </c>
      <c r="E1701" s="76" t="s">
        <v>1112</v>
      </c>
      <c r="F1701" s="35" t="s">
        <v>2409</v>
      </c>
      <c r="G1701" s="76" t="s">
        <v>419</v>
      </c>
      <c r="H1701" s="76"/>
      <c r="I1701" s="76" t="s">
        <v>1010</v>
      </c>
      <c r="J1701" s="76"/>
      <c r="K1701" s="76" t="s">
        <v>1010</v>
      </c>
      <c r="L1701" s="77" t="s">
        <v>1114</v>
      </c>
    </row>
    <row r="1702" customFormat="false" ht="15" hidden="false" customHeight="false" outlineLevel="0" collapsed="false">
      <c r="A1702" s="76" t="s">
        <v>2408</v>
      </c>
      <c r="B1702" s="76" t="s">
        <v>156</v>
      </c>
      <c r="C1702" s="76" t="s">
        <v>157</v>
      </c>
      <c r="D1702" s="76" t="s">
        <v>1111</v>
      </c>
      <c r="E1702" s="76" t="s">
        <v>1112</v>
      </c>
      <c r="F1702" s="35" t="s">
        <v>2409</v>
      </c>
      <c r="G1702" s="76" t="s">
        <v>1010</v>
      </c>
      <c r="H1702" s="76" t="n">
        <v>250000</v>
      </c>
      <c r="I1702" s="76" t="s">
        <v>1115</v>
      </c>
      <c r="J1702" s="76" t="n">
        <v>250000</v>
      </c>
      <c r="K1702" s="76" t="s">
        <v>1115</v>
      </c>
      <c r="L1702" s="77" t="s">
        <v>1114</v>
      </c>
    </row>
    <row r="1703" customFormat="false" ht="15" hidden="false" customHeight="false" outlineLevel="0" collapsed="false">
      <c r="A1703" s="76" t="s">
        <v>2408</v>
      </c>
      <c r="B1703" s="76" t="s">
        <v>156</v>
      </c>
      <c r="C1703" s="76" t="s">
        <v>157</v>
      </c>
      <c r="D1703" s="76" t="s">
        <v>1111</v>
      </c>
      <c r="E1703" s="76" t="s">
        <v>1112</v>
      </c>
      <c r="F1703" s="35" t="s">
        <v>2409</v>
      </c>
      <c r="G1703" s="76" t="s">
        <v>1011</v>
      </c>
      <c r="H1703" s="78" t="n">
        <v>1319.59210074443</v>
      </c>
      <c r="I1703" s="76" t="s">
        <v>1345</v>
      </c>
      <c r="J1703" s="78" t="n">
        <v>1319.59210074443</v>
      </c>
      <c r="K1703" s="76" t="s">
        <v>1345</v>
      </c>
      <c r="L1703" s="77" t="s">
        <v>1114</v>
      </c>
    </row>
    <row r="1704" customFormat="false" ht="15" hidden="false" customHeight="false" outlineLevel="0" collapsed="false">
      <c r="A1704" s="76" t="s">
        <v>2408</v>
      </c>
      <c r="B1704" s="76" t="s">
        <v>156</v>
      </c>
      <c r="C1704" s="76" t="s">
        <v>157</v>
      </c>
      <c r="D1704" s="76" t="s">
        <v>1111</v>
      </c>
      <c r="E1704" s="76" t="s">
        <v>1112</v>
      </c>
      <c r="F1704" s="35" t="s">
        <v>2409</v>
      </c>
      <c r="G1704" s="76" t="s">
        <v>1012</v>
      </c>
      <c r="H1704" s="78" t="n">
        <v>217761.540588297</v>
      </c>
      <c r="I1704" s="76" t="s">
        <v>2410</v>
      </c>
      <c r="J1704" s="78" t="n">
        <v>217761.540588297</v>
      </c>
      <c r="K1704" s="76" t="s">
        <v>2410</v>
      </c>
      <c r="L1704" s="77" t="s">
        <v>1114</v>
      </c>
    </row>
    <row r="1705" customFormat="false" ht="15" hidden="false" customHeight="false" outlineLevel="0" collapsed="false">
      <c r="A1705" s="76" t="s">
        <v>2408</v>
      </c>
      <c r="B1705" s="76" t="s">
        <v>156</v>
      </c>
      <c r="C1705" s="76" t="s">
        <v>157</v>
      </c>
      <c r="D1705" s="76" t="s">
        <v>1111</v>
      </c>
      <c r="E1705" s="76" t="s">
        <v>1112</v>
      </c>
      <c r="F1705" s="35" t="s">
        <v>2409</v>
      </c>
      <c r="G1705" s="76" t="s">
        <v>1013</v>
      </c>
      <c r="H1705" s="78" t="n">
        <v>178398.491452667</v>
      </c>
      <c r="I1705" s="76" t="s">
        <v>2411</v>
      </c>
      <c r="J1705" s="78" t="n">
        <v>178398.491452667</v>
      </c>
      <c r="K1705" s="76" t="s">
        <v>2411</v>
      </c>
      <c r="L1705" s="77" t="s">
        <v>1114</v>
      </c>
    </row>
    <row r="1706" customFormat="false" ht="15" hidden="false" customHeight="false" outlineLevel="0" collapsed="false">
      <c r="A1706" s="76" t="s">
        <v>2408</v>
      </c>
      <c r="B1706" s="76" t="s">
        <v>156</v>
      </c>
      <c r="C1706" s="76" t="s">
        <v>157</v>
      </c>
      <c r="D1706" s="76" t="s">
        <v>1111</v>
      </c>
      <c r="E1706" s="76" t="s">
        <v>1112</v>
      </c>
      <c r="F1706" s="35" t="s">
        <v>2409</v>
      </c>
      <c r="G1706" s="76" t="s">
        <v>1014</v>
      </c>
      <c r="H1706" s="78" t="n">
        <v>130336.342530886</v>
      </c>
      <c r="I1706" s="76" t="s">
        <v>2412</v>
      </c>
      <c r="J1706" s="78" t="n">
        <v>130336.342530886</v>
      </c>
      <c r="K1706" s="76" t="s">
        <v>2412</v>
      </c>
      <c r="L1706" s="77" t="s">
        <v>1114</v>
      </c>
    </row>
    <row r="1707" customFormat="false" ht="15" hidden="false" customHeight="false" outlineLevel="0" collapsed="false">
      <c r="A1707" s="76" t="s">
        <v>2413</v>
      </c>
      <c r="B1707" s="76" t="s">
        <v>156</v>
      </c>
      <c r="C1707" s="76" t="s">
        <v>157</v>
      </c>
      <c r="D1707" s="76" t="s">
        <v>1124</v>
      </c>
      <c r="E1707" s="76" t="s">
        <v>1125</v>
      </c>
      <c r="F1707" s="35" t="s">
        <v>2414</v>
      </c>
      <c r="G1707" s="76" t="s">
        <v>419</v>
      </c>
      <c r="H1707" s="76"/>
      <c r="I1707" s="76" t="s">
        <v>1010</v>
      </c>
      <c r="J1707" s="76"/>
      <c r="K1707" s="76" t="s">
        <v>1010</v>
      </c>
      <c r="L1707" s="77" t="s">
        <v>1114</v>
      </c>
    </row>
    <row r="1708" customFormat="false" ht="15" hidden="false" customHeight="false" outlineLevel="0" collapsed="false">
      <c r="A1708" s="76" t="s">
        <v>2413</v>
      </c>
      <c r="B1708" s="76" t="s">
        <v>156</v>
      </c>
      <c r="C1708" s="76" t="s">
        <v>157</v>
      </c>
      <c r="D1708" s="76" t="s">
        <v>1124</v>
      </c>
      <c r="E1708" s="76" t="s">
        <v>1125</v>
      </c>
      <c r="F1708" s="35" t="s">
        <v>2414</v>
      </c>
      <c r="G1708" s="76" t="s">
        <v>1010</v>
      </c>
      <c r="H1708" s="76" t="n">
        <v>20000</v>
      </c>
      <c r="I1708" s="76" t="s">
        <v>1166</v>
      </c>
      <c r="J1708" s="76" t="n">
        <v>20000</v>
      </c>
      <c r="K1708" s="76" t="s">
        <v>1166</v>
      </c>
      <c r="L1708" s="77" t="s">
        <v>1114</v>
      </c>
    </row>
    <row r="1709" customFormat="false" ht="15" hidden="false" customHeight="false" outlineLevel="0" collapsed="false">
      <c r="A1709" s="76" t="s">
        <v>2413</v>
      </c>
      <c r="B1709" s="76" t="s">
        <v>156</v>
      </c>
      <c r="C1709" s="76" t="s">
        <v>157</v>
      </c>
      <c r="D1709" s="76" t="s">
        <v>1124</v>
      </c>
      <c r="E1709" s="76" t="s">
        <v>1125</v>
      </c>
      <c r="F1709" s="35" t="s">
        <v>2414</v>
      </c>
      <c r="G1709" s="76" t="s">
        <v>1011</v>
      </c>
      <c r="H1709" s="78" t="n">
        <v>341.874948909093</v>
      </c>
      <c r="I1709" s="76" t="s">
        <v>2415</v>
      </c>
      <c r="J1709" s="78" t="n">
        <v>341.874948909093</v>
      </c>
      <c r="K1709" s="76" t="s">
        <v>2415</v>
      </c>
      <c r="L1709" s="77" t="s">
        <v>1114</v>
      </c>
    </row>
    <row r="1710" customFormat="false" ht="15" hidden="false" customHeight="false" outlineLevel="0" collapsed="false">
      <c r="A1710" s="76" t="s">
        <v>2413</v>
      </c>
      <c r="B1710" s="76" t="s">
        <v>156</v>
      </c>
      <c r="C1710" s="76" t="s">
        <v>157</v>
      </c>
      <c r="D1710" s="76" t="s">
        <v>1124</v>
      </c>
      <c r="E1710" s="76" t="s">
        <v>1125</v>
      </c>
      <c r="F1710" s="35" t="s">
        <v>2414</v>
      </c>
      <c r="G1710" s="76" t="s">
        <v>1012</v>
      </c>
      <c r="H1710" s="76" t="n">
        <v>0</v>
      </c>
      <c r="I1710" s="76" t="s">
        <v>1127</v>
      </c>
      <c r="J1710" s="76" t="n">
        <v>0</v>
      </c>
      <c r="K1710" s="76" t="s">
        <v>1127</v>
      </c>
      <c r="L1710" s="77" t="s">
        <v>1114</v>
      </c>
    </row>
    <row r="1711" customFormat="false" ht="15" hidden="false" customHeight="false" outlineLevel="0" collapsed="false">
      <c r="A1711" s="76" t="s">
        <v>2413</v>
      </c>
      <c r="B1711" s="76" t="s">
        <v>156</v>
      </c>
      <c r="C1711" s="76" t="s">
        <v>157</v>
      </c>
      <c r="D1711" s="76" t="s">
        <v>1124</v>
      </c>
      <c r="E1711" s="76" t="s">
        <v>1125</v>
      </c>
      <c r="F1711" s="35" t="s">
        <v>2414</v>
      </c>
      <c r="G1711" s="76" t="s">
        <v>1013</v>
      </c>
      <c r="H1711" s="76" t="n">
        <v>0</v>
      </c>
      <c r="I1711" s="76" t="s">
        <v>1127</v>
      </c>
      <c r="J1711" s="76" t="n">
        <v>0</v>
      </c>
      <c r="K1711" s="76" t="s">
        <v>1127</v>
      </c>
      <c r="L1711" s="77" t="s">
        <v>1114</v>
      </c>
    </row>
    <row r="1712" customFormat="false" ht="15" hidden="false" customHeight="false" outlineLevel="0" collapsed="false">
      <c r="A1712" s="76" t="s">
        <v>2413</v>
      </c>
      <c r="B1712" s="76" t="s">
        <v>156</v>
      </c>
      <c r="C1712" s="76" t="s">
        <v>157</v>
      </c>
      <c r="D1712" s="76" t="s">
        <v>1124</v>
      </c>
      <c r="E1712" s="76" t="s">
        <v>1125</v>
      </c>
      <c r="F1712" s="35" t="s">
        <v>2414</v>
      </c>
      <c r="G1712" s="76" t="s">
        <v>1014</v>
      </c>
      <c r="H1712" s="76" t="n">
        <v>0</v>
      </c>
      <c r="I1712" s="76" t="s">
        <v>1127</v>
      </c>
      <c r="J1712" s="76" t="n">
        <v>0</v>
      </c>
      <c r="K1712" s="76" t="s">
        <v>1127</v>
      </c>
      <c r="L1712" s="77" t="s">
        <v>1114</v>
      </c>
    </row>
    <row r="1713" customFormat="false" ht="15" hidden="false" customHeight="false" outlineLevel="0" collapsed="false">
      <c r="A1713" s="76" t="s">
        <v>2416</v>
      </c>
      <c r="B1713" s="76" t="s">
        <v>156</v>
      </c>
      <c r="C1713" s="76" t="s">
        <v>157</v>
      </c>
      <c r="D1713" s="76" t="s">
        <v>1132</v>
      </c>
      <c r="E1713" s="76" t="s">
        <v>1133</v>
      </c>
      <c r="F1713" s="35" t="s">
        <v>2417</v>
      </c>
      <c r="G1713" s="76" t="s">
        <v>419</v>
      </c>
      <c r="H1713" s="76"/>
      <c r="I1713" s="76" t="s">
        <v>1010</v>
      </c>
      <c r="J1713" s="76"/>
      <c r="K1713" s="76" t="s">
        <v>1010</v>
      </c>
      <c r="L1713" s="77" t="s">
        <v>1114</v>
      </c>
    </row>
    <row r="1714" customFormat="false" ht="15" hidden="false" customHeight="false" outlineLevel="0" collapsed="false">
      <c r="A1714" s="76" t="s">
        <v>2416</v>
      </c>
      <c r="B1714" s="76" t="s">
        <v>156</v>
      </c>
      <c r="C1714" s="76" t="s">
        <v>157</v>
      </c>
      <c r="D1714" s="76" t="s">
        <v>1132</v>
      </c>
      <c r="E1714" s="76" t="s">
        <v>1133</v>
      </c>
      <c r="F1714" s="35" t="s">
        <v>2417</v>
      </c>
      <c r="G1714" s="76" t="s">
        <v>1010</v>
      </c>
      <c r="H1714" s="76" t="n">
        <v>1000000</v>
      </c>
      <c r="I1714" s="76" t="s">
        <v>2418</v>
      </c>
      <c r="J1714" s="76" t="n">
        <v>1000000</v>
      </c>
      <c r="K1714" s="76" t="s">
        <v>2418</v>
      </c>
      <c r="L1714" s="77" t="s">
        <v>1114</v>
      </c>
    </row>
    <row r="1715" customFormat="false" ht="15" hidden="false" customHeight="false" outlineLevel="0" collapsed="false">
      <c r="A1715" s="76" t="s">
        <v>2416</v>
      </c>
      <c r="B1715" s="76" t="s">
        <v>156</v>
      </c>
      <c r="C1715" s="76" t="s">
        <v>157</v>
      </c>
      <c r="D1715" s="76" t="s">
        <v>1132</v>
      </c>
      <c r="E1715" s="76" t="s">
        <v>1133</v>
      </c>
      <c r="F1715" s="35" t="s">
        <v>2417</v>
      </c>
      <c r="G1715" s="76" t="s">
        <v>1011</v>
      </c>
      <c r="H1715" s="78" t="n">
        <v>7102.60878954612</v>
      </c>
      <c r="I1715" s="76" t="s">
        <v>1227</v>
      </c>
      <c r="J1715" s="78" t="n">
        <v>7102.60878954612</v>
      </c>
      <c r="K1715" s="76" t="s">
        <v>1227</v>
      </c>
      <c r="L1715" s="77" t="s">
        <v>1114</v>
      </c>
    </row>
    <row r="1716" customFormat="false" ht="15" hidden="false" customHeight="false" outlineLevel="0" collapsed="false">
      <c r="A1716" s="76" t="s">
        <v>2416</v>
      </c>
      <c r="B1716" s="76" t="s">
        <v>156</v>
      </c>
      <c r="C1716" s="76" t="s">
        <v>157</v>
      </c>
      <c r="D1716" s="76" t="s">
        <v>1132</v>
      </c>
      <c r="E1716" s="76" t="s">
        <v>1133</v>
      </c>
      <c r="F1716" s="35" t="s">
        <v>2417</v>
      </c>
      <c r="G1716" s="76" t="s">
        <v>1012</v>
      </c>
      <c r="H1716" s="78" t="n">
        <v>967968.343305941</v>
      </c>
      <c r="I1716" s="76" t="s">
        <v>2419</v>
      </c>
      <c r="J1716" s="78" t="n">
        <v>967968.343305941</v>
      </c>
      <c r="K1716" s="76" t="s">
        <v>2419</v>
      </c>
      <c r="L1716" s="77" t="s">
        <v>1114</v>
      </c>
    </row>
    <row r="1717" customFormat="false" ht="15" hidden="false" customHeight="false" outlineLevel="0" collapsed="false">
      <c r="A1717" s="76" t="s">
        <v>2416</v>
      </c>
      <c r="B1717" s="76" t="s">
        <v>156</v>
      </c>
      <c r="C1717" s="76" t="s">
        <v>157</v>
      </c>
      <c r="D1717" s="76" t="s">
        <v>1132</v>
      </c>
      <c r="E1717" s="76" t="s">
        <v>1133</v>
      </c>
      <c r="F1717" s="35" t="s">
        <v>2417</v>
      </c>
      <c r="G1717" s="76" t="s">
        <v>1013</v>
      </c>
      <c r="H1717" s="78" t="n">
        <v>920246.117050506</v>
      </c>
      <c r="I1717" s="76" t="s">
        <v>2420</v>
      </c>
      <c r="J1717" s="78" t="n">
        <v>920246.117050506</v>
      </c>
      <c r="K1717" s="76" t="s">
        <v>2420</v>
      </c>
      <c r="L1717" s="77" t="s">
        <v>1114</v>
      </c>
    </row>
    <row r="1718" customFormat="false" ht="15" hidden="false" customHeight="false" outlineLevel="0" collapsed="false">
      <c r="A1718" s="76" t="s">
        <v>2416</v>
      </c>
      <c r="B1718" s="76" t="s">
        <v>156</v>
      </c>
      <c r="C1718" s="76" t="s">
        <v>157</v>
      </c>
      <c r="D1718" s="76" t="s">
        <v>1132</v>
      </c>
      <c r="E1718" s="76" t="s">
        <v>1133</v>
      </c>
      <c r="F1718" s="35" t="s">
        <v>2417</v>
      </c>
      <c r="G1718" s="76" t="s">
        <v>1014</v>
      </c>
      <c r="H1718" s="78" t="n">
        <v>849147.363073249</v>
      </c>
      <c r="I1718" s="76" t="s">
        <v>2421</v>
      </c>
      <c r="J1718" s="78" t="n">
        <v>849147.363073249</v>
      </c>
      <c r="K1718" s="76" t="s">
        <v>2421</v>
      </c>
      <c r="L1718" s="77" t="s">
        <v>1114</v>
      </c>
    </row>
    <row r="1719" customFormat="false" ht="15" hidden="false" customHeight="false" outlineLevel="0" collapsed="false">
      <c r="A1719" s="76" t="s">
        <v>2422</v>
      </c>
      <c r="B1719" s="76" t="s">
        <v>156</v>
      </c>
      <c r="C1719" s="76" t="s">
        <v>157</v>
      </c>
      <c r="D1719" s="76" t="s">
        <v>1141</v>
      </c>
      <c r="E1719" s="76" t="s">
        <v>1142</v>
      </c>
      <c r="F1719" s="35" t="s">
        <v>2423</v>
      </c>
      <c r="G1719" s="76" t="s">
        <v>419</v>
      </c>
      <c r="H1719" s="76"/>
      <c r="I1719" s="76" t="s">
        <v>1010</v>
      </c>
      <c r="J1719" s="76"/>
      <c r="K1719" s="76" t="s">
        <v>1010</v>
      </c>
      <c r="L1719" s="77" t="s">
        <v>1114</v>
      </c>
    </row>
    <row r="1720" customFormat="false" ht="15" hidden="false" customHeight="false" outlineLevel="0" collapsed="false">
      <c r="A1720" s="76" t="s">
        <v>2422</v>
      </c>
      <c r="B1720" s="76" t="s">
        <v>156</v>
      </c>
      <c r="C1720" s="76" t="s">
        <v>157</v>
      </c>
      <c r="D1720" s="76" t="s">
        <v>1141</v>
      </c>
      <c r="E1720" s="76" t="s">
        <v>1142</v>
      </c>
      <c r="F1720" s="35" t="s">
        <v>2423</v>
      </c>
      <c r="G1720" s="76" t="s">
        <v>1010</v>
      </c>
      <c r="H1720" s="76" t="n">
        <v>960000</v>
      </c>
      <c r="I1720" s="76" t="s">
        <v>1990</v>
      </c>
      <c r="J1720" s="76" t="n">
        <v>960000</v>
      </c>
      <c r="K1720" s="76" t="s">
        <v>1990</v>
      </c>
      <c r="L1720" s="77" t="s">
        <v>1114</v>
      </c>
    </row>
    <row r="1721" customFormat="false" ht="15" hidden="false" customHeight="false" outlineLevel="0" collapsed="false">
      <c r="A1721" s="76" t="s">
        <v>2422</v>
      </c>
      <c r="B1721" s="76" t="s">
        <v>156</v>
      </c>
      <c r="C1721" s="76" t="s">
        <v>157</v>
      </c>
      <c r="D1721" s="76" t="s">
        <v>1141</v>
      </c>
      <c r="E1721" s="76" t="s">
        <v>1142</v>
      </c>
      <c r="F1721" s="35" t="s">
        <v>2423</v>
      </c>
      <c r="G1721" s="76" t="s">
        <v>1011</v>
      </c>
      <c r="H1721" s="78" t="n">
        <v>6905.45833793352</v>
      </c>
      <c r="I1721" s="76" t="s">
        <v>2424</v>
      </c>
      <c r="J1721" s="78" t="n">
        <v>6905.45833793352</v>
      </c>
      <c r="K1721" s="76" t="s">
        <v>2424</v>
      </c>
      <c r="L1721" s="77" t="s">
        <v>1114</v>
      </c>
    </row>
    <row r="1722" customFormat="false" ht="15" hidden="false" customHeight="false" outlineLevel="0" collapsed="false">
      <c r="A1722" s="76" t="s">
        <v>2422</v>
      </c>
      <c r="B1722" s="76" t="s">
        <v>156</v>
      </c>
      <c r="C1722" s="76" t="s">
        <v>157</v>
      </c>
      <c r="D1722" s="76" t="s">
        <v>1141</v>
      </c>
      <c r="E1722" s="76" t="s">
        <v>1142</v>
      </c>
      <c r="F1722" s="35" t="s">
        <v>2423</v>
      </c>
      <c r="G1722" s="76" t="s">
        <v>1012</v>
      </c>
      <c r="H1722" s="78" t="n">
        <v>815707.582404266</v>
      </c>
      <c r="I1722" s="76" t="s">
        <v>2425</v>
      </c>
      <c r="J1722" s="78" t="n">
        <v>815707.582404266</v>
      </c>
      <c r="K1722" s="76" t="s">
        <v>2425</v>
      </c>
      <c r="L1722" s="77" t="s">
        <v>1114</v>
      </c>
    </row>
    <row r="1723" customFormat="false" ht="15" hidden="false" customHeight="false" outlineLevel="0" collapsed="false">
      <c r="A1723" s="76" t="s">
        <v>2422</v>
      </c>
      <c r="B1723" s="76" t="s">
        <v>156</v>
      </c>
      <c r="C1723" s="76" t="s">
        <v>157</v>
      </c>
      <c r="D1723" s="76" t="s">
        <v>1141</v>
      </c>
      <c r="E1723" s="76" t="s">
        <v>1142</v>
      </c>
      <c r="F1723" s="35" t="s">
        <v>2423</v>
      </c>
      <c r="G1723" s="76" t="s">
        <v>1013</v>
      </c>
      <c r="H1723" s="78" t="n">
        <v>620593.988934749</v>
      </c>
      <c r="I1723" s="76" t="s">
        <v>2426</v>
      </c>
      <c r="J1723" s="78" t="n">
        <v>620593.988934749</v>
      </c>
      <c r="K1723" s="76" t="s">
        <v>2426</v>
      </c>
      <c r="L1723" s="77" t="s">
        <v>1114</v>
      </c>
    </row>
    <row r="1724" customFormat="false" ht="15" hidden="false" customHeight="false" outlineLevel="0" collapsed="false">
      <c r="A1724" s="76" t="s">
        <v>2422</v>
      </c>
      <c r="B1724" s="76" t="s">
        <v>156</v>
      </c>
      <c r="C1724" s="76" t="s">
        <v>157</v>
      </c>
      <c r="D1724" s="76" t="s">
        <v>1141</v>
      </c>
      <c r="E1724" s="76" t="s">
        <v>1142</v>
      </c>
      <c r="F1724" s="35" t="s">
        <v>2423</v>
      </c>
      <c r="G1724" s="76" t="s">
        <v>1014</v>
      </c>
      <c r="H1724" s="78" t="n">
        <v>356759.513146509</v>
      </c>
      <c r="I1724" s="76" t="s">
        <v>2427</v>
      </c>
      <c r="J1724" s="78" t="n">
        <v>356759.513146509</v>
      </c>
      <c r="K1724" s="76" t="s">
        <v>2427</v>
      </c>
      <c r="L1724" s="77" t="s">
        <v>1114</v>
      </c>
    </row>
    <row r="1725" customFormat="false" ht="15" hidden="false" customHeight="false" outlineLevel="0" collapsed="false">
      <c r="A1725" s="76" t="s">
        <v>2428</v>
      </c>
      <c r="B1725" s="76" t="s">
        <v>156</v>
      </c>
      <c r="C1725" s="76" t="s">
        <v>157</v>
      </c>
      <c r="D1725" s="76" t="s">
        <v>1151</v>
      </c>
      <c r="E1725" s="76" t="s">
        <v>1152</v>
      </c>
      <c r="F1725" s="35" t="s">
        <v>2429</v>
      </c>
      <c r="G1725" s="76" t="s">
        <v>419</v>
      </c>
      <c r="H1725" s="76"/>
      <c r="I1725" s="76" t="s">
        <v>1010</v>
      </c>
      <c r="J1725" s="76"/>
      <c r="K1725" s="76" t="s">
        <v>1010</v>
      </c>
      <c r="L1725" s="77" t="s">
        <v>1114</v>
      </c>
    </row>
    <row r="1726" customFormat="false" ht="15" hidden="false" customHeight="false" outlineLevel="0" collapsed="false">
      <c r="A1726" s="76" t="s">
        <v>2428</v>
      </c>
      <c r="B1726" s="76" t="s">
        <v>156</v>
      </c>
      <c r="C1726" s="76" t="s">
        <v>157</v>
      </c>
      <c r="D1726" s="76" t="s">
        <v>1151</v>
      </c>
      <c r="E1726" s="76" t="s">
        <v>1152</v>
      </c>
      <c r="F1726" s="35" t="s">
        <v>2429</v>
      </c>
      <c r="G1726" s="76" t="s">
        <v>1010</v>
      </c>
      <c r="H1726" s="76" t="n">
        <v>250000</v>
      </c>
      <c r="I1726" s="76" t="s">
        <v>1115</v>
      </c>
      <c r="J1726" s="76" t="n">
        <v>250000</v>
      </c>
      <c r="K1726" s="76" t="s">
        <v>1115</v>
      </c>
      <c r="L1726" s="77" t="s">
        <v>1114</v>
      </c>
    </row>
    <row r="1727" customFormat="false" ht="15" hidden="false" customHeight="false" outlineLevel="0" collapsed="false">
      <c r="A1727" s="76" t="s">
        <v>2428</v>
      </c>
      <c r="B1727" s="76" t="s">
        <v>156</v>
      </c>
      <c r="C1727" s="76" t="s">
        <v>157</v>
      </c>
      <c r="D1727" s="76" t="s">
        <v>1151</v>
      </c>
      <c r="E1727" s="76" t="s">
        <v>1152</v>
      </c>
      <c r="F1727" s="35" t="s">
        <v>2429</v>
      </c>
      <c r="G1727" s="76" t="s">
        <v>1011</v>
      </c>
      <c r="H1727" s="76" t="n">
        <v>1500</v>
      </c>
      <c r="I1727" s="76" t="s">
        <v>1241</v>
      </c>
      <c r="J1727" s="76" t="n">
        <v>1500</v>
      </c>
      <c r="K1727" s="76" t="s">
        <v>1241</v>
      </c>
      <c r="L1727" s="77" t="s">
        <v>1114</v>
      </c>
    </row>
    <row r="1728" customFormat="false" ht="15" hidden="false" customHeight="false" outlineLevel="0" collapsed="false">
      <c r="A1728" s="76" t="s">
        <v>2428</v>
      </c>
      <c r="B1728" s="76" t="s">
        <v>156</v>
      </c>
      <c r="C1728" s="76" t="s">
        <v>157</v>
      </c>
      <c r="D1728" s="76" t="s">
        <v>1151</v>
      </c>
      <c r="E1728" s="76" t="s">
        <v>1152</v>
      </c>
      <c r="F1728" s="35" t="s">
        <v>2429</v>
      </c>
      <c r="G1728" s="76" t="s">
        <v>1012</v>
      </c>
      <c r="H1728" s="78" t="n">
        <v>205800.681211577</v>
      </c>
      <c r="I1728" s="76" t="s">
        <v>2430</v>
      </c>
      <c r="J1728" s="78" t="n">
        <v>205800.681211577</v>
      </c>
      <c r="K1728" s="76" t="s">
        <v>2430</v>
      </c>
      <c r="L1728" s="77" t="s">
        <v>1114</v>
      </c>
    </row>
    <row r="1729" customFormat="false" ht="15" hidden="false" customHeight="false" outlineLevel="0" collapsed="false">
      <c r="A1729" s="76" t="s">
        <v>2428</v>
      </c>
      <c r="B1729" s="76" t="s">
        <v>156</v>
      </c>
      <c r="C1729" s="76" t="s">
        <v>157</v>
      </c>
      <c r="D1729" s="76" t="s">
        <v>1151</v>
      </c>
      <c r="E1729" s="76" t="s">
        <v>1152</v>
      </c>
      <c r="F1729" s="35" t="s">
        <v>2429</v>
      </c>
      <c r="G1729" s="76" t="s">
        <v>1013</v>
      </c>
      <c r="H1729" s="78" t="n">
        <v>151833.463516351</v>
      </c>
      <c r="I1729" s="76" t="s">
        <v>2431</v>
      </c>
      <c r="J1729" s="78" t="n">
        <v>151833.46351635</v>
      </c>
      <c r="K1729" s="76" t="s">
        <v>2431</v>
      </c>
      <c r="L1729" s="77" t="s">
        <v>1114</v>
      </c>
    </row>
    <row r="1730" customFormat="false" ht="15" hidden="false" customHeight="false" outlineLevel="0" collapsed="false">
      <c r="A1730" s="76" t="s">
        <v>2428</v>
      </c>
      <c r="B1730" s="76" t="s">
        <v>156</v>
      </c>
      <c r="C1730" s="76" t="s">
        <v>157</v>
      </c>
      <c r="D1730" s="76" t="s">
        <v>1151</v>
      </c>
      <c r="E1730" s="76" t="s">
        <v>1152</v>
      </c>
      <c r="F1730" s="35" t="s">
        <v>2429</v>
      </c>
      <c r="G1730" s="76" t="s">
        <v>1014</v>
      </c>
      <c r="H1730" s="78" t="n">
        <v>85939.6745259463</v>
      </c>
      <c r="I1730" s="76" t="s">
        <v>2432</v>
      </c>
      <c r="J1730" s="78" t="n">
        <v>85939.6745259463</v>
      </c>
      <c r="K1730" s="76" t="s">
        <v>2432</v>
      </c>
      <c r="L1730" s="77" t="s">
        <v>1114</v>
      </c>
    </row>
    <row r="1731" customFormat="false" ht="15" hidden="false" customHeight="false" outlineLevel="0" collapsed="false">
      <c r="A1731" s="76" t="s">
        <v>2433</v>
      </c>
      <c r="B1731" s="76" t="s">
        <v>156</v>
      </c>
      <c r="C1731" s="76" t="s">
        <v>157</v>
      </c>
      <c r="D1731" s="76" t="s">
        <v>1161</v>
      </c>
      <c r="E1731" s="76" t="s">
        <v>1162</v>
      </c>
      <c r="F1731" s="35" t="s">
        <v>2434</v>
      </c>
      <c r="G1731" s="76" t="s">
        <v>419</v>
      </c>
      <c r="H1731" s="76"/>
      <c r="I1731" s="76" t="s">
        <v>1010</v>
      </c>
      <c r="J1731" s="76"/>
      <c r="K1731" s="76" t="s">
        <v>1010</v>
      </c>
      <c r="L1731" s="77" t="s">
        <v>1114</v>
      </c>
    </row>
    <row r="1732" customFormat="false" ht="15" hidden="false" customHeight="false" outlineLevel="0" collapsed="false">
      <c r="A1732" s="76" t="s">
        <v>2433</v>
      </c>
      <c r="B1732" s="76" t="s">
        <v>156</v>
      </c>
      <c r="C1732" s="76" t="s">
        <v>157</v>
      </c>
      <c r="D1732" s="76" t="s">
        <v>1161</v>
      </c>
      <c r="E1732" s="76" t="s">
        <v>1162</v>
      </c>
      <c r="F1732" s="35" t="s">
        <v>2434</v>
      </c>
      <c r="G1732" s="76" t="s">
        <v>1010</v>
      </c>
      <c r="H1732" s="76" t="n">
        <v>250000</v>
      </c>
      <c r="I1732" s="76" t="s">
        <v>1115</v>
      </c>
      <c r="J1732" s="76" t="n">
        <v>250000</v>
      </c>
      <c r="K1732" s="76" t="s">
        <v>1115</v>
      </c>
      <c r="L1732" s="77" t="s">
        <v>1114</v>
      </c>
    </row>
    <row r="1733" customFormat="false" ht="15" hidden="false" customHeight="false" outlineLevel="0" collapsed="false">
      <c r="A1733" s="76" t="s">
        <v>2433</v>
      </c>
      <c r="B1733" s="76" t="s">
        <v>156</v>
      </c>
      <c r="C1733" s="76" t="s">
        <v>157</v>
      </c>
      <c r="D1733" s="76" t="s">
        <v>1161</v>
      </c>
      <c r="E1733" s="76" t="s">
        <v>1162</v>
      </c>
      <c r="F1733" s="35" t="s">
        <v>2434</v>
      </c>
      <c r="G1733" s="76" t="s">
        <v>1011</v>
      </c>
      <c r="H1733" s="76" t="n">
        <v>500</v>
      </c>
      <c r="I1733" s="76" t="s">
        <v>1612</v>
      </c>
      <c r="J1733" s="76" t="n">
        <v>500</v>
      </c>
      <c r="K1733" s="76" t="s">
        <v>1612</v>
      </c>
      <c r="L1733" s="77" t="s">
        <v>1114</v>
      </c>
    </row>
    <row r="1734" customFormat="false" ht="15" hidden="false" customHeight="false" outlineLevel="0" collapsed="false">
      <c r="A1734" s="76" t="s">
        <v>2433</v>
      </c>
      <c r="B1734" s="76" t="s">
        <v>156</v>
      </c>
      <c r="C1734" s="76" t="s">
        <v>157</v>
      </c>
      <c r="D1734" s="76" t="s">
        <v>1161</v>
      </c>
      <c r="E1734" s="76" t="s">
        <v>1162</v>
      </c>
      <c r="F1734" s="35" t="s">
        <v>2434</v>
      </c>
      <c r="G1734" s="76" t="s">
        <v>1012</v>
      </c>
      <c r="H1734" s="78" t="n">
        <v>272099.659394212</v>
      </c>
      <c r="I1734" s="76" t="s">
        <v>2435</v>
      </c>
      <c r="J1734" s="78" t="n">
        <v>272099.659394212</v>
      </c>
      <c r="K1734" s="76" t="s">
        <v>2435</v>
      </c>
      <c r="L1734" s="77" t="s">
        <v>1114</v>
      </c>
    </row>
    <row r="1735" customFormat="false" ht="15" hidden="false" customHeight="false" outlineLevel="0" collapsed="false">
      <c r="A1735" s="76" t="s">
        <v>2433</v>
      </c>
      <c r="B1735" s="76" t="s">
        <v>156</v>
      </c>
      <c r="C1735" s="76" t="s">
        <v>157</v>
      </c>
      <c r="D1735" s="76" t="s">
        <v>1161</v>
      </c>
      <c r="E1735" s="76" t="s">
        <v>1162</v>
      </c>
      <c r="F1735" s="35" t="s">
        <v>2434</v>
      </c>
      <c r="G1735" s="76" t="s">
        <v>1013</v>
      </c>
      <c r="H1735" s="78" t="n">
        <v>299083.268241825</v>
      </c>
      <c r="I1735" s="76" t="s">
        <v>2436</v>
      </c>
      <c r="J1735" s="78" t="n">
        <v>299083.268241825</v>
      </c>
      <c r="K1735" s="76" t="s">
        <v>2436</v>
      </c>
      <c r="L1735" s="77" t="s">
        <v>1114</v>
      </c>
    </row>
    <row r="1736" customFormat="false" ht="15" hidden="false" customHeight="false" outlineLevel="0" collapsed="false">
      <c r="A1736" s="76" t="s">
        <v>2433</v>
      </c>
      <c r="B1736" s="76" t="s">
        <v>156</v>
      </c>
      <c r="C1736" s="76" t="s">
        <v>157</v>
      </c>
      <c r="D1736" s="76" t="s">
        <v>1161</v>
      </c>
      <c r="E1736" s="76" t="s">
        <v>1162</v>
      </c>
      <c r="F1736" s="35" t="s">
        <v>2434</v>
      </c>
      <c r="G1736" s="76" t="s">
        <v>1014</v>
      </c>
      <c r="H1736" s="78" t="n">
        <v>332030.162737027</v>
      </c>
      <c r="I1736" s="76" t="s">
        <v>2437</v>
      </c>
      <c r="J1736" s="78" t="n">
        <v>332030.162737027</v>
      </c>
      <c r="K1736" s="76" t="s">
        <v>2437</v>
      </c>
      <c r="L1736" s="77" t="s">
        <v>1114</v>
      </c>
    </row>
    <row r="1737" customFormat="false" ht="15" hidden="false" customHeight="false" outlineLevel="0" collapsed="false">
      <c r="A1737" s="76" t="s">
        <v>2438</v>
      </c>
      <c r="B1737" s="76" t="s">
        <v>156</v>
      </c>
      <c r="C1737" s="76" t="s">
        <v>157</v>
      </c>
      <c r="D1737" s="76" t="s">
        <v>1170</v>
      </c>
      <c r="E1737" s="76" t="s">
        <v>1171</v>
      </c>
      <c r="F1737" s="35" t="s">
        <v>2439</v>
      </c>
      <c r="G1737" s="76" t="s">
        <v>419</v>
      </c>
      <c r="H1737" s="76"/>
      <c r="I1737" s="76" t="s">
        <v>1010</v>
      </c>
      <c r="J1737" s="76"/>
      <c r="K1737" s="76" t="s">
        <v>1010</v>
      </c>
      <c r="L1737" s="77" t="s">
        <v>1114</v>
      </c>
    </row>
    <row r="1738" customFormat="false" ht="15" hidden="false" customHeight="false" outlineLevel="0" collapsed="false">
      <c r="A1738" s="76" t="s">
        <v>2438</v>
      </c>
      <c r="B1738" s="76" t="s">
        <v>156</v>
      </c>
      <c r="C1738" s="76" t="s">
        <v>157</v>
      </c>
      <c r="D1738" s="76" t="s">
        <v>1170</v>
      </c>
      <c r="E1738" s="76" t="s">
        <v>1171</v>
      </c>
      <c r="F1738" s="35" t="s">
        <v>2439</v>
      </c>
      <c r="G1738" s="76" t="s">
        <v>1010</v>
      </c>
      <c r="H1738" s="76" t="n">
        <v>250000</v>
      </c>
      <c r="I1738" s="76" t="s">
        <v>1115</v>
      </c>
      <c r="J1738" s="76" t="n">
        <v>250000</v>
      </c>
      <c r="K1738" s="76" t="s">
        <v>1115</v>
      </c>
      <c r="L1738" s="77" t="s">
        <v>1114</v>
      </c>
    </row>
    <row r="1739" customFormat="false" ht="15" hidden="false" customHeight="false" outlineLevel="0" collapsed="false">
      <c r="A1739" s="76" t="s">
        <v>2438</v>
      </c>
      <c r="B1739" s="76" t="s">
        <v>156</v>
      </c>
      <c r="C1739" s="76" t="s">
        <v>157</v>
      </c>
      <c r="D1739" s="76" t="s">
        <v>1170</v>
      </c>
      <c r="E1739" s="76" t="s">
        <v>1171</v>
      </c>
      <c r="F1739" s="35" t="s">
        <v>2439</v>
      </c>
      <c r="G1739" s="76" t="s">
        <v>1011</v>
      </c>
      <c r="H1739" s="78" t="n">
        <v>2531.12845412199</v>
      </c>
      <c r="I1739" s="76" t="s">
        <v>2440</v>
      </c>
      <c r="J1739" s="78" t="n">
        <v>2531.12845412199</v>
      </c>
      <c r="K1739" s="76" t="s">
        <v>2440</v>
      </c>
      <c r="L1739" s="77" t="s">
        <v>1114</v>
      </c>
    </row>
    <row r="1740" customFormat="false" ht="15" hidden="false" customHeight="false" outlineLevel="0" collapsed="false">
      <c r="A1740" s="76" t="s">
        <v>2438</v>
      </c>
      <c r="B1740" s="76" t="s">
        <v>156</v>
      </c>
      <c r="C1740" s="76" t="s">
        <v>157</v>
      </c>
      <c r="D1740" s="76" t="s">
        <v>1170</v>
      </c>
      <c r="E1740" s="76" t="s">
        <v>1171</v>
      </c>
      <c r="F1740" s="35" t="s">
        <v>2439</v>
      </c>
      <c r="G1740" s="76" t="s">
        <v>1012</v>
      </c>
      <c r="H1740" s="78" t="n">
        <v>137437.918328249</v>
      </c>
      <c r="I1740" s="76" t="s">
        <v>2441</v>
      </c>
      <c r="J1740" s="78" t="n">
        <v>137437.918328249</v>
      </c>
      <c r="K1740" s="76" t="s">
        <v>2441</v>
      </c>
      <c r="L1740" s="77" t="s">
        <v>1114</v>
      </c>
    </row>
    <row r="1741" customFormat="false" ht="15" hidden="false" customHeight="false" outlineLevel="0" collapsed="false">
      <c r="A1741" s="76" t="s">
        <v>2438</v>
      </c>
      <c r="B1741" s="76" t="s">
        <v>156</v>
      </c>
      <c r="C1741" s="76" t="s">
        <v>157</v>
      </c>
      <c r="D1741" s="76" t="s">
        <v>1170</v>
      </c>
      <c r="E1741" s="76" t="s">
        <v>1171</v>
      </c>
      <c r="F1741" s="35" t="s">
        <v>2439</v>
      </c>
      <c r="G1741" s="76" t="s">
        <v>1013</v>
      </c>
      <c r="H1741" s="78" t="n">
        <v>7.09042069502175E-009</v>
      </c>
      <c r="I1741" s="76" t="s">
        <v>1127</v>
      </c>
      <c r="J1741" s="78" t="n">
        <v>7.09042069502175E-009</v>
      </c>
      <c r="K1741" s="76" t="s">
        <v>1127</v>
      </c>
      <c r="L1741" s="77" t="s">
        <v>1114</v>
      </c>
    </row>
    <row r="1742" customFormat="false" ht="15" hidden="false" customHeight="false" outlineLevel="0" collapsed="false">
      <c r="A1742" s="76" t="s">
        <v>2438</v>
      </c>
      <c r="B1742" s="76" t="s">
        <v>156</v>
      </c>
      <c r="C1742" s="76" t="s">
        <v>157</v>
      </c>
      <c r="D1742" s="76" t="s">
        <v>1170</v>
      </c>
      <c r="E1742" s="76" t="s">
        <v>1171</v>
      </c>
      <c r="F1742" s="35" t="s">
        <v>2439</v>
      </c>
      <c r="G1742" s="76" t="s">
        <v>1014</v>
      </c>
      <c r="H1742" s="76" t="n">
        <v>0</v>
      </c>
      <c r="I1742" s="76" t="s">
        <v>1127</v>
      </c>
      <c r="J1742" s="76" t="n">
        <v>0</v>
      </c>
      <c r="K1742" s="76" t="s">
        <v>1127</v>
      </c>
      <c r="L1742" s="77" t="s">
        <v>1114</v>
      </c>
    </row>
    <row r="1743" customFormat="false" ht="15" hidden="false" customHeight="false" outlineLevel="0" collapsed="false">
      <c r="A1743" s="76" t="s">
        <v>2442</v>
      </c>
      <c r="B1743" s="76" t="s">
        <v>156</v>
      </c>
      <c r="C1743" s="76" t="s">
        <v>157</v>
      </c>
      <c r="D1743" s="76" t="s">
        <v>1180</v>
      </c>
      <c r="E1743" s="76" t="s">
        <v>1152</v>
      </c>
      <c r="F1743" s="35" t="s">
        <v>2443</v>
      </c>
      <c r="G1743" s="76" t="s">
        <v>419</v>
      </c>
      <c r="H1743" s="76"/>
      <c r="I1743" s="76" t="s">
        <v>1010</v>
      </c>
      <c r="J1743" s="76"/>
      <c r="K1743" s="76" t="s">
        <v>1010</v>
      </c>
      <c r="L1743" s="77" t="s">
        <v>1114</v>
      </c>
    </row>
    <row r="1744" customFormat="false" ht="15" hidden="false" customHeight="false" outlineLevel="0" collapsed="false">
      <c r="A1744" s="76" t="s">
        <v>2442</v>
      </c>
      <c r="B1744" s="76" t="s">
        <v>156</v>
      </c>
      <c r="C1744" s="76" t="s">
        <v>157</v>
      </c>
      <c r="D1744" s="76" t="s">
        <v>1180</v>
      </c>
      <c r="E1744" s="76" t="s">
        <v>1152</v>
      </c>
      <c r="F1744" s="35" t="s">
        <v>2443</v>
      </c>
      <c r="G1744" s="76" t="s">
        <v>1010</v>
      </c>
      <c r="H1744" s="76" t="n">
        <v>25000</v>
      </c>
      <c r="I1744" s="76" t="s">
        <v>1119</v>
      </c>
      <c r="J1744" s="76" t="n">
        <v>25000</v>
      </c>
      <c r="K1744" s="76" t="s">
        <v>1119</v>
      </c>
      <c r="L1744" s="77" t="s">
        <v>1114</v>
      </c>
    </row>
    <row r="1745" customFormat="false" ht="15" hidden="false" customHeight="false" outlineLevel="0" collapsed="false">
      <c r="A1745" s="76" t="s">
        <v>2442</v>
      </c>
      <c r="B1745" s="76" t="s">
        <v>156</v>
      </c>
      <c r="C1745" s="76" t="s">
        <v>157</v>
      </c>
      <c r="D1745" s="76" t="s">
        <v>1180</v>
      </c>
      <c r="E1745" s="76" t="s">
        <v>1152</v>
      </c>
      <c r="F1745" s="35" t="s">
        <v>2443</v>
      </c>
      <c r="G1745" s="76" t="s">
        <v>1011</v>
      </c>
      <c r="H1745" s="78" t="n">
        <v>197.862944466131</v>
      </c>
      <c r="I1745" s="76" t="s">
        <v>2444</v>
      </c>
      <c r="J1745" s="78" t="n">
        <v>197.862944466131</v>
      </c>
      <c r="K1745" s="76" t="s">
        <v>2444</v>
      </c>
      <c r="L1745" s="77" t="s">
        <v>1114</v>
      </c>
    </row>
    <row r="1746" customFormat="false" ht="15" hidden="false" customHeight="false" outlineLevel="0" collapsed="false">
      <c r="A1746" s="76" t="s">
        <v>2442</v>
      </c>
      <c r="B1746" s="76" t="s">
        <v>156</v>
      </c>
      <c r="C1746" s="76" t="s">
        <v>157</v>
      </c>
      <c r="D1746" s="76" t="s">
        <v>1180</v>
      </c>
      <c r="E1746" s="76" t="s">
        <v>1152</v>
      </c>
      <c r="F1746" s="35" t="s">
        <v>2443</v>
      </c>
      <c r="G1746" s="76" t="s">
        <v>1012</v>
      </c>
      <c r="H1746" s="78" t="n">
        <v>20115.5785729558</v>
      </c>
      <c r="I1746" s="76" t="s">
        <v>2445</v>
      </c>
      <c r="J1746" s="78" t="n">
        <v>20115.5785729558</v>
      </c>
      <c r="K1746" s="76" t="s">
        <v>2445</v>
      </c>
      <c r="L1746" s="77" t="s">
        <v>1114</v>
      </c>
    </row>
    <row r="1747" customFormat="false" ht="15" hidden="false" customHeight="false" outlineLevel="0" collapsed="false">
      <c r="A1747" s="76" t="s">
        <v>2442</v>
      </c>
      <c r="B1747" s="76" t="s">
        <v>156</v>
      </c>
      <c r="C1747" s="76" t="s">
        <v>157</v>
      </c>
      <c r="D1747" s="76" t="s">
        <v>1180</v>
      </c>
      <c r="E1747" s="76" t="s">
        <v>1152</v>
      </c>
      <c r="F1747" s="35" t="s">
        <v>2443</v>
      </c>
      <c r="G1747" s="76" t="s">
        <v>1013</v>
      </c>
      <c r="H1747" s="78" t="n">
        <v>13477.8783404421</v>
      </c>
      <c r="I1747" s="76" t="s">
        <v>2446</v>
      </c>
      <c r="J1747" s="78" t="n">
        <v>13477.8783404421</v>
      </c>
      <c r="K1747" s="76" t="s">
        <v>2446</v>
      </c>
      <c r="L1747" s="77" t="s">
        <v>1114</v>
      </c>
    </row>
    <row r="1748" customFormat="false" ht="15" hidden="false" customHeight="false" outlineLevel="0" collapsed="false">
      <c r="A1748" s="76" t="s">
        <v>2442</v>
      </c>
      <c r="B1748" s="76" t="s">
        <v>156</v>
      </c>
      <c r="C1748" s="76" t="s">
        <v>157</v>
      </c>
      <c r="D1748" s="76" t="s">
        <v>1180</v>
      </c>
      <c r="E1748" s="76" t="s">
        <v>1152</v>
      </c>
      <c r="F1748" s="35" t="s">
        <v>2443</v>
      </c>
      <c r="G1748" s="76" t="s">
        <v>1014</v>
      </c>
      <c r="H1748" s="78" t="n">
        <v>4457.55422738277</v>
      </c>
      <c r="I1748" s="76" t="s">
        <v>2447</v>
      </c>
      <c r="J1748" s="78" t="n">
        <v>4457.55422738277</v>
      </c>
      <c r="K1748" s="76" t="s">
        <v>2447</v>
      </c>
      <c r="L1748" s="77" t="s">
        <v>1114</v>
      </c>
    </row>
    <row r="1749" customFormat="false" ht="15" hidden="false" customHeight="false" outlineLevel="0" collapsed="false">
      <c r="A1749" s="76" t="s">
        <v>2448</v>
      </c>
      <c r="B1749" s="76" t="s">
        <v>156</v>
      </c>
      <c r="C1749" s="76" t="s">
        <v>157</v>
      </c>
      <c r="D1749" s="76" t="s">
        <v>1189</v>
      </c>
      <c r="E1749" s="76" t="s">
        <v>1125</v>
      </c>
      <c r="F1749" s="35" t="s">
        <v>2449</v>
      </c>
      <c r="G1749" s="76" t="s">
        <v>419</v>
      </c>
      <c r="H1749" s="76"/>
      <c r="I1749" s="76" t="s">
        <v>1010</v>
      </c>
      <c r="J1749" s="76"/>
      <c r="K1749" s="76" t="s">
        <v>1010</v>
      </c>
      <c r="L1749" s="77" t="s">
        <v>1114</v>
      </c>
    </row>
    <row r="1750" customFormat="false" ht="15" hidden="false" customHeight="false" outlineLevel="0" collapsed="false">
      <c r="A1750" s="76" t="s">
        <v>2448</v>
      </c>
      <c r="B1750" s="76" t="s">
        <v>156</v>
      </c>
      <c r="C1750" s="76" t="s">
        <v>157</v>
      </c>
      <c r="D1750" s="76" t="s">
        <v>1189</v>
      </c>
      <c r="E1750" s="76" t="s">
        <v>1125</v>
      </c>
      <c r="F1750" s="35" t="s">
        <v>2449</v>
      </c>
      <c r="G1750" s="76" t="s">
        <v>1010</v>
      </c>
      <c r="H1750" s="76" t="n">
        <v>450000</v>
      </c>
      <c r="I1750" s="76" t="s">
        <v>1876</v>
      </c>
      <c r="J1750" s="76" t="n">
        <v>450000</v>
      </c>
      <c r="K1750" s="76" t="s">
        <v>1876</v>
      </c>
      <c r="L1750" s="77" t="s">
        <v>1114</v>
      </c>
    </row>
    <row r="1751" customFormat="false" ht="15" hidden="false" customHeight="false" outlineLevel="0" collapsed="false">
      <c r="A1751" s="76" t="s">
        <v>2448</v>
      </c>
      <c r="B1751" s="76" t="s">
        <v>156</v>
      </c>
      <c r="C1751" s="76" t="s">
        <v>157</v>
      </c>
      <c r="D1751" s="76" t="s">
        <v>1189</v>
      </c>
      <c r="E1751" s="76" t="s">
        <v>1125</v>
      </c>
      <c r="F1751" s="35" t="s">
        <v>2449</v>
      </c>
      <c r="G1751" s="76" t="s">
        <v>1011</v>
      </c>
      <c r="H1751" s="78" t="n">
        <v>4938.01055722115</v>
      </c>
      <c r="I1751" s="76" t="s">
        <v>2450</v>
      </c>
      <c r="J1751" s="78" t="n">
        <v>4938.01055722115</v>
      </c>
      <c r="K1751" s="76" t="s">
        <v>2450</v>
      </c>
      <c r="L1751" s="77" t="s">
        <v>1114</v>
      </c>
    </row>
    <row r="1752" customFormat="false" ht="15" hidden="false" customHeight="false" outlineLevel="0" collapsed="false">
      <c r="A1752" s="76" t="s">
        <v>2448</v>
      </c>
      <c r="B1752" s="76" t="s">
        <v>156</v>
      </c>
      <c r="C1752" s="76" t="s">
        <v>157</v>
      </c>
      <c r="D1752" s="76" t="s">
        <v>1189</v>
      </c>
      <c r="E1752" s="76" t="s">
        <v>1125</v>
      </c>
      <c r="F1752" s="35" t="s">
        <v>2449</v>
      </c>
      <c r="G1752" s="76" t="s">
        <v>1012</v>
      </c>
      <c r="H1752" s="78" t="n">
        <v>174253.982678409</v>
      </c>
      <c r="I1752" s="76" t="s">
        <v>2451</v>
      </c>
      <c r="J1752" s="78" t="n">
        <v>174253.982678409</v>
      </c>
      <c r="K1752" s="76" t="s">
        <v>2451</v>
      </c>
      <c r="L1752" s="77" t="s">
        <v>1114</v>
      </c>
    </row>
    <row r="1753" customFormat="false" ht="15" hidden="false" customHeight="false" outlineLevel="0" collapsed="false">
      <c r="A1753" s="76" t="s">
        <v>2448</v>
      </c>
      <c r="B1753" s="76" t="s">
        <v>156</v>
      </c>
      <c r="C1753" s="76" t="s">
        <v>157</v>
      </c>
      <c r="D1753" s="76" t="s">
        <v>1189</v>
      </c>
      <c r="E1753" s="76" t="s">
        <v>1125</v>
      </c>
      <c r="F1753" s="35" t="s">
        <v>2449</v>
      </c>
      <c r="G1753" s="76" t="s">
        <v>1013</v>
      </c>
      <c r="H1753" s="76" t="n">
        <v>0</v>
      </c>
      <c r="I1753" s="76" t="s">
        <v>1127</v>
      </c>
      <c r="J1753" s="76" t="n">
        <v>0</v>
      </c>
      <c r="K1753" s="76" t="s">
        <v>1127</v>
      </c>
      <c r="L1753" s="77" t="s">
        <v>1114</v>
      </c>
    </row>
    <row r="1754" customFormat="false" ht="15" hidden="false" customHeight="false" outlineLevel="0" collapsed="false">
      <c r="A1754" s="76" t="s">
        <v>2448</v>
      </c>
      <c r="B1754" s="76" t="s">
        <v>156</v>
      </c>
      <c r="C1754" s="76" t="s">
        <v>157</v>
      </c>
      <c r="D1754" s="76" t="s">
        <v>1189</v>
      </c>
      <c r="E1754" s="76" t="s">
        <v>1125</v>
      </c>
      <c r="F1754" s="35" t="s">
        <v>2449</v>
      </c>
      <c r="G1754" s="76" t="s">
        <v>1014</v>
      </c>
      <c r="H1754" s="76" t="n">
        <v>0</v>
      </c>
      <c r="I1754" s="76" t="s">
        <v>1127</v>
      </c>
      <c r="J1754" s="76" t="n">
        <v>0</v>
      </c>
      <c r="K1754" s="76" t="s">
        <v>1127</v>
      </c>
      <c r="L1754" s="77" t="s">
        <v>1114</v>
      </c>
    </row>
    <row r="1755" customFormat="false" ht="15" hidden="false" customHeight="false" outlineLevel="0" collapsed="false">
      <c r="A1755" s="76" t="s">
        <v>2452</v>
      </c>
      <c r="B1755" s="76" t="s">
        <v>156</v>
      </c>
      <c r="C1755" s="76" t="s">
        <v>157</v>
      </c>
      <c r="D1755" s="76" t="s">
        <v>1198</v>
      </c>
      <c r="E1755" s="76" t="s">
        <v>1162</v>
      </c>
      <c r="F1755" s="35" t="s">
        <v>2453</v>
      </c>
      <c r="G1755" s="76" t="s">
        <v>419</v>
      </c>
      <c r="H1755" s="76"/>
      <c r="I1755" s="76" t="s">
        <v>1010</v>
      </c>
      <c r="J1755" s="76"/>
      <c r="K1755" s="76" t="s">
        <v>1010</v>
      </c>
      <c r="L1755" s="77" t="s">
        <v>1114</v>
      </c>
    </row>
    <row r="1756" customFormat="false" ht="15" hidden="false" customHeight="false" outlineLevel="0" collapsed="false">
      <c r="A1756" s="76" t="s">
        <v>2452</v>
      </c>
      <c r="B1756" s="76" t="s">
        <v>156</v>
      </c>
      <c r="C1756" s="76" t="s">
        <v>157</v>
      </c>
      <c r="D1756" s="76" t="s">
        <v>1198</v>
      </c>
      <c r="E1756" s="76" t="s">
        <v>1162</v>
      </c>
      <c r="F1756" s="35" t="s">
        <v>2453</v>
      </c>
      <c r="G1756" s="76" t="s">
        <v>1010</v>
      </c>
      <c r="H1756" s="76" t="n">
        <v>375000</v>
      </c>
      <c r="I1756" s="76" t="s">
        <v>2454</v>
      </c>
      <c r="J1756" s="76" t="n">
        <v>375000</v>
      </c>
      <c r="K1756" s="76" t="s">
        <v>2454</v>
      </c>
      <c r="L1756" s="77" t="s">
        <v>1114</v>
      </c>
    </row>
    <row r="1757" customFormat="false" ht="15" hidden="false" customHeight="false" outlineLevel="0" collapsed="false">
      <c r="A1757" s="76" t="s">
        <v>2452</v>
      </c>
      <c r="B1757" s="76" t="s">
        <v>156</v>
      </c>
      <c r="C1757" s="76" t="s">
        <v>157</v>
      </c>
      <c r="D1757" s="76" t="s">
        <v>1198</v>
      </c>
      <c r="E1757" s="76" t="s">
        <v>1162</v>
      </c>
      <c r="F1757" s="35" t="s">
        <v>2453</v>
      </c>
      <c r="G1757" s="76" t="s">
        <v>1011</v>
      </c>
      <c r="H1757" s="78" t="n">
        <v>2345.1583475176</v>
      </c>
      <c r="I1757" s="76" t="s">
        <v>2455</v>
      </c>
      <c r="J1757" s="78" t="n">
        <v>2345.1583475176</v>
      </c>
      <c r="K1757" s="76" t="s">
        <v>2455</v>
      </c>
      <c r="L1757" s="77" t="s">
        <v>1114</v>
      </c>
    </row>
    <row r="1758" customFormat="false" ht="15" hidden="false" customHeight="false" outlineLevel="0" collapsed="false">
      <c r="A1758" s="76" t="s">
        <v>2452</v>
      </c>
      <c r="B1758" s="76" t="s">
        <v>156</v>
      </c>
      <c r="C1758" s="76" t="s">
        <v>157</v>
      </c>
      <c r="D1758" s="76" t="s">
        <v>1198</v>
      </c>
      <c r="E1758" s="76" t="s">
        <v>1162</v>
      </c>
      <c r="F1758" s="35" t="s">
        <v>2453</v>
      </c>
      <c r="G1758" s="76" t="s">
        <v>1012</v>
      </c>
      <c r="H1758" s="78" t="n">
        <v>272552.197554434</v>
      </c>
      <c r="I1758" s="76" t="s">
        <v>2456</v>
      </c>
      <c r="J1758" s="78" t="n">
        <v>272552.197554434</v>
      </c>
      <c r="K1758" s="76" t="s">
        <v>2456</v>
      </c>
      <c r="L1758" s="77" t="s">
        <v>1114</v>
      </c>
    </row>
    <row r="1759" customFormat="false" ht="15" hidden="false" customHeight="false" outlineLevel="0" collapsed="false">
      <c r="A1759" s="76" t="s">
        <v>2452</v>
      </c>
      <c r="B1759" s="76" t="s">
        <v>156</v>
      </c>
      <c r="C1759" s="76" t="s">
        <v>157</v>
      </c>
      <c r="D1759" s="76" t="s">
        <v>1198</v>
      </c>
      <c r="E1759" s="76" t="s">
        <v>1162</v>
      </c>
      <c r="F1759" s="35" t="s">
        <v>2453</v>
      </c>
      <c r="G1759" s="76" t="s">
        <v>1013</v>
      </c>
      <c r="H1759" s="78" t="n">
        <v>157344.274508263</v>
      </c>
      <c r="I1759" s="76" t="s">
        <v>2457</v>
      </c>
      <c r="J1759" s="78" t="n">
        <v>157344.274508263</v>
      </c>
      <c r="K1759" s="76" t="s">
        <v>2457</v>
      </c>
      <c r="L1759" s="77" t="s">
        <v>1114</v>
      </c>
    </row>
    <row r="1760" customFormat="false" ht="15" hidden="false" customHeight="false" outlineLevel="0" collapsed="false">
      <c r="A1760" s="76" t="s">
        <v>2452</v>
      </c>
      <c r="B1760" s="76" t="s">
        <v>156</v>
      </c>
      <c r="C1760" s="76" t="s">
        <v>157</v>
      </c>
      <c r="D1760" s="76" t="s">
        <v>1198</v>
      </c>
      <c r="E1760" s="76" t="s">
        <v>1162</v>
      </c>
      <c r="F1760" s="35" t="s">
        <v>2453</v>
      </c>
      <c r="G1760" s="76" t="s">
        <v>1014</v>
      </c>
      <c r="H1760" s="78" t="n">
        <v>27786.927100398</v>
      </c>
      <c r="I1760" s="76" t="s">
        <v>2458</v>
      </c>
      <c r="J1760" s="78" t="n">
        <v>27786.927100398</v>
      </c>
      <c r="K1760" s="76" t="s">
        <v>2458</v>
      </c>
      <c r="L1760" s="77" t="s">
        <v>1114</v>
      </c>
    </row>
    <row r="1761" customFormat="false" ht="15" hidden="false" customHeight="false" outlineLevel="0" collapsed="false">
      <c r="A1761" s="76" t="s">
        <v>2459</v>
      </c>
      <c r="B1761" s="76" t="s">
        <v>161</v>
      </c>
      <c r="C1761" s="76" t="s">
        <v>163</v>
      </c>
      <c r="D1761" s="76" t="s">
        <v>1111</v>
      </c>
      <c r="E1761" s="76" t="s">
        <v>1112</v>
      </c>
      <c r="F1761" s="35" t="s">
        <v>2460</v>
      </c>
      <c r="G1761" s="76" t="s">
        <v>419</v>
      </c>
      <c r="H1761" s="76"/>
      <c r="I1761" s="76" t="s">
        <v>1032</v>
      </c>
      <c r="J1761" s="76"/>
      <c r="K1761" s="76" t="s">
        <v>1032</v>
      </c>
      <c r="L1761" s="77" t="s">
        <v>1114</v>
      </c>
    </row>
    <row r="1762" customFormat="false" ht="15" hidden="false" customHeight="false" outlineLevel="0" collapsed="false">
      <c r="A1762" s="76" t="s">
        <v>2459</v>
      </c>
      <c r="B1762" s="76" t="s">
        <v>161</v>
      </c>
      <c r="C1762" s="76" t="s">
        <v>163</v>
      </c>
      <c r="D1762" s="76" t="s">
        <v>1111</v>
      </c>
      <c r="E1762" s="76" t="s">
        <v>1112</v>
      </c>
      <c r="F1762" s="35" t="s">
        <v>2460</v>
      </c>
      <c r="G1762" s="76" t="s">
        <v>1032</v>
      </c>
      <c r="H1762" s="76" t="n">
        <v>177000</v>
      </c>
      <c r="I1762" s="76" t="s">
        <v>2461</v>
      </c>
      <c r="J1762" s="76" t="n">
        <v>177000</v>
      </c>
      <c r="K1762" s="76" t="s">
        <v>2461</v>
      </c>
      <c r="L1762" s="77" t="s">
        <v>1114</v>
      </c>
    </row>
    <row r="1763" customFormat="false" ht="15" hidden="false" customHeight="false" outlineLevel="0" collapsed="false">
      <c r="A1763" s="76" t="s">
        <v>2459</v>
      </c>
      <c r="B1763" s="76" t="s">
        <v>161</v>
      </c>
      <c r="C1763" s="76" t="s">
        <v>163</v>
      </c>
      <c r="D1763" s="76" t="s">
        <v>1111</v>
      </c>
      <c r="E1763" s="76" t="s">
        <v>1112</v>
      </c>
      <c r="F1763" s="35" t="s">
        <v>2460</v>
      </c>
      <c r="G1763" s="76" t="s">
        <v>1028</v>
      </c>
      <c r="H1763" s="76" t="n">
        <v>435000</v>
      </c>
      <c r="I1763" s="76" t="s">
        <v>2462</v>
      </c>
      <c r="J1763" s="76" t="n">
        <v>435000</v>
      </c>
      <c r="K1763" s="76" t="s">
        <v>2462</v>
      </c>
      <c r="L1763" s="77" t="s">
        <v>1114</v>
      </c>
    </row>
    <row r="1764" customFormat="false" ht="15" hidden="false" customHeight="false" outlineLevel="0" collapsed="false">
      <c r="A1764" s="76" t="s">
        <v>2459</v>
      </c>
      <c r="B1764" s="76" t="s">
        <v>161</v>
      </c>
      <c r="C1764" s="76" t="s">
        <v>163</v>
      </c>
      <c r="D1764" s="76" t="s">
        <v>1111</v>
      </c>
      <c r="E1764" s="76" t="s">
        <v>1112</v>
      </c>
      <c r="F1764" s="35" t="s">
        <v>2460</v>
      </c>
      <c r="G1764" s="76" t="s">
        <v>1030</v>
      </c>
      <c r="H1764" s="76" t="n">
        <v>258000</v>
      </c>
      <c r="I1764" s="76" t="s">
        <v>2463</v>
      </c>
      <c r="J1764" s="76" t="n">
        <v>258000</v>
      </c>
      <c r="K1764" s="76" t="s">
        <v>2463</v>
      </c>
      <c r="L1764" s="77" t="s">
        <v>1114</v>
      </c>
    </row>
    <row r="1765" customFormat="false" ht="15" hidden="false" customHeight="false" outlineLevel="0" collapsed="false">
      <c r="A1765" s="76" t="s">
        <v>2464</v>
      </c>
      <c r="B1765" s="76" t="s">
        <v>161</v>
      </c>
      <c r="C1765" s="76" t="s">
        <v>163</v>
      </c>
      <c r="D1765" s="76" t="s">
        <v>1124</v>
      </c>
      <c r="E1765" s="76" t="s">
        <v>1125</v>
      </c>
      <c r="F1765" s="35" t="s">
        <v>2465</v>
      </c>
      <c r="G1765" s="76" t="s">
        <v>419</v>
      </c>
      <c r="H1765" s="76"/>
      <c r="I1765" s="76" t="s">
        <v>1032</v>
      </c>
      <c r="J1765" s="76"/>
      <c r="K1765" s="76" t="s">
        <v>1032</v>
      </c>
      <c r="L1765" s="77" t="s">
        <v>1114</v>
      </c>
    </row>
    <row r="1766" customFormat="false" ht="15" hidden="false" customHeight="false" outlineLevel="0" collapsed="false">
      <c r="A1766" s="76" t="s">
        <v>2464</v>
      </c>
      <c r="B1766" s="76" t="s">
        <v>161</v>
      </c>
      <c r="C1766" s="76" t="s">
        <v>163</v>
      </c>
      <c r="D1766" s="76" t="s">
        <v>1124</v>
      </c>
      <c r="E1766" s="76" t="s">
        <v>1125</v>
      </c>
      <c r="F1766" s="35" t="s">
        <v>2465</v>
      </c>
      <c r="G1766" s="76" t="s">
        <v>1032</v>
      </c>
      <c r="H1766" s="76" t="n">
        <v>0</v>
      </c>
      <c r="I1766" s="76" t="s">
        <v>1127</v>
      </c>
      <c r="J1766" s="76" t="n">
        <v>0</v>
      </c>
      <c r="K1766" s="76" t="s">
        <v>1127</v>
      </c>
      <c r="L1766" s="77" t="s">
        <v>1114</v>
      </c>
    </row>
    <row r="1767" customFormat="false" ht="15" hidden="false" customHeight="false" outlineLevel="0" collapsed="false">
      <c r="A1767" s="76" t="s">
        <v>2464</v>
      </c>
      <c r="B1767" s="76" t="s">
        <v>161</v>
      </c>
      <c r="C1767" s="76" t="s">
        <v>163</v>
      </c>
      <c r="D1767" s="76" t="s">
        <v>1124</v>
      </c>
      <c r="E1767" s="76" t="s">
        <v>1125</v>
      </c>
      <c r="F1767" s="35" t="s">
        <v>2465</v>
      </c>
      <c r="G1767" s="76" t="s">
        <v>1028</v>
      </c>
      <c r="H1767" s="76" t="n">
        <v>0</v>
      </c>
      <c r="I1767" s="76" t="s">
        <v>1127</v>
      </c>
      <c r="J1767" s="76" t="n">
        <v>0</v>
      </c>
      <c r="K1767" s="76" t="s">
        <v>1127</v>
      </c>
      <c r="L1767" s="77" t="s">
        <v>1114</v>
      </c>
    </row>
    <row r="1768" customFormat="false" ht="15" hidden="false" customHeight="false" outlineLevel="0" collapsed="false">
      <c r="A1768" s="76" t="s">
        <v>2464</v>
      </c>
      <c r="B1768" s="76" t="s">
        <v>161</v>
      </c>
      <c r="C1768" s="76" t="s">
        <v>163</v>
      </c>
      <c r="D1768" s="76" t="s">
        <v>1124</v>
      </c>
      <c r="E1768" s="76" t="s">
        <v>1125</v>
      </c>
      <c r="F1768" s="35" t="s">
        <v>2465</v>
      </c>
      <c r="G1768" s="76" t="s">
        <v>1030</v>
      </c>
      <c r="H1768" s="76" t="n">
        <v>0</v>
      </c>
      <c r="I1768" s="76" t="s">
        <v>1127</v>
      </c>
      <c r="J1768" s="76" t="n">
        <v>0</v>
      </c>
      <c r="K1768" s="76" t="s">
        <v>1127</v>
      </c>
      <c r="L1768" s="77" t="s">
        <v>1114</v>
      </c>
    </row>
    <row r="1769" customFormat="false" ht="15" hidden="false" customHeight="false" outlineLevel="0" collapsed="false">
      <c r="A1769" s="76" t="s">
        <v>2466</v>
      </c>
      <c r="B1769" s="76" t="s">
        <v>161</v>
      </c>
      <c r="C1769" s="76" t="s">
        <v>163</v>
      </c>
      <c r="D1769" s="76" t="s">
        <v>1132</v>
      </c>
      <c r="E1769" s="76" t="s">
        <v>1133</v>
      </c>
      <c r="F1769" s="35" t="s">
        <v>2467</v>
      </c>
      <c r="G1769" s="76" t="s">
        <v>419</v>
      </c>
      <c r="H1769" s="76"/>
      <c r="I1769" s="76" t="s">
        <v>1032</v>
      </c>
      <c r="J1769" s="76"/>
      <c r="K1769" s="76" t="s">
        <v>1032</v>
      </c>
      <c r="L1769" s="77" t="s">
        <v>1114</v>
      </c>
    </row>
    <row r="1770" customFormat="false" ht="15" hidden="false" customHeight="false" outlineLevel="0" collapsed="false">
      <c r="A1770" s="76" t="s">
        <v>2466</v>
      </c>
      <c r="B1770" s="76" t="s">
        <v>161</v>
      </c>
      <c r="C1770" s="76" t="s">
        <v>163</v>
      </c>
      <c r="D1770" s="76" t="s">
        <v>1132</v>
      </c>
      <c r="E1770" s="76" t="s">
        <v>1133</v>
      </c>
      <c r="F1770" s="35" t="s">
        <v>2467</v>
      </c>
      <c r="G1770" s="76" t="s">
        <v>1032</v>
      </c>
      <c r="H1770" s="76" t="n">
        <v>7500000</v>
      </c>
      <c r="I1770" s="76" t="s">
        <v>2468</v>
      </c>
      <c r="J1770" s="76" t="n">
        <v>7500000</v>
      </c>
      <c r="K1770" s="76" t="s">
        <v>2468</v>
      </c>
      <c r="L1770" s="77" t="s">
        <v>1114</v>
      </c>
    </row>
    <row r="1771" customFormat="false" ht="15" hidden="false" customHeight="false" outlineLevel="0" collapsed="false">
      <c r="A1771" s="76" t="s">
        <v>2466</v>
      </c>
      <c r="B1771" s="76" t="s">
        <v>161</v>
      </c>
      <c r="C1771" s="76" t="s">
        <v>163</v>
      </c>
      <c r="D1771" s="76" t="s">
        <v>1132</v>
      </c>
      <c r="E1771" s="76" t="s">
        <v>1133</v>
      </c>
      <c r="F1771" s="35" t="s">
        <v>2467</v>
      </c>
      <c r="G1771" s="76" t="s">
        <v>1028</v>
      </c>
      <c r="H1771" s="76" t="n">
        <v>11000000</v>
      </c>
      <c r="I1771" s="76" t="s">
        <v>2469</v>
      </c>
      <c r="J1771" s="76" t="n">
        <v>11000000</v>
      </c>
      <c r="K1771" s="76" t="s">
        <v>2469</v>
      </c>
      <c r="L1771" s="77" t="s">
        <v>1114</v>
      </c>
    </row>
    <row r="1772" customFormat="false" ht="15" hidden="false" customHeight="false" outlineLevel="0" collapsed="false">
      <c r="A1772" s="76" t="s">
        <v>2466</v>
      </c>
      <c r="B1772" s="76" t="s">
        <v>161</v>
      </c>
      <c r="C1772" s="76" t="s">
        <v>163</v>
      </c>
      <c r="D1772" s="76" t="s">
        <v>1132</v>
      </c>
      <c r="E1772" s="76" t="s">
        <v>1133</v>
      </c>
      <c r="F1772" s="35" t="s">
        <v>2467</v>
      </c>
      <c r="G1772" s="76" t="s">
        <v>1030</v>
      </c>
      <c r="H1772" s="76" t="n">
        <v>3500000</v>
      </c>
      <c r="I1772" s="76" t="s">
        <v>2470</v>
      </c>
      <c r="J1772" s="76" t="n">
        <v>3500000</v>
      </c>
      <c r="K1772" s="76" t="s">
        <v>2470</v>
      </c>
      <c r="L1772" s="77" t="s">
        <v>1114</v>
      </c>
    </row>
    <row r="1773" customFormat="false" ht="15" hidden="false" customHeight="false" outlineLevel="0" collapsed="false">
      <c r="A1773" s="76" t="s">
        <v>2471</v>
      </c>
      <c r="B1773" s="76" t="s">
        <v>161</v>
      </c>
      <c r="C1773" s="76" t="s">
        <v>163</v>
      </c>
      <c r="D1773" s="76" t="s">
        <v>1141</v>
      </c>
      <c r="E1773" s="76" t="s">
        <v>1142</v>
      </c>
      <c r="F1773" s="35" t="s">
        <v>2472</v>
      </c>
      <c r="G1773" s="76" t="s">
        <v>419</v>
      </c>
      <c r="H1773" s="76"/>
      <c r="I1773" s="76" t="s">
        <v>1032</v>
      </c>
      <c r="J1773" s="76"/>
      <c r="K1773" s="76" t="s">
        <v>1032</v>
      </c>
      <c r="L1773" s="77" t="s">
        <v>1114</v>
      </c>
    </row>
    <row r="1774" customFormat="false" ht="15" hidden="false" customHeight="false" outlineLevel="0" collapsed="false">
      <c r="A1774" s="76" t="s">
        <v>2471</v>
      </c>
      <c r="B1774" s="76" t="s">
        <v>161</v>
      </c>
      <c r="C1774" s="76" t="s">
        <v>163</v>
      </c>
      <c r="D1774" s="76" t="s">
        <v>1141</v>
      </c>
      <c r="E1774" s="76" t="s">
        <v>1142</v>
      </c>
      <c r="F1774" s="35" t="s">
        <v>2472</v>
      </c>
      <c r="G1774" s="76" t="s">
        <v>1032</v>
      </c>
      <c r="H1774" s="76" t="n">
        <v>5216000</v>
      </c>
      <c r="I1774" s="76" t="s">
        <v>2473</v>
      </c>
      <c r="J1774" s="76" t="n">
        <v>5216000</v>
      </c>
      <c r="K1774" s="76" t="s">
        <v>2473</v>
      </c>
      <c r="L1774" s="77" t="s">
        <v>1114</v>
      </c>
    </row>
    <row r="1775" customFormat="false" ht="15" hidden="false" customHeight="false" outlineLevel="0" collapsed="false">
      <c r="A1775" s="76" t="s">
        <v>2471</v>
      </c>
      <c r="B1775" s="76" t="s">
        <v>161</v>
      </c>
      <c r="C1775" s="76" t="s">
        <v>163</v>
      </c>
      <c r="D1775" s="76" t="s">
        <v>1141</v>
      </c>
      <c r="E1775" s="76" t="s">
        <v>1142</v>
      </c>
      <c r="F1775" s="35" t="s">
        <v>2472</v>
      </c>
      <c r="G1775" s="76" t="s">
        <v>1028</v>
      </c>
      <c r="H1775" s="76" t="n">
        <v>5680500</v>
      </c>
      <c r="I1775" s="76" t="s">
        <v>2474</v>
      </c>
      <c r="J1775" s="76" t="n">
        <v>5680500</v>
      </c>
      <c r="K1775" s="76" t="s">
        <v>2474</v>
      </c>
      <c r="L1775" s="77" t="s">
        <v>1114</v>
      </c>
    </row>
    <row r="1776" customFormat="false" ht="15" hidden="false" customHeight="false" outlineLevel="0" collapsed="false">
      <c r="A1776" s="76" t="s">
        <v>2471</v>
      </c>
      <c r="B1776" s="76" t="s">
        <v>161</v>
      </c>
      <c r="C1776" s="76" t="s">
        <v>163</v>
      </c>
      <c r="D1776" s="76" t="s">
        <v>1141</v>
      </c>
      <c r="E1776" s="76" t="s">
        <v>1142</v>
      </c>
      <c r="F1776" s="35" t="s">
        <v>2472</v>
      </c>
      <c r="G1776" s="76" t="s">
        <v>1030</v>
      </c>
      <c r="H1776" s="76" t="n">
        <v>464500</v>
      </c>
      <c r="I1776" s="76" t="s">
        <v>2475</v>
      </c>
      <c r="J1776" s="76" t="n">
        <v>464500</v>
      </c>
      <c r="K1776" s="76" t="s">
        <v>2475</v>
      </c>
      <c r="L1776" s="77" t="s">
        <v>1114</v>
      </c>
    </row>
    <row r="1777" customFormat="false" ht="15" hidden="false" customHeight="false" outlineLevel="0" collapsed="false">
      <c r="A1777" s="76" t="s">
        <v>2476</v>
      </c>
      <c r="B1777" s="76" t="s">
        <v>161</v>
      </c>
      <c r="C1777" s="76" t="s">
        <v>163</v>
      </c>
      <c r="D1777" s="76" t="s">
        <v>1151</v>
      </c>
      <c r="E1777" s="76" t="s">
        <v>1152</v>
      </c>
      <c r="F1777" s="35" t="s">
        <v>2477</v>
      </c>
      <c r="G1777" s="76" t="s">
        <v>419</v>
      </c>
      <c r="H1777" s="76"/>
      <c r="I1777" s="76" t="s">
        <v>1032</v>
      </c>
      <c r="J1777" s="76"/>
      <c r="K1777" s="76" t="s">
        <v>1032</v>
      </c>
      <c r="L1777" s="77" t="s">
        <v>1114</v>
      </c>
    </row>
    <row r="1778" customFormat="false" ht="15" hidden="false" customHeight="false" outlineLevel="0" collapsed="false">
      <c r="A1778" s="76" t="s">
        <v>2476</v>
      </c>
      <c r="B1778" s="76" t="s">
        <v>161</v>
      </c>
      <c r="C1778" s="76" t="s">
        <v>163</v>
      </c>
      <c r="D1778" s="76" t="s">
        <v>1151</v>
      </c>
      <c r="E1778" s="76" t="s">
        <v>1152</v>
      </c>
      <c r="F1778" s="35" t="s">
        <v>2477</v>
      </c>
      <c r="G1778" s="76" t="s">
        <v>1032</v>
      </c>
      <c r="H1778" s="76" t="n">
        <v>-223000</v>
      </c>
      <c r="I1778" s="76" t="s">
        <v>2478</v>
      </c>
      <c r="J1778" s="76" t="n">
        <v>-223000</v>
      </c>
      <c r="K1778" s="76" t="s">
        <v>2478</v>
      </c>
      <c r="L1778" s="77" t="s">
        <v>1114</v>
      </c>
    </row>
    <row r="1779" customFormat="false" ht="15" hidden="false" customHeight="false" outlineLevel="0" collapsed="false">
      <c r="A1779" s="76" t="s">
        <v>2476</v>
      </c>
      <c r="B1779" s="76" t="s">
        <v>161</v>
      </c>
      <c r="C1779" s="76" t="s">
        <v>163</v>
      </c>
      <c r="D1779" s="76" t="s">
        <v>1151</v>
      </c>
      <c r="E1779" s="76" t="s">
        <v>1152</v>
      </c>
      <c r="F1779" s="35" t="s">
        <v>2477</v>
      </c>
      <c r="G1779" s="76" t="s">
        <v>1028</v>
      </c>
      <c r="H1779" s="76" t="n">
        <v>85000</v>
      </c>
      <c r="I1779" s="76" t="s">
        <v>2479</v>
      </c>
      <c r="J1779" s="76" t="n">
        <v>85000</v>
      </c>
      <c r="K1779" s="76" t="s">
        <v>2479</v>
      </c>
      <c r="L1779" s="77" t="s">
        <v>1114</v>
      </c>
    </row>
    <row r="1780" customFormat="false" ht="15" hidden="false" customHeight="false" outlineLevel="0" collapsed="false">
      <c r="A1780" s="76" t="s">
        <v>2476</v>
      </c>
      <c r="B1780" s="76" t="s">
        <v>161</v>
      </c>
      <c r="C1780" s="76" t="s">
        <v>163</v>
      </c>
      <c r="D1780" s="76" t="s">
        <v>1151</v>
      </c>
      <c r="E1780" s="76" t="s">
        <v>1152</v>
      </c>
      <c r="F1780" s="35" t="s">
        <v>2477</v>
      </c>
      <c r="G1780" s="76" t="s">
        <v>1030</v>
      </c>
      <c r="H1780" s="76" t="n">
        <v>308000</v>
      </c>
      <c r="I1780" s="76" t="s">
        <v>2480</v>
      </c>
      <c r="J1780" s="76" t="n">
        <v>308000</v>
      </c>
      <c r="K1780" s="76" t="s">
        <v>2480</v>
      </c>
      <c r="L1780" s="77" t="s">
        <v>1114</v>
      </c>
    </row>
    <row r="1781" customFormat="false" ht="15" hidden="false" customHeight="false" outlineLevel="0" collapsed="false">
      <c r="A1781" s="76" t="s">
        <v>2481</v>
      </c>
      <c r="B1781" s="76" t="s">
        <v>161</v>
      </c>
      <c r="C1781" s="76" t="s">
        <v>163</v>
      </c>
      <c r="D1781" s="76" t="s">
        <v>1180</v>
      </c>
      <c r="E1781" s="76" t="s">
        <v>1152</v>
      </c>
      <c r="F1781" s="35" t="s">
        <v>2482</v>
      </c>
      <c r="G1781" s="76" t="s">
        <v>419</v>
      </c>
      <c r="H1781" s="76"/>
      <c r="I1781" s="76" t="s">
        <v>1032</v>
      </c>
      <c r="J1781" s="76"/>
      <c r="K1781" s="76" t="s">
        <v>1032</v>
      </c>
      <c r="L1781" s="77" t="s">
        <v>1114</v>
      </c>
    </row>
    <row r="1782" customFormat="false" ht="15" hidden="false" customHeight="false" outlineLevel="0" collapsed="false">
      <c r="A1782" s="76" t="s">
        <v>2481</v>
      </c>
      <c r="B1782" s="76" t="s">
        <v>161</v>
      </c>
      <c r="C1782" s="76" t="s">
        <v>163</v>
      </c>
      <c r="D1782" s="76" t="s">
        <v>1180</v>
      </c>
      <c r="E1782" s="76" t="s">
        <v>1152</v>
      </c>
      <c r="F1782" s="35" t="s">
        <v>2482</v>
      </c>
      <c r="G1782" s="76" t="s">
        <v>1032</v>
      </c>
      <c r="H1782" s="76" t="n">
        <v>4184500</v>
      </c>
      <c r="I1782" s="76" t="s">
        <v>2483</v>
      </c>
      <c r="J1782" s="76" t="n">
        <v>4184500</v>
      </c>
      <c r="K1782" s="76" t="s">
        <v>2483</v>
      </c>
      <c r="L1782" s="77" t="s">
        <v>1114</v>
      </c>
    </row>
    <row r="1783" customFormat="false" ht="15" hidden="false" customHeight="false" outlineLevel="0" collapsed="false">
      <c r="A1783" s="76" t="s">
        <v>2481</v>
      </c>
      <c r="B1783" s="76" t="s">
        <v>161</v>
      </c>
      <c r="C1783" s="76" t="s">
        <v>163</v>
      </c>
      <c r="D1783" s="76" t="s">
        <v>1180</v>
      </c>
      <c r="E1783" s="76" t="s">
        <v>1152</v>
      </c>
      <c r="F1783" s="35" t="s">
        <v>2482</v>
      </c>
      <c r="G1783" s="76" t="s">
        <v>1028</v>
      </c>
      <c r="H1783" s="76" t="n">
        <v>5117500</v>
      </c>
      <c r="I1783" s="76" t="s">
        <v>2484</v>
      </c>
      <c r="J1783" s="76" t="n">
        <v>5117500</v>
      </c>
      <c r="K1783" s="76" t="s">
        <v>2484</v>
      </c>
      <c r="L1783" s="77" t="s">
        <v>1114</v>
      </c>
    </row>
    <row r="1784" customFormat="false" ht="15" hidden="false" customHeight="false" outlineLevel="0" collapsed="false">
      <c r="A1784" s="76" t="s">
        <v>2481</v>
      </c>
      <c r="B1784" s="76" t="s">
        <v>161</v>
      </c>
      <c r="C1784" s="76" t="s">
        <v>163</v>
      </c>
      <c r="D1784" s="76" t="s">
        <v>1180</v>
      </c>
      <c r="E1784" s="76" t="s">
        <v>1152</v>
      </c>
      <c r="F1784" s="35" t="s">
        <v>2482</v>
      </c>
      <c r="G1784" s="76" t="s">
        <v>1030</v>
      </c>
      <c r="H1784" s="76" t="n">
        <v>933000</v>
      </c>
      <c r="I1784" s="76" t="s">
        <v>2485</v>
      </c>
      <c r="J1784" s="76" t="n">
        <v>933000</v>
      </c>
      <c r="K1784" s="76" t="s">
        <v>2485</v>
      </c>
      <c r="L1784" s="77" t="s">
        <v>1114</v>
      </c>
    </row>
    <row r="1785" customFormat="false" ht="15" hidden="false" customHeight="false" outlineLevel="0" collapsed="false">
      <c r="A1785" s="76" t="s">
        <v>2486</v>
      </c>
      <c r="B1785" s="76" t="s">
        <v>161</v>
      </c>
      <c r="C1785" s="76" t="s">
        <v>163</v>
      </c>
      <c r="D1785" s="76" t="s">
        <v>1189</v>
      </c>
      <c r="E1785" s="76" t="s">
        <v>1125</v>
      </c>
      <c r="F1785" s="35" t="s">
        <v>2487</v>
      </c>
      <c r="G1785" s="76" t="s">
        <v>419</v>
      </c>
      <c r="H1785" s="76"/>
      <c r="I1785" s="76" t="s">
        <v>1032</v>
      </c>
      <c r="J1785" s="76"/>
      <c r="K1785" s="76" t="s">
        <v>1032</v>
      </c>
      <c r="L1785" s="77" t="s">
        <v>1114</v>
      </c>
    </row>
    <row r="1786" customFormat="false" ht="15" hidden="false" customHeight="false" outlineLevel="0" collapsed="false">
      <c r="A1786" s="76" t="s">
        <v>2486</v>
      </c>
      <c r="B1786" s="76" t="s">
        <v>161</v>
      </c>
      <c r="C1786" s="76" t="s">
        <v>163</v>
      </c>
      <c r="D1786" s="76" t="s">
        <v>1189</v>
      </c>
      <c r="E1786" s="76" t="s">
        <v>1125</v>
      </c>
      <c r="F1786" s="35" t="s">
        <v>2487</v>
      </c>
      <c r="G1786" s="76" t="s">
        <v>1032</v>
      </c>
      <c r="H1786" s="76" t="n">
        <v>3437000</v>
      </c>
      <c r="I1786" s="76" t="s">
        <v>2488</v>
      </c>
      <c r="J1786" s="76" t="n">
        <v>3437000</v>
      </c>
      <c r="K1786" s="76" t="s">
        <v>2488</v>
      </c>
      <c r="L1786" s="77" t="s">
        <v>1114</v>
      </c>
    </row>
    <row r="1787" customFormat="false" ht="15" hidden="false" customHeight="false" outlineLevel="0" collapsed="false">
      <c r="A1787" s="76" t="s">
        <v>2486</v>
      </c>
      <c r="B1787" s="76" t="s">
        <v>161</v>
      </c>
      <c r="C1787" s="76" t="s">
        <v>163</v>
      </c>
      <c r="D1787" s="76" t="s">
        <v>1189</v>
      </c>
      <c r="E1787" s="76" t="s">
        <v>1125</v>
      </c>
      <c r="F1787" s="35" t="s">
        <v>2487</v>
      </c>
      <c r="G1787" s="76" t="s">
        <v>1028</v>
      </c>
      <c r="H1787" s="76" t="n">
        <v>6109500</v>
      </c>
      <c r="I1787" s="76" t="s">
        <v>2489</v>
      </c>
      <c r="J1787" s="76" t="n">
        <v>6109500</v>
      </c>
      <c r="K1787" s="76" t="s">
        <v>2489</v>
      </c>
      <c r="L1787" s="77" t="s">
        <v>1114</v>
      </c>
    </row>
    <row r="1788" customFormat="false" ht="15" hidden="false" customHeight="false" outlineLevel="0" collapsed="false">
      <c r="A1788" s="76" t="s">
        <v>2486</v>
      </c>
      <c r="B1788" s="76" t="s">
        <v>161</v>
      </c>
      <c r="C1788" s="76" t="s">
        <v>163</v>
      </c>
      <c r="D1788" s="76" t="s">
        <v>1189</v>
      </c>
      <c r="E1788" s="76" t="s">
        <v>1125</v>
      </c>
      <c r="F1788" s="35" t="s">
        <v>2487</v>
      </c>
      <c r="G1788" s="76" t="s">
        <v>1030</v>
      </c>
      <c r="H1788" s="76" t="n">
        <v>2672500</v>
      </c>
      <c r="I1788" s="76" t="s">
        <v>2490</v>
      </c>
      <c r="J1788" s="76" t="n">
        <v>2672500</v>
      </c>
      <c r="K1788" s="76" t="s">
        <v>2490</v>
      </c>
      <c r="L1788" s="77" t="s">
        <v>1114</v>
      </c>
    </row>
    <row r="1789" customFormat="false" ht="15" hidden="false" customHeight="false" outlineLevel="0" collapsed="false">
      <c r="A1789" s="76" t="s">
        <v>2491</v>
      </c>
      <c r="B1789" s="76" t="s">
        <v>161</v>
      </c>
      <c r="C1789" s="76" t="s">
        <v>163</v>
      </c>
      <c r="D1789" s="76" t="s">
        <v>1198</v>
      </c>
      <c r="E1789" s="76" t="s">
        <v>1162</v>
      </c>
      <c r="F1789" s="35" t="s">
        <v>2492</v>
      </c>
      <c r="G1789" s="76" t="s">
        <v>419</v>
      </c>
      <c r="H1789" s="76"/>
      <c r="I1789" s="76" t="s">
        <v>1032</v>
      </c>
      <c r="J1789" s="76"/>
      <c r="K1789" s="76" t="s">
        <v>1032</v>
      </c>
      <c r="L1789" s="77" t="s">
        <v>1114</v>
      </c>
    </row>
    <row r="1790" customFormat="false" ht="15" hidden="false" customHeight="false" outlineLevel="0" collapsed="false">
      <c r="A1790" s="76" t="s">
        <v>2491</v>
      </c>
      <c r="B1790" s="76" t="s">
        <v>161</v>
      </c>
      <c r="C1790" s="76" t="s">
        <v>163</v>
      </c>
      <c r="D1790" s="76" t="s">
        <v>1198</v>
      </c>
      <c r="E1790" s="76" t="s">
        <v>1162</v>
      </c>
      <c r="F1790" s="35" t="s">
        <v>2492</v>
      </c>
      <c r="G1790" s="76" t="s">
        <v>1032</v>
      </c>
      <c r="H1790" s="76" t="n">
        <v>1059000</v>
      </c>
      <c r="I1790" s="76" t="s">
        <v>2493</v>
      </c>
      <c r="J1790" s="76" t="n">
        <v>1059000</v>
      </c>
      <c r="K1790" s="76" t="s">
        <v>2493</v>
      </c>
      <c r="L1790" s="77" t="s">
        <v>1114</v>
      </c>
    </row>
    <row r="1791" customFormat="false" ht="15" hidden="false" customHeight="false" outlineLevel="0" collapsed="false">
      <c r="A1791" s="76" t="s">
        <v>2491</v>
      </c>
      <c r="B1791" s="76" t="s">
        <v>161</v>
      </c>
      <c r="C1791" s="76" t="s">
        <v>163</v>
      </c>
      <c r="D1791" s="76" t="s">
        <v>1198</v>
      </c>
      <c r="E1791" s="76" t="s">
        <v>1162</v>
      </c>
      <c r="F1791" s="35" t="s">
        <v>2492</v>
      </c>
      <c r="G1791" s="76" t="s">
        <v>1028</v>
      </c>
      <c r="H1791" s="76" t="n">
        <v>3001000</v>
      </c>
      <c r="I1791" s="76" t="s">
        <v>2494</v>
      </c>
      <c r="J1791" s="76" t="n">
        <v>3001000</v>
      </c>
      <c r="K1791" s="76" t="s">
        <v>2494</v>
      </c>
      <c r="L1791" s="77" t="s">
        <v>1114</v>
      </c>
    </row>
    <row r="1792" customFormat="false" ht="15" hidden="false" customHeight="false" outlineLevel="0" collapsed="false">
      <c r="A1792" s="76" t="s">
        <v>2491</v>
      </c>
      <c r="B1792" s="76" t="s">
        <v>161</v>
      </c>
      <c r="C1792" s="76" t="s">
        <v>163</v>
      </c>
      <c r="D1792" s="76" t="s">
        <v>1198</v>
      </c>
      <c r="E1792" s="76" t="s">
        <v>1162</v>
      </c>
      <c r="F1792" s="35" t="s">
        <v>2492</v>
      </c>
      <c r="G1792" s="76" t="s">
        <v>1030</v>
      </c>
      <c r="H1792" s="76" t="n">
        <v>1942000</v>
      </c>
      <c r="I1792" s="76" t="s">
        <v>2495</v>
      </c>
      <c r="J1792" s="76" t="n">
        <v>1942000</v>
      </c>
      <c r="K1792" s="76" t="s">
        <v>2495</v>
      </c>
      <c r="L1792" s="77" t="s">
        <v>1114</v>
      </c>
    </row>
    <row r="1793" customFormat="false" ht="15" hidden="false" customHeight="false" outlineLevel="0" collapsed="false">
      <c r="A1793" s="76" t="s">
        <v>2496</v>
      </c>
      <c r="B1793" s="76" t="s">
        <v>167</v>
      </c>
      <c r="C1793" s="76" t="s">
        <v>168</v>
      </c>
      <c r="D1793" s="76" t="s">
        <v>1111</v>
      </c>
      <c r="E1793" s="76" t="s">
        <v>1112</v>
      </c>
      <c r="F1793" s="35" t="s">
        <v>2497</v>
      </c>
      <c r="G1793" s="76" t="s">
        <v>419</v>
      </c>
      <c r="H1793" s="76"/>
      <c r="I1793" s="76" t="s">
        <v>168</v>
      </c>
      <c r="J1793" s="76"/>
      <c r="K1793" s="76" t="s">
        <v>168</v>
      </c>
      <c r="L1793" s="77" t="s">
        <v>1114</v>
      </c>
    </row>
    <row r="1794" customFormat="false" ht="15" hidden="false" customHeight="false" outlineLevel="0" collapsed="false">
      <c r="A1794" s="76" t="s">
        <v>2496</v>
      </c>
      <c r="B1794" s="76" t="s">
        <v>167</v>
      </c>
      <c r="C1794" s="76" t="s">
        <v>168</v>
      </c>
      <c r="D1794" s="76" t="s">
        <v>1111</v>
      </c>
      <c r="E1794" s="76" t="s">
        <v>1112</v>
      </c>
      <c r="F1794" s="35" t="s">
        <v>2497</v>
      </c>
      <c r="G1794" s="76" t="s">
        <v>168</v>
      </c>
      <c r="H1794" s="76" t="n">
        <v>500</v>
      </c>
      <c r="I1794" s="76" t="s">
        <v>1612</v>
      </c>
      <c r="J1794" s="76" t="n">
        <v>500</v>
      </c>
      <c r="K1794" s="76" t="s">
        <v>1612</v>
      </c>
      <c r="L1794" s="77" t="s">
        <v>1114</v>
      </c>
    </row>
    <row r="1795" customFormat="false" ht="15" hidden="false" customHeight="false" outlineLevel="0" collapsed="false">
      <c r="A1795" s="76" t="s">
        <v>2496</v>
      </c>
      <c r="B1795" s="76" t="s">
        <v>167</v>
      </c>
      <c r="C1795" s="76" t="s">
        <v>168</v>
      </c>
      <c r="D1795" s="76" t="s">
        <v>1111</v>
      </c>
      <c r="E1795" s="76" t="s">
        <v>1112</v>
      </c>
      <c r="F1795" s="35" t="s">
        <v>2497</v>
      </c>
      <c r="G1795" s="76" t="s">
        <v>1047</v>
      </c>
      <c r="H1795" s="76" t="n">
        <v>14</v>
      </c>
      <c r="I1795" s="76" t="s">
        <v>2498</v>
      </c>
      <c r="J1795" s="76" t="n">
        <v>14</v>
      </c>
      <c r="K1795" s="76" t="s">
        <v>2498</v>
      </c>
      <c r="L1795" s="77" t="s">
        <v>1114</v>
      </c>
    </row>
    <row r="1796" customFormat="false" ht="15" hidden="false" customHeight="false" outlineLevel="0" collapsed="false">
      <c r="A1796" s="76" t="s">
        <v>2496</v>
      </c>
      <c r="B1796" s="76" t="s">
        <v>167</v>
      </c>
      <c r="C1796" s="76" t="s">
        <v>168</v>
      </c>
      <c r="D1796" s="76" t="s">
        <v>1111</v>
      </c>
      <c r="E1796" s="76" t="s">
        <v>1112</v>
      </c>
      <c r="F1796" s="35" t="s">
        <v>2497</v>
      </c>
      <c r="G1796" s="76" t="s">
        <v>1049</v>
      </c>
      <c r="H1796" s="76" t="n">
        <v>3500</v>
      </c>
      <c r="I1796" s="76" t="s">
        <v>2499</v>
      </c>
      <c r="J1796" s="76" t="n">
        <v>3500</v>
      </c>
      <c r="K1796" s="76" t="s">
        <v>2499</v>
      </c>
      <c r="L1796" s="77" t="s">
        <v>1114</v>
      </c>
    </row>
    <row r="1797" customFormat="false" ht="15" hidden="false" customHeight="false" outlineLevel="0" collapsed="false">
      <c r="A1797" s="76" t="s">
        <v>2496</v>
      </c>
      <c r="B1797" s="76" t="s">
        <v>167</v>
      </c>
      <c r="C1797" s="76" t="s">
        <v>168</v>
      </c>
      <c r="D1797" s="76" t="s">
        <v>1111</v>
      </c>
      <c r="E1797" s="76" t="s">
        <v>1112</v>
      </c>
      <c r="F1797" s="35" t="s">
        <v>2497</v>
      </c>
      <c r="G1797" s="76" t="s">
        <v>1050</v>
      </c>
      <c r="H1797" s="76" t="n">
        <v>3000</v>
      </c>
      <c r="I1797" s="76" t="s">
        <v>2500</v>
      </c>
      <c r="J1797" s="76" t="n">
        <v>3000</v>
      </c>
      <c r="K1797" s="76" t="s">
        <v>2500</v>
      </c>
      <c r="L1797" s="77" t="s">
        <v>1114</v>
      </c>
    </row>
    <row r="1798" customFormat="false" ht="15" hidden="false" customHeight="false" outlineLevel="0" collapsed="false">
      <c r="A1798" s="76" t="s">
        <v>2496</v>
      </c>
      <c r="B1798" s="76" t="s">
        <v>167</v>
      </c>
      <c r="C1798" s="76" t="s">
        <v>168</v>
      </c>
      <c r="D1798" s="76" t="s">
        <v>1111</v>
      </c>
      <c r="E1798" s="76" t="s">
        <v>1112</v>
      </c>
      <c r="F1798" s="35" t="s">
        <v>2497</v>
      </c>
      <c r="G1798" s="76" t="s">
        <v>1051</v>
      </c>
      <c r="H1798" s="78" t="n">
        <v>6000</v>
      </c>
      <c r="I1798" s="76" t="s">
        <v>1187</v>
      </c>
      <c r="J1798" s="76" t="n">
        <v>6000</v>
      </c>
      <c r="K1798" s="76" t="s">
        <v>1187</v>
      </c>
      <c r="L1798" s="77" t="s">
        <v>1114</v>
      </c>
    </row>
    <row r="1799" customFormat="false" ht="15" hidden="false" customHeight="false" outlineLevel="0" collapsed="false">
      <c r="A1799" s="76" t="s">
        <v>2496</v>
      </c>
      <c r="B1799" s="76" t="s">
        <v>167</v>
      </c>
      <c r="C1799" s="76" t="s">
        <v>168</v>
      </c>
      <c r="D1799" s="76" t="s">
        <v>1111</v>
      </c>
      <c r="E1799" s="76" t="s">
        <v>1112</v>
      </c>
      <c r="F1799" s="35" t="s">
        <v>2497</v>
      </c>
      <c r="G1799" s="76" t="s">
        <v>434</v>
      </c>
      <c r="H1799" s="78" t="n">
        <v>1</v>
      </c>
      <c r="I1799" s="76" t="s">
        <v>1297</v>
      </c>
      <c r="J1799" s="76" t="n">
        <v>1</v>
      </c>
      <c r="K1799" s="76" t="s">
        <v>1297</v>
      </c>
      <c r="L1799" s="77" t="s">
        <v>1114</v>
      </c>
    </row>
    <row r="1800" customFormat="false" ht="15" hidden="false" customHeight="false" outlineLevel="0" collapsed="false">
      <c r="A1800" s="76" t="s">
        <v>2501</v>
      </c>
      <c r="B1800" s="76" t="s">
        <v>167</v>
      </c>
      <c r="C1800" s="76" t="s">
        <v>168</v>
      </c>
      <c r="D1800" s="76" t="s">
        <v>1124</v>
      </c>
      <c r="E1800" s="76" t="s">
        <v>1125</v>
      </c>
      <c r="F1800" s="35" t="s">
        <v>2502</v>
      </c>
      <c r="G1800" s="76" t="s">
        <v>419</v>
      </c>
      <c r="H1800" s="76"/>
      <c r="I1800" s="76" t="s">
        <v>168</v>
      </c>
      <c r="J1800" s="76"/>
      <c r="K1800" s="76" t="s">
        <v>168</v>
      </c>
      <c r="L1800" s="77" t="s">
        <v>1114</v>
      </c>
    </row>
    <row r="1801" customFormat="false" ht="15" hidden="false" customHeight="false" outlineLevel="0" collapsed="false">
      <c r="A1801" s="76" t="s">
        <v>2501</v>
      </c>
      <c r="B1801" s="76" t="s">
        <v>167</v>
      </c>
      <c r="C1801" s="76" t="s">
        <v>168</v>
      </c>
      <c r="D1801" s="76" t="s">
        <v>1124</v>
      </c>
      <c r="E1801" s="76" t="s">
        <v>1125</v>
      </c>
      <c r="F1801" s="35" t="s">
        <v>2502</v>
      </c>
      <c r="G1801" s="76" t="s">
        <v>168</v>
      </c>
      <c r="H1801" s="76" t="n">
        <v>-2500</v>
      </c>
      <c r="I1801" s="76" t="s">
        <v>2503</v>
      </c>
      <c r="J1801" s="76" t="n">
        <v>-2500</v>
      </c>
      <c r="K1801" s="76" t="s">
        <v>2503</v>
      </c>
      <c r="L1801" s="77" t="s">
        <v>1114</v>
      </c>
    </row>
    <row r="1802" customFormat="false" ht="15" hidden="false" customHeight="false" outlineLevel="0" collapsed="false">
      <c r="A1802" s="76" t="s">
        <v>2501</v>
      </c>
      <c r="B1802" s="76" t="s">
        <v>167</v>
      </c>
      <c r="C1802" s="76" t="s">
        <v>168</v>
      </c>
      <c r="D1802" s="76" t="s">
        <v>1124</v>
      </c>
      <c r="E1802" s="76" t="s">
        <v>1125</v>
      </c>
      <c r="F1802" s="35" t="s">
        <v>2502</v>
      </c>
      <c r="G1802" s="76" t="s">
        <v>1047</v>
      </c>
      <c r="H1802" s="76"/>
      <c r="I1802" s="76"/>
      <c r="J1802" s="76"/>
      <c r="K1802" s="76"/>
      <c r="L1802" s="77" t="s">
        <v>1114</v>
      </c>
    </row>
    <row r="1803" customFormat="false" ht="15" hidden="false" customHeight="false" outlineLevel="0" collapsed="false">
      <c r="A1803" s="76" t="s">
        <v>2501</v>
      </c>
      <c r="B1803" s="76" t="s">
        <v>167</v>
      </c>
      <c r="C1803" s="76" t="s">
        <v>168</v>
      </c>
      <c r="D1803" s="76" t="s">
        <v>1124</v>
      </c>
      <c r="E1803" s="76" t="s">
        <v>1125</v>
      </c>
      <c r="F1803" s="35" t="s">
        <v>2502</v>
      </c>
      <c r="G1803" s="76" t="s">
        <v>1049</v>
      </c>
      <c r="H1803" s="76" t="n">
        <v>500</v>
      </c>
      <c r="I1803" s="76" t="s">
        <v>1612</v>
      </c>
      <c r="J1803" s="76" t="n">
        <v>500</v>
      </c>
      <c r="K1803" s="76" t="s">
        <v>1612</v>
      </c>
      <c r="L1803" s="77" t="s">
        <v>1114</v>
      </c>
    </row>
    <row r="1804" customFormat="false" ht="15" hidden="false" customHeight="false" outlineLevel="0" collapsed="false">
      <c r="A1804" s="76" t="s">
        <v>2501</v>
      </c>
      <c r="B1804" s="76" t="s">
        <v>167</v>
      </c>
      <c r="C1804" s="76" t="s">
        <v>168</v>
      </c>
      <c r="D1804" s="76" t="s">
        <v>1124</v>
      </c>
      <c r="E1804" s="76" t="s">
        <v>1125</v>
      </c>
      <c r="F1804" s="35" t="s">
        <v>2502</v>
      </c>
      <c r="G1804" s="76" t="s">
        <v>1050</v>
      </c>
      <c r="H1804" s="76" t="n">
        <v>3000</v>
      </c>
      <c r="I1804" s="76" t="s">
        <v>2500</v>
      </c>
      <c r="J1804" s="76" t="n">
        <v>3000</v>
      </c>
      <c r="K1804" s="76" t="s">
        <v>2500</v>
      </c>
      <c r="L1804" s="77" t="s">
        <v>1114</v>
      </c>
    </row>
    <row r="1805" customFormat="false" ht="15" hidden="false" customHeight="false" outlineLevel="0" collapsed="false">
      <c r="A1805" s="76" t="s">
        <v>2501</v>
      </c>
      <c r="B1805" s="76" t="s">
        <v>167</v>
      </c>
      <c r="C1805" s="76" t="s">
        <v>168</v>
      </c>
      <c r="D1805" s="76" t="s">
        <v>1124</v>
      </c>
      <c r="E1805" s="76" t="s">
        <v>1125</v>
      </c>
      <c r="F1805" s="35" t="s">
        <v>2502</v>
      </c>
      <c r="G1805" s="76" t="s">
        <v>1051</v>
      </c>
      <c r="H1805" s="76"/>
      <c r="I1805" s="76"/>
      <c r="J1805" s="76"/>
      <c r="K1805" s="76"/>
      <c r="L1805" s="77" t="s">
        <v>1114</v>
      </c>
    </row>
    <row r="1806" customFormat="false" ht="15" hidden="false" customHeight="false" outlineLevel="0" collapsed="false">
      <c r="A1806" s="76" t="s">
        <v>2501</v>
      </c>
      <c r="B1806" s="76" t="s">
        <v>167</v>
      </c>
      <c r="C1806" s="76" t="s">
        <v>168</v>
      </c>
      <c r="D1806" s="76" t="s">
        <v>1124</v>
      </c>
      <c r="E1806" s="76" t="s">
        <v>1125</v>
      </c>
      <c r="F1806" s="35" t="s">
        <v>2502</v>
      </c>
      <c r="G1806" s="76" t="s">
        <v>434</v>
      </c>
      <c r="H1806" s="76"/>
      <c r="I1806" s="76"/>
      <c r="J1806" s="76"/>
      <c r="K1806" s="76"/>
      <c r="L1806" s="77" t="s">
        <v>1114</v>
      </c>
    </row>
    <row r="1807" customFormat="false" ht="15" hidden="false" customHeight="false" outlineLevel="0" collapsed="false">
      <c r="A1807" s="76" t="s">
        <v>2504</v>
      </c>
      <c r="B1807" s="76" t="s">
        <v>167</v>
      </c>
      <c r="C1807" s="76" t="s">
        <v>168</v>
      </c>
      <c r="D1807" s="76" t="s">
        <v>1132</v>
      </c>
      <c r="E1807" s="76" t="s">
        <v>1133</v>
      </c>
      <c r="F1807" s="35" t="s">
        <v>2505</v>
      </c>
      <c r="G1807" s="76" t="s">
        <v>419</v>
      </c>
      <c r="H1807" s="76"/>
      <c r="I1807" s="76" t="s">
        <v>168</v>
      </c>
      <c r="J1807" s="76"/>
      <c r="K1807" s="76" t="s">
        <v>168</v>
      </c>
      <c r="L1807" s="77" t="s">
        <v>1114</v>
      </c>
    </row>
    <row r="1808" customFormat="false" ht="15" hidden="false" customHeight="false" outlineLevel="0" collapsed="false">
      <c r="A1808" s="76" t="s">
        <v>2504</v>
      </c>
      <c r="B1808" s="76" t="s">
        <v>167</v>
      </c>
      <c r="C1808" s="76" t="s">
        <v>168</v>
      </c>
      <c r="D1808" s="76" t="s">
        <v>1132</v>
      </c>
      <c r="E1808" s="76" t="s">
        <v>1133</v>
      </c>
      <c r="F1808" s="35" t="s">
        <v>2505</v>
      </c>
      <c r="G1808" s="76" t="s">
        <v>168</v>
      </c>
      <c r="H1808" s="76" t="n">
        <v>20000</v>
      </c>
      <c r="I1808" s="76" t="s">
        <v>1166</v>
      </c>
      <c r="J1808" s="76" t="n">
        <v>20000</v>
      </c>
      <c r="K1808" s="76" t="s">
        <v>1166</v>
      </c>
      <c r="L1808" s="77" t="s">
        <v>1114</v>
      </c>
    </row>
    <row r="1809" customFormat="false" ht="15" hidden="false" customHeight="false" outlineLevel="0" collapsed="false">
      <c r="A1809" s="76" t="s">
        <v>2504</v>
      </c>
      <c r="B1809" s="76" t="s">
        <v>167</v>
      </c>
      <c r="C1809" s="76" t="s">
        <v>168</v>
      </c>
      <c r="D1809" s="76" t="s">
        <v>1132</v>
      </c>
      <c r="E1809" s="76" t="s">
        <v>1133</v>
      </c>
      <c r="F1809" s="35" t="s">
        <v>2505</v>
      </c>
      <c r="G1809" s="76" t="s">
        <v>1047</v>
      </c>
      <c r="H1809" s="76" t="n">
        <v>100</v>
      </c>
      <c r="I1809" s="76" t="s">
        <v>2506</v>
      </c>
      <c r="J1809" s="76" t="n">
        <v>100</v>
      </c>
      <c r="K1809" s="76" t="s">
        <v>2506</v>
      </c>
      <c r="L1809" s="77" t="s">
        <v>1114</v>
      </c>
    </row>
    <row r="1810" customFormat="false" ht="15" hidden="false" customHeight="false" outlineLevel="0" collapsed="false">
      <c r="A1810" s="76" t="s">
        <v>2504</v>
      </c>
      <c r="B1810" s="76" t="s">
        <v>167</v>
      </c>
      <c r="C1810" s="76" t="s">
        <v>168</v>
      </c>
      <c r="D1810" s="76" t="s">
        <v>1132</v>
      </c>
      <c r="E1810" s="76" t="s">
        <v>1133</v>
      </c>
      <c r="F1810" s="35" t="s">
        <v>2505</v>
      </c>
      <c r="G1810" s="76" t="s">
        <v>1049</v>
      </c>
      <c r="H1810" s="76" t="n">
        <v>20000</v>
      </c>
      <c r="I1810" s="76" t="s">
        <v>1166</v>
      </c>
      <c r="J1810" s="76" t="n">
        <v>20000</v>
      </c>
      <c r="K1810" s="76" t="s">
        <v>1166</v>
      </c>
      <c r="L1810" s="77" t="s">
        <v>1114</v>
      </c>
    </row>
    <row r="1811" customFormat="false" ht="15" hidden="false" customHeight="false" outlineLevel="0" collapsed="false">
      <c r="A1811" s="76" t="s">
        <v>2504</v>
      </c>
      <c r="B1811" s="76" t="s">
        <v>167</v>
      </c>
      <c r="C1811" s="76" t="s">
        <v>168</v>
      </c>
      <c r="D1811" s="76" t="s">
        <v>1132</v>
      </c>
      <c r="E1811" s="76" t="s">
        <v>1133</v>
      </c>
      <c r="F1811" s="35" t="s">
        <v>2505</v>
      </c>
      <c r="G1811" s="76" t="s">
        <v>1050</v>
      </c>
      <c r="H1811" s="76" t="n">
        <v>0</v>
      </c>
      <c r="I1811" s="76" t="s">
        <v>1127</v>
      </c>
      <c r="J1811" s="76" t="n">
        <v>0</v>
      </c>
      <c r="K1811" s="76" t="s">
        <v>1127</v>
      </c>
      <c r="L1811" s="77" t="s">
        <v>1114</v>
      </c>
    </row>
    <row r="1812" customFormat="false" ht="15" hidden="false" customHeight="false" outlineLevel="0" collapsed="false">
      <c r="A1812" s="76" t="s">
        <v>2504</v>
      </c>
      <c r="B1812" s="76" t="s">
        <v>167</v>
      </c>
      <c r="C1812" s="76" t="s">
        <v>168</v>
      </c>
      <c r="D1812" s="76" t="s">
        <v>1132</v>
      </c>
      <c r="E1812" s="76" t="s">
        <v>1133</v>
      </c>
      <c r="F1812" s="35" t="s">
        <v>2505</v>
      </c>
      <c r="G1812" s="76" t="s">
        <v>1051</v>
      </c>
      <c r="H1812" s="78" t="n">
        <v>240000</v>
      </c>
      <c r="I1812" s="76" t="s">
        <v>2507</v>
      </c>
      <c r="J1812" s="76" t="n">
        <v>240000</v>
      </c>
      <c r="K1812" s="76" t="s">
        <v>2507</v>
      </c>
      <c r="L1812" s="77" t="s">
        <v>1114</v>
      </c>
    </row>
    <row r="1813" customFormat="false" ht="15" hidden="false" customHeight="false" outlineLevel="0" collapsed="false">
      <c r="A1813" s="76" t="s">
        <v>2504</v>
      </c>
      <c r="B1813" s="76" t="s">
        <v>167</v>
      </c>
      <c r="C1813" s="76" t="s">
        <v>168</v>
      </c>
      <c r="D1813" s="76" t="s">
        <v>1132</v>
      </c>
      <c r="E1813" s="76" t="s">
        <v>1133</v>
      </c>
      <c r="F1813" s="35" t="s">
        <v>2505</v>
      </c>
      <c r="G1813" s="76" t="s">
        <v>434</v>
      </c>
      <c r="H1813" s="78" t="n">
        <v>1</v>
      </c>
      <c r="I1813" s="76" t="s">
        <v>1297</v>
      </c>
      <c r="J1813" s="76" t="n">
        <v>1</v>
      </c>
      <c r="K1813" s="76" t="s">
        <v>1297</v>
      </c>
      <c r="L1813" s="77" t="s">
        <v>1114</v>
      </c>
    </row>
    <row r="1814" customFormat="false" ht="15" hidden="false" customHeight="false" outlineLevel="0" collapsed="false">
      <c r="A1814" s="76" t="s">
        <v>2508</v>
      </c>
      <c r="B1814" s="76" t="s">
        <v>167</v>
      </c>
      <c r="C1814" s="76" t="s">
        <v>168</v>
      </c>
      <c r="D1814" s="76" t="s">
        <v>1141</v>
      </c>
      <c r="E1814" s="76" t="s">
        <v>1142</v>
      </c>
      <c r="F1814" s="35" t="s">
        <v>2509</v>
      </c>
      <c r="G1814" s="76" t="s">
        <v>419</v>
      </c>
      <c r="H1814" s="76"/>
      <c r="I1814" s="76" t="s">
        <v>168</v>
      </c>
      <c r="J1814" s="76"/>
      <c r="K1814" s="76" t="s">
        <v>168</v>
      </c>
      <c r="L1814" s="77" t="s">
        <v>1114</v>
      </c>
    </row>
    <row r="1815" customFormat="false" ht="15" hidden="false" customHeight="false" outlineLevel="0" collapsed="false">
      <c r="A1815" s="76" t="s">
        <v>2508</v>
      </c>
      <c r="B1815" s="76" t="s">
        <v>167</v>
      </c>
      <c r="C1815" s="76" t="s">
        <v>168</v>
      </c>
      <c r="D1815" s="76" t="s">
        <v>1141</v>
      </c>
      <c r="E1815" s="76" t="s">
        <v>1142</v>
      </c>
      <c r="F1815" s="35" t="s">
        <v>2509</v>
      </c>
      <c r="G1815" s="76" t="s">
        <v>168</v>
      </c>
      <c r="H1815" s="76" t="n">
        <v>-10950</v>
      </c>
      <c r="I1815" s="76" t="s">
        <v>2510</v>
      </c>
      <c r="J1815" s="76" t="n">
        <v>-10950</v>
      </c>
      <c r="K1815" s="76" t="s">
        <v>2510</v>
      </c>
      <c r="L1815" s="77" t="s">
        <v>1114</v>
      </c>
    </row>
    <row r="1816" customFormat="false" ht="15" hidden="false" customHeight="false" outlineLevel="0" collapsed="false">
      <c r="A1816" s="76" t="s">
        <v>2508</v>
      </c>
      <c r="B1816" s="76" t="s">
        <v>167</v>
      </c>
      <c r="C1816" s="76" t="s">
        <v>168</v>
      </c>
      <c r="D1816" s="76" t="s">
        <v>1141</v>
      </c>
      <c r="E1816" s="76" t="s">
        <v>1142</v>
      </c>
      <c r="F1816" s="35" t="s">
        <v>2509</v>
      </c>
      <c r="G1816" s="76" t="s">
        <v>1047</v>
      </c>
      <c r="H1816" s="76"/>
      <c r="I1816" s="76"/>
      <c r="J1816" s="76"/>
      <c r="K1816" s="76"/>
      <c r="L1816" s="77" t="s">
        <v>1114</v>
      </c>
    </row>
    <row r="1817" customFormat="false" ht="15" hidden="false" customHeight="false" outlineLevel="0" collapsed="false">
      <c r="A1817" s="76" t="s">
        <v>2508</v>
      </c>
      <c r="B1817" s="76" t="s">
        <v>167</v>
      </c>
      <c r="C1817" s="76" t="s">
        <v>168</v>
      </c>
      <c r="D1817" s="76" t="s">
        <v>1141</v>
      </c>
      <c r="E1817" s="76" t="s">
        <v>1142</v>
      </c>
      <c r="F1817" s="35" t="s">
        <v>2509</v>
      </c>
      <c r="G1817" s="76" t="s">
        <v>1049</v>
      </c>
      <c r="H1817" s="76" t="n">
        <v>9000</v>
      </c>
      <c r="I1817" s="76" t="s">
        <v>2511</v>
      </c>
      <c r="J1817" s="76" t="n">
        <v>9000</v>
      </c>
      <c r="K1817" s="76" t="s">
        <v>2511</v>
      </c>
      <c r="L1817" s="77" t="s">
        <v>1114</v>
      </c>
    </row>
    <row r="1818" customFormat="false" ht="15" hidden="false" customHeight="false" outlineLevel="0" collapsed="false">
      <c r="A1818" s="76" t="s">
        <v>2508</v>
      </c>
      <c r="B1818" s="76" t="s">
        <v>167</v>
      </c>
      <c r="C1818" s="76" t="s">
        <v>168</v>
      </c>
      <c r="D1818" s="76" t="s">
        <v>1141</v>
      </c>
      <c r="E1818" s="76" t="s">
        <v>1142</v>
      </c>
      <c r="F1818" s="35" t="s">
        <v>2509</v>
      </c>
      <c r="G1818" s="76" t="s">
        <v>1050</v>
      </c>
      <c r="H1818" s="76" t="n">
        <v>19950</v>
      </c>
      <c r="I1818" s="76" t="s">
        <v>2512</v>
      </c>
      <c r="J1818" s="76" t="n">
        <v>19950</v>
      </c>
      <c r="K1818" s="76" t="s">
        <v>2512</v>
      </c>
      <c r="L1818" s="77" t="s">
        <v>1114</v>
      </c>
    </row>
    <row r="1819" customFormat="false" ht="15" hidden="false" customHeight="false" outlineLevel="0" collapsed="false">
      <c r="A1819" s="76" t="s">
        <v>2508</v>
      </c>
      <c r="B1819" s="76" t="s">
        <v>167</v>
      </c>
      <c r="C1819" s="76" t="s">
        <v>168</v>
      </c>
      <c r="D1819" s="76" t="s">
        <v>1141</v>
      </c>
      <c r="E1819" s="76" t="s">
        <v>1142</v>
      </c>
      <c r="F1819" s="35" t="s">
        <v>2509</v>
      </c>
      <c r="G1819" s="76" t="s">
        <v>1051</v>
      </c>
      <c r="H1819" s="76"/>
      <c r="I1819" s="76"/>
      <c r="J1819" s="76"/>
      <c r="K1819" s="76"/>
      <c r="L1819" s="77" t="s">
        <v>1114</v>
      </c>
    </row>
    <row r="1820" customFormat="false" ht="15" hidden="false" customHeight="false" outlineLevel="0" collapsed="false">
      <c r="A1820" s="76" t="s">
        <v>2508</v>
      </c>
      <c r="B1820" s="76" t="s">
        <v>167</v>
      </c>
      <c r="C1820" s="76" t="s">
        <v>168</v>
      </c>
      <c r="D1820" s="76" t="s">
        <v>1141</v>
      </c>
      <c r="E1820" s="76" t="s">
        <v>1142</v>
      </c>
      <c r="F1820" s="35" t="s">
        <v>2509</v>
      </c>
      <c r="G1820" s="76" t="s">
        <v>434</v>
      </c>
      <c r="H1820" s="76"/>
      <c r="I1820" s="76"/>
      <c r="J1820" s="76"/>
      <c r="K1820" s="76"/>
      <c r="L1820" s="77" t="s">
        <v>1114</v>
      </c>
    </row>
    <row r="1821" customFormat="false" ht="15" hidden="false" customHeight="false" outlineLevel="0" collapsed="false">
      <c r="A1821" s="76" t="s">
        <v>2513</v>
      </c>
      <c r="B1821" s="76" t="s">
        <v>167</v>
      </c>
      <c r="C1821" s="76" t="s">
        <v>168</v>
      </c>
      <c r="D1821" s="76" t="s">
        <v>1151</v>
      </c>
      <c r="E1821" s="76" t="s">
        <v>1152</v>
      </c>
      <c r="F1821" s="35" t="s">
        <v>2514</v>
      </c>
      <c r="G1821" s="76" t="s">
        <v>419</v>
      </c>
      <c r="H1821" s="76"/>
      <c r="I1821" s="76" t="s">
        <v>168</v>
      </c>
      <c r="J1821" s="76"/>
      <c r="K1821" s="76" t="s">
        <v>168</v>
      </c>
      <c r="L1821" s="77" t="s">
        <v>1114</v>
      </c>
    </row>
    <row r="1822" customFormat="false" ht="15" hidden="false" customHeight="false" outlineLevel="0" collapsed="false">
      <c r="A1822" s="76" t="s">
        <v>2513</v>
      </c>
      <c r="B1822" s="76" t="s">
        <v>167</v>
      </c>
      <c r="C1822" s="76" t="s">
        <v>168</v>
      </c>
      <c r="D1822" s="76" t="s">
        <v>1151</v>
      </c>
      <c r="E1822" s="76" t="s">
        <v>1152</v>
      </c>
      <c r="F1822" s="35" t="s">
        <v>2514</v>
      </c>
      <c r="G1822" s="76" t="s">
        <v>168</v>
      </c>
      <c r="H1822" s="76" t="n">
        <v>0</v>
      </c>
      <c r="I1822" s="76" t="s">
        <v>1127</v>
      </c>
      <c r="J1822" s="76" t="n">
        <v>0</v>
      </c>
      <c r="K1822" s="76" t="s">
        <v>1127</v>
      </c>
      <c r="L1822" s="77" t="s">
        <v>1114</v>
      </c>
    </row>
    <row r="1823" customFormat="false" ht="15" hidden="false" customHeight="false" outlineLevel="0" collapsed="false">
      <c r="A1823" s="76" t="s">
        <v>2513</v>
      </c>
      <c r="B1823" s="76" t="s">
        <v>167</v>
      </c>
      <c r="C1823" s="76" t="s">
        <v>168</v>
      </c>
      <c r="D1823" s="76" t="s">
        <v>1151</v>
      </c>
      <c r="E1823" s="76" t="s">
        <v>1152</v>
      </c>
      <c r="F1823" s="35" t="s">
        <v>2514</v>
      </c>
      <c r="G1823" s="76" t="s">
        <v>1047</v>
      </c>
      <c r="H1823" s="76"/>
      <c r="I1823" s="76"/>
      <c r="J1823" s="76"/>
      <c r="K1823" s="76"/>
      <c r="L1823" s="77" t="s">
        <v>1114</v>
      </c>
    </row>
    <row r="1824" customFormat="false" ht="15" hidden="false" customHeight="false" outlineLevel="0" collapsed="false">
      <c r="A1824" s="76" t="s">
        <v>2513</v>
      </c>
      <c r="B1824" s="76" t="s">
        <v>167</v>
      </c>
      <c r="C1824" s="76" t="s">
        <v>168</v>
      </c>
      <c r="D1824" s="76" t="s">
        <v>1151</v>
      </c>
      <c r="E1824" s="76" t="s">
        <v>1152</v>
      </c>
      <c r="F1824" s="35" t="s">
        <v>2514</v>
      </c>
      <c r="G1824" s="76" t="s">
        <v>1049</v>
      </c>
      <c r="H1824" s="76" t="n">
        <v>3000</v>
      </c>
      <c r="I1824" s="76" t="s">
        <v>2500</v>
      </c>
      <c r="J1824" s="76" t="n">
        <v>3000</v>
      </c>
      <c r="K1824" s="76" t="s">
        <v>2500</v>
      </c>
      <c r="L1824" s="77" t="s">
        <v>1114</v>
      </c>
    </row>
    <row r="1825" customFormat="false" ht="15" hidden="false" customHeight="false" outlineLevel="0" collapsed="false">
      <c r="A1825" s="76" t="s">
        <v>2513</v>
      </c>
      <c r="B1825" s="76" t="s">
        <v>167</v>
      </c>
      <c r="C1825" s="76" t="s">
        <v>168</v>
      </c>
      <c r="D1825" s="76" t="s">
        <v>1151</v>
      </c>
      <c r="E1825" s="76" t="s">
        <v>1152</v>
      </c>
      <c r="F1825" s="35" t="s">
        <v>2514</v>
      </c>
      <c r="G1825" s="76" t="s">
        <v>1050</v>
      </c>
      <c r="H1825" s="76" t="n">
        <v>3000</v>
      </c>
      <c r="I1825" s="76" t="s">
        <v>2500</v>
      </c>
      <c r="J1825" s="76" t="n">
        <v>3000</v>
      </c>
      <c r="K1825" s="76" t="s">
        <v>2500</v>
      </c>
      <c r="L1825" s="77" t="s">
        <v>1114</v>
      </c>
    </row>
    <row r="1826" customFormat="false" ht="15" hidden="false" customHeight="false" outlineLevel="0" collapsed="false">
      <c r="A1826" s="76" t="s">
        <v>2513</v>
      </c>
      <c r="B1826" s="76" t="s">
        <v>167</v>
      </c>
      <c r="C1826" s="76" t="s">
        <v>168</v>
      </c>
      <c r="D1826" s="76" t="s">
        <v>1151</v>
      </c>
      <c r="E1826" s="76" t="s">
        <v>1152</v>
      </c>
      <c r="F1826" s="35" t="s">
        <v>2514</v>
      </c>
      <c r="G1826" s="76" t="s">
        <v>1051</v>
      </c>
      <c r="H1826" s="76"/>
      <c r="I1826" s="76"/>
      <c r="J1826" s="76"/>
      <c r="K1826" s="76"/>
      <c r="L1826" s="77" t="s">
        <v>1114</v>
      </c>
    </row>
    <row r="1827" customFormat="false" ht="15" hidden="false" customHeight="false" outlineLevel="0" collapsed="false">
      <c r="A1827" s="76" t="s">
        <v>2513</v>
      </c>
      <c r="B1827" s="76" t="s">
        <v>167</v>
      </c>
      <c r="C1827" s="76" t="s">
        <v>168</v>
      </c>
      <c r="D1827" s="76" t="s">
        <v>1151</v>
      </c>
      <c r="E1827" s="76" t="s">
        <v>1152</v>
      </c>
      <c r="F1827" s="35" t="s">
        <v>2514</v>
      </c>
      <c r="G1827" s="76" t="s">
        <v>434</v>
      </c>
      <c r="H1827" s="76"/>
      <c r="I1827" s="76"/>
      <c r="J1827" s="76"/>
      <c r="K1827" s="76"/>
      <c r="L1827" s="77" t="s">
        <v>1114</v>
      </c>
    </row>
    <row r="1828" customFormat="false" ht="15" hidden="false" customHeight="false" outlineLevel="0" collapsed="false">
      <c r="A1828" s="76" t="s">
        <v>2515</v>
      </c>
      <c r="B1828" s="76" t="s">
        <v>167</v>
      </c>
      <c r="C1828" s="76" t="s">
        <v>168</v>
      </c>
      <c r="D1828" s="76" t="s">
        <v>1180</v>
      </c>
      <c r="E1828" s="76" t="s">
        <v>1152</v>
      </c>
      <c r="F1828" s="35" t="s">
        <v>2516</v>
      </c>
      <c r="G1828" s="76" t="s">
        <v>419</v>
      </c>
      <c r="H1828" s="76"/>
      <c r="I1828" s="76" t="s">
        <v>168</v>
      </c>
      <c r="J1828" s="76"/>
      <c r="K1828" s="76" t="s">
        <v>168</v>
      </c>
      <c r="L1828" s="77" t="s">
        <v>1114</v>
      </c>
    </row>
    <row r="1829" customFormat="false" ht="15" hidden="false" customHeight="false" outlineLevel="0" collapsed="false">
      <c r="A1829" s="76" t="s">
        <v>2515</v>
      </c>
      <c r="B1829" s="76" t="s">
        <v>167</v>
      </c>
      <c r="C1829" s="76" t="s">
        <v>168</v>
      </c>
      <c r="D1829" s="76" t="s">
        <v>1180</v>
      </c>
      <c r="E1829" s="76" t="s">
        <v>1152</v>
      </c>
      <c r="F1829" s="35" t="s">
        <v>2516</v>
      </c>
      <c r="G1829" s="76" t="s">
        <v>168</v>
      </c>
      <c r="H1829" s="76" t="n">
        <v>-2875</v>
      </c>
      <c r="I1829" s="76" t="s">
        <v>2517</v>
      </c>
      <c r="J1829" s="76" t="n">
        <v>-2875</v>
      </c>
      <c r="K1829" s="76" t="s">
        <v>2517</v>
      </c>
      <c r="L1829" s="77" t="s">
        <v>1114</v>
      </c>
    </row>
    <row r="1830" customFormat="false" ht="15" hidden="false" customHeight="false" outlineLevel="0" collapsed="false">
      <c r="A1830" s="76" t="s">
        <v>2515</v>
      </c>
      <c r="B1830" s="76" t="s">
        <v>167</v>
      </c>
      <c r="C1830" s="76" t="s">
        <v>168</v>
      </c>
      <c r="D1830" s="76" t="s">
        <v>1180</v>
      </c>
      <c r="E1830" s="76" t="s">
        <v>1152</v>
      </c>
      <c r="F1830" s="35" t="s">
        <v>2516</v>
      </c>
      <c r="G1830" s="76" t="s">
        <v>1047</v>
      </c>
      <c r="H1830" s="76"/>
      <c r="I1830" s="76"/>
      <c r="J1830" s="76"/>
      <c r="K1830" s="76"/>
      <c r="L1830" s="77" t="s">
        <v>1114</v>
      </c>
    </row>
    <row r="1831" customFormat="false" ht="15" hidden="false" customHeight="false" outlineLevel="0" collapsed="false">
      <c r="A1831" s="76" t="s">
        <v>2515</v>
      </c>
      <c r="B1831" s="76" t="s">
        <v>167</v>
      </c>
      <c r="C1831" s="76" t="s">
        <v>168</v>
      </c>
      <c r="D1831" s="76" t="s">
        <v>1180</v>
      </c>
      <c r="E1831" s="76" t="s">
        <v>1152</v>
      </c>
      <c r="F1831" s="35" t="s">
        <v>2516</v>
      </c>
      <c r="G1831" s="76" t="s">
        <v>1049</v>
      </c>
      <c r="H1831" s="76" t="n">
        <v>18550</v>
      </c>
      <c r="I1831" s="76" t="s">
        <v>2518</v>
      </c>
      <c r="J1831" s="76" t="n">
        <v>18550</v>
      </c>
      <c r="K1831" s="76" t="s">
        <v>2518</v>
      </c>
      <c r="L1831" s="77" t="s">
        <v>1114</v>
      </c>
    </row>
    <row r="1832" customFormat="false" ht="15" hidden="false" customHeight="false" outlineLevel="0" collapsed="false">
      <c r="A1832" s="76" t="s">
        <v>2515</v>
      </c>
      <c r="B1832" s="76" t="s">
        <v>167</v>
      </c>
      <c r="C1832" s="76" t="s">
        <v>168</v>
      </c>
      <c r="D1832" s="76" t="s">
        <v>1180</v>
      </c>
      <c r="E1832" s="76" t="s">
        <v>1152</v>
      </c>
      <c r="F1832" s="35" t="s">
        <v>2516</v>
      </c>
      <c r="G1832" s="76" t="s">
        <v>1050</v>
      </c>
      <c r="H1832" s="76" t="n">
        <v>21425</v>
      </c>
      <c r="I1832" s="76" t="s">
        <v>2519</v>
      </c>
      <c r="J1832" s="76" t="n">
        <v>21425</v>
      </c>
      <c r="K1832" s="76" t="s">
        <v>2519</v>
      </c>
      <c r="L1832" s="77" t="s">
        <v>1114</v>
      </c>
    </row>
    <row r="1833" customFormat="false" ht="15" hidden="false" customHeight="false" outlineLevel="0" collapsed="false">
      <c r="A1833" s="76" t="s">
        <v>2515</v>
      </c>
      <c r="B1833" s="76" t="s">
        <v>167</v>
      </c>
      <c r="C1833" s="76" t="s">
        <v>168</v>
      </c>
      <c r="D1833" s="76" t="s">
        <v>1180</v>
      </c>
      <c r="E1833" s="76" t="s">
        <v>1152</v>
      </c>
      <c r="F1833" s="35" t="s">
        <v>2516</v>
      </c>
      <c r="G1833" s="76" t="s">
        <v>1051</v>
      </c>
      <c r="H1833" s="76"/>
      <c r="I1833" s="76"/>
      <c r="J1833" s="76"/>
      <c r="K1833" s="76"/>
      <c r="L1833" s="77" t="s">
        <v>1114</v>
      </c>
    </row>
    <row r="1834" customFormat="false" ht="15" hidden="false" customHeight="false" outlineLevel="0" collapsed="false">
      <c r="A1834" s="76" t="s">
        <v>2515</v>
      </c>
      <c r="B1834" s="76" t="s">
        <v>167</v>
      </c>
      <c r="C1834" s="76" t="s">
        <v>168</v>
      </c>
      <c r="D1834" s="76" t="s">
        <v>1180</v>
      </c>
      <c r="E1834" s="76" t="s">
        <v>1152</v>
      </c>
      <c r="F1834" s="35" t="s">
        <v>2516</v>
      </c>
      <c r="G1834" s="76" t="s">
        <v>434</v>
      </c>
      <c r="H1834" s="76"/>
      <c r="I1834" s="76"/>
      <c r="J1834" s="76"/>
      <c r="K1834" s="76"/>
      <c r="L1834" s="77" t="s">
        <v>1114</v>
      </c>
    </row>
    <row r="1835" customFormat="false" ht="15" hidden="false" customHeight="false" outlineLevel="0" collapsed="false">
      <c r="A1835" s="76" t="s">
        <v>2520</v>
      </c>
      <c r="B1835" s="76" t="s">
        <v>167</v>
      </c>
      <c r="C1835" s="76" t="s">
        <v>168</v>
      </c>
      <c r="D1835" s="76" t="s">
        <v>1189</v>
      </c>
      <c r="E1835" s="76" t="s">
        <v>1125</v>
      </c>
      <c r="F1835" s="35" t="s">
        <v>2521</v>
      </c>
      <c r="G1835" s="76" t="s">
        <v>419</v>
      </c>
      <c r="H1835" s="76"/>
      <c r="I1835" s="76" t="s">
        <v>168</v>
      </c>
      <c r="J1835" s="76"/>
      <c r="K1835" s="76" t="s">
        <v>168</v>
      </c>
      <c r="L1835" s="77" t="s">
        <v>1114</v>
      </c>
    </row>
    <row r="1836" customFormat="false" ht="15" hidden="false" customHeight="false" outlineLevel="0" collapsed="false">
      <c r="A1836" s="76" t="s">
        <v>2520</v>
      </c>
      <c r="B1836" s="76" t="s">
        <v>167</v>
      </c>
      <c r="C1836" s="76" t="s">
        <v>168</v>
      </c>
      <c r="D1836" s="76" t="s">
        <v>1189</v>
      </c>
      <c r="E1836" s="76" t="s">
        <v>1125</v>
      </c>
      <c r="F1836" s="35" t="s">
        <v>2521</v>
      </c>
      <c r="G1836" s="76" t="s">
        <v>168</v>
      </c>
      <c r="H1836" s="76" t="n">
        <v>4375</v>
      </c>
      <c r="I1836" s="76" t="s">
        <v>2522</v>
      </c>
      <c r="J1836" s="76" t="n">
        <v>4375</v>
      </c>
      <c r="K1836" s="76" t="s">
        <v>2522</v>
      </c>
      <c r="L1836" s="77" t="s">
        <v>1114</v>
      </c>
    </row>
    <row r="1837" customFormat="false" ht="15" hidden="false" customHeight="false" outlineLevel="0" collapsed="false">
      <c r="A1837" s="76" t="s">
        <v>2520</v>
      </c>
      <c r="B1837" s="76" t="s">
        <v>167</v>
      </c>
      <c r="C1837" s="76" t="s">
        <v>168</v>
      </c>
      <c r="D1837" s="76" t="s">
        <v>1189</v>
      </c>
      <c r="E1837" s="76" t="s">
        <v>1125</v>
      </c>
      <c r="F1837" s="35" t="s">
        <v>2521</v>
      </c>
      <c r="G1837" s="76" t="s">
        <v>1047</v>
      </c>
      <c r="H1837" s="76" t="n">
        <v>36</v>
      </c>
      <c r="I1837" s="76" t="s">
        <v>2523</v>
      </c>
      <c r="J1837" s="76" t="n">
        <v>36</v>
      </c>
      <c r="K1837" s="76" t="s">
        <v>2523</v>
      </c>
      <c r="L1837" s="77" t="s">
        <v>1114</v>
      </c>
    </row>
    <row r="1838" customFormat="false" ht="15" hidden="false" customHeight="false" outlineLevel="0" collapsed="false">
      <c r="A1838" s="76" t="s">
        <v>2520</v>
      </c>
      <c r="B1838" s="76" t="s">
        <v>167</v>
      </c>
      <c r="C1838" s="76" t="s">
        <v>168</v>
      </c>
      <c r="D1838" s="76" t="s">
        <v>1189</v>
      </c>
      <c r="E1838" s="76" t="s">
        <v>1125</v>
      </c>
      <c r="F1838" s="35" t="s">
        <v>2521</v>
      </c>
      <c r="G1838" s="76" t="s">
        <v>1049</v>
      </c>
      <c r="H1838" s="76" t="n">
        <v>12050</v>
      </c>
      <c r="I1838" s="76" t="s">
        <v>2524</v>
      </c>
      <c r="J1838" s="76" t="n">
        <v>12050</v>
      </c>
      <c r="K1838" s="76" t="s">
        <v>2524</v>
      </c>
      <c r="L1838" s="77" t="s">
        <v>1114</v>
      </c>
    </row>
    <row r="1839" customFormat="false" ht="15" hidden="false" customHeight="false" outlineLevel="0" collapsed="false">
      <c r="A1839" s="76" t="s">
        <v>2520</v>
      </c>
      <c r="B1839" s="76" t="s">
        <v>167</v>
      </c>
      <c r="C1839" s="76" t="s">
        <v>168</v>
      </c>
      <c r="D1839" s="76" t="s">
        <v>1189</v>
      </c>
      <c r="E1839" s="76" t="s">
        <v>1125</v>
      </c>
      <c r="F1839" s="35" t="s">
        <v>2521</v>
      </c>
      <c r="G1839" s="76" t="s">
        <v>1050</v>
      </c>
      <c r="H1839" s="76" t="n">
        <v>7675</v>
      </c>
      <c r="I1839" s="76" t="s">
        <v>2525</v>
      </c>
      <c r="J1839" s="76" t="n">
        <v>7675</v>
      </c>
      <c r="K1839" s="76" t="s">
        <v>2525</v>
      </c>
      <c r="L1839" s="77" t="s">
        <v>1114</v>
      </c>
    </row>
    <row r="1840" customFormat="false" ht="15" hidden="false" customHeight="false" outlineLevel="0" collapsed="false">
      <c r="A1840" s="76" t="s">
        <v>2520</v>
      </c>
      <c r="B1840" s="76" t="s">
        <v>167</v>
      </c>
      <c r="C1840" s="76" t="s">
        <v>168</v>
      </c>
      <c r="D1840" s="76" t="s">
        <v>1189</v>
      </c>
      <c r="E1840" s="76" t="s">
        <v>1125</v>
      </c>
      <c r="F1840" s="35" t="s">
        <v>2521</v>
      </c>
      <c r="G1840" s="76" t="s">
        <v>1051</v>
      </c>
      <c r="H1840" s="78" t="n">
        <v>52500</v>
      </c>
      <c r="I1840" s="76" t="s">
        <v>2526</v>
      </c>
      <c r="J1840" s="76" t="n">
        <v>52500</v>
      </c>
      <c r="K1840" s="76" t="s">
        <v>2526</v>
      </c>
      <c r="L1840" s="77" t="s">
        <v>1114</v>
      </c>
    </row>
    <row r="1841" customFormat="false" ht="15" hidden="false" customHeight="false" outlineLevel="0" collapsed="false">
      <c r="A1841" s="76" t="s">
        <v>2520</v>
      </c>
      <c r="B1841" s="76" t="s">
        <v>167</v>
      </c>
      <c r="C1841" s="76" t="s">
        <v>168</v>
      </c>
      <c r="D1841" s="76" t="s">
        <v>1189</v>
      </c>
      <c r="E1841" s="76" t="s">
        <v>1125</v>
      </c>
      <c r="F1841" s="35" t="s">
        <v>2521</v>
      </c>
      <c r="G1841" s="76" t="s">
        <v>434</v>
      </c>
      <c r="H1841" s="78" t="n">
        <v>1</v>
      </c>
      <c r="I1841" s="76" t="s">
        <v>1297</v>
      </c>
      <c r="J1841" s="76" t="n">
        <v>1</v>
      </c>
      <c r="K1841" s="76" t="s">
        <v>1297</v>
      </c>
      <c r="L1841" s="77" t="s">
        <v>1114</v>
      </c>
    </row>
    <row r="1842" customFormat="false" ht="15" hidden="false" customHeight="false" outlineLevel="0" collapsed="false">
      <c r="A1842" s="76" t="s">
        <v>2527</v>
      </c>
      <c r="B1842" s="76" t="s">
        <v>167</v>
      </c>
      <c r="C1842" s="76" t="s">
        <v>168</v>
      </c>
      <c r="D1842" s="76" t="s">
        <v>1198</v>
      </c>
      <c r="E1842" s="76" t="s">
        <v>1162</v>
      </c>
      <c r="F1842" s="35" t="s">
        <v>2528</v>
      </c>
      <c r="G1842" s="76" t="s">
        <v>419</v>
      </c>
      <c r="H1842" s="76"/>
      <c r="I1842" s="76" t="s">
        <v>168</v>
      </c>
      <c r="J1842" s="76"/>
      <c r="K1842" s="76" t="s">
        <v>168</v>
      </c>
      <c r="L1842" s="77" t="s">
        <v>1114</v>
      </c>
    </row>
    <row r="1843" customFormat="false" ht="15" hidden="false" customHeight="false" outlineLevel="0" collapsed="false">
      <c r="A1843" s="76" t="s">
        <v>2527</v>
      </c>
      <c r="B1843" s="76" t="s">
        <v>167</v>
      </c>
      <c r="C1843" s="76" t="s">
        <v>168</v>
      </c>
      <c r="D1843" s="76" t="s">
        <v>1198</v>
      </c>
      <c r="E1843" s="76" t="s">
        <v>1162</v>
      </c>
      <c r="F1843" s="35" t="s">
        <v>2528</v>
      </c>
      <c r="G1843" s="76" t="s">
        <v>168</v>
      </c>
      <c r="H1843" s="76" t="n">
        <v>850</v>
      </c>
      <c r="I1843" s="76" t="s">
        <v>2529</v>
      </c>
      <c r="J1843" s="76" t="n">
        <v>850</v>
      </c>
      <c r="K1843" s="76" t="s">
        <v>2529</v>
      </c>
      <c r="L1843" s="77" t="s">
        <v>1114</v>
      </c>
    </row>
    <row r="1844" customFormat="false" ht="15" hidden="false" customHeight="false" outlineLevel="0" collapsed="false">
      <c r="A1844" s="76" t="s">
        <v>2527</v>
      </c>
      <c r="B1844" s="76" t="s">
        <v>167</v>
      </c>
      <c r="C1844" s="76" t="s">
        <v>168</v>
      </c>
      <c r="D1844" s="76" t="s">
        <v>1198</v>
      </c>
      <c r="E1844" s="76" t="s">
        <v>1162</v>
      </c>
      <c r="F1844" s="35" t="s">
        <v>2528</v>
      </c>
      <c r="G1844" s="76" t="s">
        <v>1047</v>
      </c>
      <c r="H1844" s="76" t="n">
        <v>7</v>
      </c>
      <c r="I1844" s="76" t="s">
        <v>2530</v>
      </c>
      <c r="J1844" s="76" t="n">
        <v>7</v>
      </c>
      <c r="K1844" s="76" t="s">
        <v>2530</v>
      </c>
      <c r="L1844" s="77" t="s">
        <v>1114</v>
      </c>
    </row>
    <row r="1845" customFormat="false" ht="15" hidden="false" customHeight="false" outlineLevel="0" collapsed="false">
      <c r="A1845" s="76" t="s">
        <v>2527</v>
      </c>
      <c r="B1845" s="76" t="s">
        <v>167</v>
      </c>
      <c r="C1845" s="76" t="s">
        <v>168</v>
      </c>
      <c r="D1845" s="76" t="s">
        <v>1198</v>
      </c>
      <c r="E1845" s="76" t="s">
        <v>1162</v>
      </c>
      <c r="F1845" s="35" t="s">
        <v>2528</v>
      </c>
      <c r="G1845" s="76" t="s">
        <v>1049</v>
      </c>
      <c r="H1845" s="76" t="n">
        <v>12600</v>
      </c>
      <c r="I1845" s="76" t="s">
        <v>2531</v>
      </c>
      <c r="J1845" s="76" t="n">
        <v>12600</v>
      </c>
      <c r="K1845" s="76" t="s">
        <v>2531</v>
      </c>
      <c r="L1845" s="77" t="s">
        <v>1114</v>
      </c>
    </row>
    <row r="1846" customFormat="false" ht="15" hidden="false" customHeight="false" outlineLevel="0" collapsed="false">
      <c r="A1846" s="76" t="s">
        <v>2527</v>
      </c>
      <c r="B1846" s="76" t="s">
        <v>167</v>
      </c>
      <c r="C1846" s="76" t="s">
        <v>168</v>
      </c>
      <c r="D1846" s="76" t="s">
        <v>1198</v>
      </c>
      <c r="E1846" s="76" t="s">
        <v>1162</v>
      </c>
      <c r="F1846" s="35" t="s">
        <v>2528</v>
      </c>
      <c r="G1846" s="76" t="s">
        <v>1050</v>
      </c>
      <c r="H1846" s="76" t="n">
        <v>11750</v>
      </c>
      <c r="I1846" s="76" t="s">
        <v>2532</v>
      </c>
      <c r="J1846" s="76" t="n">
        <v>11750</v>
      </c>
      <c r="K1846" s="76" t="s">
        <v>2532</v>
      </c>
      <c r="L1846" s="77" t="s">
        <v>1114</v>
      </c>
    </row>
    <row r="1847" customFormat="false" ht="15" hidden="false" customHeight="false" outlineLevel="0" collapsed="false">
      <c r="A1847" s="76" t="s">
        <v>2527</v>
      </c>
      <c r="B1847" s="76" t="s">
        <v>167</v>
      </c>
      <c r="C1847" s="76" t="s">
        <v>168</v>
      </c>
      <c r="D1847" s="76" t="s">
        <v>1198</v>
      </c>
      <c r="E1847" s="76" t="s">
        <v>1162</v>
      </c>
      <c r="F1847" s="35" t="s">
        <v>2528</v>
      </c>
      <c r="G1847" s="76" t="s">
        <v>1051</v>
      </c>
      <c r="H1847" s="78" t="n">
        <v>10200</v>
      </c>
      <c r="I1847" s="76" t="s">
        <v>2533</v>
      </c>
      <c r="J1847" s="76" t="n">
        <v>10200</v>
      </c>
      <c r="K1847" s="76" t="s">
        <v>2533</v>
      </c>
      <c r="L1847" s="77" t="s">
        <v>1114</v>
      </c>
    </row>
    <row r="1848" customFormat="false" ht="15" hidden="false" customHeight="false" outlineLevel="0" collapsed="false">
      <c r="A1848" s="76" t="s">
        <v>2527</v>
      </c>
      <c r="B1848" s="76" t="s">
        <v>167</v>
      </c>
      <c r="C1848" s="76" t="s">
        <v>168</v>
      </c>
      <c r="D1848" s="76" t="s">
        <v>1198</v>
      </c>
      <c r="E1848" s="76" t="s">
        <v>1162</v>
      </c>
      <c r="F1848" s="35" t="s">
        <v>2528</v>
      </c>
      <c r="G1848" s="76" t="s">
        <v>434</v>
      </c>
      <c r="H1848" s="78" t="n">
        <v>1</v>
      </c>
      <c r="I1848" s="76" t="s">
        <v>1297</v>
      </c>
      <c r="J1848" s="76" t="n">
        <v>1</v>
      </c>
      <c r="K1848" s="76" t="s">
        <v>1297</v>
      </c>
      <c r="L1848" s="77" t="s">
        <v>1114</v>
      </c>
    </row>
    <row r="1849" customFormat="false" ht="15" hidden="false" customHeight="false" outlineLevel="0" collapsed="false">
      <c r="A1849" s="76" t="s">
        <v>2534</v>
      </c>
      <c r="B1849" s="76" t="s">
        <v>172</v>
      </c>
      <c r="C1849" s="76" t="s">
        <v>2535</v>
      </c>
      <c r="D1849" s="76" t="s">
        <v>1111</v>
      </c>
      <c r="E1849" s="76" t="s">
        <v>1112</v>
      </c>
      <c r="F1849" s="35" t="s">
        <v>2536</v>
      </c>
      <c r="G1849" s="76" t="s">
        <v>419</v>
      </c>
      <c r="H1849" s="76"/>
      <c r="I1849" s="76" t="s">
        <v>1063</v>
      </c>
      <c r="J1849" s="76"/>
      <c r="K1849" s="76" t="s">
        <v>1063</v>
      </c>
      <c r="L1849" s="77" t="s">
        <v>1114</v>
      </c>
    </row>
    <row r="1850" customFormat="false" ht="15" hidden="false" customHeight="false" outlineLevel="0" collapsed="false">
      <c r="A1850" s="76" t="s">
        <v>2534</v>
      </c>
      <c r="B1850" s="76" t="s">
        <v>172</v>
      </c>
      <c r="C1850" s="76" t="s">
        <v>2535</v>
      </c>
      <c r="D1850" s="76" t="s">
        <v>1111</v>
      </c>
      <c r="E1850" s="76" t="s">
        <v>1112</v>
      </c>
      <c r="F1850" s="35" t="s">
        <v>2536</v>
      </c>
      <c r="G1850" s="76" t="s">
        <v>1063</v>
      </c>
      <c r="H1850" s="76" t="n">
        <v>700</v>
      </c>
      <c r="I1850" s="76" t="s">
        <v>1382</v>
      </c>
      <c r="J1850" s="76" t="n">
        <v>700</v>
      </c>
      <c r="K1850" s="76" t="s">
        <v>1382</v>
      </c>
      <c r="L1850" s="77" t="s">
        <v>1114</v>
      </c>
    </row>
    <row r="1851" customFormat="false" ht="15" hidden="false" customHeight="false" outlineLevel="0" collapsed="false">
      <c r="A1851" s="76" t="s">
        <v>2534</v>
      </c>
      <c r="B1851" s="76" t="s">
        <v>172</v>
      </c>
      <c r="C1851" s="76" t="s">
        <v>2535</v>
      </c>
      <c r="D1851" s="76" t="s">
        <v>1111</v>
      </c>
      <c r="E1851" s="76" t="s">
        <v>1112</v>
      </c>
      <c r="F1851" s="35" t="s">
        <v>2536</v>
      </c>
      <c r="G1851" s="76" t="s">
        <v>1064</v>
      </c>
      <c r="H1851" s="76" t="n">
        <v>1750</v>
      </c>
      <c r="I1851" s="76" t="s">
        <v>1330</v>
      </c>
      <c r="J1851" s="76" t="n">
        <v>1750</v>
      </c>
      <c r="K1851" s="76" t="s">
        <v>1330</v>
      </c>
      <c r="L1851" s="77" t="s">
        <v>1114</v>
      </c>
    </row>
    <row r="1852" customFormat="false" ht="15" hidden="false" customHeight="false" outlineLevel="0" collapsed="false">
      <c r="A1852" s="76" t="s">
        <v>2534</v>
      </c>
      <c r="B1852" s="76" t="s">
        <v>172</v>
      </c>
      <c r="C1852" s="76" t="s">
        <v>2535</v>
      </c>
      <c r="D1852" s="76" t="s">
        <v>1111</v>
      </c>
      <c r="E1852" s="76" t="s">
        <v>1112</v>
      </c>
      <c r="F1852" s="35" t="s">
        <v>2536</v>
      </c>
      <c r="G1852" s="76" t="s">
        <v>1065</v>
      </c>
      <c r="H1852" s="76" t="n">
        <v>1050</v>
      </c>
      <c r="I1852" s="76" t="s">
        <v>2537</v>
      </c>
      <c r="J1852" s="76" t="n">
        <v>1050</v>
      </c>
      <c r="K1852" s="76" t="s">
        <v>2537</v>
      </c>
      <c r="L1852" s="77" t="s">
        <v>1114</v>
      </c>
    </row>
    <row r="1853" customFormat="false" ht="15" hidden="false" customHeight="false" outlineLevel="0" collapsed="false">
      <c r="A1853" s="76" t="s">
        <v>2534</v>
      </c>
      <c r="B1853" s="76" t="s">
        <v>172</v>
      </c>
      <c r="C1853" s="76" t="s">
        <v>2535</v>
      </c>
      <c r="D1853" s="76" t="s">
        <v>1111</v>
      </c>
      <c r="E1853" s="76" t="s">
        <v>1112</v>
      </c>
      <c r="F1853" s="35" t="s">
        <v>2536</v>
      </c>
      <c r="G1853" s="76" t="s">
        <v>1066</v>
      </c>
      <c r="H1853" s="76" t="n">
        <v>700</v>
      </c>
      <c r="I1853" s="76" t="s">
        <v>1382</v>
      </c>
      <c r="J1853" s="76" t="n">
        <v>700</v>
      </c>
      <c r="K1853" s="76" t="s">
        <v>1382</v>
      </c>
      <c r="L1853" s="77" t="s">
        <v>1114</v>
      </c>
    </row>
    <row r="1854" customFormat="false" ht="15" hidden="false" customHeight="false" outlineLevel="0" collapsed="false">
      <c r="A1854" s="76" t="s">
        <v>2538</v>
      </c>
      <c r="B1854" s="76" t="s">
        <v>172</v>
      </c>
      <c r="C1854" s="76" t="s">
        <v>2535</v>
      </c>
      <c r="D1854" s="76" t="s">
        <v>1124</v>
      </c>
      <c r="E1854" s="76" t="s">
        <v>1125</v>
      </c>
      <c r="F1854" s="35" t="s">
        <v>2539</v>
      </c>
      <c r="G1854" s="76" t="s">
        <v>419</v>
      </c>
      <c r="H1854" s="76"/>
      <c r="I1854" s="76" t="s">
        <v>1063</v>
      </c>
      <c r="J1854" s="76"/>
      <c r="K1854" s="76" t="s">
        <v>1063</v>
      </c>
      <c r="L1854" s="77" t="s">
        <v>1114</v>
      </c>
    </row>
    <row r="1855" customFormat="false" ht="15" hidden="false" customHeight="false" outlineLevel="0" collapsed="false">
      <c r="A1855" s="76" t="s">
        <v>2538</v>
      </c>
      <c r="B1855" s="76" t="s">
        <v>172</v>
      </c>
      <c r="C1855" s="76" t="s">
        <v>2535</v>
      </c>
      <c r="D1855" s="76" t="s">
        <v>1124</v>
      </c>
      <c r="E1855" s="76" t="s">
        <v>1125</v>
      </c>
      <c r="F1855" s="35" t="s">
        <v>2539</v>
      </c>
      <c r="G1855" s="76" t="s">
        <v>1063</v>
      </c>
      <c r="H1855" s="76" t="n">
        <v>100</v>
      </c>
      <c r="I1855" s="76" t="s">
        <v>1388</v>
      </c>
      <c r="J1855" s="76" t="n">
        <v>100</v>
      </c>
      <c r="K1855" s="76" t="s">
        <v>1388</v>
      </c>
      <c r="L1855" s="77" t="s">
        <v>1114</v>
      </c>
    </row>
    <row r="1856" customFormat="false" ht="15" hidden="false" customHeight="false" outlineLevel="0" collapsed="false">
      <c r="A1856" s="76" t="s">
        <v>2538</v>
      </c>
      <c r="B1856" s="76" t="s">
        <v>172</v>
      </c>
      <c r="C1856" s="76" t="s">
        <v>2535</v>
      </c>
      <c r="D1856" s="76" t="s">
        <v>1124</v>
      </c>
      <c r="E1856" s="76" t="s">
        <v>1125</v>
      </c>
      <c r="F1856" s="35" t="s">
        <v>2539</v>
      </c>
      <c r="G1856" s="76" t="s">
        <v>1064</v>
      </c>
      <c r="H1856" s="76" t="n">
        <v>250</v>
      </c>
      <c r="I1856" s="76" t="s">
        <v>2540</v>
      </c>
      <c r="J1856" s="76" t="n">
        <v>250</v>
      </c>
      <c r="K1856" s="76" t="s">
        <v>2540</v>
      </c>
      <c r="L1856" s="77" t="s">
        <v>1114</v>
      </c>
    </row>
    <row r="1857" customFormat="false" ht="15" hidden="false" customHeight="false" outlineLevel="0" collapsed="false">
      <c r="A1857" s="76" t="s">
        <v>2538</v>
      </c>
      <c r="B1857" s="76" t="s">
        <v>172</v>
      </c>
      <c r="C1857" s="76" t="s">
        <v>2535</v>
      </c>
      <c r="D1857" s="76" t="s">
        <v>1124</v>
      </c>
      <c r="E1857" s="76" t="s">
        <v>1125</v>
      </c>
      <c r="F1857" s="35" t="s">
        <v>2539</v>
      </c>
      <c r="G1857" s="76" t="s">
        <v>1065</v>
      </c>
      <c r="H1857" s="76" t="n">
        <v>150</v>
      </c>
      <c r="I1857" s="76" t="s">
        <v>2541</v>
      </c>
      <c r="J1857" s="76" t="n">
        <v>150</v>
      </c>
      <c r="K1857" s="76" t="s">
        <v>2541</v>
      </c>
      <c r="L1857" s="77" t="s">
        <v>1114</v>
      </c>
    </row>
    <row r="1858" customFormat="false" ht="15" hidden="false" customHeight="false" outlineLevel="0" collapsed="false">
      <c r="A1858" s="76" t="s">
        <v>2538</v>
      </c>
      <c r="B1858" s="76" t="s">
        <v>172</v>
      </c>
      <c r="C1858" s="76" t="s">
        <v>2535</v>
      </c>
      <c r="D1858" s="76" t="s">
        <v>1124</v>
      </c>
      <c r="E1858" s="76" t="s">
        <v>1125</v>
      </c>
      <c r="F1858" s="35" t="s">
        <v>2539</v>
      </c>
      <c r="G1858" s="76" t="s">
        <v>1066</v>
      </c>
      <c r="H1858" s="76" t="n">
        <v>100</v>
      </c>
      <c r="I1858" s="76" t="s">
        <v>1388</v>
      </c>
      <c r="J1858" s="76" t="n">
        <v>100</v>
      </c>
      <c r="K1858" s="76" t="s">
        <v>1388</v>
      </c>
      <c r="L1858" s="77" t="s">
        <v>1114</v>
      </c>
    </row>
    <row r="1859" customFormat="false" ht="15" hidden="false" customHeight="false" outlineLevel="0" collapsed="false">
      <c r="A1859" s="76" t="s">
        <v>2542</v>
      </c>
      <c r="B1859" s="76" t="s">
        <v>172</v>
      </c>
      <c r="C1859" s="76" t="s">
        <v>2535</v>
      </c>
      <c r="D1859" s="76" t="s">
        <v>1132</v>
      </c>
      <c r="E1859" s="76" t="s">
        <v>1133</v>
      </c>
      <c r="F1859" s="35" t="s">
        <v>2543</v>
      </c>
      <c r="G1859" s="76" t="s">
        <v>419</v>
      </c>
      <c r="H1859" s="76"/>
      <c r="I1859" s="76" t="s">
        <v>1063</v>
      </c>
      <c r="J1859" s="76"/>
      <c r="K1859" s="76" t="s">
        <v>1063</v>
      </c>
      <c r="L1859" s="77" t="s">
        <v>1114</v>
      </c>
    </row>
    <row r="1860" customFormat="false" ht="15" hidden="false" customHeight="false" outlineLevel="0" collapsed="false">
      <c r="A1860" s="76" t="s">
        <v>2542</v>
      </c>
      <c r="B1860" s="76" t="s">
        <v>172</v>
      </c>
      <c r="C1860" s="76" t="s">
        <v>2535</v>
      </c>
      <c r="D1860" s="76" t="s">
        <v>1132</v>
      </c>
      <c r="E1860" s="76" t="s">
        <v>1133</v>
      </c>
      <c r="F1860" s="35" t="s">
        <v>2543</v>
      </c>
      <c r="G1860" s="76" t="s">
        <v>1063</v>
      </c>
      <c r="H1860" s="76" t="n">
        <v>4000</v>
      </c>
      <c r="I1860" s="76" t="s">
        <v>2544</v>
      </c>
      <c r="J1860" s="76" t="n">
        <v>4000</v>
      </c>
      <c r="K1860" s="76" t="s">
        <v>2544</v>
      </c>
      <c r="L1860" s="77" t="s">
        <v>1114</v>
      </c>
    </row>
    <row r="1861" customFormat="false" ht="15" hidden="false" customHeight="false" outlineLevel="0" collapsed="false">
      <c r="A1861" s="76" t="s">
        <v>2542</v>
      </c>
      <c r="B1861" s="76" t="s">
        <v>172</v>
      </c>
      <c r="C1861" s="76" t="s">
        <v>2535</v>
      </c>
      <c r="D1861" s="76" t="s">
        <v>1132</v>
      </c>
      <c r="E1861" s="76" t="s">
        <v>1133</v>
      </c>
      <c r="F1861" s="35" t="s">
        <v>2543</v>
      </c>
      <c r="G1861" s="76" t="s">
        <v>1064</v>
      </c>
      <c r="H1861" s="76" t="n">
        <v>10000</v>
      </c>
      <c r="I1861" s="76" t="s">
        <v>1803</v>
      </c>
      <c r="J1861" s="76" t="n">
        <v>10000</v>
      </c>
      <c r="K1861" s="76" t="s">
        <v>1803</v>
      </c>
      <c r="L1861" s="77" t="s">
        <v>1114</v>
      </c>
    </row>
    <row r="1862" customFormat="false" ht="15" hidden="false" customHeight="false" outlineLevel="0" collapsed="false">
      <c r="A1862" s="76" t="s">
        <v>2542</v>
      </c>
      <c r="B1862" s="76" t="s">
        <v>172</v>
      </c>
      <c r="C1862" s="76" t="s">
        <v>2535</v>
      </c>
      <c r="D1862" s="76" t="s">
        <v>1132</v>
      </c>
      <c r="E1862" s="76" t="s">
        <v>1133</v>
      </c>
      <c r="F1862" s="35" t="s">
        <v>2543</v>
      </c>
      <c r="G1862" s="76" t="s">
        <v>1065</v>
      </c>
      <c r="H1862" s="76" t="n">
        <v>6000</v>
      </c>
      <c r="I1862" s="76" t="s">
        <v>1185</v>
      </c>
      <c r="J1862" s="76" t="n">
        <v>6000</v>
      </c>
      <c r="K1862" s="76" t="s">
        <v>1185</v>
      </c>
      <c r="L1862" s="77" t="s">
        <v>1114</v>
      </c>
    </row>
    <row r="1863" customFormat="false" ht="15" hidden="false" customHeight="false" outlineLevel="0" collapsed="false">
      <c r="A1863" s="76" t="s">
        <v>2542</v>
      </c>
      <c r="B1863" s="76" t="s">
        <v>172</v>
      </c>
      <c r="C1863" s="76" t="s">
        <v>2535</v>
      </c>
      <c r="D1863" s="76" t="s">
        <v>1132</v>
      </c>
      <c r="E1863" s="76" t="s">
        <v>1133</v>
      </c>
      <c r="F1863" s="35" t="s">
        <v>2543</v>
      </c>
      <c r="G1863" s="76" t="s">
        <v>1066</v>
      </c>
      <c r="H1863" s="76" t="n">
        <v>4000</v>
      </c>
      <c r="I1863" s="76" t="s">
        <v>2544</v>
      </c>
      <c r="J1863" s="76" t="n">
        <v>4000</v>
      </c>
      <c r="K1863" s="76" t="s">
        <v>2544</v>
      </c>
      <c r="L1863" s="77" t="s">
        <v>1114</v>
      </c>
    </row>
    <row r="1864" customFormat="false" ht="15" hidden="false" customHeight="false" outlineLevel="0" collapsed="false">
      <c r="A1864" s="76" t="s">
        <v>2545</v>
      </c>
      <c r="B1864" s="76" t="s">
        <v>172</v>
      </c>
      <c r="C1864" s="76" t="s">
        <v>2535</v>
      </c>
      <c r="D1864" s="76" t="s">
        <v>1141</v>
      </c>
      <c r="E1864" s="76" t="s">
        <v>1142</v>
      </c>
      <c r="F1864" s="35" t="s">
        <v>2546</v>
      </c>
      <c r="G1864" s="76" t="s">
        <v>419</v>
      </c>
      <c r="H1864" s="76"/>
      <c r="I1864" s="76" t="s">
        <v>1063</v>
      </c>
      <c r="J1864" s="76"/>
      <c r="K1864" s="76" t="s">
        <v>1063</v>
      </c>
      <c r="L1864" s="77" t="s">
        <v>1114</v>
      </c>
    </row>
    <row r="1865" customFormat="false" ht="15" hidden="false" customHeight="false" outlineLevel="0" collapsed="false">
      <c r="A1865" s="76" t="s">
        <v>2545</v>
      </c>
      <c r="B1865" s="76" t="s">
        <v>172</v>
      </c>
      <c r="C1865" s="76" t="s">
        <v>2535</v>
      </c>
      <c r="D1865" s="76" t="s">
        <v>1141</v>
      </c>
      <c r="E1865" s="76" t="s">
        <v>1142</v>
      </c>
      <c r="F1865" s="35" t="s">
        <v>2546</v>
      </c>
      <c r="G1865" s="76" t="s">
        <v>1063</v>
      </c>
      <c r="H1865" s="76" t="n">
        <v>180</v>
      </c>
      <c r="I1865" s="76" t="s">
        <v>2547</v>
      </c>
      <c r="J1865" s="76" t="n">
        <v>180</v>
      </c>
      <c r="K1865" s="76" t="s">
        <v>2547</v>
      </c>
      <c r="L1865" s="77" t="s">
        <v>1114</v>
      </c>
    </row>
    <row r="1866" customFormat="false" ht="15" hidden="false" customHeight="false" outlineLevel="0" collapsed="false">
      <c r="A1866" s="76" t="s">
        <v>2545</v>
      </c>
      <c r="B1866" s="76" t="s">
        <v>172</v>
      </c>
      <c r="C1866" s="76" t="s">
        <v>2535</v>
      </c>
      <c r="D1866" s="76" t="s">
        <v>1141</v>
      </c>
      <c r="E1866" s="76" t="s">
        <v>1142</v>
      </c>
      <c r="F1866" s="35" t="s">
        <v>2546</v>
      </c>
      <c r="G1866" s="76" t="s">
        <v>1064</v>
      </c>
      <c r="H1866" s="76" t="n">
        <v>450</v>
      </c>
      <c r="I1866" s="76" t="s">
        <v>2548</v>
      </c>
      <c r="J1866" s="76" t="n">
        <v>450</v>
      </c>
      <c r="K1866" s="76" t="s">
        <v>2548</v>
      </c>
      <c r="L1866" s="77" t="s">
        <v>1114</v>
      </c>
    </row>
    <row r="1867" customFormat="false" ht="15" hidden="false" customHeight="false" outlineLevel="0" collapsed="false">
      <c r="A1867" s="76" t="s">
        <v>2545</v>
      </c>
      <c r="B1867" s="76" t="s">
        <v>172</v>
      </c>
      <c r="C1867" s="76" t="s">
        <v>2535</v>
      </c>
      <c r="D1867" s="76" t="s">
        <v>1141</v>
      </c>
      <c r="E1867" s="76" t="s">
        <v>1142</v>
      </c>
      <c r="F1867" s="35" t="s">
        <v>2546</v>
      </c>
      <c r="G1867" s="76" t="s">
        <v>1065</v>
      </c>
      <c r="H1867" s="76" t="n">
        <v>270</v>
      </c>
      <c r="I1867" s="76" t="s">
        <v>2549</v>
      </c>
      <c r="J1867" s="76" t="n">
        <v>270</v>
      </c>
      <c r="K1867" s="76" t="s">
        <v>2549</v>
      </c>
      <c r="L1867" s="77" t="s">
        <v>1114</v>
      </c>
    </row>
    <row r="1868" customFormat="false" ht="15" hidden="false" customHeight="false" outlineLevel="0" collapsed="false">
      <c r="A1868" s="76" t="s">
        <v>2545</v>
      </c>
      <c r="B1868" s="76" t="s">
        <v>172</v>
      </c>
      <c r="C1868" s="76" t="s">
        <v>2535</v>
      </c>
      <c r="D1868" s="76" t="s">
        <v>1141</v>
      </c>
      <c r="E1868" s="76" t="s">
        <v>1142</v>
      </c>
      <c r="F1868" s="35" t="s">
        <v>2546</v>
      </c>
      <c r="G1868" s="76" t="s">
        <v>1066</v>
      </c>
      <c r="H1868" s="76" t="n">
        <v>180</v>
      </c>
      <c r="I1868" s="76" t="s">
        <v>2547</v>
      </c>
      <c r="J1868" s="76" t="n">
        <v>180</v>
      </c>
      <c r="K1868" s="76" t="s">
        <v>2547</v>
      </c>
      <c r="L1868" s="77" t="s">
        <v>1114</v>
      </c>
    </row>
    <row r="1869" customFormat="false" ht="15" hidden="false" customHeight="false" outlineLevel="0" collapsed="false">
      <c r="A1869" s="76" t="s">
        <v>2550</v>
      </c>
      <c r="B1869" s="76" t="s">
        <v>172</v>
      </c>
      <c r="C1869" s="76" t="s">
        <v>2535</v>
      </c>
      <c r="D1869" s="76" t="s">
        <v>1151</v>
      </c>
      <c r="E1869" s="76" t="s">
        <v>1152</v>
      </c>
      <c r="F1869" s="35" t="s">
        <v>2551</v>
      </c>
      <c r="G1869" s="76" t="s">
        <v>419</v>
      </c>
      <c r="H1869" s="76"/>
      <c r="I1869" s="76" t="s">
        <v>1063</v>
      </c>
      <c r="J1869" s="76"/>
      <c r="K1869" s="76" t="s">
        <v>1063</v>
      </c>
      <c r="L1869" s="77" t="s">
        <v>1114</v>
      </c>
    </row>
    <row r="1870" customFormat="false" ht="15" hidden="false" customHeight="false" outlineLevel="0" collapsed="false">
      <c r="A1870" s="76" t="s">
        <v>2550</v>
      </c>
      <c r="B1870" s="76" t="s">
        <v>172</v>
      </c>
      <c r="C1870" s="76" t="s">
        <v>2535</v>
      </c>
      <c r="D1870" s="76" t="s">
        <v>1151</v>
      </c>
      <c r="E1870" s="76" t="s">
        <v>1152</v>
      </c>
      <c r="F1870" s="35" t="s">
        <v>2551</v>
      </c>
      <c r="G1870" s="76" t="s">
        <v>1063</v>
      </c>
      <c r="H1870" s="78" t="n">
        <v>666.6</v>
      </c>
      <c r="I1870" s="76" t="s">
        <v>2552</v>
      </c>
      <c r="J1870" s="78" t="n">
        <v>666.6</v>
      </c>
      <c r="K1870" s="76" t="s">
        <v>2552</v>
      </c>
      <c r="L1870" s="77" t="s">
        <v>1114</v>
      </c>
    </row>
    <row r="1871" customFormat="false" ht="15" hidden="false" customHeight="false" outlineLevel="0" collapsed="false">
      <c r="A1871" s="76" t="s">
        <v>2550</v>
      </c>
      <c r="B1871" s="76" t="s">
        <v>172</v>
      </c>
      <c r="C1871" s="76" t="s">
        <v>2535</v>
      </c>
      <c r="D1871" s="76" t="s">
        <v>1151</v>
      </c>
      <c r="E1871" s="76" t="s">
        <v>1152</v>
      </c>
      <c r="F1871" s="35" t="s">
        <v>2551</v>
      </c>
      <c r="G1871" s="76" t="s">
        <v>1064</v>
      </c>
      <c r="H1871" s="78" t="n">
        <v>1666.5</v>
      </c>
      <c r="I1871" s="76" t="s">
        <v>2553</v>
      </c>
      <c r="J1871" s="78" t="n">
        <v>1666.5</v>
      </c>
      <c r="K1871" s="76" t="s">
        <v>2553</v>
      </c>
      <c r="L1871" s="77" t="s">
        <v>1114</v>
      </c>
    </row>
    <row r="1872" customFormat="false" ht="15" hidden="false" customHeight="false" outlineLevel="0" collapsed="false">
      <c r="A1872" s="76" t="s">
        <v>2550</v>
      </c>
      <c r="B1872" s="76" t="s">
        <v>172</v>
      </c>
      <c r="C1872" s="76" t="s">
        <v>2535</v>
      </c>
      <c r="D1872" s="76" t="s">
        <v>1151</v>
      </c>
      <c r="E1872" s="76" t="s">
        <v>1152</v>
      </c>
      <c r="F1872" s="35" t="s">
        <v>2551</v>
      </c>
      <c r="G1872" s="76" t="s">
        <v>1065</v>
      </c>
      <c r="H1872" s="78" t="n">
        <v>999.9</v>
      </c>
      <c r="I1872" s="76" t="s">
        <v>2036</v>
      </c>
      <c r="J1872" s="78" t="n">
        <v>999.9</v>
      </c>
      <c r="K1872" s="76" t="s">
        <v>2036</v>
      </c>
      <c r="L1872" s="77" t="s">
        <v>1114</v>
      </c>
    </row>
    <row r="1873" customFormat="false" ht="15" hidden="false" customHeight="false" outlineLevel="0" collapsed="false">
      <c r="A1873" s="76" t="s">
        <v>2550</v>
      </c>
      <c r="B1873" s="76" t="s">
        <v>172</v>
      </c>
      <c r="C1873" s="76" t="s">
        <v>2535</v>
      </c>
      <c r="D1873" s="76" t="s">
        <v>1151</v>
      </c>
      <c r="E1873" s="76" t="s">
        <v>1152</v>
      </c>
      <c r="F1873" s="35" t="s">
        <v>2551</v>
      </c>
      <c r="G1873" s="76" t="s">
        <v>1066</v>
      </c>
      <c r="H1873" s="78" t="n">
        <v>666.6</v>
      </c>
      <c r="I1873" s="76" t="s">
        <v>2552</v>
      </c>
      <c r="J1873" s="78" t="n">
        <v>666.6</v>
      </c>
      <c r="K1873" s="76" t="s">
        <v>2552</v>
      </c>
      <c r="L1873" s="77" t="s">
        <v>1114</v>
      </c>
    </row>
    <row r="1874" customFormat="false" ht="15" hidden="false" customHeight="false" outlineLevel="0" collapsed="false">
      <c r="A1874" s="76" t="s">
        <v>2554</v>
      </c>
      <c r="B1874" s="76" t="s">
        <v>172</v>
      </c>
      <c r="C1874" s="76" t="s">
        <v>2535</v>
      </c>
      <c r="D1874" s="76" t="s">
        <v>1180</v>
      </c>
      <c r="E1874" s="76" t="s">
        <v>1152</v>
      </c>
      <c r="F1874" s="35" t="s">
        <v>2555</v>
      </c>
      <c r="G1874" s="76" t="s">
        <v>419</v>
      </c>
      <c r="H1874" s="76"/>
      <c r="I1874" s="76" t="s">
        <v>1063</v>
      </c>
      <c r="J1874" s="76"/>
      <c r="K1874" s="76" t="s">
        <v>1063</v>
      </c>
      <c r="L1874" s="77" t="s">
        <v>1114</v>
      </c>
    </row>
    <row r="1875" customFormat="false" ht="15" hidden="false" customHeight="false" outlineLevel="0" collapsed="false">
      <c r="A1875" s="76" t="s">
        <v>2554</v>
      </c>
      <c r="B1875" s="76" t="s">
        <v>172</v>
      </c>
      <c r="C1875" s="76" t="s">
        <v>2535</v>
      </c>
      <c r="D1875" s="76" t="s">
        <v>1180</v>
      </c>
      <c r="E1875" s="76" t="s">
        <v>1152</v>
      </c>
      <c r="F1875" s="35" t="s">
        <v>2555</v>
      </c>
      <c r="G1875" s="76" t="s">
        <v>1063</v>
      </c>
      <c r="H1875" s="76" t="n">
        <v>1390</v>
      </c>
      <c r="I1875" s="76" t="s">
        <v>2556</v>
      </c>
      <c r="J1875" s="76" t="n">
        <v>1390</v>
      </c>
      <c r="K1875" s="76" t="s">
        <v>2556</v>
      </c>
      <c r="L1875" s="77" t="s">
        <v>1114</v>
      </c>
    </row>
    <row r="1876" customFormat="false" ht="15" hidden="false" customHeight="false" outlineLevel="0" collapsed="false">
      <c r="A1876" s="76" t="s">
        <v>2554</v>
      </c>
      <c r="B1876" s="76" t="s">
        <v>172</v>
      </c>
      <c r="C1876" s="76" t="s">
        <v>2535</v>
      </c>
      <c r="D1876" s="76" t="s">
        <v>1180</v>
      </c>
      <c r="E1876" s="76" t="s">
        <v>1152</v>
      </c>
      <c r="F1876" s="35" t="s">
        <v>2555</v>
      </c>
      <c r="G1876" s="76" t="s">
        <v>1064</v>
      </c>
      <c r="H1876" s="76" t="n">
        <v>3475</v>
      </c>
      <c r="I1876" s="76" t="s">
        <v>2557</v>
      </c>
      <c r="J1876" s="76" t="n">
        <v>3475</v>
      </c>
      <c r="K1876" s="76" t="s">
        <v>2557</v>
      </c>
      <c r="L1876" s="77" t="s">
        <v>1114</v>
      </c>
    </row>
    <row r="1877" customFormat="false" ht="15" hidden="false" customHeight="false" outlineLevel="0" collapsed="false">
      <c r="A1877" s="76" t="s">
        <v>2554</v>
      </c>
      <c r="B1877" s="76" t="s">
        <v>172</v>
      </c>
      <c r="C1877" s="76" t="s">
        <v>2535</v>
      </c>
      <c r="D1877" s="76" t="s">
        <v>1180</v>
      </c>
      <c r="E1877" s="76" t="s">
        <v>1152</v>
      </c>
      <c r="F1877" s="35" t="s">
        <v>2555</v>
      </c>
      <c r="G1877" s="76" t="s">
        <v>1065</v>
      </c>
      <c r="H1877" s="76" t="n">
        <v>2085</v>
      </c>
      <c r="I1877" s="76" t="s">
        <v>2558</v>
      </c>
      <c r="J1877" s="76" t="n">
        <v>2085</v>
      </c>
      <c r="K1877" s="76" t="s">
        <v>2558</v>
      </c>
      <c r="L1877" s="77" t="s">
        <v>1114</v>
      </c>
    </row>
    <row r="1878" customFormat="false" ht="15" hidden="false" customHeight="false" outlineLevel="0" collapsed="false">
      <c r="A1878" s="76" t="s">
        <v>2554</v>
      </c>
      <c r="B1878" s="76" t="s">
        <v>172</v>
      </c>
      <c r="C1878" s="76" t="s">
        <v>2535</v>
      </c>
      <c r="D1878" s="76" t="s">
        <v>1180</v>
      </c>
      <c r="E1878" s="76" t="s">
        <v>1152</v>
      </c>
      <c r="F1878" s="35" t="s">
        <v>2555</v>
      </c>
      <c r="G1878" s="76" t="s">
        <v>1066</v>
      </c>
      <c r="H1878" s="76" t="n">
        <v>1390</v>
      </c>
      <c r="I1878" s="76" t="s">
        <v>2556</v>
      </c>
      <c r="J1878" s="76" t="n">
        <v>1390</v>
      </c>
      <c r="K1878" s="76" t="s">
        <v>2556</v>
      </c>
      <c r="L1878" s="77" t="s">
        <v>1114</v>
      </c>
    </row>
    <row r="1879" customFormat="false" ht="15" hidden="false" customHeight="false" outlineLevel="0" collapsed="false">
      <c r="A1879" s="76" t="s">
        <v>2559</v>
      </c>
      <c r="B1879" s="76" t="s">
        <v>172</v>
      </c>
      <c r="C1879" s="76" t="s">
        <v>2535</v>
      </c>
      <c r="D1879" s="76" t="s">
        <v>1189</v>
      </c>
      <c r="E1879" s="76" t="s">
        <v>1125</v>
      </c>
      <c r="F1879" s="35" t="s">
        <v>2560</v>
      </c>
      <c r="G1879" s="76" t="s">
        <v>419</v>
      </c>
      <c r="H1879" s="76"/>
      <c r="I1879" s="76" t="s">
        <v>1063</v>
      </c>
      <c r="J1879" s="76"/>
      <c r="K1879" s="76" t="s">
        <v>1063</v>
      </c>
      <c r="L1879" s="77" t="s">
        <v>1114</v>
      </c>
    </row>
    <row r="1880" customFormat="false" ht="15" hidden="false" customHeight="false" outlineLevel="0" collapsed="false">
      <c r="A1880" s="76" t="s">
        <v>2559</v>
      </c>
      <c r="B1880" s="76" t="s">
        <v>172</v>
      </c>
      <c r="C1880" s="76" t="s">
        <v>2535</v>
      </c>
      <c r="D1880" s="76" t="s">
        <v>1189</v>
      </c>
      <c r="E1880" s="76" t="s">
        <v>1125</v>
      </c>
      <c r="F1880" s="35" t="s">
        <v>2560</v>
      </c>
      <c r="G1880" s="76" t="s">
        <v>1063</v>
      </c>
      <c r="H1880" s="76" t="n">
        <v>2620</v>
      </c>
      <c r="I1880" s="76" t="s">
        <v>2561</v>
      </c>
      <c r="J1880" s="76" t="n">
        <v>2620</v>
      </c>
      <c r="K1880" s="76" t="s">
        <v>2561</v>
      </c>
      <c r="L1880" s="77" t="s">
        <v>1114</v>
      </c>
    </row>
    <row r="1881" customFormat="false" ht="15" hidden="false" customHeight="false" outlineLevel="0" collapsed="false">
      <c r="A1881" s="76" t="s">
        <v>2559</v>
      </c>
      <c r="B1881" s="76" t="s">
        <v>172</v>
      </c>
      <c r="C1881" s="76" t="s">
        <v>2535</v>
      </c>
      <c r="D1881" s="76" t="s">
        <v>1189</v>
      </c>
      <c r="E1881" s="76" t="s">
        <v>1125</v>
      </c>
      <c r="F1881" s="35" t="s">
        <v>2560</v>
      </c>
      <c r="G1881" s="76" t="s">
        <v>1064</v>
      </c>
      <c r="H1881" s="76" t="n">
        <v>6550</v>
      </c>
      <c r="I1881" s="76" t="s">
        <v>2562</v>
      </c>
      <c r="J1881" s="76" t="n">
        <v>6550</v>
      </c>
      <c r="K1881" s="76" t="s">
        <v>2562</v>
      </c>
      <c r="L1881" s="77" t="s">
        <v>1114</v>
      </c>
    </row>
    <row r="1882" customFormat="false" ht="15" hidden="false" customHeight="false" outlineLevel="0" collapsed="false">
      <c r="A1882" s="76" t="s">
        <v>2559</v>
      </c>
      <c r="B1882" s="76" t="s">
        <v>172</v>
      </c>
      <c r="C1882" s="76" t="s">
        <v>2535</v>
      </c>
      <c r="D1882" s="76" t="s">
        <v>1189</v>
      </c>
      <c r="E1882" s="76" t="s">
        <v>1125</v>
      </c>
      <c r="F1882" s="35" t="s">
        <v>2560</v>
      </c>
      <c r="G1882" s="76" t="s">
        <v>1065</v>
      </c>
      <c r="H1882" s="76" t="n">
        <v>3930</v>
      </c>
      <c r="I1882" s="76" t="s">
        <v>2563</v>
      </c>
      <c r="J1882" s="76" t="n">
        <v>3930</v>
      </c>
      <c r="K1882" s="76" t="s">
        <v>2563</v>
      </c>
      <c r="L1882" s="77" t="s">
        <v>1114</v>
      </c>
    </row>
    <row r="1883" customFormat="false" ht="15" hidden="false" customHeight="false" outlineLevel="0" collapsed="false">
      <c r="A1883" s="76" t="s">
        <v>2559</v>
      </c>
      <c r="B1883" s="76" t="s">
        <v>172</v>
      </c>
      <c r="C1883" s="76" t="s">
        <v>2535</v>
      </c>
      <c r="D1883" s="76" t="s">
        <v>1189</v>
      </c>
      <c r="E1883" s="76" t="s">
        <v>1125</v>
      </c>
      <c r="F1883" s="35" t="s">
        <v>2560</v>
      </c>
      <c r="G1883" s="76" t="s">
        <v>1066</v>
      </c>
      <c r="H1883" s="76" t="n">
        <v>2620</v>
      </c>
      <c r="I1883" s="76" t="s">
        <v>2561</v>
      </c>
      <c r="J1883" s="76" t="n">
        <v>2620</v>
      </c>
      <c r="K1883" s="76" t="s">
        <v>2561</v>
      </c>
      <c r="L1883" s="77" t="s">
        <v>1114</v>
      </c>
    </row>
    <row r="1884" customFormat="false" ht="15" hidden="false" customHeight="false" outlineLevel="0" collapsed="false">
      <c r="A1884" s="76" t="s">
        <v>2564</v>
      </c>
      <c r="B1884" s="76" t="s">
        <v>172</v>
      </c>
      <c r="C1884" s="76" t="s">
        <v>2535</v>
      </c>
      <c r="D1884" s="76" t="s">
        <v>1198</v>
      </c>
      <c r="E1884" s="76" t="s">
        <v>1162</v>
      </c>
      <c r="F1884" s="35" t="s">
        <v>2565</v>
      </c>
      <c r="G1884" s="76" t="s">
        <v>419</v>
      </c>
      <c r="H1884" s="76"/>
      <c r="I1884" s="76" t="s">
        <v>1063</v>
      </c>
      <c r="J1884" s="76"/>
      <c r="K1884" s="76" t="s">
        <v>1063</v>
      </c>
      <c r="L1884" s="77" t="s">
        <v>1114</v>
      </c>
    </row>
    <row r="1885" customFormat="false" ht="15" hidden="false" customHeight="false" outlineLevel="0" collapsed="false">
      <c r="A1885" s="76" t="s">
        <v>2564</v>
      </c>
      <c r="B1885" s="76" t="s">
        <v>172</v>
      </c>
      <c r="C1885" s="76" t="s">
        <v>2535</v>
      </c>
      <c r="D1885" s="76" t="s">
        <v>1198</v>
      </c>
      <c r="E1885" s="76" t="s">
        <v>1162</v>
      </c>
      <c r="F1885" s="35" t="s">
        <v>2565</v>
      </c>
      <c r="G1885" s="76" t="s">
        <v>1063</v>
      </c>
      <c r="H1885" s="76" t="n">
        <v>3090</v>
      </c>
      <c r="I1885" s="76" t="s">
        <v>2566</v>
      </c>
      <c r="J1885" s="76" t="n">
        <v>3090</v>
      </c>
      <c r="K1885" s="76" t="s">
        <v>2566</v>
      </c>
      <c r="L1885" s="77" t="s">
        <v>1114</v>
      </c>
    </row>
    <row r="1886" customFormat="false" ht="15" hidden="false" customHeight="false" outlineLevel="0" collapsed="false">
      <c r="A1886" s="76" t="s">
        <v>2564</v>
      </c>
      <c r="B1886" s="76" t="s">
        <v>172</v>
      </c>
      <c r="C1886" s="76" t="s">
        <v>2535</v>
      </c>
      <c r="D1886" s="76" t="s">
        <v>1198</v>
      </c>
      <c r="E1886" s="76" t="s">
        <v>1162</v>
      </c>
      <c r="F1886" s="35" t="s">
        <v>2565</v>
      </c>
      <c r="G1886" s="76" t="s">
        <v>1064</v>
      </c>
      <c r="H1886" s="76" t="n">
        <v>7725</v>
      </c>
      <c r="I1886" s="76" t="s">
        <v>2567</v>
      </c>
      <c r="J1886" s="76" t="n">
        <v>7725</v>
      </c>
      <c r="K1886" s="76" t="s">
        <v>2567</v>
      </c>
      <c r="L1886" s="77" t="s">
        <v>1114</v>
      </c>
    </row>
    <row r="1887" customFormat="false" ht="15" hidden="false" customHeight="false" outlineLevel="0" collapsed="false">
      <c r="A1887" s="76" t="s">
        <v>2564</v>
      </c>
      <c r="B1887" s="76" t="s">
        <v>172</v>
      </c>
      <c r="C1887" s="76" t="s">
        <v>2535</v>
      </c>
      <c r="D1887" s="76" t="s">
        <v>1198</v>
      </c>
      <c r="E1887" s="76" t="s">
        <v>1162</v>
      </c>
      <c r="F1887" s="35" t="s">
        <v>2565</v>
      </c>
      <c r="G1887" s="76" t="s">
        <v>1065</v>
      </c>
      <c r="H1887" s="76" t="n">
        <v>4635</v>
      </c>
      <c r="I1887" s="76" t="s">
        <v>2568</v>
      </c>
      <c r="J1887" s="76" t="n">
        <v>4635</v>
      </c>
      <c r="K1887" s="76" t="s">
        <v>2568</v>
      </c>
      <c r="L1887" s="77" t="s">
        <v>1114</v>
      </c>
    </row>
    <row r="1888" customFormat="false" ht="15" hidden="false" customHeight="false" outlineLevel="0" collapsed="false">
      <c r="A1888" s="76" t="s">
        <v>2564</v>
      </c>
      <c r="B1888" s="76" t="s">
        <v>172</v>
      </c>
      <c r="C1888" s="76" t="s">
        <v>2535</v>
      </c>
      <c r="D1888" s="76" t="s">
        <v>1198</v>
      </c>
      <c r="E1888" s="76" t="s">
        <v>1162</v>
      </c>
      <c r="F1888" s="35" t="s">
        <v>2565</v>
      </c>
      <c r="G1888" s="76" t="s">
        <v>1066</v>
      </c>
      <c r="H1888" s="76" t="n">
        <v>3090</v>
      </c>
      <c r="I1888" s="76" t="s">
        <v>2566</v>
      </c>
      <c r="J1888" s="76" t="n">
        <v>3090</v>
      </c>
      <c r="K1888" s="76" t="s">
        <v>2566</v>
      </c>
      <c r="L1888" s="77" t="s">
        <v>1114</v>
      </c>
    </row>
    <row r="1889" customFormat="false" ht="15" hidden="false" customHeight="false" outlineLevel="0" collapsed="false">
      <c r="A1889" s="76" t="s">
        <v>2569</v>
      </c>
      <c r="B1889" s="76" t="s">
        <v>177</v>
      </c>
      <c r="C1889" s="76" t="s">
        <v>178</v>
      </c>
      <c r="D1889" s="76" t="s">
        <v>1111</v>
      </c>
      <c r="E1889" s="76" t="s">
        <v>1112</v>
      </c>
      <c r="F1889" s="35" t="s">
        <v>2570</v>
      </c>
      <c r="G1889" s="76" t="s">
        <v>419</v>
      </c>
      <c r="H1889" s="76"/>
      <c r="I1889" s="76" t="s">
        <v>2571</v>
      </c>
      <c r="J1889" s="76"/>
      <c r="K1889" s="76" t="s">
        <v>2571</v>
      </c>
      <c r="L1889" s="77" t="s">
        <v>1114</v>
      </c>
    </row>
    <row r="1890" customFormat="false" ht="15" hidden="false" customHeight="false" outlineLevel="0" collapsed="false">
      <c r="A1890" s="76" t="s">
        <v>2569</v>
      </c>
      <c r="B1890" s="76" t="s">
        <v>177</v>
      </c>
      <c r="C1890" s="76" t="s">
        <v>178</v>
      </c>
      <c r="D1890" s="76" t="s">
        <v>1111</v>
      </c>
      <c r="E1890" s="76" t="s">
        <v>1112</v>
      </c>
      <c r="F1890" s="35" t="s">
        <v>2570</v>
      </c>
      <c r="G1890" s="76" t="s">
        <v>1086</v>
      </c>
      <c r="H1890" s="76" t="n">
        <v>24</v>
      </c>
      <c r="I1890" s="76" t="s">
        <v>2572</v>
      </c>
      <c r="J1890" s="76" t="n">
        <v>24</v>
      </c>
      <c r="K1890" s="76" t="s">
        <v>2572</v>
      </c>
      <c r="L1890" s="77" t="s">
        <v>1114</v>
      </c>
    </row>
    <row r="1891" customFormat="false" ht="15" hidden="false" customHeight="false" outlineLevel="0" collapsed="false">
      <c r="A1891" s="76" t="s">
        <v>2569</v>
      </c>
      <c r="B1891" s="76" t="s">
        <v>177</v>
      </c>
      <c r="C1891" s="76" t="s">
        <v>178</v>
      </c>
      <c r="D1891" s="76" t="s">
        <v>1111</v>
      </c>
      <c r="E1891" s="76" t="s">
        <v>1112</v>
      </c>
      <c r="F1891" s="35" t="s">
        <v>2570</v>
      </c>
      <c r="G1891" s="76" t="s">
        <v>1087</v>
      </c>
      <c r="H1891" s="78" t="n">
        <v>989.13386082804</v>
      </c>
      <c r="I1891" s="76" t="s">
        <v>2573</v>
      </c>
      <c r="J1891" s="78" t="n">
        <v>989.13386082804</v>
      </c>
      <c r="K1891" s="76" t="s">
        <v>2573</v>
      </c>
      <c r="L1891" s="77" t="s">
        <v>1114</v>
      </c>
    </row>
    <row r="1892" customFormat="false" ht="15" hidden="false" customHeight="false" outlineLevel="0" collapsed="false">
      <c r="A1892" s="76" t="s">
        <v>2569</v>
      </c>
      <c r="B1892" s="76" t="s">
        <v>177</v>
      </c>
      <c r="C1892" s="76" t="s">
        <v>178</v>
      </c>
      <c r="D1892" s="76" t="s">
        <v>1111</v>
      </c>
      <c r="E1892" s="76" t="s">
        <v>1112</v>
      </c>
      <c r="F1892" s="35" t="s">
        <v>2570</v>
      </c>
      <c r="G1892" s="76" t="s">
        <v>477</v>
      </c>
      <c r="H1892" s="78" t="n">
        <v>989.13386082804</v>
      </c>
      <c r="I1892" s="76" t="s">
        <v>2573</v>
      </c>
      <c r="J1892" s="78" t="n">
        <v>989.13386082804</v>
      </c>
      <c r="K1892" s="76" t="s">
        <v>2573</v>
      </c>
      <c r="L1892" s="77" t="s">
        <v>1114</v>
      </c>
    </row>
    <row r="1893" customFormat="false" ht="15" hidden="false" customHeight="false" outlineLevel="0" collapsed="false">
      <c r="A1893" s="76" t="s">
        <v>2569</v>
      </c>
      <c r="B1893" s="76" t="s">
        <v>177</v>
      </c>
      <c r="C1893" s="76" t="s">
        <v>178</v>
      </c>
      <c r="D1893" s="76" t="s">
        <v>1111</v>
      </c>
      <c r="E1893" s="76" t="s">
        <v>1112</v>
      </c>
      <c r="F1893" s="35" t="s">
        <v>2570</v>
      </c>
      <c r="G1893" s="76" t="s">
        <v>1089</v>
      </c>
      <c r="H1893" s="78" t="n">
        <v>5000</v>
      </c>
      <c r="I1893" s="76" t="s">
        <v>1296</v>
      </c>
      <c r="J1893" s="76" t="n">
        <v>5000</v>
      </c>
      <c r="K1893" s="76" t="s">
        <v>1296</v>
      </c>
      <c r="L1893" s="77" t="s">
        <v>1114</v>
      </c>
    </row>
    <row r="1894" customFormat="false" ht="15" hidden="false" customHeight="false" outlineLevel="0" collapsed="false">
      <c r="A1894" s="76" t="s">
        <v>2569</v>
      </c>
      <c r="B1894" s="76" t="s">
        <v>177</v>
      </c>
      <c r="C1894" s="76" t="s">
        <v>178</v>
      </c>
      <c r="D1894" s="76" t="s">
        <v>1111</v>
      </c>
      <c r="E1894" s="76" t="s">
        <v>1112</v>
      </c>
      <c r="F1894" s="35" t="s">
        <v>2570</v>
      </c>
      <c r="G1894" s="76" t="s">
        <v>434</v>
      </c>
      <c r="H1894" s="78" t="n">
        <v>2</v>
      </c>
      <c r="I1894" s="76" t="s">
        <v>869</v>
      </c>
      <c r="J1894" s="76" t="n">
        <v>2</v>
      </c>
      <c r="K1894" s="76" t="s">
        <v>869</v>
      </c>
      <c r="L1894" s="77" t="s">
        <v>1114</v>
      </c>
    </row>
    <row r="1895" customFormat="false" ht="15" hidden="false" customHeight="false" outlineLevel="0" collapsed="false">
      <c r="A1895" s="76" t="s">
        <v>2574</v>
      </c>
      <c r="B1895" s="76" t="s">
        <v>177</v>
      </c>
      <c r="C1895" s="76" t="s">
        <v>178</v>
      </c>
      <c r="D1895" s="76" t="s">
        <v>1124</v>
      </c>
      <c r="E1895" s="76" t="s">
        <v>1125</v>
      </c>
      <c r="F1895" s="35" t="s">
        <v>2575</v>
      </c>
      <c r="G1895" s="76" t="s">
        <v>419</v>
      </c>
      <c r="H1895" s="76"/>
      <c r="I1895" s="76" t="s">
        <v>2571</v>
      </c>
      <c r="J1895" s="76"/>
      <c r="K1895" s="76" t="s">
        <v>2571</v>
      </c>
      <c r="L1895" s="77" t="s">
        <v>1114</v>
      </c>
    </row>
    <row r="1896" customFormat="false" ht="15" hidden="false" customHeight="false" outlineLevel="0" collapsed="false">
      <c r="A1896" s="76" t="s">
        <v>2574</v>
      </c>
      <c r="B1896" s="76" t="s">
        <v>177</v>
      </c>
      <c r="C1896" s="76" t="s">
        <v>178</v>
      </c>
      <c r="D1896" s="76" t="s">
        <v>1124</v>
      </c>
      <c r="E1896" s="76" t="s">
        <v>1125</v>
      </c>
      <c r="F1896" s="35" t="s">
        <v>2575</v>
      </c>
      <c r="G1896" s="76" t="s">
        <v>1086</v>
      </c>
      <c r="H1896" s="76"/>
      <c r="I1896" s="76" t="s">
        <v>2576</v>
      </c>
      <c r="J1896" s="76" t="s">
        <v>1249</v>
      </c>
      <c r="K1896" s="76" t="s">
        <v>2576</v>
      </c>
      <c r="L1896" s="77" t="s">
        <v>1114</v>
      </c>
    </row>
    <row r="1897" customFormat="false" ht="15" hidden="false" customHeight="false" outlineLevel="0" collapsed="false">
      <c r="A1897" s="76" t="s">
        <v>2574</v>
      </c>
      <c r="B1897" s="76" t="s">
        <v>177</v>
      </c>
      <c r="C1897" s="76" t="s">
        <v>178</v>
      </c>
      <c r="D1897" s="76" t="s">
        <v>1124</v>
      </c>
      <c r="E1897" s="76" t="s">
        <v>1125</v>
      </c>
      <c r="F1897" s="35" t="s">
        <v>2575</v>
      </c>
      <c r="G1897" s="76" t="s">
        <v>1087</v>
      </c>
      <c r="H1897" s="76"/>
      <c r="I1897" s="76"/>
      <c r="J1897" s="76"/>
      <c r="K1897" s="76"/>
      <c r="L1897" s="77" t="s">
        <v>1114</v>
      </c>
    </row>
    <row r="1898" customFormat="false" ht="15" hidden="false" customHeight="false" outlineLevel="0" collapsed="false">
      <c r="A1898" s="76" t="s">
        <v>2574</v>
      </c>
      <c r="B1898" s="76" t="s">
        <v>177</v>
      </c>
      <c r="C1898" s="76" t="s">
        <v>178</v>
      </c>
      <c r="D1898" s="76" t="s">
        <v>1124</v>
      </c>
      <c r="E1898" s="76" t="s">
        <v>1125</v>
      </c>
      <c r="F1898" s="35" t="s">
        <v>2575</v>
      </c>
      <c r="G1898" s="76" t="s">
        <v>477</v>
      </c>
      <c r="H1898" s="76"/>
      <c r="I1898" s="76" t="s">
        <v>1250</v>
      </c>
      <c r="J1898" s="76"/>
      <c r="K1898" s="76" t="s">
        <v>1250</v>
      </c>
      <c r="L1898" s="77" t="s">
        <v>1114</v>
      </c>
    </row>
    <row r="1899" customFormat="false" ht="15" hidden="false" customHeight="false" outlineLevel="0" collapsed="false">
      <c r="A1899" s="76" t="s">
        <v>2574</v>
      </c>
      <c r="B1899" s="76" t="s">
        <v>177</v>
      </c>
      <c r="C1899" s="76" t="s">
        <v>178</v>
      </c>
      <c r="D1899" s="76" t="s">
        <v>1124</v>
      </c>
      <c r="E1899" s="76" t="s">
        <v>1125</v>
      </c>
      <c r="F1899" s="35" t="s">
        <v>2575</v>
      </c>
      <c r="G1899" s="76" t="s">
        <v>1089</v>
      </c>
      <c r="H1899" s="76"/>
      <c r="I1899" s="76"/>
      <c r="J1899" s="76"/>
      <c r="K1899" s="76"/>
      <c r="L1899" s="77" t="s">
        <v>1114</v>
      </c>
    </row>
    <row r="1900" customFormat="false" ht="15" hidden="false" customHeight="false" outlineLevel="0" collapsed="false">
      <c r="A1900" s="76" t="s">
        <v>2574</v>
      </c>
      <c r="B1900" s="76" t="s">
        <v>177</v>
      </c>
      <c r="C1900" s="76" t="s">
        <v>178</v>
      </c>
      <c r="D1900" s="76" t="s">
        <v>1124</v>
      </c>
      <c r="E1900" s="76" t="s">
        <v>1125</v>
      </c>
      <c r="F1900" s="35" t="s">
        <v>2575</v>
      </c>
      <c r="G1900" s="76" t="s">
        <v>434</v>
      </c>
      <c r="H1900" s="76"/>
      <c r="I1900" s="76"/>
      <c r="J1900" s="76"/>
      <c r="K1900" s="76"/>
      <c r="L1900" s="77" t="s">
        <v>1114</v>
      </c>
    </row>
    <row r="1901" customFormat="false" ht="15" hidden="false" customHeight="false" outlineLevel="0" collapsed="false">
      <c r="A1901" s="76" t="s">
        <v>2577</v>
      </c>
      <c r="B1901" s="76" t="s">
        <v>177</v>
      </c>
      <c r="C1901" s="76" t="s">
        <v>178</v>
      </c>
      <c r="D1901" s="76" t="s">
        <v>1132</v>
      </c>
      <c r="E1901" s="76" t="s">
        <v>1133</v>
      </c>
      <c r="F1901" s="35" t="s">
        <v>2578</v>
      </c>
      <c r="G1901" s="76" t="s">
        <v>419</v>
      </c>
      <c r="H1901" s="76"/>
      <c r="I1901" s="76" t="s">
        <v>2571</v>
      </c>
      <c r="J1901" s="76"/>
      <c r="K1901" s="76" t="s">
        <v>2571</v>
      </c>
      <c r="L1901" s="77" t="s">
        <v>1114</v>
      </c>
    </row>
    <row r="1902" customFormat="false" ht="15" hidden="false" customHeight="false" outlineLevel="0" collapsed="false">
      <c r="A1902" s="76" t="s">
        <v>2577</v>
      </c>
      <c r="B1902" s="76" t="s">
        <v>177</v>
      </c>
      <c r="C1902" s="76" t="s">
        <v>178</v>
      </c>
      <c r="D1902" s="76" t="s">
        <v>1132</v>
      </c>
      <c r="E1902" s="76" t="s">
        <v>1133</v>
      </c>
      <c r="F1902" s="35" t="s">
        <v>2578</v>
      </c>
      <c r="G1902" s="76" t="s">
        <v>1086</v>
      </c>
      <c r="H1902" s="76" t="n">
        <v>1200</v>
      </c>
      <c r="I1902" s="76" t="s">
        <v>1422</v>
      </c>
      <c r="J1902" s="76" t="n">
        <v>1200</v>
      </c>
      <c r="K1902" s="76" t="s">
        <v>1422</v>
      </c>
      <c r="L1902" s="77" t="s">
        <v>1114</v>
      </c>
    </row>
    <row r="1903" customFormat="false" ht="15" hidden="false" customHeight="false" outlineLevel="0" collapsed="false">
      <c r="A1903" s="76" t="s">
        <v>2577</v>
      </c>
      <c r="B1903" s="76" t="s">
        <v>177</v>
      </c>
      <c r="C1903" s="76" t="s">
        <v>178</v>
      </c>
      <c r="D1903" s="76" t="s">
        <v>1132</v>
      </c>
      <c r="E1903" s="76" t="s">
        <v>1133</v>
      </c>
      <c r="F1903" s="35" t="s">
        <v>2578</v>
      </c>
      <c r="G1903" s="76" t="s">
        <v>1087</v>
      </c>
      <c r="H1903" s="76" t="n">
        <v>0</v>
      </c>
      <c r="I1903" s="76" t="s">
        <v>1127</v>
      </c>
      <c r="J1903" s="76" t="n">
        <v>0</v>
      </c>
      <c r="K1903" s="76" t="s">
        <v>1127</v>
      </c>
      <c r="L1903" s="77" t="s">
        <v>1114</v>
      </c>
    </row>
    <row r="1904" customFormat="false" ht="15" hidden="false" customHeight="false" outlineLevel="0" collapsed="false">
      <c r="A1904" s="76" t="s">
        <v>2577</v>
      </c>
      <c r="B1904" s="76" t="s">
        <v>177</v>
      </c>
      <c r="C1904" s="76" t="s">
        <v>178</v>
      </c>
      <c r="D1904" s="76" t="s">
        <v>1132</v>
      </c>
      <c r="E1904" s="76" t="s">
        <v>1133</v>
      </c>
      <c r="F1904" s="35" t="s">
        <v>2578</v>
      </c>
      <c r="G1904" s="76" t="s">
        <v>477</v>
      </c>
      <c r="H1904" s="76" t="n">
        <v>0</v>
      </c>
      <c r="I1904" s="76" t="s">
        <v>1127</v>
      </c>
      <c r="J1904" s="76" t="n">
        <v>0</v>
      </c>
      <c r="K1904" s="76" t="s">
        <v>1127</v>
      </c>
      <c r="L1904" s="77" t="s">
        <v>1114</v>
      </c>
    </row>
    <row r="1905" customFormat="false" ht="15" hidden="false" customHeight="false" outlineLevel="0" collapsed="false">
      <c r="A1905" s="76" t="s">
        <v>2577</v>
      </c>
      <c r="B1905" s="76" t="s">
        <v>177</v>
      </c>
      <c r="C1905" s="76" t="s">
        <v>178</v>
      </c>
      <c r="D1905" s="76" t="s">
        <v>1132</v>
      </c>
      <c r="E1905" s="76" t="s">
        <v>1133</v>
      </c>
      <c r="F1905" s="35" t="s">
        <v>2578</v>
      </c>
      <c r="G1905" s="76" t="s">
        <v>1089</v>
      </c>
      <c r="H1905" s="78" t="n">
        <v>100000</v>
      </c>
      <c r="I1905" s="76" t="s">
        <v>2579</v>
      </c>
      <c r="J1905" s="76" t="n">
        <v>100000</v>
      </c>
      <c r="K1905" s="76" t="s">
        <v>2579</v>
      </c>
      <c r="L1905" s="77" t="s">
        <v>1114</v>
      </c>
    </row>
    <row r="1906" customFormat="false" ht="15" hidden="false" customHeight="false" outlineLevel="0" collapsed="false">
      <c r="A1906" s="76" t="s">
        <v>2577</v>
      </c>
      <c r="B1906" s="76" t="s">
        <v>177</v>
      </c>
      <c r="C1906" s="76" t="s">
        <v>178</v>
      </c>
      <c r="D1906" s="76" t="s">
        <v>1132</v>
      </c>
      <c r="E1906" s="76" t="s">
        <v>1133</v>
      </c>
      <c r="F1906" s="35" t="s">
        <v>2578</v>
      </c>
      <c r="G1906" s="76" t="s">
        <v>434</v>
      </c>
      <c r="H1906" s="78" t="n">
        <v>100</v>
      </c>
      <c r="I1906" s="76" t="s">
        <v>1423</v>
      </c>
      <c r="J1906" s="76" t="n">
        <v>100</v>
      </c>
      <c r="K1906" s="76" t="s">
        <v>1423</v>
      </c>
      <c r="L1906" s="77" t="s">
        <v>1114</v>
      </c>
    </row>
    <row r="1907" customFormat="false" ht="15" hidden="false" customHeight="false" outlineLevel="0" collapsed="false">
      <c r="A1907" s="76" t="s">
        <v>2580</v>
      </c>
      <c r="B1907" s="76" t="s">
        <v>177</v>
      </c>
      <c r="C1907" s="76" t="s">
        <v>178</v>
      </c>
      <c r="D1907" s="76" t="s">
        <v>1141</v>
      </c>
      <c r="E1907" s="76" t="s">
        <v>1142</v>
      </c>
      <c r="F1907" s="35" t="s">
        <v>2581</v>
      </c>
      <c r="G1907" s="76" t="s">
        <v>419</v>
      </c>
      <c r="H1907" s="76"/>
      <c r="I1907" s="76" t="s">
        <v>2571</v>
      </c>
      <c r="J1907" s="76"/>
      <c r="K1907" s="76" t="s">
        <v>2571</v>
      </c>
      <c r="L1907" s="77" t="s">
        <v>1114</v>
      </c>
    </row>
    <row r="1908" customFormat="false" ht="15" hidden="false" customHeight="false" outlineLevel="0" collapsed="false">
      <c r="A1908" s="76" t="s">
        <v>2580</v>
      </c>
      <c r="B1908" s="76" t="s">
        <v>177</v>
      </c>
      <c r="C1908" s="76" t="s">
        <v>178</v>
      </c>
      <c r="D1908" s="76" t="s">
        <v>1141</v>
      </c>
      <c r="E1908" s="76" t="s">
        <v>1142</v>
      </c>
      <c r="F1908" s="35" t="s">
        <v>2581</v>
      </c>
      <c r="G1908" s="76" t="s">
        <v>1086</v>
      </c>
      <c r="H1908" s="76" t="n">
        <v>13</v>
      </c>
      <c r="I1908" s="76" t="s">
        <v>2582</v>
      </c>
      <c r="J1908" s="76" t="n">
        <v>13</v>
      </c>
      <c r="K1908" s="76" t="s">
        <v>2582</v>
      </c>
      <c r="L1908" s="77" t="s">
        <v>1114</v>
      </c>
    </row>
    <row r="1909" customFormat="false" ht="15" hidden="false" customHeight="false" outlineLevel="0" collapsed="false">
      <c r="A1909" s="76" t="s">
        <v>2580</v>
      </c>
      <c r="B1909" s="76" t="s">
        <v>177</v>
      </c>
      <c r="C1909" s="76" t="s">
        <v>178</v>
      </c>
      <c r="D1909" s="76" t="s">
        <v>1141</v>
      </c>
      <c r="E1909" s="76" t="s">
        <v>1142</v>
      </c>
      <c r="F1909" s="35" t="s">
        <v>2581</v>
      </c>
      <c r="G1909" s="76" t="s">
        <v>1087</v>
      </c>
      <c r="H1909" s="78" t="n">
        <v>2738.63199193567</v>
      </c>
      <c r="I1909" s="76" t="s">
        <v>2583</v>
      </c>
      <c r="J1909" s="78" t="n">
        <v>2738.63199193567</v>
      </c>
      <c r="K1909" s="76" t="s">
        <v>2583</v>
      </c>
      <c r="L1909" s="77" t="s">
        <v>1114</v>
      </c>
    </row>
    <row r="1910" customFormat="false" ht="15" hidden="false" customHeight="false" outlineLevel="0" collapsed="false">
      <c r="A1910" s="76" t="s">
        <v>2580</v>
      </c>
      <c r="B1910" s="76" t="s">
        <v>177</v>
      </c>
      <c r="C1910" s="76" t="s">
        <v>178</v>
      </c>
      <c r="D1910" s="76" t="s">
        <v>1141</v>
      </c>
      <c r="E1910" s="76" t="s">
        <v>1142</v>
      </c>
      <c r="F1910" s="35" t="s">
        <v>2581</v>
      </c>
      <c r="G1910" s="76" t="s">
        <v>477</v>
      </c>
      <c r="H1910" s="78" t="n">
        <v>2738.63199193567</v>
      </c>
      <c r="I1910" s="76" t="s">
        <v>2583</v>
      </c>
      <c r="J1910" s="78" t="n">
        <v>2738.63199193567</v>
      </c>
      <c r="K1910" s="76" t="s">
        <v>2583</v>
      </c>
      <c r="L1910" s="77" t="s">
        <v>1114</v>
      </c>
    </row>
    <row r="1911" customFormat="false" ht="15" hidden="false" customHeight="false" outlineLevel="0" collapsed="false">
      <c r="A1911" s="76" t="s">
        <v>2580</v>
      </c>
      <c r="B1911" s="76" t="s">
        <v>177</v>
      </c>
      <c r="C1911" s="76" t="s">
        <v>178</v>
      </c>
      <c r="D1911" s="76" t="s">
        <v>1141</v>
      </c>
      <c r="E1911" s="76" t="s">
        <v>1142</v>
      </c>
      <c r="F1911" s="35" t="s">
        <v>2581</v>
      </c>
      <c r="G1911" s="76" t="s">
        <v>1089</v>
      </c>
      <c r="H1911" s="78" t="n">
        <v>30100</v>
      </c>
      <c r="I1911" s="76" t="s">
        <v>2584</v>
      </c>
      <c r="J1911" s="76" t="n">
        <v>30100</v>
      </c>
      <c r="K1911" s="76" t="s">
        <v>2584</v>
      </c>
      <c r="L1911" s="77" t="s">
        <v>1114</v>
      </c>
    </row>
    <row r="1912" customFormat="false" ht="15" hidden="false" customHeight="false" outlineLevel="0" collapsed="false">
      <c r="A1912" s="76" t="s">
        <v>2580</v>
      </c>
      <c r="B1912" s="76" t="s">
        <v>177</v>
      </c>
      <c r="C1912" s="76" t="s">
        <v>178</v>
      </c>
      <c r="D1912" s="76" t="s">
        <v>1141</v>
      </c>
      <c r="E1912" s="76" t="s">
        <v>1142</v>
      </c>
      <c r="F1912" s="35" t="s">
        <v>2581</v>
      </c>
      <c r="G1912" s="76" t="s">
        <v>434</v>
      </c>
      <c r="H1912" s="78" t="n">
        <v>2</v>
      </c>
      <c r="I1912" s="76" t="s">
        <v>869</v>
      </c>
      <c r="J1912" s="76" t="n">
        <v>2</v>
      </c>
      <c r="K1912" s="76" t="s">
        <v>869</v>
      </c>
      <c r="L1912" s="77" t="s">
        <v>1114</v>
      </c>
    </row>
    <row r="1913" customFormat="false" ht="15" hidden="false" customHeight="false" outlineLevel="0" collapsed="false">
      <c r="A1913" s="76" t="s">
        <v>2585</v>
      </c>
      <c r="B1913" s="76" t="s">
        <v>177</v>
      </c>
      <c r="C1913" s="76" t="s">
        <v>178</v>
      </c>
      <c r="D1913" s="76" t="s">
        <v>1151</v>
      </c>
      <c r="E1913" s="76" t="s">
        <v>1152</v>
      </c>
      <c r="F1913" s="35" t="s">
        <v>2586</v>
      </c>
      <c r="G1913" s="76" t="s">
        <v>419</v>
      </c>
      <c r="H1913" s="76"/>
      <c r="I1913" s="76" t="s">
        <v>2571</v>
      </c>
      <c r="J1913" s="76"/>
      <c r="K1913" s="76" t="s">
        <v>2571</v>
      </c>
      <c r="L1913" s="77" t="s">
        <v>1114</v>
      </c>
    </row>
    <row r="1914" customFormat="false" ht="15" hidden="false" customHeight="false" outlineLevel="0" collapsed="false">
      <c r="A1914" s="76" t="s">
        <v>2585</v>
      </c>
      <c r="B1914" s="76" t="s">
        <v>177</v>
      </c>
      <c r="C1914" s="76" t="s">
        <v>178</v>
      </c>
      <c r="D1914" s="76" t="s">
        <v>1151</v>
      </c>
      <c r="E1914" s="76" t="s">
        <v>1152</v>
      </c>
      <c r="F1914" s="35" t="s">
        <v>2586</v>
      </c>
      <c r="G1914" s="76" t="s">
        <v>1086</v>
      </c>
      <c r="H1914" s="76" t="n">
        <v>5</v>
      </c>
      <c r="I1914" s="76" t="s">
        <v>2587</v>
      </c>
      <c r="J1914" s="76" t="n">
        <v>5</v>
      </c>
      <c r="K1914" s="76" t="s">
        <v>2587</v>
      </c>
      <c r="L1914" s="77" t="s">
        <v>1114</v>
      </c>
    </row>
    <row r="1915" customFormat="false" ht="15" hidden="false" customHeight="false" outlineLevel="0" collapsed="false">
      <c r="A1915" s="76" t="s">
        <v>2585</v>
      </c>
      <c r="B1915" s="76" t="s">
        <v>177</v>
      </c>
      <c r="C1915" s="76" t="s">
        <v>178</v>
      </c>
      <c r="D1915" s="76" t="s">
        <v>1151</v>
      </c>
      <c r="E1915" s="76" t="s">
        <v>1152</v>
      </c>
      <c r="F1915" s="35" t="s">
        <v>2586</v>
      </c>
      <c r="G1915" s="76" t="s">
        <v>1087</v>
      </c>
      <c r="H1915" s="78" t="n">
        <v>196.086362390625</v>
      </c>
      <c r="I1915" s="76" t="s">
        <v>2588</v>
      </c>
      <c r="J1915" s="78" t="n">
        <v>196.086362390625</v>
      </c>
      <c r="K1915" s="76" t="s">
        <v>2588</v>
      </c>
      <c r="L1915" s="77" t="s">
        <v>1114</v>
      </c>
    </row>
    <row r="1916" customFormat="false" ht="15" hidden="false" customHeight="false" outlineLevel="0" collapsed="false">
      <c r="A1916" s="76" t="s">
        <v>2585</v>
      </c>
      <c r="B1916" s="76" t="s">
        <v>177</v>
      </c>
      <c r="C1916" s="76" t="s">
        <v>178</v>
      </c>
      <c r="D1916" s="76" t="s">
        <v>1151</v>
      </c>
      <c r="E1916" s="76" t="s">
        <v>1152</v>
      </c>
      <c r="F1916" s="35" t="s">
        <v>2586</v>
      </c>
      <c r="G1916" s="76" t="s">
        <v>477</v>
      </c>
      <c r="H1916" s="78" t="n">
        <v>196.086362390625</v>
      </c>
      <c r="I1916" s="76" t="s">
        <v>2588</v>
      </c>
      <c r="J1916" s="78" t="n">
        <v>196.086362390625</v>
      </c>
      <c r="K1916" s="76" t="s">
        <v>2588</v>
      </c>
      <c r="L1916" s="77" t="s">
        <v>1114</v>
      </c>
    </row>
    <row r="1917" customFormat="false" ht="15" hidden="false" customHeight="false" outlineLevel="0" collapsed="false">
      <c r="A1917" s="76" t="s">
        <v>2585</v>
      </c>
      <c r="B1917" s="76" t="s">
        <v>177</v>
      </c>
      <c r="C1917" s="76" t="s">
        <v>178</v>
      </c>
      <c r="D1917" s="76" t="s">
        <v>1151</v>
      </c>
      <c r="E1917" s="76" t="s">
        <v>1152</v>
      </c>
      <c r="F1917" s="35" t="s">
        <v>2586</v>
      </c>
      <c r="G1917" s="76" t="s">
        <v>1089</v>
      </c>
      <c r="H1917" s="78" t="n">
        <v>5000</v>
      </c>
      <c r="I1917" s="76" t="s">
        <v>1296</v>
      </c>
      <c r="J1917" s="76" t="n">
        <v>5000</v>
      </c>
      <c r="K1917" s="76" t="s">
        <v>1296</v>
      </c>
      <c r="L1917" s="77" t="s">
        <v>1114</v>
      </c>
    </row>
    <row r="1918" customFormat="false" ht="15" hidden="false" customHeight="false" outlineLevel="0" collapsed="false">
      <c r="A1918" s="76" t="s">
        <v>2585</v>
      </c>
      <c r="B1918" s="76" t="s">
        <v>177</v>
      </c>
      <c r="C1918" s="76" t="s">
        <v>178</v>
      </c>
      <c r="D1918" s="76" t="s">
        <v>1151</v>
      </c>
      <c r="E1918" s="76" t="s">
        <v>1152</v>
      </c>
      <c r="F1918" s="35" t="s">
        <v>2586</v>
      </c>
      <c r="G1918" s="76" t="s">
        <v>434</v>
      </c>
      <c r="H1918" s="78" t="n">
        <v>1</v>
      </c>
      <c r="I1918" s="76" t="s">
        <v>1297</v>
      </c>
      <c r="J1918" s="76" t="n">
        <v>1</v>
      </c>
      <c r="K1918" s="76" t="s">
        <v>1297</v>
      </c>
      <c r="L1918" s="77" t="s">
        <v>1114</v>
      </c>
    </row>
    <row r="1919" customFormat="false" ht="15" hidden="false" customHeight="false" outlineLevel="0" collapsed="false">
      <c r="A1919" s="76" t="s">
        <v>2589</v>
      </c>
      <c r="B1919" s="76" t="s">
        <v>177</v>
      </c>
      <c r="C1919" s="76" t="s">
        <v>178</v>
      </c>
      <c r="D1919" s="76" t="s">
        <v>1161</v>
      </c>
      <c r="E1919" s="76" t="s">
        <v>1162</v>
      </c>
      <c r="F1919" s="35" t="s">
        <v>2590</v>
      </c>
      <c r="G1919" s="76" t="s">
        <v>419</v>
      </c>
      <c r="H1919" s="76"/>
      <c r="I1919" s="76" t="s">
        <v>2571</v>
      </c>
      <c r="J1919" s="76"/>
      <c r="K1919" s="76" t="s">
        <v>2571</v>
      </c>
      <c r="L1919" s="77" t="s">
        <v>1114</v>
      </c>
    </row>
    <row r="1920" customFormat="false" ht="15" hidden="false" customHeight="false" outlineLevel="0" collapsed="false">
      <c r="A1920" s="76" t="s">
        <v>2589</v>
      </c>
      <c r="B1920" s="76" t="s">
        <v>177</v>
      </c>
      <c r="C1920" s="76" t="s">
        <v>178</v>
      </c>
      <c r="D1920" s="76" t="s">
        <v>1161</v>
      </c>
      <c r="E1920" s="76" t="s">
        <v>1162</v>
      </c>
      <c r="F1920" s="35" t="s">
        <v>2590</v>
      </c>
      <c r="G1920" s="76" t="s">
        <v>1086</v>
      </c>
      <c r="H1920" s="76" t="n">
        <v>10</v>
      </c>
      <c r="I1920" s="76" t="s">
        <v>1312</v>
      </c>
      <c r="J1920" s="76" t="n">
        <v>10</v>
      </c>
      <c r="K1920" s="76" t="s">
        <v>1312</v>
      </c>
      <c r="L1920" s="77" t="s">
        <v>1114</v>
      </c>
    </row>
    <row r="1921" customFormat="false" ht="15" hidden="false" customHeight="false" outlineLevel="0" collapsed="false">
      <c r="A1921" s="76" t="s">
        <v>2589</v>
      </c>
      <c r="B1921" s="76" t="s">
        <v>177</v>
      </c>
      <c r="C1921" s="76" t="s">
        <v>178</v>
      </c>
      <c r="D1921" s="76" t="s">
        <v>1161</v>
      </c>
      <c r="E1921" s="76" t="s">
        <v>1162</v>
      </c>
      <c r="F1921" s="35" t="s">
        <v>2590</v>
      </c>
      <c r="G1921" s="76" t="s">
        <v>1087</v>
      </c>
      <c r="H1921" s="76" t="n">
        <v>0</v>
      </c>
      <c r="I1921" s="76" t="s">
        <v>1127</v>
      </c>
      <c r="J1921" s="76" t="n">
        <v>0</v>
      </c>
      <c r="K1921" s="76" t="s">
        <v>1127</v>
      </c>
      <c r="L1921" s="77" t="s">
        <v>1114</v>
      </c>
    </row>
    <row r="1922" customFormat="false" ht="15" hidden="false" customHeight="false" outlineLevel="0" collapsed="false">
      <c r="A1922" s="76" t="s">
        <v>2589</v>
      </c>
      <c r="B1922" s="76" t="s">
        <v>177</v>
      </c>
      <c r="C1922" s="76" t="s">
        <v>178</v>
      </c>
      <c r="D1922" s="76" t="s">
        <v>1161</v>
      </c>
      <c r="E1922" s="76" t="s">
        <v>1162</v>
      </c>
      <c r="F1922" s="35" t="s">
        <v>2590</v>
      </c>
      <c r="G1922" s="76" t="s">
        <v>477</v>
      </c>
      <c r="H1922" s="76" t="n">
        <v>0</v>
      </c>
      <c r="I1922" s="76" t="s">
        <v>1127</v>
      </c>
      <c r="J1922" s="76" t="n">
        <v>0</v>
      </c>
      <c r="K1922" s="76" t="s">
        <v>1127</v>
      </c>
      <c r="L1922" s="77" t="s">
        <v>1114</v>
      </c>
    </row>
    <row r="1923" customFormat="false" ht="15" hidden="false" customHeight="false" outlineLevel="0" collapsed="false">
      <c r="A1923" s="76" t="s">
        <v>2589</v>
      </c>
      <c r="B1923" s="76" t="s">
        <v>177</v>
      </c>
      <c r="C1923" s="76" t="s">
        <v>178</v>
      </c>
      <c r="D1923" s="76" t="s">
        <v>1161</v>
      </c>
      <c r="E1923" s="76" t="s">
        <v>1162</v>
      </c>
      <c r="F1923" s="35" t="s">
        <v>2590</v>
      </c>
      <c r="G1923" s="76" t="s">
        <v>1089</v>
      </c>
      <c r="H1923" s="78" t="n">
        <v>100</v>
      </c>
      <c r="I1923" s="76" t="s">
        <v>1423</v>
      </c>
      <c r="J1923" s="76" t="n">
        <v>100</v>
      </c>
      <c r="K1923" s="76" t="s">
        <v>1423</v>
      </c>
      <c r="L1923" s="77" t="s">
        <v>1114</v>
      </c>
    </row>
    <row r="1924" customFormat="false" ht="15" hidden="false" customHeight="false" outlineLevel="0" collapsed="false">
      <c r="A1924" s="76" t="s">
        <v>2589</v>
      </c>
      <c r="B1924" s="76" t="s">
        <v>177</v>
      </c>
      <c r="C1924" s="76" t="s">
        <v>178</v>
      </c>
      <c r="D1924" s="76" t="s">
        <v>1161</v>
      </c>
      <c r="E1924" s="76" t="s">
        <v>1162</v>
      </c>
      <c r="F1924" s="35" t="s">
        <v>2590</v>
      </c>
      <c r="G1924" s="76" t="s">
        <v>434</v>
      </c>
      <c r="H1924" s="78" t="n">
        <v>1</v>
      </c>
      <c r="I1924" s="76" t="s">
        <v>1297</v>
      </c>
      <c r="J1924" s="76" t="n">
        <v>1</v>
      </c>
      <c r="K1924" s="76" t="s">
        <v>1297</v>
      </c>
      <c r="L1924" s="77" t="s">
        <v>1114</v>
      </c>
    </row>
    <row r="1925" customFormat="false" ht="15" hidden="false" customHeight="false" outlineLevel="0" collapsed="false">
      <c r="A1925" s="76" t="s">
        <v>2591</v>
      </c>
      <c r="B1925" s="76" t="s">
        <v>177</v>
      </c>
      <c r="C1925" s="76" t="s">
        <v>178</v>
      </c>
      <c r="D1925" s="76" t="s">
        <v>1170</v>
      </c>
      <c r="E1925" s="76" t="s">
        <v>1171</v>
      </c>
      <c r="F1925" s="35" t="s">
        <v>2592</v>
      </c>
      <c r="G1925" s="76" t="s">
        <v>419</v>
      </c>
      <c r="H1925" s="76"/>
      <c r="I1925" s="76" t="s">
        <v>2571</v>
      </c>
      <c r="J1925" s="76"/>
      <c r="K1925" s="76" t="s">
        <v>2571</v>
      </c>
      <c r="L1925" s="77" t="s">
        <v>1114</v>
      </c>
    </row>
    <row r="1926" customFormat="false" ht="15" hidden="false" customHeight="false" outlineLevel="0" collapsed="false">
      <c r="A1926" s="76" t="s">
        <v>2591</v>
      </c>
      <c r="B1926" s="76" t="s">
        <v>177</v>
      </c>
      <c r="C1926" s="76" t="s">
        <v>178</v>
      </c>
      <c r="D1926" s="76" t="s">
        <v>1170</v>
      </c>
      <c r="E1926" s="76" t="s">
        <v>1171</v>
      </c>
      <c r="F1926" s="35" t="s">
        <v>2592</v>
      </c>
      <c r="G1926" s="76" t="s">
        <v>1086</v>
      </c>
      <c r="H1926" s="76"/>
      <c r="I1926" s="76" t="s">
        <v>2576</v>
      </c>
      <c r="J1926" s="76" t="s">
        <v>1249</v>
      </c>
      <c r="K1926" s="76" t="s">
        <v>2576</v>
      </c>
      <c r="L1926" s="77" t="s">
        <v>1114</v>
      </c>
    </row>
    <row r="1927" customFormat="false" ht="15" hidden="false" customHeight="false" outlineLevel="0" collapsed="false">
      <c r="A1927" s="76" t="s">
        <v>2591</v>
      </c>
      <c r="B1927" s="76" t="s">
        <v>177</v>
      </c>
      <c r="C1927" s="76" t="s">
        <v>178</v>
      </c>
      <c r="D1927" s="76" t="s">
        <v>1170</v>
      </c>
      <c r="E1927" s="76" t="s">
        <v>1171</v>
      </c>
      <c r="F1927" s="35" t="s">
        <v>2592</v>
      </c>
      <c r="G1927" s="76" t="s">
        <v>1087</v>
      </c>
      <c r="H1927" s="76"/>
      <c r="I1927" s="76"/>
      <c r="J1927" s="76"/>
      <c r="K1927" s="76"/>
      <c r="L1927" s="77" t="s">
        <v>1114</v>
      </c>
    </row>
    <row r="1928" customFormat="false" ht="15" hidden="false" customHeight="false" outlineLevel="0" collapsed="false">
      <c r="A1928" s="76" t="s">
        <v>2591</v>
      </c>
      <c r="B1928" s="76" t="s">
        <v>177</v>
      </c>
      <c r="C1928" s="76" t="s">
        <v>178</v>
      </c>
      <c r="D1928" s="76" t="s">
        <v>1170</v>
      </c>
      <c r="E1928" s="76" t="s">
        <v>1171</v>
      </c>
      <c r="F1928" s="35" t="s">
        <v>2592</v>
      </c>
      <c r="G1928" s="76" t="s">
        <v>477</v>
      </c>
      <c r="H1928" s="76"/>
      <c r="I1928" s="76" t="s">
        <v>1250</v>
      </c>
      <c r="J1928" s="76"/>
      <c r="K1928" s="76" t="s">
        <v>1250</v>
      </c>
      <c r="L1928" s="77" t="s">
        <v>1114</v>
      </c>
    </row>
    <row r="1929" customFormat="false" ht="15" hidden="false" customHeight="false" outlineLevel="0" collapsed="false">
      <c r="A1929" s="76" t="s">
        <v>2591</v>
      </c>
      <c r="B1929" s="76" t="s">
        <v>177</v>
      </c>
      <c r="C1929" s="76" t="s">
        <v>178</v>
      </c>
      <c r="D1929" s="76" t="s">
        <v>1170</v>
      </c>
      <c r="E1929" s="76" t="s">
        <v>1171</v>
      </c>
      <c r="F1929" s="35" t="s">
        <v>2592</v>
      </c>
      <c r="G1929" s="76" t="s">
        <v>1089</v>
      </c>
      <c r="H1929" s="76"/>
      <c r="I1929" s="76"/>
      <c r="J1929" s="76"/>
      <c r="K1929" s="76"/>
      <c r="L1929" s="77" t="s">
        <v>1114</v>
      </c>
    </row>
    <row r="1930" customFormat="false" ht="15" hidden="false" customHeight="false" outlineLevel="0" collapsed="false">
      <c r="A1930" s="76" t="s">
        <v>2591</v>
      </c>
      <c r="B1930" s="76" t="s">
        <v>177</v>
      </c>
      <c r="C1930" s="76" t="s">
        <v>178</v>
      </c>
      <c r="D1930" s="76" t="s">
        <v>1170</v>
      </c>
      <c r="E1930" s="76" t="s">
        <v>1171</v>
      </c>
      <c r="F1930" s="35" t="s">
        <v>2592</v>
      </c>
      <c r="G1930" s="76" t="s">
        <v>434</v>
      </c>
      <c r="H1930" s="76"/>
      <c r="I1930" s="76"/>
      <c r="J1930" s="76"/>
      <c r="K1930" s="76"/>
      <c r="L1930" s="77" t="s">
        <v>1114</v>
      </c>
    </row>
    <row r="1931" customFormat="false" ht="15" hidden="false" customHeight="false" outlineLevel="0" collapsed="false">
      <c r="A1931" s="76" t="s">
        <v>2593</v>
      </c>
      <c r="B1931" s="76" t="s">
        <v>177</v>
      </c>
      <c r="C1931" s="76" t="s">
        <v>178</v>
      </c>
      <c r="D1931" s="76" t="s">
        <v>1180</v>
      </c>
      <c r="E1931" s="76" t="s">
        <v>1152</v>
      </c>
      <c r="F1931" s="35" t="s">
        <v>2594</v>
      </c>
      <c r="G1931" s="76" t="s">
        <v>419</v>
      </c>
      <c r="H1931" s="76"/>
      <c r="I1931" s="76" t="s">
        <v>2571</v>
      </c>
      <c r="J1931" s="76"/>
      <c r="K1931" s="76" t="s">
        <v>2571</v>
      </c>
      <c r="L1931" s="77" t="s">
        <v>1114</v>
      </c>
    </row>
    <row r="1932" customFormat="false" ht="15" hidden="false" customHeight="false" outlineLevel="0" collapsed="false">
      <c r="A1932" s="76" t="s">
        <v>2593</v>
      </c>
      <c r="B1932" s="76" t="s">
        <v>177</v>
      </c>
      <c r="C1932" s="76" t="s">
        <v>178</v>
      </c>
      <c r="D1932" s="76" t="s">
        <v>1180</v>
      </c>
      <c r="E1932" s="76" t="s">
        <v>1152</v>
      </c>
      <c r="F1932" s="35" t="s">
        <v>2594</v>
      </c>
      <c r="G1932" s="76" t="s">
        <v>1086</v>
      </c>
      <c r="H1932" s="76" t="n">
        <v>40</v>
      </c>
      <c r="I1932" s="76" t="s">
        <v>2595</v>
      </c>
      <c r="J1932" s="76" t="n">
        <v>40</v>
      </c>
      <c r="K1932" s="76" t="s">
        <v>2595</v>
      </c>
      <c r="L1932" s="77" t="s">
        <v>1114</v>
      </c>
    </row>
    <row r="1933" customFormat="false" ht="15" hidden="false" customHeight="false" outlineLevel="0" collapsed="false">
      <c r="A1933" s="76" t="s">
        <v>2593</v>
      </c>
      <c r="B1933" s="76" t="s">
        <v>177</v>
      </c>
      <c r="C1933" s="76" t="s">
        <v>178</v>
      </c>
      <c r="D1933" s="76" t="s">
        <v>1180</v>
      </c>
      <c r="E1933" s="76" t="s">
        <v>1152</v>
      </c>
      <c r="F1933" s="35" t="s">
        <v>2594</v>
      </c>
      <c r="G1933" s="76" t="s">
        <v>1087</v>
      </c>
      <c r="H1933" s="78" t="n">
        <v>6107.58708100586</v>
      </c>
      <c r="I1933" s="76" t="s">
        <v>2596</v>
      </c>
      <c r="J1933" s="78" t="n">
        <v>6107.58708100586</v>
      </c>
      <c r="K1933" s="76" t="s">
        <v>2596</v>
      </c>
      <c r="L1933" s="77" t="s">
        <v>1114</v>
      </c>
    </row>
    <row r="1934" customFormat="false" ht="15" hidden="false" customHeight="false" outlineLevel="0" collapsed="false">
      <c r="A1934" s="76" t="s">
        <v>2593</v>
      </c>
      <c r="B1934" s="76" t="s">
        <v>177</v>
      </c>
      <c r="C1934" s="76" t="s">
        <v>178</v>
      </c>
      <c r="D1934" s="76" t="s">
        <v>1180</v>
      </c>
      <c r="E1934" s="76" t="s">
        <v>1152</v>
      </c>
      <c r="F1934" s="35" t="s">
        <v>2594</v>
      </c>
      <c r="G1934" s="76" t="s">
        <v>477</v>
      </c>
      <c r="H1934" s="78" t="n">
        <v>6107.58708100586</v>
      </c>
      <c r="I1934" s="76" t="s">
        <v>2596</v>
      </c>
      <c r="J1934" s="78" t="n">
        <v>6107.58708100586</v>
      </c>
      <c r="K1934" s="76" t="s">
        <v>2596</v>
      </c>
      <c r="L1934" s="77" t="s">
        <v>1114</v>
      </c>
    </row>
    <row r="1935" customFormat="false" ht="15" hidden="false" customHeight="false" outlineLevel="0" collapsed="false">
      <c r="A1935" s="76" t="s">
        <v>2593</v>
      </c>
      <c r="B1935" s="76" t="s">
        <v>177</v>
      </c>
      <c r="C1935" s="76" t="s">
        <v>178</v>
      </c>
      <c r="D1935" s="76" t="s">
        <v>1180</v>
      </c>
      <c r="E1935" s="76" t="s">
        <v>1152</v>
      </c>
      <c r="F1935" s="35" t="s">
        <v>2594</v>
      </c>
      <c r="G1935" s="76" t="s">
        <v>1089</v>
      </c>
      <c r="H1935" s="78" t="n">
        <v>63300</v>
      </c>
      <c r="I1935" s="76" t="s">
        <v>2597</v>
      </c>
      <c r="J1935" s="76" t="n">
        <v>63300</v>
      </c>
      <c r="K1935" s="76" t="s">
        <v>2597</v>
      </c>
      <c r="L1935" s="77" t="s">
        <v>1114</v>
      </c>
    </row>
    <row r="1936" customFormat="false" ht="15" hidden="false" customHeight="false" outlineLevel="0" collapsed="false">
      <c r="A1936" s="76" t="s">
        <v>2593</v>
      </c>
      <c r="B1936" s="76" t="s">
        <v>177</v>
      </c>
      <c r="C1936" s="76" t="s">
        <v>178</v>
      </c>
      <c r="D1936" s="76" t="s">
        <v>1180</v>
      </c>
      <c r="E1936" s="76" t="s">
        <v>1152</v>
      </c>
      <c r="F1936" s="35" t="s">
        <v>2594</v>
      </c>
      <c r="G1936" s="76" t="s">
        <v>434</v>
      </c>
      <c r="H1936" s="78" t="n">
        <v>4</v>
      </c>
      <c r="I1936" s="76" t="s">
        <v>871</v>
      </c>
      <c r="J1936" s="76" t="n">
        <v>4</v>
      </c>
      <c r="K1936" s="76" t="s">
        <v>871</v>
      </c>
      <c r="L1936" s="77" t="s">
        <v>1114</v>
      </c>
    </row>
    <row r="1937" customFormat="false" ht="15" hidden="false" customHeight="false" outlineLevel="0" collapsed="false">
      <c r="A1937" s="76" t="s">
        <v>2598</v>
      </c>
      <c r="B1937" s="76" t="s">
        <v>177</v>
      </c>
      <c r="C1937" s="76" t="s">
        <v>178</v>
      </c>
      <c r="D1937" s="76" t="s">
        <v>1189</v>
      </c>
      <c r="E1937" s="76" t="s">
        <v>1125</v>
      </c>
      <c r="F1937" s="35" t="s">
        <v>2599</v>
      </c>
      <c r="G1937" s="76" t="s">
        <v>419</v>
      </c>
      <c r="H1937" s="76"/>
      <c r="I1937" s="76" t="s">
        <v>2571</v>
      </c>
      <c r="J1937" s="76"/>
      <c r="K1937" s="76" t="s">
        <v>2571</v>
      </c>
      <c r="L1937" s="77" t="s">
        <v>1114</v>
      </c>
    </row>
    <row r="1938" customFormat="false" ht="15" hidden="false" customHeight="false" outlineLevel="0" collapsed="false">
      <c r="A1938" s="76" t="s">
        <v>2598</v>
      </c>
      <c r="B1938" s="76" t="s">
        <v>177</v>
      </c>
      <c r="C1938" s="76" t="s">
        <v>178</v>
      </c>
      <c r="D1938" s="76" t="s">
        <v>1189</v>
      </c>
      <c r="E1938" s="76" t="s">
        <v>1125</v>
      </c>
      <c r="F1938" s="35" t="s">
        <v>2599</v>
      </c>
      <c r="G1938" s="76" t="s">
        <v>1086</v>
      </c>
      <c r="H1938" s="76" t="n">
        <v>263</v>
      </c>
      <c r="I1938" s="76" t="s">
        <v>2600</v>
      </c>
      <c r="J1938" s="76" t="n">
        <v>263</v>
      </c>
      <c r="K1938" s="76" t="s">
        <v>2600</v>
      </c>
      <c r="L1938" s="77" t="s">
        <v>1114</v>
      </c>
    </row>
    <row r="1939" customFormat="false" ht="15" hidden="false" customHeight="false" outlineLevel="0" collapsed="false">
      <c r="A1939" s="76" t="s">
        <v>2598</v>
      </c>
      <c r="B1939" s="76" t="s">
        <v>177</v>
      </c>
      <c r="C1939" s="76" t="s">
        <v>178</v>
      </c>
      <c r="D1939" s="76" t="s">
        <v>1189</v>
      </c>
      <c r="E1939" s="76" t="s">
        <v>1125</v>
      </c>
      <c r="F1939" s="35" t="s">
        <v>2599</v>
      </c>
      <c r="G1939" s="76" t="s">
        <v>1087</v>
      </c>
      <c r="H1939" s="78" t="n">
        <v>23711.083834159</v>
      </c>
      <c r="I1939" s="76" t="s">
        <v>2601</v>
      </c>
      <c r="J1939" s="78" t="n">
        <v>23711.083834159</v>
      </c>
      <c r="K1939" s="76" t="s">
        <v>2601</v>
      </c>
      <c r="L1939" s="77" t="s">
        <v>1114</v>
      </c>
    </row>
    <row r="1940" customFormat="false" ht="15" hidden="false" customHeight="false" outlineLevel="0" collapsed="false">
      <c r="A1940" s="76" t="s">
        <v>2598</v>
      </c>
      <c r="B1940" s="76" t="s">
        <v>177</v>
      </c>
      <c r="C1940" s="76" t="s">
        <v>178</v>
      </c>
      <c r="D1940" s="76" t="s">
        <v>1189</v>
      </c>
      <c r="E1940" s="76" t="s">
        <v>1125</v>
      </c>
      <c r="F1940" s="35" t="s">
        <v>2599</v>
      </c>
      <c r="G1940" s="76" t="s">
        <v>477</v>
      </c>
      <c r="H1940" s="78" t="n">
        <v>23711.083834159</v>
      </c>
      <c r="I1940" s="76" t="s">
        <v>2601</v>
      </c>
      <c r="J1940" s="78" t="n">
        <v>23711.083834159</v>
      </c>
      <c r="K1940" s="76" t="s">
        <v>2601</v>
      </c>
      <c r="L1940" s="77" t="s">
        <v>1114</v>
      </c>
    </row>
    <row r="1941" customFormat="false" ht="15" hidden="false" customHeight="false" outlineLevel="0" collapsed="false">
      <c r="A1941" s="76" t="s">
        <v>2598</v>
      </c>
      <c r="B1941" s="76" t="s">
        <v>177</v>
      </c>
      <c r="C1941" s="76" t="s">
        <v>178</v>
      </c>
      <c r="D1941" s="76" t="s">
        <v>1189</v>
      </c>
      <c r="E1941" s="76" t="s">
        <v>1125</v>
      </c>
      <c r="F1941" s="35" t="s">
        <v>2599</v>
      </c>
      <c r="G1941" s="76" t="s">
        <v>1089</v>
      </c>
      <c r="H1941" s="78" t="n">
        <v>47200</v>
      </c>
      <c r="I1941" s="76" t="s">
        <v>2602</v>
      </c>
      <c r="J1941" s="76" t="n">
        <v>47200</v>
      </c>
      <c r="K1941" s="76" t="s">
        <v>2602</v>
      </c>
      <c r="L1941" s="77" t="s">
        <v>1114</v>
      </c>
    </row>
    <row r="1942" customFormat="false" ht="15" hidden="false" customHeight="false" outlineLevel="0" collapsed="false">
      <c r="A1942" s="76" t="s">
        <v>2598</v>
      </c>
      <c r="B1942" s="76" t="s">
        <v>177</v>
      </c>
      <c r="C1942" s="76" t="s">
        <v>178</v>
      </c>
      <c r="D1942" s="76" t="s">
        <v>1189</v>
      </c>
      <c r="E1942" s="76" t="s">
        <v>1125</v>
      </c>
      <c r="F1942" s="35" t="s">
        <v>2599</v>
      </c>
      <c r="G1942" s="76" t="s">
        <v>434</v>
      </c>
      <c r="H1942" s="78" t="n">
        <v>22</v>
      </c>
      <c r="I1942" s="76" t="s">
        <v>2603</v>
      </c>
      <c r="J1942" s="76" t="n">
        <v>22</v>
      </c>
      <c r="K1942" s="76" t="s">
        <v>2603</v>
      </c>
      <c r="L1942" s="77" t="s">
        <v>1114</v>
      </c>
    </row>
    <row r="1943" customFormat="false" ht="15" hidden="false" customHeight="false" outlineLevel="0" collapsed="false">
      <c r="A1943" s="76" t="s">
        <v>2604</v>
      </c>
      <c r="B1943" s="76" t="s">
        <v>177</v>
      </c>
      <c r="C1943" s="76" t="s">
        <v>178</v>
      </c>
      <c r="D1943" s="76" t="s">
        <v>1198</v>
      </c>
      <c r="E1943" s="76" t="s">
        <v>1162</v>
      </c>
      <c r="F1943" s="35" t="s">
        <v>2605</v>
      </c>
      <c r="G1943" s="76" t="s">
        <v>419</v>
      </c>
      <c r="H1943" s="76"/>
      <c r="I1943" s="76" t="s">
        <v>2571</v>
      </c>
      <c r="J1943" s="76"/>
      <c r="K1943" s="76" t="s">
        <v>2571</v>
      </c>
      <c r="L1943" s="77" t="s">
        <v>1114</v>
      </c>
    </row>
    <row r="1944" customFormat="false" ht="15" hidden="false" customHeight="false" outlineLevel="0" collapsed="false">
      <c r="A1944" s="76" t="s">
        <v>2604</v>
      </c>
      <c r="B1944" s="76" t="s">
        <v>177</v>
      </c>
      <c r="C1944" s="76" t="s">
        <v>178</v>
      </c>
      <c r="D1944" s="76" t="s">
        <v>1198</v>
      </c>
      <c r="E1944" s="76" t="s">
        <v>1162</v>
      </c>
      <c r="F1944" s="35" t="s">
        <v>2605</v>
      </c>
      <c r="G1944" s="76" t="s">
        <v>1086</v>
      </c>
      <c r="H1944" s="76"/>
      <c r="I1944" s="76" t="s">
        <v>2576</v>
      </c>
      <c r="J1944" s="76" t="s">
        <v>1249</v>
      </c>
      <c r="K1944" s="76" t="s">
        <v>2576</v>
      </c>
      <c r="L1944" s="77" t="s">
        <v>1114</v>
      </c>
    </row>
    <row r="1945" customFormat="false" ht="15" hidden="false" customHeight="false" outlineLevel="0" collapsed="false">
      <c r="A1945" s="76" t="s">
        <v>2604</v>
      </c>
      <c r="B1945" s="76" t="s">
        <v>177</v>
      </c>
      <c r="C1945" s="76" t="s">
        <v>178</v>
      </c>
      <c r="D1945" s="76" t="s">
        <v>1198</v>
      </c>
      <c r="E1945" s="76" t="s">
        <v>1162</v>
      </c>
      <c r="F1945" s="35" t="s">
        <v>2605</v>
      </c>
      <c r="G1945" s="76" t="s">
        <v>1087</v>
      </c>
      <c r="H1945" s="76"/>
      <c r="I1945" s="76"/>
      <c r="J1945" s="76"/>
      <c r="K1945" s="76"/>
      <c r="L1945" s="77" t="s">
        <v>1114</v>
      </c>
    </row>
    <row r="1946" customFormat="false" ht="15" hidden="false" customHeight="false" outlineLevel="0" collapsed="false">
      <c r="A1946" s="76" t="s">
        <v>2604</v>
      </c>
      <c r="B1946" s="76" t="s">
        <v>177</v>
      </c>
      <c r="C1946" s="76" t="s">
        <v>178</v>
      </c>
      <c r="D1946" s="76" t="s">
        <v>1198</v>
      </c>
      <c r="E1946" s="76" t="s">
        <v>1162</v>
      </c>
      <c r="F1946" s="35" t="s">
        <v>2605</v>
      </c>
      <c r="G1946" s="76" t="s">
        <v>477</v>
      </c>
      <c r="H1946" s="76"/>
      <c r="I1946" s="76" t="s">
        <v>1250</v>
      </c>
      <c r="J1946" s="76"/>
      <c r="K1946" s="76" t="s">
        <v>1250</v>
      </c>
      <c r="L1946" s="77" t="s">
        <v>1114</v>
      </c>
    </row>
    <row r="1947" customFormat="false" ht="15" hidden="false" customHeight="false" outlineLevel="0" collapsed="false">
      <c r="A1947" s="76" t="s">
        <v>2604</v>
      </c>
      <c r="B1947" s="76" t="s">
        <v>177</v>
      </c>
      <c r="C1947" s="76" t="s">
        <v>178</v>
      </c>
      <c r="D1947" s="76" t="s">
        <v>1198</v>
      </c>
      <c r="E1947" s="76" t="s">
        <v>1162</v>
      </c>
      <c r="F1947" s="35" t="s">
        <v>2605</v>
      </c>
      <c r="G1947" s="76" t="s">
        <v>1089</v>
      </c>
      <c r="H1947" s="76"/>
      <c r="I1947" s="76"/>
      <c r="J1947" s="76"/>
      <c r="K1947" s="76"/>
      <c r="L1947" s="77" t="s">
        <v>1114</v>
      </c>
    </row>
    <row r="1948" customFormat="false" ht="15" hidden="false" customHeight="false" outlineLevel="0" collapsed="false">
      <c r="A1948" s="76" t="s">
        <v>2604</v>
      </c>
      <c r="B1948" s="76" t="s">
        <v>177</v>
      </c>
      <c r="C1948" s="76" t="s">
        <v>178</v>
      </c>
      <c r="D1948" s="76" t="s">
        <v>1198</v>
      </c>
      <c r="E1948" s="76" t="s">
        <v>1162</v>
      </c>
      <c r="F1948" s="35" t="s">
        <v>2605</v>
      </c>
      <c r="G1948" s="76" t="s">
        <v>434</v>
      </c>
      <c r="H1948" s="76"/>
      <c r="I1948" s="76"/>
      <c r="J1948" s="76"/>
      <c r="K1948" s="76"/>
      <c r="L1948" s="77" t="s">
        <v>1114</v>
      </c>
    </row>
    <row r="1949" customFormat="false" ht="15" hidden="false" customHeight="false" outlineLevel="0" collapsed="false">
      <c r="A1949" s="76" t="s">
        <v>2606</v>
      </c>
      <c r="B1949" s="76" t="s">
        <v>182</v>
      </c>
      <c r="C1949" s="76" t="s">
        <v>183</v>
      </c>
      <c r="D1949" s="76" t="s">
        <v>1111</v>
      </c>
      <c r="E1949" s="76" t="s">
        <v>1112</v>
      </c>
      <c r="F1949" s="35" t="s">
        <v>2607</v>
      </c>
      <c r="G1949" s="76" t="s">
        <v>419</v>
      </c>
      <c r="H1949" s="76"/>
      <c r="I1949" s="76" t="s">
        <v>611</v>
      </c>
      <c r="J1949" s="76"/>
      <c r="K1949" s="76" t="s">
        <v>611</v>
      </c>
      <c r="L1949" s="77" t="s">
        <v>1114</v>
      </c>
    </row>
    <row r="1950" customFormat="false" ht="15" hidden="false" customHeight="false" outlineLevel="0" collapsed="false">
      <c r="A1950" s="76" t="s">
        <v>2606</v>
      </c>
      <c r="B1950" s="76" t="s">
        <v>182</v>
      </c>
      <c r="C1950" s="76" t="s">
        <v>183</v>
      </c>
      <c r="D1950" s="76" t="s">
        <v>1111</v>
      </c>
      <c r="E1950" s="76" t="s">
        <v>1112</v>
      </c>
      <c r="F1950" s="35" t="s">
        <v>2607</v>
      </c>
      <c r="G1950" s="76" t="s">
        <v>611</v>
      </c>
      <c r="H1950" s="78" t="n">
        <v>304.145914326208</v>
      </c>
      <c r="I1950" s="76" t="s">
        <v>2608</v>
      </c>
      <c r="J1950" s="78" t="n">
        <v>304.145914326208</v>
      </c>
      <c r="K1950" s="76" t="s">
        <v>2608</v>
      </c>
      <c r="L1950" s="77" t="s">
        <v>1114</v>
      </c>
    </row>
    <row r="1951" customFormat="false" ht="15" hidden="false" customHeight="false" outlineLevel="0" collapsed="false">
      <c r="A1951" s="76" t="s">
        <v>2606</v>
      </c>
      <c r="B1951" s="76" t="s">
        <v>182</v>
      </c>
      <c r="C1951" s="76" t="s">
        <v>183</v>
      </c>
      <c r="D1951" s="76" t="s">
        <v>1111</v>
      </c>
      <c r="E1951" s="76" t="s">
        <v>1112</v>
      </c>
      <c r="F1951" s="35" t="s">
        <v>2607</v>
      </c>
      <c r="G1951" s="76" t="s">
        <v>1098</v>
      </c>
      <c r="H1951" s="78" t="n">
        <v>3248.75485957247</v>
      </c>
      <c r="I1951" s="76" t="s">
        <v>2609</v>
      </c>
      <c r="J1951" s="78" t="n">
        <v>3248.75485957247</v>
      </c>
      <c r="K1951" s="76" t="s">
        <v>2609</v>
      </c>
      <c r="L1951" s="77" t="s">
        <v>1114</v>
      </c>
    </row>
    <row r="1952" customFormat="false" ht="15" hidden="false" customHeight="false" outlineLevel="0" collapsed="false">
      <c r="A1952" s="76" t="s">
        <v>2606</v>
      </c>
      <c r="B1952" s="76" t="s">
        <v>182</v>
      </c>
      <c r="C1952" s="76" t="s">
        <v>183</v>
      </c>
      <c r="D1952" s="76" t="s">
        <v>1111</v>
      </c>
      <c r="E1952" s="76" t="s">
        <v>1112</v>
      </c>
      <c r="F1952" s="35" t="s">
        <v>2607</v>
      </c>
      <c r="G1952" s="76" t="s">
        <v>490</v>
      </c>
      <c r="H1952" s="78" t="n">
        <v>18248.7548595725</v>
      </c>
      <c r="I1952" s="76" t="s">
        <v>2610</v>
      </c>
      <c r="J1952" s="78" t="n">
        <v>18248.7548595725</v>
      </c>
      <c r="K1952" s="76" t="s">
        <v>2610</v>
      </c>
      <c r="L1952" s="77" t="s">
        <v>1114</v>
      </c>
    </row>
    <row r="1953" customFormat="false" ht="15" hidden="false" customHeight="false" outlineLevel="0" collapsed="false">
      <c r="A1953" s="76" t="s">
        <v>2611</v>
      </c>
      <c r="B1953" s="76" t="s">
        <v>182</v>
      </c>
      <c r="C1953" s="76" t="s">
        <v>183</v>
      </c>
      <c r="D1953" s="76" t="s">
        <v>1124</v>
      </c>
      <c r="E1953" s="76" t="s">
        <v>1125</v>
      </c>
      <c r="F1953" s="35" t="s">
        <v>2612</v>
      </c>
      <c r="G1953" s="76" t="s">
        <v>419</v>
      </c>
      <c r="H1953" s="76"/>
      <c r="I1953" s="76" t="s">
        <v>611</v>
      </c>
      <c r="J1953" s="76"/>
      <c r="K1953" s="76" t="s">
        <v>611</v>
      </c>
      <c r="L1953" s="77" t="s">
        <v>1114</v>
      </c>
    </row>
    <row r="1954" customFormat="false" ht="15" hidden="false" customHeight="false" outlineLevel="0" collapsed="false">
      <c r="A1954" s="76" t="s">
        <v>2611</v>
      </c>
      <c r="B1954" s="76" t="s">
        <v>182</v>
      </c>
      <c r="C1954" s="76" t="s">
        <v>183</v>
      </c>
      <c r="D1954" s="76" t="s">
        <v>1124</v>
      </c>
      <c r="E1954" s="76" t="s">
        <v>1125</v>
      </c>
      <c r="F1954" s="35" t="s">
        <v>2612</v>
      </c>
      <c r="G1954" s="76" t="s">
        <v>611</v>
      </c>
      <c r="H1954" s="78" t="n">
        <v>41.6666666666667</v>
      </c>
      <c r="I1954" s="76" t="s">
        <v>2613</v>
      </c>
      <c r="J1954" s="78" t="n">
        <v>41.6666666666667</v>
      </c>
      <c r="K1954" s="76" t="s">
        <v>2613</v>
      </c>
      <c r="L1954" s="77" t="s">
        <v>1114</v>
      </c>
    </row>
    <row r="1955" customFormat="false" ht="15" hidden="false" customHeight="false" outlineLevel="0" collapsed="false">
      <c r="A1955" s="76" t="s">
        <v>2611</v>
      </c>
      <c r="B1955" s="76" t="s">
        <v>182</v>
      </c>
      <c r="C1955" s="76" t="s">
        <v>183</v>
      </c>
      <c r="D1955" s="76" t="s">
        <v>1124</v>
      </c>
      <c r="E1955" s="76" t="s">
        <v>1125</v>
      </c>
      <c r="F1955" s="35" t="s">
        <v>2612</v>
      </c>
      <c r="G1955" s="76" t="s">
        <v>1098</v>
      </c>
      <c r="H1955" s="76" t="n">
        <v>0</v>
      </c>
      <c r="I1955" s="76" t="s">
        <v>1127</v>
      </c>
      <c r="J1955" s="76" t="n">
        <v>0</v>
      </c>
      <c r="K1955" s="76" t="s">
        <v>1127</v>
      </c>
      <c r="L1955" s="77" t="s">
        <v>1114</v>
      </c>
    </row>
    <row r="1956" customFormat="false" ht="15" hidden="false" customHeight="false" outlineLevel="0" collapsed="false">
      <c r="A1956" s="76" t="s">
        <v>2611</v>
      </c>
      <c r="B1956" s="76" t="s">
        <v>182</v>
      </c>
      <c r="C1956" s="76" t="s">
        <v>183</v>
      </c>
      <c r="D1956" s="76" t="s">
        <v>1124</v>
      </c>
      <c r="E1956" s="76" t="s">
        <v>1125</v>
      </c>
      <c r="F1956" s="35" t="s">
        <v>2612</v>
      </c>
      <c r="G1956" s="76" t="s">
        <v>490</v>
      </c>
      <c r="H1956" s="76" t="n">
        <v>500</v>
      </c>
      <c r="I1956" s="76" t="s">
        <v>1612</v>
      </c>
      <c r="J1956" s="76" t="n">
        <v>500</v>
      </c>
      <c r="K1956" s="76" t="s">
        <v>1612</v>
      </c>
      <c r="L1956" s="77" t="s">
        <v>1114</v>
      </c>
    </row>
    <row r="1957" customFormat="false" ht="15" hidden="false" customHeight="false" outlineLevel="0" collapsed="false">
      <c r="A1957" s="76" t="s">
        <v>2614</v>
      </c>
      <c r="B1957" s="76" t="s">
        <v>182</v>
      </c>
      <c r="C1957" s="76" t="s">
        <v>183</v>
      </c>
      <c r="D1957" s="76" t="s">
        <v>1132</v>
      </c>
      <c r="E1957" s="76" t="s">
        <v>1133</v>
      </c>
      <c r="F1957" s="35" t="s">
        <v>2615</v>
      </c>
      <c r="G1957" s="76" t="s">
        <v>419</v>
      </c>
      <c r="H1957" s="76"/>
      <c r="I1957" s="76" t="s">
        <v>611</v>
      </c>
      <c r="J1957" s="76"/>
      <c r="K1957" s="76" t="s">
        <v>611</v>
      </c>
      <c r="L1957" s="77" t="s">
        <v>1114</v>
      </c>
    </row>
    <row r="1958" customFormat="false" ht="15" hidden="false" customHeight="false" outlineLevel="0" collapsed="false">
      <c r="A1958" s="76" t="s">
        <v>2614</v>
      </c>
      <c r="B1958" s="76" t="s">
        <v>182</v>
      </c>
      <c r="C1958" s="76" t="s">
        <v>183</v>
      </c>
      <c r="D1958" s="76" t="s">
        <v>1132</v>
      </c>
      <c r="E1958" s="76" t="s">
        <v>1133</v>
      </c>
      <c r="F1958" s="35" t="s">
        <v>2615</v>
      </c>
      <c r="G1958" s="76" t="s">
        <v>611</v>
      </c>
      <c r="H1958" s="78" t="n">
        <v>2274.92950401444</v>
      </c>
      <c r="I1958" s="76" t="s">
        <v>2616</v>
      </c>
      <c r="J1958" s="78" t="n">
        <v>2274.92950401443</v>
      </c>
      <c r="K1958" s="76" t="s">
        <v>2616</v>
      </c>
      <c r="L1958" s="77" t="s">
        <v>1114</v>
      </c>
    </row>
    <row r="1959" customFormat="false" ht="15" hidden="false" customHeight="false" outlineLevel="0" collapsed="false">
      <c r="A1959" s="76" t="s">
        <v>2614</v>
      </c>
      <c r="B1959" s="76" t="s">
        <v>182</v>
      </c>
      <c r="C1959" s="76" t="s">
        <v>183</v>
      </c>
      <c r="D1959" s="76" t="s">
        <v>1132</v>
      </c>
      <c r="E1959" s="76" t="s">
        <v>1133</v>
      </c>
      <c r="F1959" s="35" t="s">
        <v>2615</v>
      </c>
      <c r="G1959" s="76" t="s">
        <v>1098</v>
      </c>
      <c r="H1959" s="78" t="n">
        <v>172991.540481732</v>
      </c>
      <c r="I1959" s="76" t="s">
        <v>2617</v>
      </c>
      <c r="J1959" s="78" t="n">
        <v>172991.540481732</v>
      </c>
      <c r="K1959" s="76" t="s">
        <v>2617</v>
      </c>
      <c r="L1959" s="77" t="s">
        <v>1114</v>
      </c>
    </row>
    <row r="1960" customFormat="false" ht="15" hidden="false" customHeight="false" outlineLevel="0" collapsed="false">
      <c r="A1960" s="76" t="s">
        <v>2614</v>
      </c>
      <c r="B1960" s="76" t="s">
        <v>182</v>
      </c>
      <c r="C1960" s="76" t="s">
        <v>183</v>
      </c>
      <c r="D1960" s="76" t="s">
        <v>1132</v>
      </c>
      <c r="E1960" s="76" t="s">
        <v>1133</v>
      </c>
      <c r="F1960" s="35" t="s">
        <v>2615</v>
      </c>
      <c r="G1960" s="76" t="s">
        <v>490</v>
      </c>
      <c r="H1960" s="78" t="n">
        <v>272991.540481732</v>
      </c>
      <c r="I1960" s="76" t="s">
        <v>2618</v>
      </c>
      <c r="J1960" s="78" t="n">
        <v>272991.540481732</v>
      </c>
      <c r="K1960" s="76" t="s">
        <v>2618</v>
      </c>
      <c r="L1960" s="77" t="s">
        <v>1114</v>
      </c>
    </row>
    <row r="1961" customFormat="false" ht="15" hidden="false" customHeight="false" outlineLevel="0" collapsed="false">
      <c r="A1961" s="76" t="s">
        <v>2619</v>
      </c>
      <c r="B1961" s="76" t="s">
        <v>182</v>
      </c>
      <c r="C1961" s="76" t="s">
        <v>183</v>
      </c>
      <c r="D1961" s="76" t="s">
        <v>1141</v>
      </c>
      <c r="E1961" s="76" t="s">
        <v>1142</v>
      </c>
      <c r="F1961" s="35" t="s">
        <v>2620</v>
      </c>
      <c r="G1961" s="76" t="s">
        <v>419</v>
      </c>
      <c r="H1961" s="76"/>
      <c r="I1961" s="76" t="s">
        <v>611</v>
      </c>
      <c r="J1961" s="76"/>
      <c r="K1961" s="76" t="s">
        <v>611</v>
      </c>
      <c r="L1961" s="77" t="s">
        <v>1114</v>
      </c>
    </row>
    <row r="1962" customFormat="false" ht="15" hidden="false" customHeight="false" outlineLevel="0" collapsed="false">
      <c r="A1962" s="76" t="s">
        <v>2619</v>
      </c>
      <c r="B1962" s="76" t="s">
        <v>182</v>
      </c>
      <c r="C1962" s="76" t="s">
        <v>183</v>
      </c>
      <c r="D1962" s="76" t="s">
        <v>1141</v>
      </c>
      <c r="E1962" s="76" t="s">
        <v>1142</v>
      </c>
      <c r="F1962" s="35" t="s">
        <v>2620</v>
      </c>
      <c r="G1962" s="76" t="s">
        <v>611</v>
      </c>
      <c r="H1962" s="78" t="n">
        <v>2300.21325856249</v>
      </c>
      <c r="I1962" s="76" t="s">
        <v>1313</v>
      </c>
      <c r="J1962" s="78" t="n">
        <v>2300.21325856249</v>
      </c>
      <c r="K1962" s="76" t="s">
        <v>1313</v>
      </c>
      <c r="L1962" s="77" t="s">
        <v>1114</v>
      </c>
    </row>
    <row r="1963" customFormat="false" ht="15" hidden="false" customHeight="false" outlineLevel="0" collapsed="false">
      <c r="A1963" s="76" t="s">
        <v>2619</v>
      </c>
      <c r="B1963" s="76" t="s">
        <v>182</v>
      </c>
      <c r="C1963" s="76" t="s">
        <v>183</v>
      </c>
      <c r="D1963" s="76" t="s">
        <v>1141</v>
      </c>
      <c r="E1963" s="76" t="s">
        <v>1142</v>
      </c>
      <c r="F1963" s="35" t="s">
        <v>2620</v>
      </c>
      <c r="G1963" s="76" t="s">
        <v>1098</v>
      </c>
      <c r="H1963" s="78" t="n">
        <v>4307.67730824961</v>
      </c>
      <c r="I1963" s="76" t="s">
        <v>2621</v>
      </c>
      <c r="J1963" s="78" t="n">
        <v>4307.67730824961</v>
      </c>
      <c r="K1963" s="76" t="s">
        <v>2621</v>
      </c>
      <c r="L1963" s="77" t="s">
        <v>1114</v>
      </c>
    </row>
    <row r="1964" customFormat="false" ht="15" hidden="false" customHeight="false" outlineLevel="0" collapsed="false">
      <c r="A1964" s="76" t="s">
        <v>2619</v>
      </c>
      <c r="B1964" s="76" t="s">
        <v>182</v>
      </c>
      <c r="C1964" s="76" t="s">
        <v>183</v>
      </c>
      <c r="D1964" s="76" t="s">
        <v>1141</v>
      </c>
      <c r="E1964" s="76" t="s">
        <v>1142</v>
      </c>
      <c r="F1964" s="35" t="s">
        <v>2620</v>
      </c>
      <c r="G1964" s="76" t="s">
        <v>490</v>
      </c>
      <c r="H1964" s="78" t="n">
        <v>82807.6773082496</v>
      </c>
      <c r="I1964" s="76" t="s">
        <v>2622</v>
      </c>
      <c r="J1964" s="78" t="n">
        <v>82807.6773082496</v>
      </c>
      <c r="K1964" s="76" t="s">
        <v>2622</v>
      </c>
      <c r="L1964" s="77" t="s">
        <v>1114</v>
      </c>
    </row>
    <row r="1965" customFormat="false" ht="15" hidden="false" customHeight="false" outlineLevel="0" collapsed="false">
      <c r="A1965" s="76" t="s">
        <v>2623</v>
      </c>
      <c r="B1965" s="76" t="s">
        <v>182</v>
      </c>
      <c r="C1965" s="76" t="s">
        <v>183</v>
      </c>
      <c r="D1965" s="76" t="s">
        <v>1161</v>
      </c>
      <c r="E1965" s="76" t="s">
        <v>1162</v>
      </c>
      <c r="F1965" s="35" t="s">
        <v>2624</v>
      </c>
      <c r="G1965" s="76" t="s">
        <v>419</v>
      </c>
      <c r="H1965" s="76"/>
      <c r="I1965" s="76" t="s">
        <v>611</v>
      </c>
      <c r="J1965" s="76"/>
      <c r="K1965" s="76" t="s">
        <v>611</v>
      </c>
      <c r="L1965" s="77" t="s">
        <v>1114</v>
      </c>
    </row>
    <row r="1966" customFormat="false" ht="15" hidden="false" customHeight="false" outlineLevel="0" collapsed="false">
      <c r="A1966" s="76" t="s">
        <v>2623</v>
      </c>
      <c r="B1966" s="76" t="s">
        <v>182</v>
      </c>
      <c r="C1966" s="76" t="s">
        <v>183</v>
      </c>
      <c r="D1966" s="76" t="s">
        <v>1161</v>
      </c>
      <c r="E1966" s="76" t="s">
        <v>1162</v>
      </c>
      <c r="F1966" s="35" t="s">
        <v>2624</v>
      </c>
      <c r="G1966" s="76" t="s">
        <v>611</v>
      </c>
      <c r="H1966" s="78" t="n">
        <v>229.867521573825</v>
      </c>
      <c r="I1966" s="76" t="s">
        <v>2625</v>
      </c>
      <c r="J1966" s="78" t="n">
        <v>229.867521573825</v>
      </c>
      <c r="K1966" s="76" t="s">
        <v>2625</v>
      </c>
      <c r="L1966" s="77" t="s">
        <v>1114</v>
      </c>
    </row>
    <row r="1967" customFormat="false" ht="15" hidden="false" customHeight="false" outlineLevel="0" collapsed="false">
      <c r="A1967" s="76" t="s">
        <v>2623</v>
      </c>
      <c r="B1967" s="76" t="s">
        <v>182</v>
      </c>
      <c r="C1967" s="76" t="s">
        <v>183</v>
      </c>
      <c r="D1967" s="76" t="s">
        <v>1161</v>
      </c>
      <c r="E1967" s="76" t="s">
        <v>1162</v>
      </c>
      <c r="F1967" s="35" t="s">
        <v>2624</v>
      </c>
      <c r="G1967" s="76" t="s">
        <v>1098</v>
      </c>
      <c r="H1967" s="78" t="n">
        <v>775.2307766577</v>
      </c>
      <c r="I1967" s="76" t="s">
        <v>2626</v>
      </c>
      <c r="J1967" s="78" t="n">
        <v>775.2307766577</v>
      </c>
      <c r="K1967" s="76" t="s">
        <v>2626</v>
      </c>
      <c r="L1967" s="77" t="s">
        <v>1114</v>
      </c>
    </row>
    <row r="1968" customFormat="false" ht="15" hidden="false" customHeight="false" outlineLevel="0" collapsed="false">
      <c r="A1968" s="76" t="s">
        <v>2623</v>
      </c>
      <c r="B1968" s="76" t="s">
        <v>182</v>
      </c>
      <c r="C1968" s="76" t="s">
        <v>183</v>
      </c>
      <c r="D1968" s="76" t="s">
        <v>1161</v>
      </c>
      <c r="E1968" s="76" t="s">
        <v>1162</v>
      </c>
      <c r="F1968" s="35" t="s">
        <v>2624</v>
      </c>
      <c r="G1968" s="76" t="s">
        <v>490</v>
      </c>
      <c r="H1968" s="78" t="n">
        <v>8275.2307766577</v>
      </c>
      <c r="I1968" s="76" t="s">
        <v>2627</v>
      </c>
      <c r="J1968" s="78" t="n">
        <v>8275.2307766577</v>
      </c>
      <c r="K1968" s="76" t="s">
        <v>2627</v>
      </c>
      <c r="L1968" s="77" t="s">
        <v>1114</v>
      </c>
    </row>
    <row r="1969" customFormat="false" ht="15" hidden="false" customHeight="false" outlineLevel="0" collapsed="false">
      <c r="A1969" s="76" t="s">
        <v>2628</v>
      </c>
      <c r="B1969" s="76" t="s">
        <v>182</v>
      </c>
      <c r="C1969" s="76" t="s">
        <v>183</v>
      </c>
      <c r="D1969" s="76" t="s">
        <v>1180</v>
      </c>
      <c r="E1969" s="76" t="s">
        <v>1152</v>
      </c>
      <c r="F1969" s="35" t="s">
        <v>2629</v>
      </c>
      <c r="G1969" s="76" t="s">
        <v>419</v>
      </c>
      <c r="H1969" s="76"/>
      <c r="I1969" s="76" t="s">
        <v>611</v>
      </c>
      <c r="J1969" s="76"/>
      <c r="K1969" s="76" t="s">
        <v>611</v>
      </c>
      <c r="L1969" s="77" t="s">
        <v>1114</v>
      </c>
    </row>
    <row r="1970" customFormat="false" ht="15" hidden="false" customHeight="false" outlineLevel="0" collapsed="false">
      <c r="A1970" s="76" t="s">
        <v>2628</v>
      </c>
      <c r="B1970" s="76" t="s">
        <v>182</v>
      </c>
      <c r="C1970" s="76" t="s">
        <v>183</v>
      </c>
      <c r="D1970" s="76" t="s">
        <v>1180</v>
      </c>
      <c r="E1970" s="76" t="s">
        <v>1152</v>
      </c>
      <c r="F1970" s="35" t="s">
        <v>2629</v>
      </c>
      <c r="G1970" s="76" t="s">
        <v>611</v>
      </c>
      <c r="H1970" s="78" t="n">
        <v>120.700930872989</v>
      </c>
      <c r="I1970" s="76" t="s">
        <v>2630</v>
      </c>
      <c r="J1970" s="78" t="n">
        <v>120.700930872989</v>
      </c>
      <c r="K1970" s="76" t="s">
        <v>2630</v>
      </c>
      <c r="L1970" s="77" t="s">
        <v>1114</v>
      </c>
    </row>
    <row r="1971" customFormat="false" ht="15" hidden="false" customHeight="false" outlineLevel="0" collapsed="false">
      <c r="A1971" s="76" t="s">
        <v>2628</v>
      </c>
      <c r="B1971" s="76" t="s">
        <v>182</v>
      </c>
      <c r="C1971" s="76" t="s">
        <v>183</v>
      </c>
      <c r="D1971" s="76" t="s">
        <v>1180</v>
      </c>
      <c r="E1971" s="76" t="s">
        <v>1152</v>
      </c>
      <c r="F1971" s="35" t="s">
        <v>2629</v>
      </c>
      <c r="G1971" s="76" t="s">
        <v>1098</v>
      </c>
      <c r="H1971" s="78" t="n">
        <v>1984.1117047587</v>
      </c>
      <c r="I1971" s="76" t="s">
        <v>2631</v>
      </c>
      <c r="J1971" s="78" t="n">
        <v>1984.1117047587</v>
      </c>
      <c r="K1971" s="76" t="s">
        <v>2631</v>
      </c>
      <c r="L1971" s="77" t="s">
        <v>1114</v>
      </c>
    </row>
    <row r="1972" customFormat="false" ht="15" hidden="false" customHeight="false" outlineLevel="0" collapsed="false">
      <c r="A1972" s="76" t="s">
        <v>2628</v>
      </c>
      <c r="B1972" s="76" t="s">
        <v>182</v>
      </c>
      <c r="C1972" s="76" t="s">
        <v>183</v>
      </c>
      <c r="D1972" s="76" t="s">
        <v>1180</v>
      </c>
      <c r="E1972" s="76" t="s">
        <v>1152</v>
      </c>
      <c r="F1972" s="35" t="s">
        <v>2629</v>
      </c>
      <c r="G1972" s="76" t="s">
        <v>490</v>
      </c>
      <c r="H1972" s="78" t="n">
        <v>14484.1117047587</v>
      </c>
      <c r="I1972" s="76" t="s">
        <v>2632</v>
      </c>
      <c r="J1972" s="78" t="n">
        <v>14484.1117047587</v>
      </c>
      <c r="K1972" s="76" t="s">
        <v>2632</v>
      </c>
      <c r="L1972" s="77" t="s">
        <v>1114</v>
      </c>
    </row>
    <row r="1973" customFormat="false" ht="15" hidden="false" customHeight="false" outlineLevel="0" collapsed="false">
      <c r="A1973" s="76" t="s">
        <v>2633</v>
      </c>
      <c r="B1973" s="76" t="s">
        <v>182</v>
      </c>
      <c r="C1973" s="76" t="s">
        <v>183</v>
      </c>
      <c r="D1973" s="76" t="s">
        <v>1189</v>
      </c>
      <c r="E1973" s="76" t="s">
        <v>1125</v>
      </c>
      <c r="F1973" s="35" t="s">
        <v>2634</v>
      </c>
      <c r="G1973" s="76" t="s">
        <v>419</v>
      </c>
      <c r="H1973" s="76"/>
      <c r="I1973" s="76" t="s">
        <v>611</v>
      </c>
      <c r="J1973" s="76"/>
      <c r="K1973" s="76" t="s">
        <v>611</v>
      </c>
      <c r="L1973" s="77" t="s">
        <v>1114</v>
      </c>
    </row>
    <row r="1974" customFormat="false" ht="15" hidden="false" customHeight="false" outlineLevel="0" collapsed="false">
      <c r="A1974" s="76" t="s">
        <v>2633</v>
      </c>
      <c r="B1974" s="76" t="s">
        <v>182</v>
      </c>
      <c r="C1974" s="76" t="s">
        <v>183</v>
      </c>
      <c r="D1974" s="76" t="s">
        <v>1189</v>
      </c>
      <c r="E1974" s="76" t="s">
        <v>1125</v>
      </c>
      <c r="F1974" s="35" t="s">
        <v>2634</v>
      </c>
      <c r="G1974" s="76" t="s">
        <v>611</v>
      </c>
      <c r="H1974" s="78" t="n">
        <v>1944.27129288091</v>
      </c>
      <c r="I1974" s="76" t="s">
        <v>2635</v>
      </c>
      <c r="J1974" s="78" t="n">
        <v>1944.27129288091</v>
      </c>
      <c r="K1974" s="76" t="s">
        <v>2635</v>
      </c>
      <c r="L1974" s="77" t="s">
        <v>1114</v>
      </c>
    </row>
    <row r="1975" customFormat="false" ht="15" hidden="false" customHeight="false" outlineLevel="0" collapsed="false">
      <c r="A1975" s="76" t="s">
        <v>2633</v>
      </c>
      <c r="B1975" s="76" t="s">
        <v>182</v>
      </c>
      <c r="C1975" s="76" t="s">
        <v>183</v>
      </c>
      <c r="D1975" s="76" t="s">
        <v>1189</v>
      </c>
      <c r="E1975" s="76" t="s">
        <v>1125</v>
      </c>
      <c r="F1975" s="35" t="s">
        <v>2634</v>
      </c>
      <c r="G1975" s="76" t="s">
        <v>1098</v>
      </c>
      <c r="H1975" s="78" t="n">
        <v>66818.7886019966</v>
      </c>
      <c r="I1975" s="76" t="s">
        <v>2636</v>
      </c>
      <c r="J1975" s="78" t="n">
        <v>66818.7886019966</v>
      </c>
      <c r="K1975" s="76" t="s">
        <v>2636</v>
      </c>
      <c r="L1975" s="77" t="s">
        <v>1114</v>
      </c>
    </row>
    <row r="1976" customFormat="false" ht="15" hidden="false" customHeight="false" outlineLevel="0" collapsed="false">
      <c r="A1976" s="76" t="s">
        <v>2633</v>
      </c>
      <c r="B1976" s="76" t="s">
        <v>182</v>
      </c>
      <c r="C1976" s="76" t="s">
        <v>183</v>
      </c>
      <c r="D1976" s="76" t="s">
        <v>1189</v>
      </c>
      <c r="E1976" s="76" t="s">
        <v>1125</v>
      </c>
      <c r="F1976" s="35" t="s">
        <v>2634</v>
      </c>
      <c r="G1976" s="76" t="s">
        <v>490</v>
      </c>
      <c r="H1976" s="78" t="n">
        <v>163318.788601997</v>
      </c>
      <c r="I1976" s="76" t="s">
        <v>2637</v>
      </c>
      <c r="J1976" s="78" t="n">
        <v>163318.788601997</v>
      </c>
      <c r="K1976" s="76" t="s">
        <v>2637</v>
      </c>
      <c r="L1976" s="77" t="s">
        <v>1114</v>
      </c>
    </row>
    <row r="1977" customFormat="false" ht="15" hidden="false" customHeight="false" outlineLevel="0" collapsed="false">
      <c r="A1977" s="76" t="s">
        <v>2638</v>
      </c>
      <c r="B1977" s="76" t="s">
        <v>182</v>
      </c>
      <c r="C1977" s="76" t="s">
        <v>183</v>
      </c>
      <c r="D1977" s="76" t="s">
        <v>1198</v>
      </c>
      <c r="E1977" s="76" t="s">
        <v>1162</v>
      </c>
      <c r="F1977" s="35" t="s">
        <v>2639</v>
      </c>
      <c r="G1977" s="76" t="s">
        <v>419</v>
      </c>
      <c r="H1977" s="76"/>
      <c r="I1977" s="76" t="s">
        <v>611</v>
      </c>
      <c r="J1977" s="76"/>
      <c r="K1977" s="76" t="s">
        <v>611</v>
      </c>
      <c r="L1977" s="77" t="s">
        <v>1114</v>
      </c>
    </row>
    <row r="1978" customFormat="false" ht="15" hidden="false" customHeight="false" outlineLevel="0" collapsed="false">
      <c r="A1978" s="76" t="s">
        <v>2638</v>
      </c>
      <c r="B1978" s="76" t="s">
        <v>182</v>
      </c>
      <c r="C1978" s="76" t="s">
        <v>183</v>
      </c>
      <c r="D1978" s="76" t="s">
        <v>1198</v>
      </c>
      <c r="E1978" s="76" t="s">
        <v>1162</v>
      </c>
      <c r="F1978" s="35" t="s">
        <v>2639</v>
      </c>
      <c r="G1978" s="76" t="s">
        <v>611</v>
      </c>
      <c r="H1978" s="78" t="n">
        <v>1425.4662634648</v>
      </c>
      <c r="I1978" s="76" t="s">
        <v>2640</v>
      </c>
      <c r="J1978" s="78" t="n">
        <v>1425.4662634648</v>
      </c>
      <c r="K1978" s="76" t="s">
        <v>2640</v>
      </c>
      <c r="L1978" s="77" t="s">
        <v>1114</v>
      </c>
    </row>
    <row r="1979" customFormat="false" ht="15" hidden="false" customHeight="false" outlineLevel="0" collapsed="false">
      <c r="A1979" s="76" t="s">
        <v>2638</v>
      </c>
      <c r="B1979" s="76" t="s">
        <v>182</v>
      </c>
      <c r="C1979" s="76" t="s">
        <v>183</v>
      </c>
      <c r="D1979" s="76" t="s">
        <v>1198</v>
      </c>
      <c r="E1979" s="76" t="s">
        <v>1162</v>
      </c>
      <c r="F1979" s="35" t="s">
        <v>2639</v>
      </c>
      <c r="G1979" s="76" t="s">
        <v>1098</v>
      </c>
      <c r="H1979" s="78" t="n">
        <v>6816.7854847328</v>
      </c>
      <c r="I1979" s="76" t="s">
        <v>2641</v>
      </c>
      <c r="J1979" s="78" t="n">
        <v>6816.7854847328</v>
      </c>
      <c r="K1979" s="76" t="s">
        <v>2641</v>
      </c>
      <c r="L1979" s="77" t="s">
        <v>1114</v>
      </c>
    </row>
    <row r="1980" customFormat="false" ht="15" hidden="false" customHeight="false" outlineLevel="0" collapsed="false">
      <c r="A1980" s="76" t="s">
        <v>2638</v>
      </c>
      <c r="B1980" s="76" t="s">
        <v>182</v>
      </c>
      <c r="C1980" s="76" t="s">
        <v>183</v>
      </c>
      <c r="D1980" s="76" t="s">
        <v>1198</v>
      </c>
      <c r="E1980" s="76" t="s">
        <v>1162</v>
      </c>
      <c r="F1980" s="35" t="s">
        <v>2639</v>
      </c>
      <c r="G1980" s="76" t="s">
        <v>490</v>
      </c>
      <c r="H1980" s="78" t="n">
        <v>51316.7854847328</v>
      </c>
      <c r="I1980" s="76" t="s">
        <v>2642</v>
      </c>
      <c r="J1980" s="78" t="n">
        <v>51316.7854847328</v>
      </c>
      <c r="K1980" s="76" t="s">
        <v>2642</v>
      </c>
      <c r="L1980" s="77" t="s">
        <v>1114</v>
      </c>
    </row>
  </sheetData>
  <autoFilter ref="A1:L19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2026-10-01T17:59:16Z</dcterms:created>
  <dc:creator>openpyxl</dc:creator>
  <dc:description/>
  <dc:language>en-US</dc:language>
  <cp:lastModifiedBy/>
  <dcterms:modified xsi:type="dcterms:W3CDTF">2026-10-01T17:59:19Z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